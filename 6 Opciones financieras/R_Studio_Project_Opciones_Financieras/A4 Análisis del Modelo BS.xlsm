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garcia\Desktop\AXM_Courses\Finance\6 Opciones financieras\02 Modelos de Valuacion\"/>
    </mc:Choice>
  </mc:AlternateContent>
  <xr:revisionPtr revIDLastSave="0" documentId="13_ncr:1_{03A51657-3C73-435D-800D-008435E49F6B}" xr6:coauthVersionLast="47" xr6:coauthVersionMax="47" xr10:uidLastSave="{00000000-0000-0000-0000-000000000000}"/>
  <bookViews>
    <workbookView xWindow="-3570" yWindow="-16335" windowWidth="29040" windowHeight="15840" activeTab="7" xr2:uid="{710154D1-B4B1-4DE1-8DC4-17FFC98FC3A5}"/>
  </bookViews>
  <sheets>
    <sheet name="AP" sheetId="1" r:id="rId1"/>
    <sheet name="BS" sheetId="3" r:id="rId2"/>
    <sheet name="Payoff Diagram BS" sheetId="10" r:id="rId3"/>
    <sheet name="BS_Div" sheetId="4" r:id="rId4"/>
    <sheet name="BS_FX" sheetId="5" r:id="rId5"/>
    <sheet name="BS_76" sheetId="6" r:id="rId6"/>
    <sheet name="Conclusiones" sheetId="2" r:id="rId7"/>
    <sheet name="Volatilidad Implicita" sheetId="11" r:id="rId8"/>
  </sheets>
  <functionGroups builtInGroupCount="19"/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Beta">[1]SML!$D$29:$J$29</definedName>
    <definedName name="BLA" localSheetId="1">#REF!</definedName>
    <definedName name="BLA" localSheetId="5">#REF!</definedName>
    <definedName name="BLA" localSheetId="3">#REF!</definedName>
    <definedName name="BLA" localSheetId="4">#REF!</definedName>
    <definedName name="BLA">#REF!</definedName>
    <definedName name="BLACK76" localSheetId="1">#REF!</definedName>
    <definedName name="BLACK76" localSheetId="5">#REF!</definedName>
    <definedName name="BLACK76" localSheetId="3">#REF!</definedName>
    <definedName name="BLACK76" localSheetId="4">#REF!</definedName>
    <definedName name="BLACK76">#REF!</definedName>
    <definedName name="bond_compute_handler" localSheetId="1">BS!bond_compute_handler</definedName>
    <definedName name="bond_compute_handler" localSheetId="5">BS_76!bond_compute_handler</definedName>
    <definedName name="bond_compute_handler" localSheetId="3">BS_Div!bond_compute_handler</definedName>
    <definedName name="bond_compute_handler" localSheetId="4">BS_FX!bond_compute_handler</definedName>
    <definedName name="bond_compute_handler" localSheetId="6">Conclusiones!bond_compute_handler</definedName>
    <definedName name="bond_compute_handler">bond_compute_handler</definedName>
    <definedName name="Bond_Display_Tree" localSheetId="1">BS!Bond_Display_Tree</definedName>
    <definedName name="Bond_Display_Tree" localSheetId="5">BS_76!Bond_Display_Tree</definedName>
    <definedName name="Bond_Display_Tree" localSheetId="3">BS_Div!Bond_Display_Tree</definedName>
    <definedName name="Bond_Display_Tree" localSheetId="4">BS_FX!Bond_Display_Tree</definedName>
    <definedName name="Bond_Display_Tree" localSheetId="6">Conclusiones!Bond_Display_Tree</definedName>
    <definedName name="Bond_Display_Tree">Bond_Display_Tree</definedName>
    <definedName name="bond_graph_handler" localSheetId="1">BS!bond_graph_handler</definedName>
    <definedName name="bond_graph_handler" localSheetId="5">BS_76!bond_graph_handler</definedName>
    <definedName name="bond_graph_handler" localSheetId="3">BS_Div!bond_graph_handler</definedName>
    <definedName name="bond_graph_handler" localSheetId="4">BS_FX!bond_graph_handler</definedName>
    <definedName name="bond_graph_handler" localSheetId="6">Conclusiones!bond_graph_handler</definedName>
    <definedName name="bond_graph_handler">bond_graph_handler</definedName>
    <definedName name="bond_graph_input_formatter" localSheetId="1">BS!bond_graph_input_formatter</definedName>
    <definedName name="bond_graph_input_formatter" localSheetId="5">BS_76!bond_graph_input_formatter</definedName>
    <definedName name="bond_graph_input_formatter" localSheetId="3">BS_Div!bond_graph_input_formatter</definedName>
    <definedName name="bond_graph_input_formatter" localSheetId="4">BS_FX!bond_graph_input_formatter</definedName>
    <definedName name="bond_graph_input_formatter" localSheetId="6">Conclusiones!bond_graph_input_formatter</definedName>
    <definedName name="bond_graph_input_formatter">bond_graph_input_formatter</definedName>
    <definedName name="Bond_Option_Select" localSheetId="1">BS!Bond_Option_Select</definedName>
    <definedName name="Bond_Option_Select" localSheetId="5">BS_76!Bond_Option_Select</definedName>
    <definedName name="Bond_Option_Select" localSheetId="3">BS_Div!Bond_Option_Select</definedName>
    <definedName name="Bond_Option_Select" localSheetId="4">BS_FX!Bond_Option_Select</definedName>
    <definedName name="Bond_Option_Select" localSheetId="6">Conclusiones!Bond_Option_Select</definedName>
    <definedName name="Bond_Option_Select">Bond_Option_Select</definedName>
    <definedName name="CAMBIO">'[2]M OK'!$J$8</definedName>
    <definedName name="Cap_or_Swap_Option_Select" localSheetId="1">BS!Cap_or_Swap_Option_Select</definedName>
    <definedName name="Cap_or_Swap_Option_Select" localSheetId="5">BS_76!Cap_or_Swap_Option_Select</definedName>
    <definedName name="Cap_or_Swap_Option_Select" localSheetId="3">BS_Div!Cap_or_Swap_Option_Select</definedName>
    <definedName name="Cap_or_Swap_Option_Select" localSheetId="4">BS_FX!Cap_or_Swap_Option_Select</definedName>
    <definedName name="Cap_or_Swap_Option_Select" localSheetId="6">Conclusiones!Cap_or_Swap_Option_Select</definedName>
    <definedName name="Cap_or_Swap_Option_Select">Cap_or_Swap_Option_Select</definedName>
    <definedName name="Cap_or_Swap_Select" localSheetId="1">BS!Cap_or_Swap_Select</definedName>
    <definedName name="Cap_or_Swap_Select" localSheetId="5">BS_76!Cap_or_Swap_Select</definedName>
    <definedName name="Cap_or_Swap_Select" localSheetId="3">BS_Div!Cap_or_Swap_Select</definedName>
    <definedName name="Cap_or_Swap_Select" localSheetId="4">BS_FX!Cap_or_Swap_Select</definedName>
    <definedName name="Cap_or_Swap_Select" localSheetId="6">Conclusiones!Cap_or_Swap_Select</definedName>
    <definedName name="Cap_or_Swap_Select">Cap_or_Swap_Select</definedName>
    <definedName name="Capital">[3]Carátula!$D$4</definedName>
    <definedName name="cete" localSheetId="1">#REF!</definedName>
    <definedName name="cete" localSheetId="5">#REF!</definedName>
    <definedName name="cete" localSheetId="3">#REF!</definedName>
    <definedName name="cete" localSheetId="4">#REF!</definedName>
    <definedName name="cete">#REF!</definedName>
    <definedName name="cete2" localSheetId="1">#REF!</definedName>
    <definedName name="cete2" localSheetId="5">#REF!</definedName>
    <definedName name="cete2" localSheetId="3">#REF!</definedName>
    <definedName name="cete2" localSheetId="4">#REF!</definedName>
    <definedName name="cete2">#REF!</definedName>
    <definedName name="cetes" localSheetId="1">#REF!</definedName>
    <definedName name="cetes" localSheetId="5">#REF!</definedName>
    <definedName name="cetes" localSheetId="3">#REF!</definedName>
    <definedName name="cetes" localSheetId="4">#REF!</definedName>
    <definedName name="cetes">#REF!</definedName>
    <definedName name="confidence" localSheetId="1">#REF!</definedName>
    <definedName name="confidence" localSheetId="5">#REF!</definedName>
    <definedName name="confidence" localSheetId="3">#REF!</definedName>
    <definedName name="confidence" localSheetId="4">#REF!</definedName>
    <definedName name="confidence">#REF!</definedName>
    <definedName name="down_deviation">'[4]1b.4.Sortino'!$K$6</definedName>
    <definedName name="Equity_compute_handler" localSheetId="1">BS!Equity_compute_handler</definedName>
    <definedName name="Equity_compute_handler" localSheetId="5">BS_76!Equity_compute_handler</definedName>
    <definedName name="Equity_compute_handler" localSheetId="3">BS_Div!Equity_compute_handler</definedName>
    <definedName name="Equity_compute_handler" localSheetId="4">BS_FX!Equity_compute_handler</definedName>
    <definedName name="Equity_compute_handler" localSheetId="6">Conclusiones!Equity_compute_handler</definedName>
    <definedName name="Equity_compute_handler">Equity_compute_handler</definedName>
    <definedName name="Equity_Display_Tree" localSheetId="1">BS!Equity_Display_Tree</definedName>
    <definedName name="Equity_Display_Tree" localSheetId="5">BS_76!Equity_Display_Tree</definedName>
    <definedName name="Equity_Display_Tree" localSheetId="3">BS_Div!Equity_Display_Tree</definedName>
    <definedName name="Equity_Display_Tree" localSheetId="4">BS_FX!Equity_Display_Tree</definedName>
    <definedName name="Equity_Display_Tree" localSheetId="6">Conclusiones!Equity_Display_Tree</definedName>
    <definedName name="Equity_Display_Tree">Equity_Display_Tree</definedName>
    <definedName name="Equity_graph_handler" localSheetId="1">BS!Equity_graph_handler</definedName>
    <definedName name="Equity_graph_handler" localSheetId="5">BS_76!Equity_graph_handler</definedName>
    <definedName name="Equity_graph_handler" localSheetId="3">BS_Div!Equity_graph_handler</definedName>
    <definedName name="Equity_graph_handler" localSheetId="4">BS_FX!Equity_graph_handler</definedName>
    <definedName name="Equity_graph_handler" localSheetId="6">Conclusiones!Equity_graph_handler</definedName>
    <definedName name="Equity_graph_handler">Equity_graph_handler</definedName>
    <definedName name="Equity_graph_input_formatter" localSheetId="1">BS!Equity_graph_input_formatter</definedName>
    <definedName name="Equity_graph_input_formatter" localSheetId="5">BS_76!Equity_graph_input_formatter</definedName>
    <definedName name="Equity_graph_input_formatter" localSheetId="3">BS_Div!Equity_graph_input_formatter</definedName>
    <definedName name="Equity_graph_input_formatter" localSheetId="4">BS_FX!Equity_graph_input_formatter</definedName>
    <definedName name="Equity_graph_input_formatter" localSheetId="6">Conclusiones!Equity_graph_input_formatter</definedName>
    <definedName name="Equity_graph_input_formatter">Equity_graph_input_formatter</definedName>
    <definedName name="Equity_Option_Select" localSheetId="1">BS!Equity_Option_Select</definedName>
    <definedName name="Equity_Option_Select" localSheetId="5">BS_76!Equity_Option_Select</definedName>
    <definedName name="Equity_Option_Select" localSheetId="3">BS_Div!Equity_Option_Select</definedName>
    <definedName name="Equity_Option_Select" localSheetId="4">BS_FX!Equity_Option_Select</definedName>
    <definedName name="Equity_Option_Select" localSheetId="6">Conclusiones!Equity_Option_Select</definedName>
    <definedName name="Equity_Option_Select">Equity_Option_Select</definedName>
    <definedName name="Equity_Underlying_Select" localSheetId="1">BS!Equity_Underlying_Select</definedName>
    <definedName name="Equity_Underlying_Select" localSheetId="5">BS_76!Equity_Underlying_Select</definedName>
    <definedName name="Equity_Underlying_Select" localSheetId="3">BS_Div!Equity_Underlying_Select</definedName>
    <definedName name="Equity_Underlying_Select" localSheetId="4">BS_FX!Equity_Underlying_Select</definedName>
    <definedName name="Equity_Underlying_Select" localSheetId="6">Conclusiones!Equity_Underlying_Select</definedName>
    <definedName name="Equity_Underlying_Select">Equity_Underlying_Select</definedName>
    <definedName name="ERP">[1]SML!$D$22</definedName>
    <definedName name="erp_">'[4]1a.2.Stulz(HedgeIrrelev)'!$C$6</definedName>
    <definedName name="fecha" localSheetId="1">#REF!</definedName>
    <definedName name="fecha" localSheetId="5">#REF!</definedName>
    <definedName name="fecha" localSheetId="3">#REF!</definedName>
    <definedName name="fecha" localSheetId="4">#REF!</definedName>
    <definedName name="fecha">#REF!</definedName>
    <definedName name="flujoscaja" localSheetId="1">#REF!</definedName>
    <definedName name="flujoscaja" localSheetId="5">#REF!</definedName>
    <definedName name="flujoscaja" localSheetId="3">#REF!</definedName>
    <definedName name="flujoscaja" localSheetId="4">#REF!</definedName>
    <definedName name="flujoscaja">#REF!</definedName>
    <definedName name="forward">'[4]1a.2.Stulz(HedgeIrrelev)'!$C$7</definedName>
    <definedName name="Ganadoras">'[5]Drow Down'!$F$14</definedName>
    <definedName name="ggg" localSheetId="1">#REF!</definedName>
    <definedName name="ggg" localSheetId="5">#REF!</definedName>
    <definedName name="ggg" localSheetId="3">#REF!</definedName>
    <definedName name="ggg" localSheetId="4">#REF!</definedName>
    <definedName name="ggg">#REF!</definedName>
    <definedName name="GGGGG" localSheetId="1">#REF!</definedName>
    <definedName name="GGGGG" localSheetId="5">#REF!</definedName>
    <definedName name="GGGGG" localSheetId="3">#REF!</definedName>
    <definedName name="GGGGG" localSheetId="4">#REF!</definedName>
    <definedName name="GGGGG">#REF!</definedName>
    <definedName name="i">'[6]Estimación LGD'!$C$37</definedName>
    <definedName name="Index_Sheet_Kutools" localSheetId="1">#REF!</definedName>
    <definedName name="Index_Sheet_Kutools" localSheetId="5">#REF!</definedName>
    <definedName name="Index_Sheet_Kutools" localSheetId="3">#REF!</definedName>
    <definedName name="Index_Sheet_Kutools" localSheetId="4">#REF!</definedName>
    <definedName name="Index_Sheet_Kutools">#REF!</definedName>
    <definedName name="IR">'[4]1b.3.RAPMs'!$D$19</definedName>
    <definedName name="JJJ" localSheetId="1">#REF!</definedName>
    <definedName name="JJJ" localSheetId="5">#REF!</definedName>
    <definedName name="JJJ" localSheetId="3">#REF!</definedName>
    <definedName name="JJJ" localSheetId="4">#REF!</definedName>
    <definedName name="JJJ">#REF!</definedName>
    <definedName name="KILLA" localSheetId="1">#REF!</definedName>
    <definedName name="KILLA" localSheetId="5">#REF!</definedName>
    <definedName name="KILLA" localSheetId="3">#REF!</definedName>
    <definedName name="KILLA" localSheetId="4">#REF!</definedName>
    <definedName name="KILLA">#REF!</definedName>
    <definedName name="LOJ" localSheetId="1">#REF!</definedName>
    <definedName name="LOJ" localSheetId="5">#REF!</definedName>
    <definedName name="LOJ" localSheetId="3">#REF!</definedName>
    <definedName name="LOJ" localSheetId="4">#REF!</definedName>
    <definedName name="LOJ">#REF!</definedName>
    <definedName name="MAR">'[4]1b.4.Sortino'!$K$3</definedName>
    <definedName name="MarketReturn">[7]RAPM_v1!$H$9</definedName>
    <definedName name="mitabla">[8]Ej13!$L$13:$O$22</definedName>
    <definedName name="movnom">[9]Portafolio!$L$2</definedName>
    <definedName name="movreal">[9]Portafolio!$L$3</definedName>
    <definedName name="n" localSheetId="1">#REF!</definedName>
    <definedName name="n" localSheetId="5">#REF!</definedName>
    <definedName name="n" localSheetId="3">#REF!</definedName>
    <definedName name="n" localSheetId="4">#REF!</definedName>
    <definedName name="n">#REF!</definedName>
    <definedName name="Nominal" localSheetId="1">#REF!</definedName>
    <definedName name="Nominal" localSheetId="5">#REF!</definedName>
    <definedName name="Nominal" localSheetId="3">#REF!</definedName>
    <definedName name="Nominal" localSheetId="4">#REF!</definedName>
    <definedName name="Nominal">#REF!</definedName>
    <definedName name="P_Entrada">[3]Carátula!$D$16</definedName>
    <definedName name="P_Stop">[3]Carátula!$D$17</definedName>
    <definedName name="Perdedoras">'[5]Drow Down'!$F$13</definedName>
    <definedName name="PF">'[10]FUTURO TEÓRICO'!$G$11</definedName>
    <definedName name="pmk">[11]Bull!$C$7</definedName>
    <definedName name="PortReturn">[7]RAPM_v1!$D$4</definedName>
    <definedName name="PortVolatility">[7]RAPM_v1!$D$5</definedName>
    <definedName name="Prima">[5]Opciones!$H$6</definedName>
    <definedName name="Prima2">[5]Opciones!$H$29</definedName>
    <definedName name="Prima3">[5]Opciones!$R$6</definedName>
    <definedName name="Prima4">[5]Opciones!$R$29</definedName>
    <definedName name="pzo">[11]Bull!$C$10</definedName>
    <definedName name="r_a">'[5]Intro Port'!$D$11</definedName>
    <definedName name="r_b">'[5]Intro Port'!$D$16</definedName>
    <definedName name="residual_risk" localSheetId="1">#REF!</definedName>
    <definedName name="residual_risk" localSheetId="5">#REF!</definedName>
    <definedName name="residual_risk" localSheetId="3">#REF!</definedName>
    <definedName name="residual_risk" localSheetId="4">#REF!</definedName>
    <definedName name="residual_risk">#REF!</definedName>
    <definedName name="Return__E_P">'[12]3.4 Amenc RAPM'!$D$10:$J$10</definedName>
    <definedName name="return_p">'[4]1b.4.Sortino'!$O$5</definedName>
    <definedName name="rf">'[5]Intro Port'!$D$8</definedName>
    <definedName name="rf_rate">[1]SML!$D$2</definedName>
    <definedName name="rho">'[4]1b.4.Sortino'!$O$6</definedName>
    <definedName name="rho_ab">'[5]Intro Port'!$D$21</definedName>
    <definedName name="Riesgo_Individual">[3]Carátula!$D$5</definedName>
    <definedName name="Riesgo_Total">[3]Carátula!$D$6</definedName>
    <definedName name="riskfree">'[4]1b.4.Sortino'!$K$2</definedName>
    <definedName name="riskfree_">'[4]1a.2.Stulz(HedgeIrrelev)'!$C$5</definedName>
    <definedName name="riskfree_rate">[7]RAPM_v1!$H$4</definedName>
    <definedName name="sigma" localSheetId="1">#REF!</definedName>
    <definedName name="sigma" localSheetId="5">#REF!</definedName>
    <definedName name="sigma" localSheetId="3">#REF!</definedName>
    <definedName name="sigma" localSheetId="4">#REF!</definedName>
    <definedName name="sigma">#REF!</definedName>
    <definedName name="sigma_a">'[5]Intro Port'!$D$12</definedName>
    <definedName name="sigma_b">'[5]Intro Port'!$D$17</definedName>
    <definedName name="significance" localSheetId="1">#REF!</definedName>
    <definedName name="significance" localSheetId="5">#REF!</definedName>
    <definedName name="significance" localSheetId="3">#REF!</definedName>
    <definedName name="significance" localSheetId="4">#REF!</definedName>
    <definedName name="significance">#REF!</definedName>
    <definedName name="solver_adj" localSheetId="7" hidden="1">'Volatilidad Implicita'!$C$9</definedName>
    <definedName name="solver_cvg" localSheetId="7" hidden="1">0.0001</definedName>
    <definedName name="solver_drv" localSheetId="7" hidden="1">1</definedName>
    <definedName name="solver_eng" localSheetId="7" hidden="1">1</definedName>
    <definedName name="solver_est" localSheetId="7" hidden="1">1</definedName>
    <definedName name="solver_itr" localSheetId="7" hidden="1">2147483647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0</definedName>
    <definedName name="solver_nwt" localSheetId="7" hidden="1">1</definedName>
    <definedName name="solver_opt" localSheetId="7" hidden="1">'Volatilidad Implicita'!$C$14</definedName>
    <definedName name="solver_pre" localSheetId="7" hidden="1">0.000001</definedName>
    <definedName name="solver_rbv" localSheetId="7" hidden="1">1</definedName>
    <definedName name="solver_rlx" localSheetId="7" hidden="1">2</definedName>
    <definedName name="solver_rsd" localSheetId="7" hidden="1">0</definedName>
    <definedName name="solver_scl" localSheetId="7" hidden="1">1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3</definedName>
    <definedName name="solver_val" localSheetId="7" hidden="1">19.02</definedName>
    <definedName name="solver_ver" localSheetId="7" hidden="1">3</definedName>
    <definedName name="ST" localSheetId="1">#REF!</definedName>
    <definedName name="ST" localSheetId="5">#REF!</definedName>
    <definedName name="ST" localSheetId="3">#REF!</definedName>
    <definedName name="ST" localSheetId="4">#REF!</definedName>
    <definedName name="ST">#REF!</definedName>
    <definedName name="step_">'[4]1a.2.Stulz(CDF)'!$C$9</definedName>
    <definedName name="stkp">[11]Bull!$C$8</definedName>
    <definedName name="STRANGL" localSheetId="1">#REF!</definedName>
    <definedName name="STRANGL" localSheetId="5">#REF!</definedName>
    <definedName name="STRANGL" localSheetId="3">#REF!</definedName>
    <definedName name="STRANGL" localSheetId="4">#REF!</definedName>
    <definedName name="STRANGL">#REF!</definedName>
    <definedName name="STRAP1" localSheetId="1">#REF!</definedName>
    <definedName name="STRAP1" localSheetId="5">#REF!</definedName>
    <definedName name="STRAP1" localSheetId="3">#REF!</definedName>
    <definedName name="STRAP1" localSheetId="4">#REF!</definedName>
    <definedName name="STRAP1">#REF!</definedName>
    <definedName name="STRAP2" localSheetId="1">#REF!</definedName>
    <definedName name="STRAP2" localSheetId="5">#REF!</definedName>
    <definedName name="STRAP2" localSheetId="3">#REF!</definedName>
    <definedName name="STRAP2" localSheetId="4">#REF!</definedName>
    <definedName name="STRAP2">#REF!</definedName>
    <definedName name="Strike">[5]Opciones!$G$6</definedName>
    <definedName name="Strike2">[5]Opciones!$G$29</definedName>
    <definedName name="Strike3">[5]Opciones!$Q$6</definedName>
    <definedName name="Strike4">[5]Opciones!$Q$29</definedName>
    <definedName name="STRIP" localSheetId="1">#REF!</definedName>
    <definedName name="STRIP" localSheetId="5">#REF!</definedName>
    <definedName name="STRIP" localSheetId="3">#REF!</definedName>
    <definedName name="STRIP" localSheetId="4">#REF!</definedName>
    <definedName name="STRIP">#REF!</definedName>
    <definedName name="STRIP2" localSheetId="1">#REF!</definedName>
    <definedName name="STRIP2" localSheetId="5">#REF!</definedName>
    <definedName name="STRIP2" localSheetId="3">#REF!</definedName>
    <definedName name="STRIP2" localSheetId="4">#REF!</definedName>
    <definedName name="STRIP2">#REF!</definedName>
    <definedName name="swap_compute_handler" localSheetId="1">BS!swap_compute_handler</definedName>
    <definedName name="swap_compute_handler" localSheetId="5">BS_76!swap_compute_handler</definedName>
    <definedName name="swap_compute_handler" localSheetId="3">BS_Div!swap_compute_handler</definedName>
    <definedName name="swap_compute_handler" localSheetId="4">BS_FX!swap_compute_handler</definedName>
    <definedName name="swap_compute_handler" localSheetId="6">Conclusiones!swap_compute_handler</definedName>
    <definedName name="swap_compute_handler">[0]!swap_compute_handler</definedName>
    <definedName name="swap_graph_handler" localSheetId="1">BS!swap_graph_handler</definedName>
    <definedName name="swap_graph_handler" localSheetId="5">BS_76!swap_graph_handler</definedName>
    <definedName name="swap_graph_handler" localSheetId="3">BS_Div!swap_graph_handler</definedName>
    <definedName name="swap_graph_handler" localSheetId="4">BS_FX!swap_graph_handler</definedName>
    <definedName name="swap_graph_handler" localSheetId="6">Conclusiones!swap_graph_handler</definedName>
    <definedName name="swap_graph_handler">[0]!swap_graph_handler</definedName>
    <definedName name="swap_graph_input_formatter" localSheetId="1">BS!swap_graph_input_formatter</definedName>
    <definedName name="swap_graph_input_formatter" localSheetId="5">BS_76!swap_graph_input_formatter</definedName>
    <definedName name="swap_graph_input_formatter" localSheetId="3">BS_Div!swap_graph_input_formatter</definedName>
    <definedName name="swap_graph_input_formatter" localSheetId="4">BS_FX!swap_graph_input_formatter</definedName>
    <definedName name="swap_graph_input_formatter" localSheetId="6">Conclusiones!swap_graph_input_formatter</definedName>
    <definedName name="swap_graph_input_formatter">[0]!swap_graph_input_formatter</definedName>
    <definedName name="T">[7]RAPM_v1!$D$8</definedName>
    <definedName name="tablatipos">[8]Ej6!$L$13:$O$22</definedName>
    <definedName name="tablax">[8]Ej10!$L$5:$O$14</definedName>
    <definedName name="TE">[7]RAPM_v1!$D$7</definedName>
    <definedName name="tf">[11]Bull!$C$12</definedName>
    <definedName name="ti">[11]Bull!$C$9</definedName>
    <definedName name="VAR" localSheetId="1">#REF!</definedName>
    <definedName name="VAR" localSheetId="5">#REF!</definedName>
    <definedName name="VAR" localSheetId="3">#REF!</definedName>
    <definedName name="VAR" localSheetId="4">#REF!</definedName>
    <definedName name="VAR">#REF!</definedName>
    <definedName name="vol">[11]Bull!$C$11</definedName>
    <definedName name="vol_b">'[4]1b.4.Sortino'!$P$4</definedName>
    <definedName name="vol_p">'[4]1b.4.Sortino'!$P$5</definedName>
    <definedName name="VOLATILIDAD">'[13]Volatilidad H'!$H$12:$H$111</definedName>
    <definedName name="window" localSheetId="1">#REF!</definedName>
    <definedName name="window" localSheetId="5">#REF!</definedName>
    <definedName name="window" localSheetId="3">#REF!</definedName>
    <definedName name="window" localSheetId="4">#REF!</definedName>
    <definedName name="window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8" i="11" l="1"/>
  <c r="C14" i="11" a="1"/>
  <c r="C14" i="11" l="1"/>
  <c r="C13" i="11"/>
  <c r="C11" i="3"/>
  <c r="E7" i="6"/>
  <c r="E8" i="6" s="1"/>
  <c r="E9" i="6" s="1"/>
  <c r="E10" i="6" s="1"/>
  <c r="E11" i="6" s="1"/>
  <c r="E12" i="6" s="1"/>
  <c r="E13" i="6" s="1"/>
  <c r="E14" i="6" s="1"/>
  <c r="E15" i="6" s="1"/>
  <c r="E16" i="6" s="1"/>
  <c r="E17" i="6" s="1"/>
  <c r="E18" i="6" s="1"/>
  <c r="E19" i="6" s="1"/>
  <c r="E20" i="6" s="1"/>
  <c r="E21" i="6" s="1"/>
  <c r="E22" i="6" s="1"/>
  <c r="E23" i="6" s="1"/>
  <c r="E24" i="6" s="1"/>
  <c r="E25" i="6" s="1"/>
  <c r="E26" i="6" s="1"/>
  <c r="E7" i="5"/>
  <c r="E8" i="5" s="1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E24" i="5" s="1"/>
  <c r="E25" i="5" s="1"/>
  <c r="E26" i="5" s="1"/>
  <c r="E7" i="4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19" i="4" s="1"/>
  <c r="E20" i="4" s="1"/>
  <c r="E21" i="4" s="1"/>
  <c r="E22" i="4" s="1"/>
  <c r="E23" i="4" s="1"/>
  <c r="E24" i="4" s="1"/>
  <c r="E25" i="4" s="1"/>
  <c r="E26" i="4" s="1"/>
  <c r="E7" i="3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F6" i="3" a="1"/>
  <c r="L9" i="3" a="1"/>
  <c r="L13" i="3" a="1"/>
  <c r="L17" i="3" a="1"/>
  <c r="L21" i="3" a="1"/>
  <c r="L25" i="3" a="1"/>
  <c r="M8" i="3" a="1"/>
  <c r="M12" i="3" a="1"/>
  <c r="M16" i="3" a="1"/>
  <c r="S20" i="3" a="1"/>
  <c r="S24" i="3" a="1"/>
  <c r="I9" i="3" a="1"/>
  <c r="I13" i="3" a="1"/>
  <c r="J8" i="3" a="1"/>
  <c r="J12" i="3" a="1"/>
  <c r="J16" i="3" a="1"/>
  <c r="W7" i="3" a="1"/>
  <c r="W11" i="3" a="1"/>
  <c r="W15" i="3" a="1"/>
  <c r="W19" i="3" a="1"/>
  <c r="W23" i="3" a="1"/>
  <c r="N11" i="3" a="1"/>
  <c r="V22" i="3" a="1"/>
  <c r="T21" i="3" a="1"/>
  <c r="N26" i="3" a="1"/>
  <c r="T8" i="3" a="1"/>
  <c r="U25" i="3" a="1"/>
  <c r="J25" i="3" a="1"/>
  <c r="H14" i="3" a="1"/>
  <c r="H22" i="3" a="1"/>
  <c r="U20" i="3" a="1"/>
  <c r="K6" i="3" a="1"/>
  <c r="R13" i="3" a="1"/>
  <c r="S16" i="3" a="1"/>
  <c r="M25" i="3" a="1"/>
  <c r="O9" i="3" a="1"/>
  <c r="O13" i="3" a="1"/>
  <c r="K8" i="3" a="1"/>
  <c r="K24" i="3" a="1"/>
  <c r="V25" i="3" a="1"/>
  <c r="Q9" i="3" a="1"/>
  <c r="P20" i="3" a="1"/>
  <c r="R9" i="3" a="1"/>
  <c r="F10" i="3" a="1"/>
  <c r="F14" i="3" a="1"/>
  <c r="F18" i="3" a="1"/>
  <c r="F22" i="3" a="1"/>
  <c r="F26" i="3" a="1"/>
  <c r="G9" i="3" a="1"/>
  <c r="G13" i="3" a="1"/>
  <c r="G17" i="3" a="1"/>
  <c r="M21" i="3" a="1"/>
  <c r="S25" i="3" a="1"/>
  <c r="U9" i="3" a="1"/>
  <c r="U13" i="3" a="1"/>
  <c r="V8" i="3" a="1"/>
  <c r="V12" i="3" a="1"/>
  <c r="V16" i="3" a="1"/>
  <c r="Q8" i="3" a="1"/>
  <c r="Q12" i="3" a="1"/>
  <c r="Q16" i="3" a="1"/>
  <c r="Q20" i="3" a="1"/>
  <c r="Q24" i="3" a="1"/>
  <c r="N13" i="3" a="1"/>
  <c r="J24" i="3" a="1"/>
  <c r="T25" i="3" a="1"/>
  <c r="N8" i="3" a="1"/>
  <c r="H19" i="3" a="1"/>
  <c r="T16" i="3" a="1"/>
  <c r="P26" i="3" a="1"/>
  <c r="H16" i="3" a="1"/>
  <c r="N23" i="3" a="1"/>
  <c r="O25" i="3" a="1"/>
  <c r="L6" i="3" a="1"/>
  <c r="T24" i="3" a="1"/>
  <c r="G6" i="3" a="1"/>
  <c r="F15" i="3" a="1"/>
  <c r="F23" i="3" a="1"/>
  <c r="G10" i="3" a="1"/>
  <c r="G18" i="3" a="1"/>
  <c r="U10" i="3" a="1"/>
  <c r="V9" i="3" a="1"/>
  <c r="Q25" i="3" a="1"/>
  <c r="M6" i="3" a="1"/>
  <c r="L10" i="3" a="1"/>
  <c r="L14" i="3" a="1"/>
  <c r="L18" i="3" a="1"/>
  <c r="L22" i="3" a="1"/>
  <c r="L26" i="3" a="1"/>
  <c r="M9" i="3" a="1"/>
  <c r="M13" i="3" a="1"/>
  <c r="M17" i="3" a="1"/>
  <c r="S21" i="3" a="1"/>
  <c r="G26" i="3" a="1"/>
  <c r="I10" i="3" a="1"/>
  <c r="I14" i="3" a="1"/>
  <c r="J9" i="3" a="1"/>
  <c r="J13" i="3" a="1"/>
  <c r="J17" i="3" a="1"/>
  <c r="W8" i="3" a="1"/>
  <c r="W12" i="3" a="1"/>
  <c r="W16" i="3" a="1"/>
  <c r="W20" i="3" a="1"/>
  <c r="W24" i="3" a="1"/>
  <c r="N14" i="3" a="1"/>
  <c r="V24" i="3" a="1"/>
  <c r="U22" i="3" a="1"/>
  <c r="O16" i="3" a="1"/>
  <c r="U19" i="3" a="1"/>
  <c r="I19" i="3" a="1"/>
  <c r="U24" i="3" a="1"/>
  <c r="O18" i="3" a="1"/>
  <c r="H24" i="3" a="1"/>
  <c r="I26" i="3" a="1"/>
  <c r="R6" i="3" a="1"/>
  <c r="U26" i="3" a="1"/>
  <c r="F11" i="3" a="1"/>
  <c r="M19" i="3" a="1"/>
  <c r="G14" i="3" a="1"/>
  <c r="H7" i="3" a="1"/>
  <c r="U14" i="3" a="1"/>
  <c r="U18" i="3" a="1"/>
  <c r="R10" i="3" a="1"/>
  <c r="R14" i="3" a="1"/>
  <c r="R18" i="3" a="1"/>
  <c r="R22" i="3" a="1"/>
  <c r="R26" i="3" a="1"/>
  <c r="S9" i="3" a="1"/>
  <c r="S13" i="3" a="1"/>
  <c r="S17" i="3" a="1"/>
  <c r="G22" i="3" a="1"/>
  <c r="M26" i="3" a="1"/>
  <c r="O10" i="3" a="1"/>
  <c r="O14" i="3" a="1"/>
  <c r="P9" i="3" a="1"/>
  <c r="P13" i="3" a="1"/>
  <c r="P17" i="3" a="1"/>
  <c r="K9" i="3" a="1"/>
  <c r="K13" i="3" a="1"/>
  <c r="K17" i="3" a="1"/>
  <c r="K21" i="3" a="1"/>
  <c r="K25" i="3" a="1"/>
  <c r="N15" i="3" a="1"/>
  <c r="P25" i="3" a="1"/>
  <c r="N16" i="3" a="1"/>
  <c r="H18" i="3" a="1"/>
  <c r="O20" i="3" a="1"/>
  <c r="V19" i="3" a="1"/>
  <c r="U16" i="3" a="1"/>
  <c r="I16" i="3" a="1"/>
  <c r="F19" i="3" a="1"/>
  <c r="M22" i="3" a="1"/>
  <c r="V13" i="3" a="1"/>
  <c r="I21" i="3" a="1"/>
  <c r="F7" i="3" a="1"/>
  <c r="L7" i="3" a="1"/>
  <c r="L11" i="3" a="1"/>
  <c r="L15" i="3" a="1"/>
  <c r="L19" i="3" a="1"/>
  <c r="L23" i="3" a="1"/>
  <c r="G25" i="3" a="1"/>
  <c r="M10" i="3" a="1"/>
  <c r="M14" i="3" a="1"/>
  <c r="M18" i="3" a="1"/>
  <c r="S22" i="3" a="1"/>
  <c r="I7" i="3" a="1"/>
  <c r="I11" i="3" a="1"/>
  <c r="I15" i="3" a="1"/>
  <c r="J10" i="3" a="1"/>
  <c r="J14" i="3" a="1"/>
  <c r="J18" i="3" a="1"/>
  <c r="W9" i="3" a="1"/>
  <c r="W13" i="3" a="1"/>
  <c r="W17" i="3" a="1"/>
  <c r="W21" i="3" a="1"/>
  <c r="W25" i="3" a="1"/>
  <c r="T18" i="3" a="1"/>
  <c r="V26" i="3" a="1"/>
  <c r="N7" i="3" a="1"/>
  <c r="T13" i="3" a="1"/>
  <c r="U21" i="3" a="1"/>
  <c r="J21" i="3" a="1"/>
  <c r="T7" i="3" a="1"/>
  <c r="I24" i="3" a="1"/>
  <c r="H26" i="3" a="1"/>
  <c r="H6" i="3" a="1"/>
  <c r="S6" i="3" a="1"/>
  <c r="J6" i="3" a="1"/>
  <c r="S12" i="3" a="1"/>
  <c r="K12" i="3" a="1"/>
  <c r="O17" i="3" a="1"/>
  <c r="Q6" i="3" a="1"/>
  <c r="I17" i="3" a="1"/>
  <c r="P6" i="3" a="1"/>
  <c r="R7" i="3" a="1"/>
  <c r="R11" i="3" a="1"/>
  <c r="R15" i="3" a="1"/>
  <c r="R19" i="3" a="1"/>
  <c r="R23" i="3" a="1"/>
  <c r="S26" i="3" a="1"/>
  <c r="S10" i="3" a="1"/>
  <c r="S14" i="3" a="1"/>
  <c r="S18" i="3" a="1"/>
  <c r="G23" i="3" a="1"/>
  <c r="O7" i="3" a="1"/>
  <c r="O11" i="3" a="1"/>
  <c r="O15" i="3" a="1"/>
  <c r="P10" i="3" a="1"/>
  <c r="P14" i="3" a="1"/>
  <c r="P18" i="3" a="1"/>
  <c r="K10" i="3" a="1"/>
  <c r="K14" i="3" a="1"/>
  <c r="K18" i="3" a="1"/>
  <c r="K22" i="3" a="1"/>
  <c r="K26" i="3" a="1"/>
  <c r="P19" i="3" a="1"/>
  <c r="I18" i="3" a="1"/>
  <c r="T12" i="3" a="1"/>
  <c r="N17" i="3" a="1"/>
  <c r="O22" i="3" a="1"/>
  <c r="V21" i="3" a="1"/>
  <c r="H9" i="3" a="1"/>
  <c r="U17" i="3" a="1"/>
  <c r="T26" i="3" a="1"/>
  <c r="N6" i="3" a="1"/>
  <c r="U6" i="3" a="1"/>
  <c r="P24" i="3" a="1"/>
  <c r="S8" i="3" a="1"/>
  <c r="P8" i="3" a="1"/>
  <c r="K20" i="3" a="1"/>
  <c r="O26" i="3" a="1"/>
  <c r="V17" i="3" a="1"/>
  <c r="T10" i="3" a="1"/>
  <c r="F8" i="3" a="1"/>
  <c r="F12" i="3" a="1"/>
  <c r="F16" i="3" a="1"/>
  <c r="F20" i="3" a="1"/>
  <c r="F24" i="3" a="1"/>
  <c r="G7" i="3" a="1"/>
  <c r="G11" i="3" a="1"/>
  <c r="G15" i="3" a="1"/>
  <c r="G19" i="3" a="1"/>
  <c r="M23" i="3" a="1"/>
  <c r="U7" i="3" a="1"/>
  <c r="U11" i="3" a="1"/>
  <c r="U15" i="3" a="1"/>
  <c r="V10" i="3" a="1"/>
  <c r="V14" i="3" a="1"/>
  <c r="V18" i="3" a="1"/>
  <c r="Q10" i="3" a="1"/>
  <c r="Q14" i="3" a="1"/>
  <c r="Q18" i="3" a="1"/>
  <c r="Q22" i="3" a="1"/>
  <c r="Q26" i="3" a="1"/>
  <c r="J20" i="3" a="1"/>
  <c r="T9" i="3" a="1"/>
  <c r="T15" i="3" a="1"/>
  <c r="H21" i="3" a="1"/>
  <c r="I23" i="3" a="1"/>
  <c r="P22" i="3" a="1"/>
  <c r="H10" i="3" a="1"/>
  <c r="N19" i="3" a="1"/>
  <c r="H8" i="3" a="1"/>
  <c r="T6" i="3" a="1"/>
  <c r="V6" i="3" a="1"/>
  <c r="I20" i="3" a="1"/>
  <c r="R21" i="3" a="1"/>
  <c r="K16" i="3" a="1"/>
  <c r="O21" i="3" a="1"/>
  <c r="O23" i="3" a="1"/>
  <c r="Q17" i="3" a="1"/>
  <c r="N25" i="3" a="1"/>
  <c r="L8" i="3" a="1"/>
  <c r="L12" i="3" a="1"/>
  <c r="L16" i="3" a="1"/>
  <c r="L20" i="3" a="1"/>
  <c r="L24" i="3" a="1"/>
  <c r="M7" i="3" a="1"/>
  <c r="M11" i="3" a="1"/>
  <c r="M15" i="3" a="1"/>
  <c r="S19" i="3" a="1"/>
  <c r="S23" i="3" a="1"/>
  <c r="I8" i="3" a="1"/>
  <c r="I12" i="3" a="1"/>
  <c r="J7" i="3" a="1"/>
  <c r="J11" i="3" a="1"/>
  <c r="J15" i="3" a="1"/>
  <c r="J19" i="3" a="1"/>
  <c r="W10" i="3" a="1"/>
  <c r="W14" i="3" a="1"/>
  <c r="W18" i="3" a="1"/>
  <c r="W22" i="3" a="1"/>
  <c r="W26" i="3" a="1"/>
  <c r="V20" i="3" a="1"/>
  <c r="T11" i="3" a="1"/>
  <c r="N20" i="3" a="1"/>
  <c r="H23" i="3" a="1"/>
  <c r="U23" i="3" a="1"/>
  <c r="J23" i="3" a="1"/>
  <c r="H11" i="3" a="1"/>
  <c r="H20" i="3" a="1"/>
  <c r="H17" i="3" a="1"/>
  <c r="I6" i="3" a="1"/>
  <c r="W6" i="3" a="1"/>
  <c r="N21" i="3" a="1"/>
  <c r="R17" i="3" a="1"/>
  <c r="P12" i="3" a="1"/>
  <c r="N12" i="3" a="1"/>
  <c r="H15" i="3" a="1"/>
  <c r="Q21" i="3" a="1"/>
  <c r="T17" i="3" a="1"/>
  <c r="R8" i="3" a="1"/>
  <c r="R12" i="3" a="1"/>
  <c r="R16" i="3" a="1"/>
  <c r="R20" i="3" a="1"/>
  <c r="R24" i="3" a="1"/>
  <c r="S7" i="3" a="1"/>
  <c r="S11" i="3" a="1"/>
  <c r="S15" i="3" a="1"/>
  <c r="G20" i="3" a="1"/>
  <c r="G24" i="3" a="1"/>
  <c r="O8" i="3" a="1"/>
  <c r="O12" i="3" a="1"/>
  <c r="P7" i="3" a="1"/>
  <c r="P11" i="3" a="1"/>
  <c r="P15" i="3" a="1"/>
  <c r="K7" i="3" a="1"/>
  <c r="K11" i="3" a="1"/>
  <c r="K15" i="3" a="1"/>
  <c r="K19" i="3" a="1"/>
  <c r="K23" i="3" a="1"/>
  <c r="N9" i="3" a="1"/>
  <c r="P21" i="3" a="1"/>
  <c r="T14" i="3" a="1"/>
  <c r="N22" i="3" a="1"/>
  <c r="H25" i="3" a="1"/>
  <c r="O24" i="3" a="1"/>
  <c r="V23" i="3" a="1"/>
  <c r="H12" i="3" a="1"/>
  <c r="T20" i="3" a="1"/>
  <c r="O19" i="3" a="1"/>
  <c r="O6" i="3" a="1"/>
  <c r="H13" i="3" a="1"/>
  <c r="R25" i="3" a="1"/>
  <c r="P16" i="3" a="1"/>
  <c r="P23" i="3" a="1"/>
  <c r="T22" i="3" a="1"/>
  <c r="Q13" i="3" a="1"/>
  <c r="N18" i="3" a="1"/>
  <c r="F9" i="3" a="1"/>
  <c r="F13" i="3" a="1"/>
  <c r="F17" i="3" a="1"/>
  <c r="F21" i="3" a="1"/>
  <c r="F25" i="3" a="1"/>
  <c r="G8" i="3" a="1"/>
  <c r="G12" i="3" a="1"/>
  <c r="G16" i="3" a="1"/>
  <c r="M20" i="3" a="1"/>
  <c r="M24" i="3" a="1"/>
  <c r="U8" i="3" a="1"/>
  <c r="U12" i="3" a="1"/>
  <c r="V7" i="3" a="1"/>
  <c r="V11" i="3" a="1"/>
  <c r="V15" i="3" a="1"/>
  <c r="Q7" i="3" a="1"/>
  <c r="Q11" i="3" a="1"/>
  <c r="Q15" i="3" a="1"/>
  <c r="Q19" i="3" a="1"/>
  <c r="Q23" i="3" a="1"/>
  <c r="N10" i="3" a="1"/>
  <c r="J22" i="3" a="1"/>
  <c r="T19" i="3" a="1"/>
  <c r="N24" i="3" a="1"/>
  <c r="I22" i="3" a="1"/>
  <c r="I25" i="3" a="1"/>
  <c r="G21" i="3" a="1"/>
  <c r="T23" i="3" a="1"/>
  <c r="J26" i="3" a="1"/>
  <c r="F6" i="3" l="1"/>
  <c r="U26" i="3"/>
  <c r="I26" i="3"/>
  <c r="O25" i="3"/>
  <c r="O23" i="3"/>
  <c r="U20" i="3"/>
  <c r="I20" i="3"/>
  <c r="O19" i="3"/>
  <c r="H17" i="3"/>
  <c r="H8" i="3"/>
  <c r="T26" i="3"/>
  <c r="H26" i="3"/>
  <c r="N25" i="3"/>
  <c r="T24" i="3"/>
  <c r="H24" i="3"/>
  <c r="N23" i="3"/>
  <c r="T22" i="3"/>
  <c r="H22" i="3"/>
  <c r="N21" i="3"/>
  <c r="T20" i="3"/>
  <c r="H20" i="3"/>
  <c r="N19" i="3"/>
  <c r="U17" i="3"/>
  <c r="I24" i="3"/>
  <c r="T17" i="3"/>
  <c r="I16" i="3"/>
  <c r="O18" i="3"/>
  <c r="H16" i="3"/>
  <c r="H15" i="3"/>
  <c r="H14" i="3"/>
  <c r="H13" i="3"/>
  <c r="H12" i="3"/>
  <c r="H11" i="3"/>
  <c r="H10" i="3"/>
  <c r="H9" i="3"/>
  <c r="T7" i="3"/>
  <c r="N18" i="3"/>
  <c r="U16" i="3"/>
  <c r="U24" i="3"/>
  <c r="P26" i="3"/>
  <c r="V25" i="3"/>
  <c r="J25" i="3"/>
  <c r="P24" i="3"/>
  <c r="V23" i="3"/>
  <c r="J23" i="3"/>
  <c r="P22" i="3"/>
  <c r="V21" i="3"/>
  <c r="J21" i="3"/>
  <c r="P20" i="3"/>
  <c r="V19" i="3"/>
  <c r="I19" i="3"/>
  <c r="T16" i="3"/>
  <c r="O26" i="3"/>
  <c r="U25" i="3"/>
  <c r="I25" i="3"/>
  <c r="O24" i="3"/>
  <c r="U23" i="3"/>
  <c r="I23" i="3"/>
  <c r="O22" i="3"/>
  <c r="U21" i="3"/>
  <c r="I21" i="3"/>
  <c r="O20" i="3"/>
  <c r="U19" i="3"/>
  <c r="H19" i="3"/>
  <c r="O17" i="3"/>
  <c r="T8" i="3"/>
  <c r="I22" i="3"/>
  <c r="H25" i="3"/>
  <c r="H23" i="3"/>
  <c r="H21" i="3"/>
  <c r="N17" i="3"/>
  <c r="T13" i="3"/>
  <c r="T10" i="3"/>
  <c r="H18" i="3"/>
  <c r="O16" i="3"/>
  <c r="N8" i="3"/>
  <c r="O21" i="3"/>
  <c r="N26" i="3"/>
  <c r="N24" i="3"/>
  <c r="N22" i="3"/>
  <c r="N20" i="3"/>
  <c r="T15" i="3"/>
  <c r="T12" i="3"/>
  <c r="N7" i="3"/>
  <c r="U18" i="3"/>
  <c r="N16" i="3"/>
  <c r="U22" i="3"/>
  <c r="T25" i="3"/>
  <c r="T23" i="3"/>
  <c r="T21" i="3"/>
  <c r="T19" i="3"/>
  <c r="T14" i="3"/>
  <c r="T11" i="3"/>
  <c r="T9" i="3"/>
  <c r="I18" i="3"/>
  <c r="V26" i="3"/>
  <c r="J26" i="3"/>
  <c r="P25" i="3"/>
  <c r="V24" i="3"/>
  <c r="J24" i="3"/>
  <c r="P23" i="3"/>
  <c r="V22" i="3"/>
  <c r="J22" i="3"/>
  <c r="P21" i="3"/>
  <c r="V20" i="3"/>
  <c r="J20" i="3"/>
  <c r="P19" i="3"/>
  <c r="T18" i="3"/>
  <c r="I17" i="3"/>
  <c r="N15" i="3"/>
  <c r="N14" i="3"/>
  <c r="N13" i="3"/>
  <c r="N12" i="3"/>
  <c r="N11" i="3"/>
  <c r="N10" i="3"/>
  <c r="N9" i="3"/>
  <c r="W26" i="3"/>
  <c r="Q26" i="3"/>
  <c r="K26" i="3"/>
  <c r="W25" i="3"/>
  <c r="Q25" i="3"/>
  <c r="K25" i="3"/>
  <c r="W24" i="3"/>
  <c r="Q24" i="3"/>
  <c r="K24" i="3"/>
  <c r="W23" i="3"/>
  <c r="Q23" i="3"/>
  <c r="K23" i="3"/>
  <c r="W22" i="3"/>
  <c r="Q22" i="3"/>
  <c r="K22" i="3"/>
  <c r="W21" i="3"/>
  <c r="Q21" i="3"/>
  <c r="K21" i="3"/>
  <c r="W20" i="3"/>
  <c r="Q20" i="3"/>
  <c r="K20" i="3"/>
  <c r="W19" i="3"/>
  <c r="Q19" i="3"/>
  <c r="K19" i="3"/>
  <c r="W18" i="3"/>
  <c r="Q18" i="3"/>
  <c r="K18" i="3"/>
  <c r="W17" i="3"/>
  <c r="Q17" i="3"/>
  <c r="K17" i="3"/>
  <c r="W16" i="3"/>
  <c r="Q16" i="3"/>
  <c r="K16" i="3"/>
  <c r="W15" i="3"/>
  <c r="Q15" i="3"/>
  <c r="K15" i="3"/>
  <c r="W14" i="3"/>
  <c r="Q14" i="3"/>
  <c r="K14" i="3"/>
  <c r="W13" i="3"/>
  <c r="Q13" i="3"/>
  <c r="K13" i="3"/>
  <c r="W12" i="3"/>
  <c r="Q12" i="3"/>
  <c r="K12" i="3"/>
  <c r="W11" i="3"/>
  <c r="Q11" i="3"/>
  <c r="K11" i="3"/>
  <c r="W10" i="3"/>
  <c r="Q10" i="3"/>
  <c r="K10" i="3"/>
  <c r="W9" i="3"/>
  <c r="Q9" i="3"/>
  <c r="K9" i="3"/>
  <c r="W8" i="3"/>
  <c r="Q8" i="3"/>
  <c r="K8" i="3"/>
  <c r="W7" i="3"/>
  <c r="Q7" i="3"/>
  <c r="K7" i="3"/>
  <c r="J19" i="3"/>
  <c r="V18" i="3"/>
  <c r="P18" i="3"/>
  <c r="J18" i="3"/>
  <c r="V17" i="3"/>
  <c r="P17" i="3"/>
  <c r="J17" i="3"/>
  <c r="V16" i="3"/>
  <c r="P16" i="3"/>
  <c r="J16" i="3"/>
  <c r="V15" i="3"/>
  <c r="P15" i="3"/>
  <c r="J15" i="3"/>
  <c r="V14" i="3"/>
  <c r="P14" i="3"/>
  <c r="J14" i="3"/>
  <c r="V13" i="3"/>
  <c r="P13" i="3"/>
  <c r="J13" i="3"/>
  <c r="V12" i="3"/>
  <c r="P12" i="3"/>
  <c r="J12" i="3"/>
  <c r="V11" i="3"/>
  <c r="P11" i="3"/>
  <c r="J11" i="3"/>
  <c r="V10" i="3"/>
  <c r="P10" i="3"/>
  <c r="J10" i="3"/>
  <c r="V9" i="3"/>
  <c r="P9" i="3"/>
  <c r="J9" i="3"/>
  <c r="V8" i="3"/>
  <c r="P8" i="3"/>
  <c r="J8" i="3"/>
  <c r="V7" i="3"/>
  <c r="P7" i="3"/>
  <c r="J7" i="3"/>
  <c r="U15" i="3"/>
  <c r="O15" i="3"/>
  <c r="I15" i="3"/>
  <c r="U14" i="3"/>
  <c r="O14" i="3"/>
  <c r="I14" i="3"/>
  <c r="U13" i="3"/>
  <c r="O13" i="3"/>
  <c r="I13" i="3"/>
  <c r="U12" i="3"/>
  <c r="O12" i="3"/>
  <c r="I12" i="3"/>
  <c r="U11" i="3"/>
  <c r="O11" i="3"/>
  <c r="I11" i="3"/>
  <c r="U10" i="3"/>
  <c r="O10" i="3"/>
  <c r="I10" i="3"/>
  <c r="U9" i="3"/>
  <c r="O9" i="3"/>
  <c r="I9" i="3"/>
  <c r="U8" i="3"/>
  <c r="O8" i="3"/>
  <c r="I8" i="3"/>
  <c r="U7" i="3"/>
  <c r="O7" i="3"/>
  <c r="I7" i="3"/>
  <c r="H7" i="3"/>
  <c r="M26" i="3"/>
  <c r="G26" i="3"/>
  <c r="S25" i="3"/>
  <c r="M25" i="3"/>
  <c r="S24" i="3"/>
  <c r="M24" i="3"/>
  <c r="G24" i="3"/>
  <c r="S23" i="3"/>
  <c r="M23" i="3"/>
  <c r="G23" i="3"/>
  <c r="S22" i="3"/>
  <c r="M22" i="3"/>
  <c r="G22" i="3"/>
  <c r="S21" i="3"/>
  <c r="M21" i="3"/>
  <c r="G21" i="3"/>
  <c r="S20" i="3"/>
  <c r="M20" i="3"/>
  <c r="G20" i="3"/>
  <c r="S19" i="3"/>
  <c r="G19" i="3"/>
  <c r="S18" i="3"/>
  <c r="M18" i="3"/>
  <c r="G18" i="3"/>
  <c r="S17" i="3"/>
  <c r="M17" i="3"/>
  <c r="G17" i="3"/>
  <c r="S16" i="3"/>
  <c r="M16" i="3"/>
  <c r="G16" i="3"/>
  <c r="S15" i="3"/>
  <c r="M15" i="3"/>
  <c r="G15" i="3"/>
  <c r="S14" i="3"/>
  <c r="M14" i="3"/>
  <c r="G14" i="3"/>
  <c r="S13" i="3"/>
  <c r="M13" i="3"/>
  <c r="G13" i="3"/>
  <c r="S12" i="3"/>
  <c r="M12" i="3"/>
  <c r="G12" i="3"/>
  <c r="S11" i="3"/>
  <c r="M11" i="3"/>
  <c r="G11" i="3"/>
  <c r="S10" i="3"/>
  <c r="M10" i="3"/>
  <c r="G10" i="3"/>
  <c r="S9" i="3"/>
  <c r="M9" i="3"/>
  <c r="G9" i="3"/>
  <c r="S8" i="3"/>
  <c r="M8" i="3"/>
  <c r="G8" i="3"/>
  <c r="S7" i="3"/>
  <c r="M7" i="3"/>
  <c r="G7" i="3"/>
  <c r="S26" i="3"/>
  <c r="G25" i="3"/>
  <c r="M19" i="3"/>
  <c r="R26" i="3"/>
  <c r="L26" i="3"/>
  <c r="F26" i="3"/>
  <c r="R25" i="3"/>
  <c r="L25" i="3"/>
  <c r="F25" i="3"/>
  <c r="R24" i="3"/>
  <c r="L24" i="3"/>
  <c r="F24" i="3"/>
  <c r="R23" i="3"/>
  <c r="L23" i="3"/>
  <c r="F23" i="3"/>
  <c r="R22" i="3"/>
  <c r="L22" i="3"/>
  <c r="F22" i="3"/>
  <c r="R21" i="3"/>
  <c r="L21" i="3"/>
  <c r="F21" i="3"/>
  <c r="R20" i="3"/>
  <c r="L20" i="3"/>
  <c r="F20" i="3"/>
  <c r="R19" i="3"/>
  <c r="L19" i="3"/>
  <c r="F19" i="3"/>
  <c r="R18" i="3"/>
  <c r="L18" i="3"/>
  <c r="F18" i="3"/>
  <c r="R17" i="3"/>
  <c r="L17" i="3"/>
  <c r="F17" i="3"/>
  <c r="R16" i="3"/>
  <c r="L16" i="3"/>
  <c r="F16" i="3"/>
  <c r="R15" i="3"/>
  <c r="L15" i="3"/>
  <c r="F15" i="3"/>
  <c r="R14" i="3"/>
  <c r="L14" i="3"/>
  <c r="F14" i="3"/>
  <c r="R13" i="3"/>
  <c r="L13" i="3"/>
  <c r="F13" i="3"/>
  <c r="R12" i="3"/>
  <c r="L12" i="3"/>
  <c r="F12" i="3"/>
  <c r="R11" i="3"/>
  <c r="L11" i="3"/>
  <c r="F11" i="3"/>
  <c r="R10" i="3"/>
  <c r="L10" i="3"/>
  <c r="F10" i="3"/>
  <c r="R9" i="3"/>
  <c r="L9" i="3"/>
  <c r="F9" i="3"/>
  <c r="R8" i="3"/>
  <c r="L8" i="3"/>
  <c r="F8" i="3"/>
  <c r="R7" i="3"/>
  <c r="L7" i="3"/>
  <c r="F7" i="3"/>
  <c r="W6" i="3"/>
  <c r="V6" i="3"/>
  <c r="U6" i="3"/>
  <c r="S6" i="3"/>
  <c r="M6" i="3"/>
  <c r="G6" i="3"/>
  <c r="R6" i="3"/>
  <c r="L6" i="3"/>
  <c r="Q6" i="3"/>
  <c r="K6" i="3"/>
  <c r="J6" i="3"/>
  <c r="O6" i="3"/>
  <c r="I6" i="3"/>
  <c r="T6" i="3"/>
  <c r="N6" i="3"/>
  <c r="H6" i="3"/>
  <c r="P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<sst xmlns="http://schemas.openxmlformats.org/spreadsheetml/2006/main" count="121" uniqueCount="66">
  <si>
    <t xml:space="preserve"> </t>
  </si>
  <si>
    <t>Aplicación</t>
  </si>
  <si>
    <t>Precios de Opciones</t>
  </si>
  <si>
    <t>Descripción</t>
  </si>
  <si>
    <t>Ponente</t>
  </si>
  <si>
    <t>Jorge Luis Reyes García</t>
  </si>
  <si>
    <t>jorgeluis.reyes@ciencias.unam.mx</t>
  </si>
  <si>
    <t>Conclusiones</t>
  </si>
  <si>
    <t>Precio So</t>
  </si>
  <si>
    <t>Tiempo (días)</t>
  </si>
  <si>
    <t>Strike</t>
  </si>
  <si>
    <t>Volatilidad</t>
  </si>
  <si>
    <t>Tiempo</t>
  </si>
  <si>
    <t>Opción (Call/Put)</t>
  </si>
  <si>
    <t>Modelo Blck and Scholes</t>
  </si>
  <si>
    <t>Analizar el precio de las primas call y put ante cambios en precios del subyacente y del tiempo</t>
  </si>
  <si>
    <t>Spot</t>
  </si>
  <si>
    <t>Tasa Libre de Riesgo</t>
  </si>
  <si>
    <t>Volatilidad (anual)</t>
  </si>
  <si>
    <t>Tasa Libre de Riesgo (anual)</t>
  </si>
  <si>
    <t>Tasa de Dividendos (anual)</t>
  </si>
  <si>
    <t>Tasa Local / MXN</t>
  </si>
  <si>
    <t>Tasa foranea / USD</t>
  </si>
  <si>
    <t>Futuro / Forward</t>
  </si>
  <si>
    <t>Volatilidad del Futuro</t>
  </si>
  <si>
    <t>Tasa de interes</t>
  </si>
  <si>
    <t>Opciones Financieras</t>
  </si>
  <si>
    <t>Call</t>
  </si>
  <si>
    <t>Last</t>
  </si>
  <si>
    <t>Change</t>
  </si>
  <si>
    <t>Bid</t>
  </si>
  <si>
    <t>Ask</t>
  </si>
  <si>
    <t>Volume</t>
  </si>
  <si>
    <t>Open Int.</t>
  </si>
  <si>
    <t>--</t>
  </si>
  <si>
    <t>-0.03 </t>
  </si>
  <si>
    <t>-0.45 </t>
  </si>
  <si>
    <t>-0.06 </t>
  </si>
  <si>
    <t>-0.88 </t>
  </si>
  <si>
    <t>-0.09 </t>
  </si>
  <si>
    <t>-0.32 </t>
  </si>
  <si>
    <t>-0.14 </t>
  </si>
  <si>
    <t>-0.20 </t>
  </si>
  <si>
    <t>-0.17 </t>
  </si>
  <si>
    <t>-0.33 </t>
  </si>
  <si>
    <t>-0.24 </t>
  </si>
  <si>
    <t>-0.40 </t>
  </si>
  <si>
    <t>-0.25 </t>
  </si>
  <si>
    <t>-0.23 </t>
  </si>
  <si>
    <t>-0.34 </t>
  </si>
  <si>
    <t>-0.27 </t>
  </si>
  <si>
    <t>-0.35 </t>
  </si>
  <si>
    <t>-0.30 </t>
  </si>
  <si>
    <t>-0.28 </t>
  </si>
  <si>
    <t>-0.31 </t>
  </si>
  <si>
    <t>-0.19 </t>
  </si>
  <si>
    <t>-0.22 </t>
  </si>
  <si>
    <t>0.83 </t>
  </si>
  <si>
    <t>-0.13 </t>
  </si>
  <si>
    <t>0.41 </t>
  </si>
  <si>
    <t>-0.10 </t>
  </si>
  <si>
    <t>1.15 </t>
  </si>
  <si>
    <t>Volatilidad Implicita</t>
  </si>
  <si>
    <t>Precio</t>
  </si>
  <si>
    <t xml:space="preserve">Graficar la Curva de volatilidad.. </t>
  </si>
  <si>
    <t>Graficar la sabana o superficie de Volatilidad,  agregar mas datos de Otras Fechas.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</si>
</sst>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_-* #,##0_-;\-* #,##0_-;_-* &quot;-&quot;??_-;_-@_-"/>
    <numFmt numFmtId="166" formatCode="0.0%"/>
    <numFmt numFmtId="167" formatCode="0.0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1C1C2E"/>
      <name val="Inherit"/>
    </font>
    <font>
      <sz val="12"/>
      <color rgb="FF1C1C2E"/>
      <name val="Segoe UI"/>
      <family val="2"/>
    </font>
    <font>
      <sz val="12"/>
      <color rgb="FF1C1C2E"/>
      <name val="Inherit"/>
    </font>
    <font>
      <u/>
      <sz val="12"/>
      <color theme="10"/>
      <name val="Calibri"/>
      <family val="2"/>
      <scheme val="minor"/>
    </font>
    <font>
      <sz val="12"/>
      <color rgb="FFDD1D28"/>
      <name val="Inherit"/>
    </font>
    <font>
      <sz val="12"/>
      <color rgb="FF004F24"/>
      <name val="Inherit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4C4C9"/>
      </bottom>
      <diagonal/>
    </border>
    <border>
      <left/>
      <right/>
      <top style="medium">
        <color rgb="FFE1E1E6"/>
      </top>
      <bottom style="medium">
        <color rgb="FFE1E1E6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4" fillId="2" borderId="0" xfId="0" applyFont="1" applyFill="1"/>
    <xf numFmtId="0" fontId="4" fillId="3" borderId="0" xfId="0" applyFont="1" applyFill="1"/>
    <xf numFmtId="0" fontId="6" fillId="3" borderId="0" xfId="0" applyFont="1" applyFill="1" applyAlignment="1">
      <alignment horizontal="left" indent="43"/>
    </xf>
    <xf numFmtId="0" fontId="7" fillId="3" borderId="0" xfId="0" applyFont="1" applyFill="1"/>
    <xf numFmtId="0" fontId="8" fillId="3" borderId="0" xfId="0" applyFont="1" applyFill="1"/>
    <xf numFmtId="0" fontId="3" fillId="3" borderId="0" xfId="2" applyFill="1"/>
    <xf numFmtId="0" fontId="9" fillId="3" borderId="0" xfId="0" applyFont="1" applyFill="1"/>
    <xf numFmtId="0" fontId="0" fillId="3" borderId="0" xfId="0" applyFill="1"/>
    <xf numFmtId="0" fontId="0" fillId="4" borderId="0" xfId="0" applyFill="1"/>
    <xf numFmtId="0" fontId="2" fillId="3" borderId="0" xfId="0" applyFont="1" applyFill="1"/>
    <xf numFmtId="0" fontId="2" fillId="4" borderId="1" xfId="0" applyFont="1" applyFill="1" applyBorder="1"/>
    <xf numFmtId="0" fontId="0" fillId="3" borderId="1" xfId="0" applyFill="1" applyBorder="1"/>
    <xf numFmtId="165" fontId="2" fillId="4" borderId="1" xfId="1" applyNumberFormat="1" applyFont="1" applyFill="1" applyBorder="1"/>
    <xf numFmtId="164" fontId="0" fillId="3" borderId="1" xfId="1" applyFont="1" applyFill="1" applyBorder="1"/>
    <xf numFmtId="9" fontId="0" fillId="3" borderId="1" xfId="0" applyNumberFormat="1" applyFill="1" applyBorder="1"/>
    <xf numFmtId="0" fontId="5" fillId="3" borderId="0" xfId="0" applyFont="1" applyFill="1" applyAlignment="1">
      <alignment horizontal="left" indent="32"/>
    </xf>
    <xf numFmtId="0" fontId="2" fillId="5" borderId="1" xfId="0" applyFont="1" applyFill="1" applyBorder="1"/>
    <xf numFmtId="0" fontId="0" fillId="3" borderId="0" xfId="0" quotePrefix="1" applyFill="1"/>
    <xf numFmtId="0" fontId="0" fillId="5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67" fontId="0" fillId="3" borderId="1" xfId="0" quotePrefix="1" applyNumberFormat="1" applyFill="1" applyBorder="1" applyAlignment="1">
      <alignment horizontal="center" vertical="center"/>
    </xf>
    <xf numFmtId="0" fontId="0" fillId="6" borderId="0" xfId="0" applyFill="1"/>
    <xf numFmtId="0" fontId="2" fillId="4" borderId="4" xfId="0" applyFont="1" applyFill="1" applyBorder="1"/>
    <xf numFmtId="0" fontId="10" fillId="0" borderId="0" xfId="0" applyFont="1" applyAlignment="1">
      <alignment horizontal="center" vertical="center"/>
    </xf>
    <xf numFmtId="0" fontId="11" fillId="6" borderId="2" xfId="0" applyFont="1" applyFill="1" applyBorder="1" applyAlignment="1">
      <alignment horizontal="center" vertical="center" wrapText="1"/>
    </xf>
    <xf numFmtId="15" fontId="12" fillId="6" borderId="0" xfId="0" applyNumberFormat="1" applyFont="1" applyFill="1" applyAlignment="1">
      <alignment horizontal="center" vertical="center" wrapText="1"/>
    </xf>
    <xf numFmtId="0" fontId="10" fillId="6" borderId="0" xfId="0" applyFont="1" applyFill="1" applyAlignment="1">
      <alignment horizontal="center" vertical="center"/>
    </xf>
    <xf numFmtId="16" fontId="13" fillId="6" borderId="3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2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6" fillId="6" borderId="3" xfId="0" applyFont="1" applyFill="1" applyBorder="1" applyAlignment="1">
      <alignment horizontal="center" vertical="center" wrapText="1"/>
    </xf>
    <xf numFmtId="166" fontId="13" fillId="7" borderId="3" xfId="3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5.xml"/><Relationship Id="rId18" Type="http://schemas.openxmlformats.org/officeDocument/2006/relationships/externalLink" Target="externalLinks/externalLink10.xml"/><Relationship Id="rId26" Type="http://schemas.openxmlformats.org/officeDocument/2006/relationships/calcChain" Target="calcChain.xml"/><Relationship Id="rId3" Type="http://schemas.openxmlformats.org/officeDocument/2006/relationships/chartsheet" Target="chartsheets/sheet1.xml"/><Relationship Id="rId21" Type="http://schemas.openxmlformats.org/officeDocument/2006/relationships/externalLink" Target="externalLinks/externalLink1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openxmlformats.org/officeDocument/2006/relationships/externalLink" Target="externalLinks/externalLink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3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5" Type="http://schemas.openxmlformats.org/officeDocument/2006/relationships/externalLink" Target="externalLinks/externalLink7.xml"/><Relationship Id="rId23" Type="http://schemas.openxmlformats.org/officeDocument/2006/relationships/styles" Target="styles.xml"/><Relationship Id="rId10" Type="http://schemas.openxmlformats.org/officeDocument/2006/relationships/externalLink" Target="externalLinks/externalLink2.xml"/><Relationship Id="rId19" Type="http://schemas.openxmlformats.org/officeDocument/2006/relationships/externalLink" Target="externalLinks/externalLink11.xml"/><Relationship Id="rId4" Type="http://schemas.openxmlformats.org/officeDocument/2006/relationships/worksheet" Target="worksheets/sheet3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Payoff Diagram BS</a:t>
            </a:r>
          </a:p>
        </c:rich>
      </c:tx>
      <c:overlay val="0"/>
    </c:title>
    <c:autoTitleDeleted val="0"/>
    <c:view3D>
      <c:rotX val="15"/>
      <c:rotY val="17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BS!$F$5</c:f>
              <c:strCache>
                <c:ptCount val="1"/>
                <c:pt idx="0">
                  <c:v> 10 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BS!$E$6:$E$26</c:f>
              <c:numCache>
                <c:formatCode>General</c:formatCode>
                <c:ptCount val="21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</c:numCache>
            </c:numRef>
          </c:cat>
          <c:val>
            <c:numRef>
              <c:f>BS!$F$6:$F$26</c:f>
              <c:numCache>
                <c:formatCode>0.0</c:formatCode>
                <c:ptCount val="21"/>
                <c:pt idx="0">
                  <c:v>6.5381957715633662E-283</c:v>
                </c:pt>
                <c:pt idx="1">
                  <c:v>7.8099890559881417E-188</c:v>
                </c:pt>
                <c:pt idx="2">
                  <c:v>1.2748871098230412E-129</c:v>
                </c:pt>
                <c:pt idx="3">
                  <c:v>5.4440725557031561E-91</c:v>
                </c:pt>
                <c:pt idx="4">
                  <c:v>3.846391162551261E-64</c:v>
                </c:pt>
                <c:pt idx="5">
                  <c:v>5.7018327756708265E-45</c:v>
                </c:pt>
                <c:pt idx="6">
                  <c:v>4.3308608326832355E-31</c:v>
                </c:pt>
                <c:pt idx="7">
                  <c:v>5.2614635445325734E-21</c:v>
                </c:pt>
                <c:pt idx="8">
                  <c:v>9.9719951422747296E-14</c:v>
                </c:pt>
                <c:pt idx="9">
                  <c:v>1.4316475846249399E-8</c:v>
                </c:pt>
                <c:pt idx="10">
                  <c:v>4.9028946940161272E-5</c:v>
                </c:pt>
                <c:pt idx="11">
                  <c:v>9.6584003351291026E-3</c:v>
                </c:pt>
                <c:pt idx="12">
                  <c:v>0.22780912022429778</c:v>
                </c:pt>
                <c:pt idx="13">
                  <c:v>1.2623316081538505</c:v>
                </c:pt>
                <c:pt idx="14">
                  <c:v>3.0534930886116918</c:v>
                </c:pt>
                <c:pt idx="15">
                  <c:v>5.0378967936642773</c:v>
                </c:pt>
                <c:pt idx="16">
                  <c:v>7.0374809705165369</c:v>
                </c:pt>
                <c:pt idx="17">
                  <c:v>9.0374765927506679</c:v>
                </c:pt>
                <c:pt idx="18">
                  <c:v>11.037476572309938</c:v>
                </c:pt>
                <c:pt idx="19">
                  <c:v>13.037476572262637</c:v>
                </c:pt>
                <c:pt idx="20">
                  <c:v>15.037476572262573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6F-4151-90ED-24E459586C81}"/>
            </c:ext>
          </c:extLst>
        </c:ser>
        <c:ser>
          <c:idx val="1"/>
          <c:order val="1"/>
          <c:tx>
            <c:strRef>
              <c:f>BS!$G$5</c:f>
              <c:strCache>
                <c:ptCount val="1"/>
                <c:pt idx="0">
                  <c:v> 31 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BS!$E$6:$E$26</c:f>
              <c:numCache>
                <c:formatCode>General</c:formatCode>
                <c:ptCount val="21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</c:numCache>
            </c:numRef>
          </c:cat>
          <c:val>
            <c:numRef>
              <c:f>BS!$G$6:$G$26</c:f>
              <c:numCache>
                <c:formatCode>0.0</c:formatCode>
                <c:ptCount val="21"/>
                <c:pt idx="0">
                  <c:v>1.2737984764529598E-93</c:v>
                </c:pt>
                <c:pt idx="1">
                  <c:v>1.0306865025171089E-62</c:v>
                </c:pt>
                <c:pt idx="2">
                  <c:v>9.3941077004479487E-44</c:v>
                </c:pt>
                <c:pt idx="3">
                  <c:v>3.8611590621182918E-31</c:v>
                </c:pt>
                <c:pt idx="4">
                  <c:v>2.4241933193547072E-22</c:v>
                </c:pt>
                <c:pt idx="5">
                  <c:v>4.9873192526111431E-16</c:v>
                </c:pt>
                <c:pt idx="6">
                  <c:v>2.0058271097739787E-11</c:v>
                </c:pt>
                <c:pt idx="7">
                  <c:v>4.8333131611209272E-8</c:v>
                </c:pt>
                <c:pt idx="8">
                  <c:v>1.4680248116259297E-5</c:v>
                </c:pt>
                <c:pt idx="9">
                  <c:v>9.4384428355243077E-4</c:v>
                </c:pt>
                <c:pt idx="10">
                  <c:v>1.8742909078087955E-2</c:v>
                </c:pt>
                <c:pt idx="11">
                  <c:v>0.15330288345721499</c:v>
                </c:pt>
                <c:pt idx="12">
                  <c:v>0.64919850526661982</c:v>
                </c:pt>
                <c:pt idx="13">
                  <c:v>1.7159697837510244</c:v>
                </c:pt>
                <c:pt idx="14">
                  <c:v>3.2943368694171049</c:v>
                </c:pt>
                <c:pt idx="15">
                  <c:v>5.1562967644041358</c:v>
                </c:pt>
                <c:pt idx="16">
                  <c:v>7.1228224406015137</c:v>
                </c:pt>
                <c:pt idx="17">
                  <c:v>9.1166159054090556</c:v>
                </c:pt>
                <c:pt idx="18">
                  <c:v>11.115706249673618</c:v>
                </c:pt>
                <c:pt idx="19">
                  <c:v>13.115597505800391</c:v>
                </c:pt>
                <c:pt idx="20">
                  <c:v>15.115586599859135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6F-4151-90ED-24E459586C81}"/>
            </c:ext>
          </c:extLst>
        </c:ser>
        <c:ser>
          <c:idx val="2"/>
          <c:order val="2"/>
          <c:tx>
            <c:strRef>
              <c:f>BS!$H$5</c:f>
              <c:strCache>
                <c:ptCount val="1"/>
                <c:pt idx="0">
                  <c:v> 52 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BS!$E$6:$E$26</c:f>
              <c:numCache>
                <c:formatCode>General</c:formatCode>
                <c:ptCount val="21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</c:numCache>
            </c:numRef>
          </c:cat>
          <c:val>
            <c:numRef>
              <c:f>BS!$H$6:$H$26</c:f>
              <c:numCache>
                <c:formatCode>0.0</c:formatCode>
                <c:ptCount val="21"/>
                <c:pt idx="0">
                  <c:v>7.3353718748718443E-57</c:v>
                </c:pt>
                <c:pt idx="1">
                  <c:v>2.3797091620435157E-38</c:v>
                </c:pt>
                <c:pt idx="2">
                  <c:v>5.6547729254862662E-27</c:v>
                </c:pt>
                <c:pt idx="3">
                  <c:v>2.1834472624010189E-19</c:v>
                </c:pt>
                <c:pt idx="4">
                  <c:v>4.4474153913364905E-14</c:v>
                </c:pt>
                <c:pt idx="5">
                  <c:v>2.986049642780114E-10</c:v>
                </c:pt>
                <c:pt idx="6">
                  <c:v>1.9230759794261318E-7</c:v>
                </c:pt>
                <c:pt idx="7">
                  <c:v>2.3223047248343643E-5</c:v>
                </c:pt>
                <c:pt idx="8">
                  <c:v>8.2096543512877318E-4</c:v>
                </c:pt>
                <c:pt idx="9">
                  <c:v>1.1588063068074861E-2</c:v>
                </c:pt>
                <c:pt idx="10">
                  <c:v>8.1819075597773905E-2</c:v>
                </c:pt>
                <c:pt idx="11">
                  <c:v>0.34242394655472808</c:v>
                </c:pt>
                <c:pt idx="12">
                  <c:v>0.96898794055187665</c:v>
                </c:pt>
                <c:pt idx="13">
                  <c:v>2.0570259307372822</c:v>
                </c:pt>
                <c:pt idx="14">
                  <c:v>3.5549422010447493</c:v>
                </c:pt>
                <c:pt idx="15">
                  <c:v>5.3245669118886241</c:v>
                </c:pt>
                <c:pt idx="16">
                  <c:v>7.2351540371175886</c:v>
                </c:pt>
                <c:pt idx="17">
                  <c:v>9.2052578176302156</c:v>
                </c:pt>
                <c:pt idx="18">
                  <c:v>11.196485135232933</c:v>
                </c:pt>
                <c:pt idx="19">
                  <c:v>13.194186505581712</c:v>
                </c:pt>
                <c:pt idx="20">
                  <c:v>15.193640258758634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6F-4151-90ED-24E459586C81}"/>
            </c:ext>
          </c:extLst>
        </c:ser>
        <c:ser>
          <c:idx val="3"/>
          <c:order val="3"/>
          <c:tx>
            <c:strRef>
              <c:f>BS!$I$5</c:f>
              <c:strCache>
                <c:ptCount val="1"/>
                <c:pt idx="0">
                  <c:v> 73 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BS!$E$6:$E$26</c:f>
              <c:numCache>
                <c:formatCode>General</c:formatCode>
                <c:ptCount val="21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</c:numCache>
            </c:numRef>
          </c:cat>
          <c:val>
            <c:numRef>
              <c:f>BS!$I$6:$I$26</c:f>
              <c:numCache>
                <c:formatCode>0.0</c:formatCode>
                <c:ptCount val="21"/>
                <c:pt idx="0">
                  <c:v>3.7059945840351487E-41</c:v>
                </c:pt>
                <c:pt idx="1">
                  <c:v>6.4512321783657531E-28</c:v>
                </c:pt>
                <c:pt idx="2">
                  <c:v>9.142399338976314E-20</c:v>
                </c:pt>
                <c:pt idx="3">
                  <c:v>2.5701247602346006E-14</c:v>
                </c:pt>
                <c:pt idx="4">
                  <c:v>1.7167127173126561E-10</c:v>
                </c:pt>
                <c:pt idx="5">
                  <c:v>1.0074991864185591E-7</c:v>
                </c:pt>
                <c:pt idx="6">
                  <c:v>1.1137260575323619E-5</c:v>
                </c:pt>
                <c:pt idx="7">
                  <c:v>3.7426685081521499E-4</c:v>
                </c:pt>
                <c:pt idx="8">
                  <c:v>5.2549847617010953E-3</c:v>
                </c:pt>
                <c:pt idx="9">
                  <c:v>3.8463148980998563E-2</c:v>
                </c:pt>
                <c:pt idx="10">
                  <c:v>0.17222444470604525</c:v>
                </c:pt>
                <c:pt idx="11">
                  <c:v>0.53164276509012698</c:v>
                </c:pt>
                <c:pt idx="12">
                  <c:v>1.2397800308819882</c:v>
                </c:pt>
                <c:pt idx="13">
                  <c:v>2.3448380739606094</c:v>
                </c:pt>
                <c:pt idx="14">
                  <c:v>3.8009964754680539</c:v>
                </c:pt>
                <c:pt idx="15">
                  <c:v>5.5091496748533082</c:v>
                </c:pt>
                <c:pt idx="16">
                  <c:v>7.3692733957455197</c:v>
                </c:pt>
                <c:pt idx="17">
                  <c:v>9.3086305786539754</c:v>
                </c:pt>
                <c:pt idx="18">
                  <c:v>11.284546723752062</c:v>
                </c:pt>
                <c:pt idx="19">
                  <c:v>13.275682316214667</c:v>
                </c:pt>
                <c:pt idx="20">
                  <c:v>15.272626705363347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6F-4151-90ED-24E459586C81}"/>
            </c:ext>
          </c:extLst>
        </c:ser>
        <c:ser>
          <c:idx val="4"/>
          <c:order val="4"/>
          <c:tx>
            <c:strRef>
              <c:f>BS!$J$5</c:f>
              <c:strCache>
                <c:ptCount val="1"/>
                <c:pt idx="0">
                  <c:v> 94 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BS!$E$6:$E$26</c:f>
              <c:numCache>
                <c:formatCode>General</c:formatCode>
                <c:ptCount val="21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</c:numCache>
            </c:numRef>
          </c:cat>
          <c:val>
            <c:numRef>
              <c:f>BS!$J$6:$J$26</c:f>
              <c:numCache>
                <c:formatCode>0.0</c:formatCode>
                <c:ptCount val="21"/>
                <c:pt idx="0">
                  <c:v>2.0030480219887814E-32</c:v>
                </c:pt>
                <c:pt idx="1">
                  <c:v>4.2187816622309187E-22</c:v>
                </c:pt>
                <c:pt idx="2">
                  <c:v>9.8076910631326933E-16</c:v>
                </c:pt>
                <c:pt idx="3">
                  <c:v>1.805865123854231E-11</c:v>
                </c:pt>
                <c:pt idx="4">
                  <c:v>1.8163659551869583E-8</c:v>
                </c:pt>
                <c:pt idx="5">
                  <c:v>2.7600418171560821E-6</c:v>
                </c:pt>
                <c:pt idx="6">
                  <c:v>1.1467796265804452E-4</c:v>
                </c:pt>
                <c:pt idx="7">
                  <c:v>1.8906906629606937E-3</c:v>
                </c:pt>
                <c:pt idx="8">
                  <c:v>1.5838974217038615E-2</c:v>
                </c:pt>
                <c:pt idx="9">
                  <c:v>8.005625420123752E-2</c:v>
                </c:pt>
                <c:pt idx="10">
                  <c:v>0.27630248434911397</c:v>
                </c:pt>
                <c:pt idx="11">
                  <c:v>0.71385203953843579</c:v>
                </c:pt>
                <c:pt idx="12">
                  <c:v>1.4803521862795428</c:v>
                </c:pt>
                <c:pt idx="13">
                  <c:v>2.5999941532333786</c:v>
                </c:pt>
                <c:pt idx="14">
                  <c:v>4.0312776902224172</c:v>
                </c:pt>
                <c:pt idx="15">
                  <c:v>5.6965070687498915</c:v>
                </c:pt>
                <c:pt idx="16">
                  <c:v>7.515299422776188</c:v>
                </c:pt>
                <c:pt idx="17">
                  <c:v>9.4242203854352091</c:v>
                </c:pt>
                <c:pt idx="18">
                  <c:v>11.381309569301646</c:v>
                </c:pt>
                <c:pt idx="19">
                  <c:v>13.362194057803702</c:v>
                </c:pt>
                <c:pt idx="20">
                  <c:v>15.354079859743621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6F-4151-90ED-24E459586C81}"/>
            </c:ext>
          </c:extLst>
        </c:ser>
        <c:ser>
          <c:idx val="5"/>
          <c:order val="5"/>
          <c:tx>
            <c:strRef>
              <c:f>BS!$K$5</c:f>
              <c:strCache>
                <c:ptCount val="1"/>
                <c:pt idx="0">
                  <c:v> 114 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BS!$E$6:$E$26</c:f>
              <c:numCache>
                <c:formatCode>General</c:formatCode>
                <c:ptCount val="21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</c:numCache>
            </c:numRef>
          </c:cat>
          <c:val>
            <c:numRef>
              <c:f>BS!$K$6:$K$26</c:f>
              <c:numCache>
                <c:formatCode>0.0</c:formatCode>
                <c:ptCount val="21"/>
                <c:pt idx="0">
                  <c:v>7.460288636745915E-27</c:v>
                </c:pt>
                <c:pt idx="1">
                  <c:v>2.2063267111415215E-18</c:v>
                </c:pt>
                <c:pt idx="2">
                  <c:v>3.769560050051828E-13</c:v>
                </c:pt>
                <c:pt idx="3">
                  <c:v>1.2283469940697545E-9</c:v>
                </c:pt>
                <c:pt idx="4">
                  <c:v>3.7083723522916686E-7</c:v>
                </c:pt>
                <c:pt idx="5">
                  <c:v>2.3852224909792384E-5</c:v>
                </c:pt>
                <c:pt idx="6">
                  <c:v>5.3123599911967731E-4</c:v>
                </c:pt>
                <c:pt idx="7">
                  <c:v>5.5568718600180061E-3</c:v>
                </c:pt>
                <c:pt idx="8">
                  <c:v>3.3419356658944466E-2</c:v>
                </c:pt>
                <c:pt idx="9">
                  <c:v>0.1329579755812369</c:v>
                </c:pt>
                <c:pt idx="10">
                  <c:v>0.38704760801152638</c:v>
                </c:pt>
                <c:pt idx="11">
                  <c:v>0.88821375488907162</c:v>
                </c:pt>
                <c:pt idx="12">
                  <c:v>1.699865646793512</c:v>
                </c:pt>
                <c:pt idx="13">
                  <c:v>2.8324579077156073</c:v>
                </c:pt>
                <c:pt idx="14">
                  <c:v>4.2478430480852225</c:v>
                </c:pt>
                <c:pt idx="15">
                  <c:v>5.881732642290725</c:v>
                </c:pt>
                <c:pt idx="16">
                  <c:v>7.6670607369917789</c:v>
                </c:pt>
                <c:pt idx="17">
                  <c:v>9.5482715180164313</c:v>
                </c:pt>
                <c:pt idx="18">
                  <c:v>11.485773336311762</c:v>
                </c:pt>
                <c:pt idx="19">
                  <c:v>13.454294925132032</c:v>
                </c:pt>
                <c:pt idx="20">
                  <c:v>15.439024180818457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B6F-4151-90ED-24E459586C81}"/>
            </c:ext>
          </c:extLst>
        </c:ser>
        <c:ser>
          <c:idx val="6"/>
          <c:order val="6"/>
          <c:tx>
            <c:strRef>
              <c:f>BS!$L$5</c:f>
              <c:strCache>
                <c:ptCount val="1"/>
                <c:pt idx="0">
                  <c:v> 135 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BS!$E$6:$E$26</c:f>
              <c:numCache>
                <c:formatCode>General</c:formatCode>
                <c:ptCount val="21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</c:numCache>
            </c:numRef>
          </c:cat>
          <c:val>
            <c:numRef>
              <c:f>BS!$L$6:$L$26</c:f>
              <c:numCache>
                <c:formatCode>0.0</c:formatCode>
                <c:ptCount val="21"/>
                <c:pt idx="0">
                  <c:v>5.5199338612519339E-23</c:v>
                </c:pt>
                <c:pt idx="1">
                  <c:v>8.5496910590083964E-16</c:v>
                </c:pt>
                <c:pt idx="2">
                  <c:v>2.4017857083076782E-11</c:v>
                </c:pt>
                <c:pt idx="3">
                  <c:v>2.3620946916686623E-8</c:v>
                </c:pt>
                <c:pt idx="4">
                  <c:v>3.1002673171295263E-6</c:v>
                </c:pt>
                <c:pt idx="5">
                  <c:v>1.0991714973904079E-4</c:v>
                </c:pt>
                <c:pt idx="6">
                  <c:v>1.5881787212231394E-3</c:v>
                </c:pt>
                <c:pt idx="7">
                  <c:v>1.2104838458319139E-2</c:v>
                </c:pt>
                <c:pt idx="8">
                  <c:v>5.7750553129521931E-2</c:v>
                </c:pt>
                <c:pt idx="9">
                  <c:v>0.19416144067913699</c:v>
                </c:pt>
                <c:pt idx="10">
                  <c:v>0.50082974875625297</c:v>
                </c:pt>
                <c:pt idx="11">
                  <c:v>1.0552119803990596</c:v>
                </c:pt>
                <c:pt idx="12">
                  <c:v>1.9035987222652135</c:v>
                </c:pt>
                <c:pt idx="13">
                  <c:v>3.0479467397601319</c:v>
                </c:pt>
                <c:pt idx="14">
                  <c:v>4.4527991013000943</c:v>
                </c:pt>
                <c:pt idx="15">
                  <c:v>6.0630225010314902</c:v>
                </c:pt>
                <c:pt idx="16">
                  <c:v>7.8210688170232814</c:v>
                </c:pt>
                <c:pt idx="17">
                  <c:v>9.6777736585930931</c:v>
                </c:pt>
                <c:pt idx="18">
                  <c:v>11.596304314171149</c:v>
                </c:pt>
                <c:pt idx="19">
                  <c:v>13.551589539630427</c:v>
                </c:pt>
                <c:pt idx="20">
                  <c:v>15.52777931008913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B6F-4151-90ED-24E459586C81}"/>
            </c:ext>
          </c:extLst>
        </c:ser>
        <c:ser>
          <c:idx val="7"/>
          <c:order val="7"/>
          <c:tx>
            <c:strRef>
              <c:f>BS!$M$5</c:f>
              <c:strCache>
                <c:ptCount val="1"/>
                <c:pt idx="0">
                  <c:v> 156 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BS!$E$6:$E$26</c:f>
              <c:numCache>
                <c:formatCode>General</c:formatCode>
                <c:ptCount val="21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</c:numCache>
            </c:numRef>
          </c:cat>
          <c:val>
            <c:numRef>
              <c:f>BS!$M$6:$M$26</c:f>
              <c:numCache>
                <c:formatCode>0.0</c:formatCode>
                <c:ptCount val="21"/>
                <c:pt idx="0">
                  <c:v>3.8852508801205874E-20</c:v>
                </c:pt>
                <c:pt idx="1">
                  <c:v>6.9327937661411785E-14</c:v>
                </c:pt>
                <c:pt idx="2">
                  <c:v>5.1868504724786016E-10</c:v>
                </c:pt>
                <c:pt idx="3">
                  <c:v>2.1195714610847191E-7</c:v>
                </c:pt>
                <c:pt idx="4">
                  <c:v>1.509991368932312E-5</c:v>
                </c:pt>
                <c:pt idx="5">
                  <c:v>3.4569335944781374E-4</c:v>
                </c:pt>
                <c:pt idx="6">
                  <c:v>3.6333393377099774E-3</c:v>
                </c:pt>
                <c:pt idx="7">
                  <c:v>2.1927355641940316E-2</c:v>
                </c:pt>
                <c:pt idx="8">
                  <c:v>8.8131053154576033E-2</c:v>
                </c:pt>
                <c:pt idx="9">
                  <c:v>0.26138943188963459</c:v>
                </c:pt>
                <c:pt idx="10">
                  <c:v>0.61568245132404176</c:v>
                </c:pt>
                <c:pt idx="11">
                  <c:v>1.2155839209277666</c:v>
                </c:pt>
                <c:pt idx="12">
                  <c:v>2.0949207794510496</c:v>
                </c:pt>
                <c:pt idx="13">
                  <c:v>3.2501012501849367</c:v>
                </c:pt>
                <c:pt idx="14">
                  <c:v>4.6478867181696053</c:v>
                </c:pt>
                <c:pt idx="15">
                  <c:v>6.2397863654927157</c:v>
                </c:pt>
                <c:pt idx="16">
                  <c:v>7.9753507813842326</c:v>
                </c:pt>
                <c:pt idx="17">
                  <c:v>9.8105880632677156</c:v>
                </c:pt>
                <c:pt idx="18">
                  <c:v>11.711355138964052</c:v>
                </c:pt>
                <c:pt idx="19">
                  <c:v>13.653311053415379</c:v>
                </c:pt>
                <c:pt idx="20">
                  <c:v>15.620199434290758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B6F-4151-90ED-24E459586C81}"/>
            </c:ext>
          </c:extLst>
        </c:ser>
        <c:ser>
          <c:idx val="8"/>
          <c:order val="8"/>
          <c:tx>
            <c:strRef>
              <c:f>BS!$N$5</c:f>
              <c:strCache>
                <c:ptCount val="1"/>
                <c:pt idx="0">
                  <c:v> 177 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BS!$E$6:$E$26</c:f>
              <c:numCache>
                <c:formatCode>General</c:formatCode>
                <c:ptCount val="21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</c:numCache>
            </c:numRef>
          </c:cat>
          <c:val>
            <c:numRef>
              <c:f>BS!$N$6:$N$26</c:f>
              <c:numCache>
                <c:formatCode>0.0</c:formatCode>
                <c:ptCount val="21"/>
                <c:pt idx="0">
                  <c:v>5.9581185822743622E-18</c:v>
                </c:pt>
                <c:pt idx="1">
                  <c:v>2.0384901560999621E-12</c:v>
                </c:pt>
                <c:pt idx="2">
                  <c:v>5.5470964816974669E-9</c:v>
                </c:pt>
                <c:pt idx="3">
                  <c:v>1.1580487005381342E-6</c:v>
                </c:pt>
                <c:pt idx="4">
                  <c:v>5.16871477481925E-5</c:v>
                </c:pt>
                <c:pt idx="5">
                  <c:v>8.4643918439843494E-4</c:v>
                </c:pt>
                <c:pt idx="6">
                  <c:v>6.9688567116569233E-3</c:v>
                </c:pt>
                <c:pt idx="7">
                  <c:v>3.5145037604294382E-2</c:v>
                </c:pt>
                <c:pt idx="8">
                  <c:v>0.1237441531900072</c:v>
                </c:pt>
                <c:pt idx="9">
                  <c:v>0.33298030414322533</c:v>
                </c:pt>
                <c:pt idx="10">
                  <c:v>0.73050046807921021</c:v>
                </c:pt>
                <c:pt idx="11">
                  <c:v>1.3700497889844989</c:v>
                </c:pt>
                <c:pt idx="12">
                  <c:v>2.2761382888915858</c:v>
                </c:pt>
                <c:pt idx="13">
                  <c:v>3.4414093769374681</c:v>
                </c:pt>
                <c:pt idx="14">
                  <c:v>4.8344934251295832</c:v>
                </c:pt>
                <c:pt idx="15">
                  <c:v>6.4119399089018216</c:v>
                </c:pt>
                <c:pt idx="16">
                  <c:v>8.1287779519872387</c:v>
                </c:pt>
                <c:pt idx="17">
                  <c:v>9.945239978791097</c:v>
                </c:pt>
                <c:pt idx="18">
                  <c:v>11.829650345228121</c:v>
                </c:pt>
                <c:pt idx="19">
                  <c:v>13.758631347903268</c:v>
                </c:pt>
                <c:pt idx="20">
                  <c:v>15.71590963266344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B6F-4151-90ED-24E459586C81}"/>
            </c:ext>
          </c:extLst>
        </c:ser>
        <c:ser>
          <c:idx val="9"/>
          <c:order val="9"/>
          <c:tx>
            <c:strRef>
              <c:f>BS!$O$5</c:f>
              <c:strCache>
                <c:ptCount val="1"/>
                <c:pt idx="0">
                  <c:v> 198 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BS!$E$6:$E$26</c:f>
              <c:numCache>
                <c:formatCode>General</c:formatCode>
                <c:ptCount val="21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</c:numCache>
            </c:numRef>
          </c:cat>
          <c:val>
            <c:numRef>
              <c:f>BS!$O$6:$O$26</c:f>
              <c:numCache>
                <c:formatCode>0.0</c:formatCode>
                <c:ptCount val="21"/>
                <c:pt idx="0">
                  <c:v>3.216392286107895E-16</c:v>
                </c:pt>
                <c:pt idx="1">
                  <c:v>2.9888237335994635E-11</c:v>
                </c:pt>
                <c:pt idx="2">
                  <c:v>3.6604869877836866E-8</c:v>
                </c:pt>
                <c:pt idx="3">
                  <c:v>4.4963812402393889E-6</c:v>
                </c:pt>
                <c:pt idx="4">
                  <c:v>1.3869215076108303E-4</c:v>
                </c:pt>
                <c:pt idx="5">
                  <c:v>1.7424796882883585E-3</c:v>
                </c:pt>
                <c:pt idx="6">
                  <c:v>1.1822535629373188E-2</c:v>
                </c:pt>
                <c:pt idx="7">
                  <c:v>5.1699014434175461E-2</c:v>
                </c:pt>
                <c:pt idx="8">
                  <c:v>0.16380586274850351</c:v>
                </c:pt>
                <c:pt idx="9">
                  <c:v>0.40772671745441524</c:v>
                </c:pt>
                <c:pt idx="10">
                  <c:v>0.84464829602243796</c:v>
                </c:pt>
                <c:pt idx="11">
                  <c:v>1.5192474092689174</c:v>
                </c:pt>
                <c:pt idx="12">
                  <c:v>2.4489124758325129</c:v>
                </c:pt>
                <c:pt idx="13">
                  <c:v>3.6236608505896193</c:v>
                </c:pt>
                <c:pt idx="14">
                  <c:v>5.013725424494023</c:v>
                </c:pt>
                <c:pt idx="15">
                  <c:v>6.5796140686534237</c:v>
                </c:pt>
                <c:pt idx="16">
                  <c:v>8.2807028633770337</c:v>
                </c:pt>
                <c:pt idx="17">
                  <c:v>10.080716759490684</c:v>
                </c:pt>
                <c:pt idx="18">
                  <c:v>11.950190287651697</c:v>
                </c:pt>
                <c:pt idx="19">
                  <c:v>13.866788181931824</c:v>
                </c:pt>
                <c:pt idx="20">
                  <c:v>15.814453405328468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B6F-4151-90ED-24E459586C81}"/>
            </c:ext>
          </c:extLst>
        </c:ser>
        <c:ser>
          <c:idx val="10"/>
          <c:order val="10"/>
          <c:tx>
            <c:strRef>
              <c:f>BS!$P$5</c:f>
              <c:strCache>
                <c:ptCount val="1"/>
                <c:pt idx="0">
                  <c:v> 219 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BS!$E$6:$E$26</c:f>
              <c:numCache>
                <c:formatCode>General</c:formatCode>
                <c:ptCount val="21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</c:numCache>
            </c:numRef>
          </c:cat>
          <c:val>
            <c:numRef>
              <c:f>BS!$P$6:$P$26</c:f>
              <c:numCache>
                <c:formatCode>0.0</c:formatCode>
                <c:ptCount val="21"/>
                <c:pt idx="0">
                  <c:v>8.2268991075935244E-15</c:v>
                </c:pt>
                <c:pt idx="1">
                  <c:v>2.662141470288046E-10</c:v>
                </c:pt>
                <c:pt idx="2">
                  <c:v>1.7083994884384449E-7</c:v>
                </c:pt>
                <c:pt idx="3">
                  <c:v>1.3657457715261995E-5</c:v>
                </c:pt>
                <c:pt idx="4">
                  <c:v>3.1225734949674819E-4</c:v>
                </c:pt>
                <c:pt idx="5">
                  <c:v>3.1641210066344211E-3</c:v>
                </c:pt>
                <c:pt idx="6">
                  <c:v>1.8345200742497347E-2</c:v>
                </c:pt>
                <c:pt idx="7">
                  <c:v>7.1425734809763997E-2</c:v>
                </c:pt>
                <c:pt idx="8">
                  <c:v>0.2076182098507553</c:v>
                </c:pt>
                <c:pt idx="9">
                  <c:v>0.4847454064415202</c:v>
                </c:pt>
                <c:pt idx="10">
                  <c:v>0.95775829124839529</c:v>
                </c:pt>
                <c:pt idx="11">
                  <c:v>1.6637249172819821</c:v>
                </c:pt>
                <c:pt idx="12">
                  <c:v>2.614487069694313</c:v>
                </c:pt>
                <c:pt idx="13">
                  <c:v>3.7981943604157848</c:v>
                </c:pt>
                <c:pt idx="14">
                  <c:v>5.1864736727237926</c:v>
                </c:pt>
                <c:pt idx="15">
                  <c:v>6.7430273243334575</c:v>
                </c:pt>
                <c:pt idx="16">
                  <c:v>8.4307600394603064</c:v>
                </c:pt>
                <c:pt idx="17">
                  <c:v>10.216320851142012</c:v>
                </c:pt>
                <c:pt idx="18">
                  <c:v>12.072206572712059</c:v>
                </c:pt>
                <c:pt idx="19">
                  <c:v>13.977124978266435</c:v>
                </c:pt>
                <c:pt idx="20">
                  <c:v>15.915370513621212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B6F-4151-90ED-24E459586C81}"/>
            </c:ext>
          </c:extLst>
        </c:ser>
        <c:ser>
          <c:idx val="11"/>
          <c:order val="11"/>
          <c:tx>
            <c:strRef>
              <c:f>BS!$Q$5</c:f>
              <c:strCache>
                <c:ptCount val="1"/>
                <c:pt idx="0">
                  <c:v> 240 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BS!$E$6:$E$26</c:f>
              <c:numCache>
                <c:formatCode>General</c:formatCode>
                <c:ptCount val="21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</c:numCache>
            </c:numRef>
          </c:cat>
          <c:val>
            <c:numRef>
              <c:f>BS!$Q$6:$Q$26</c:f>
              <c:numCache>
                <c:formatCode>0.0</c:formatCode>
                <c:ptCount val="21"/>
                <c:pt idx="0">
                  <c:v>1.2103727175054183E-13</c:v>
                </c:pt>
                <c:pt idx="1">
                  <c:v>1.6387199072254763E-9</c:v>
                </c:pt>
                <c:pt idx="2">
                  <c:v>6.1654821081129421E-7</c:v>
                </c:pt>
                <c:pt idx="3">
                  <c:v>3.4558849493678922E-5</c:v>
                </c:pt>
                <c:pt idx="4">
                  <c:v>6.1679146117417892E-4</c:v>
                </c:pt>
                <c:pt idx="5">
                  <c:v>5.2307608126438837E-3</c:v>
                </c:pt>
                <c:pt idx="6">
                  <c:v>2.6620521287822996E-2</c:v>
                </c:pt>
                <c:pt idx="7">
                  <c:v>9.4108094107578921E-2</c:v>
                </c:pt>
                <c:pt idx="8">
                  <c:v>0.25458074833019273</c:v>
                </c:pt>
                <c:pt idx="9">
                  <c:v>0.56338342231634542</c:v>
                </c:pt>
                <c:pt idx="10">
                  <c:v>1.0696210676144702</c:v>
                </c:pt>
                <c:pt idx="11">
                  <c:v>1.8039496508747686</c:v>
                </c:pt>
                <c:pt idx="12">
                  <c:v>2.7738220717297164</c:v>
                </c:pt>
                <c:pt idx="13">
                  <c:v>3.9660424451340042</c:v>
                </c:pt>
                <c:pt idx="14">
                  <c:v>5.3534649280222908</c:v>
                </c:pt>
                <c:pt idx="15">
                  <c:v>6.9024271704793279</c:v>
                </c:pt>
                <c:pt idx="16">
                  <c:v>8.5787532896104324</c:v>
                </c:pt>
                <c:pt idx="17">
                  <c:v>10.351569864471536</c:v>
                </c:pt>
                <c:pt idx="18">
                  <c:v>12.195112495223533</c:v>
                </c:pt>
                <c:pt idx="19">
                  <c:v>14.089093677002474</c:v>
                </c:pt>
                <c:pt idx="20">
                  <c:v>16.018233258596432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B6F-4151-90ED-24E459586C81}"/>
            </c:ext>
          </c:extLst>
        </c:ser>
        <c:ser>
          <c:idx val="12"/>
          <c:order val="12"/>
          <c:tx>
            <c:strRef>
              <c:f>BS!$R$5</c:f>
              <c:strCache>
                <c:ptCount val="1"/>
                <c:pt idx="0">
                  <c:v> 261 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BS!$E$6:$E$26</c:f>
              <c:numCache>
                <c:formatCode>General</c:formatCode>
                <c:ptCount val="21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</c:numCache>
            </c:numRef>
          </c:cat>
          <c:val>
            <c:numRef>
              <c:f>BS!$R$6:$R$26</c:f>
              <c:numCache>
                <c:formatCode>0.0</c:formatCode>
                <c:ptCount val="21"/>
                <c:pt idx="0">
                  <c:v>1.1687628081209272E-12</c:v>
                </c:pt>
                <c:pt idx="1">
                  <c:v>7.6114153415314907E-9</c:v>
                </c:pt>
                <c:pt idx="2">
                  <c:v>1.8284888715740041E-6</c:v>
                </c:pt>
                <c:pt idx="3">
                  <c:v>7.6046659343947899E-5</c:v>
                </c:pt>
                <c:pt idx="4">
                  <c:v>1.102002336295942E-3</c:v>
                </c:pt>
                <c:pt idx="5">
                  <c:v>8.0446803093094238E-3</c:v>
                </c:pt>
                <c:pt idx="6">
                  <c:v>3.6678738886397555E-2</c:v>
                </c:pt>
                <c:pt idx="7">
                  <c:v>0.11950765491448578</c:v>
                </c:pt>
                <c:pt idx="8">
                  <c:v>0.30418516664675899</c:v>
                </c:pt>
                <c:pt idx="9">
                  <c:v>0.64315269246088125</c:v>
                </c:pt>
                <c:pt idx="10">
                  <c:v>1.1801233185719253</c:v>
                </c:pt>
                <c:pt idx="11">
                  <c:v>1.9403203414339973</c:v>
                </c:pt>
                <c:pt idx="12">
                  <c:v>2.927676989310811</c:v>
                </c:pt>
                <c:pt idx="13">
                  <c:v>4.1280215141959893</c:v>
                </c:pt>
                <c:pt idx="14">
                  <c:v>5.5152996148671498</c:v>
                </c:pt>
                <c:pt idx="15">
                  <c:v>7.0580628835349764</c:v>
                </c:pt>
                <c:pt idx="16">
                  <c:v>8.7245899274906833</c:v>
                </c:pt>
                <c:pt idx="17">
                  <c:v>10.486129667339352</c:v>
                </c:pt>
                <c:pt idx="18">
                  <c:v>12.318460620731738</c:v>
                </c:pt>
                <c:pt idx="19">
                  <c:v>14.202243856548872</c:v>
                </c:pt>
                <c:pt idx="20">
                  <c:v>16.12266043196481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B6F-4151-90ED-24E459586C81}"/>
            </c:ext>
          </c:extLst>
        </c:ser>
        <c:ser>
          <c:idx val="13"/>
          <c:order val="13"/>
          <c:tx>
            <c:strRef>
              <c:f>BS!$S$5</c:f>
              <c:strCache>
                <c:ptCount val="1"/>
                <c:pt idx="0">
                  <c:v> 281 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BS!$E$6:$E$26</c:f>
              <c:numCache>
                <c:formatCode>General</c:formatCode>
                <c:ptCount val="21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</c:numCache>
            </c:numRef>
          </c:cat>
          <c:val>
            <c:numRef>
              <c:f>BS!$S$6:$S$26</c:f>
              <c:numCache>
                <c:formatCode>0.0</c:formatCode>
                <c:ptCount val="21"/>
                <c:pt idx="0">
                  <c:v>8.12876113604079E-12</c:v>
                </c:pt>
                <c:pt idx="1">
                  <c:v>2.8379352902679808E-8</c:v>
                </c:pt>
                <c:pt idx="2">
                  <c:v>4.6516788507656466E-6</c:v>
                </c:pt>
                <c:pt idx="3">
                  <c:v>1.5000679661634087E-4</c:v>
                </c:pt>
                <c:pt idx="4">
                  <c:v>1.8198208652493025E-3</c:v>
                </c:pt>
                <c:pt idx="5">
                  <c:v>1.1688559031519968E-2</c:v>
                </c:pt>
                <c:pt idx="6">
                  <c:v>4.8510075880760062E-2</c:v>
                </c:pt>
                <c:pt idx="7">
                  <c:v>0.14738385609243676</c:v>
                </c:pt>
                <c:pt idx="8">
                  <c:v>0.35600413489400795</c:v>
                </c:pt>
                <c:pt idx="9">
                  <c:v>0.72368451370866538</c:v>
                </c:pt>
                <c:pt idx="10">
                  <c:v>1.2892112171792496</c:v>
                </c:pt>
                <c:pt idx="11">
                  <c:v>2.0731786543677515</c:v>
                </c:pt>
                <c:pt idx="12">
                  <c:v>3.0766650759638203</c:v>
                </c:pt>
                <c:pt idx="13">
                  <c:v>4.2847904413478428</c:v>
                </c:pt>
                <c:pt idx="14">
                  <c:v>5.672479760403391</c:v>
                </c:pt>
                <c:pt idx="15">
                  <c:v>7.2101731046653157</c:v>
                </c:pt>
                <c:pt idx="16">
                  <c:v>8.8682412767067476</c:v>
                </c:pt>
                <c:pt idx="17">
                  <c:v>10.619769431499773</c:v>
                </c:pt>
                <c:pt idx="18">
                  <c:v>12.441909413076779</c:v>
                </c:pt>
                <c:pt idx="19">
                  <c:v>14.316208130780169</c:v>
                </c:pt>
                <c:pt idx="20">
                  <c:v>16.228320034786325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B6F-4151-90ED-24E459586C81}"/>
            </c:ext>
          </c:extLst>
        </c:ser>
        <c:ser>
          <c:idx val="14"/>
          <c:order val="14"/>
          <c:tx>
            <c:strRef>
              <c:f>BS!$T$5</c:f>
              <c:strCache>
                <c:ptCount val="1"/>
                <c:pt idx="0">
                  <c:v> 302 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BS!$E$6:$E$26</c:f>
              <c:numCache>
                <c:formatCode>General</c:formatCode>
                <c:ptCount val="21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</c:numCache>
            </c:numRef>
          </c:cat>
          <c:val>
            <c:numRef>
              <c:f>BS!$T$6:$T$26</c:f>
              <c:numCache>
                <c:formatCode>0.0</c:formatCode>
                <c:ptCount val="21"/>
                <c:pt idx="0">
                  <c:v>4.3558660593202267E-11</c:v>
                </c:pt>
                <c:pt idx="1">
                  <c:v>8.8843036934749504E-8</c:v>
                </c:pt>
                <c:pt idx="2">
                  <c:v>1.0472718032995126E-5</c:v>
                </c:pt>
                <c:pt idx="3">
                  <c:v>2.7116616043720539E-4</c:v>
                </c:pt>
                <c:pt idx="4">
                  <c:v>2.8217158452710431E-3</c:v>
                </c:pt>
                <c:pt idx="5">
                  <c:v>1.6225475069844286E-2</c:v>
                </c:pt>
                <c:pt idx="6">
                  <c:v>6.207617735121318E-2</c:v>
                </c:pt>
                <c:pt idx="7">
                  <c:v>0.17750484137689559</c:v>
                </c:pt>
                <c:pt idx="8">
                  <c:v>0.4096791518279157</c:v>
                </c:pt>
                <c:pt idx="9">
                  <c:v>0.80469769034435945</c:v>
                </c:pt>
                <c:pt idx="10">
                  <c:v>1.3968682022175543</c:v>
                </c:pt>
                <c:pt idx="11">
                  <c:v>2.2028190509462071</c:v>
                </c:pt>
                <c:pt idx="12">
                  <c:v>3.2212900417782251</c:v>
                </c:pt>
                <c:pt idx="13">
                  <c:v>4.4368901834591643</c:v>
                </c:pt>
                <c:pt idx="14">
                  <c:v>5.8254297476949759</c:v>
                </c:pt>
                <c:pt idx="15">
                  <c:v>7.3589806481811806</c:v>
                </c:pt>
                <c:pt idx="16">
                  <c:v>9.0097183769769451</c:v>
                </c:pt>
                <c:pt idx="17">
                  <c:v>10.752331116765891</c:v>
                </c:pt>
                <c:pt idx="18">
                  <c:v>12.565197821748303</c:v>
                </c:pt>
                <c:pt idx="19">
                  <c:v>14.430687854816963</c:v>
                </c:pt>
                <c:pt idx="20">
                  <c:v>16.334926746869471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B6F-4151-90ED-24E459586C81}"/>
            </c:ext>
          </c:extLst>
        </c:ser>
        <c:ser>
          <c:idx val="15"/>
          <c:order val="15"/>
          <c:tx>
            <c:strRef>
              <c:f>BS!$U$5</c:f>
              <c:strCache>
                <c:ptCount val="1"/>
                <c:pt idx="0">
                  <c:v> 323 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BS!$E$6:$E$26</c:f>
              <c:numCache>
                <c:formatCode>General</c:formatCode>
                <c:ptCount val="21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</c:numCache>
            </c:numRef>
          </c:cat>
          <c:val>
            <c:numRef>
              <c:f>BS!$U$6:$U$26</c:f>
              <c:numCache>
                <c:formatCode>0.0</c:formatCode>
                <c:ptCount val="21"/>
                <c:pt idx="0">
                  <c:v>1.8906509317430673E-10</c:v>
                </c:pt>
                <c:pt idx="1">
                  <c:v>2.4145108206942064E-7</c:v>
                </c:pt>
                <c:pt idx="2">
                  <c:v>2.1355854525061308E-5</c:v>
                </c:pt>
                <c:pt idx="3">
                  <c:v>4.5666221495000662E-4</c:v>
                </c:pt>
                <c:pt idx="4">
                  <c:v>4.1566148910590697E-3</c:v>
                </c:pt>
                <c:pt idx="5">
                  <c:v>2.1700348106140299E-2</c:v>
                </c:pt>
                <c:pt idx="6">
                  <c:v>7.7319218980322013E-2</c:v>
                </c:pt>
                <c:pt idx="7">
                  <c:v>0.20965308614666145</c:v>
                </c:pt>
                <c:pt idx="8">
                  <c:v>0.46490927468392806</c:v>
                </c:pt>
                <c:pt idx="9">
                  <c:v>0.8859759780864751</c:v>
                </c:pt>
                <c:pt idx="10">
                  <c:v>1.5031011517903643</c:v>
                </c:pt>
                <c:pt idx="11">
                  <c:v>2.3294969019576044</c:v>
                </c:pt>
                <c:pt idx="12">
                  <c:v>3.3619716983965144</c:v>
                </c:pt>
                <c:pt idx="13">
                  <c:v>4.5847714351779683</c:v>
                </c:pt>
                <c:pt idx="14">
                  <c:v>5.9745119079321185</c:v>
                </c:pt>
                <c:pt idx="15">
                  <c:v>7.5046908789102424</c:v>
                </c:pt>
                <c:pt idx="16">
                  <c:v>9.1490567377381851</c:v>
                </c:pt>
                <c:pt idx="17">
                  <c:v>10.88370849153922</c:v>
                </c:pt>
                <c:pt idx="18">
                  <c:v>12.688126160703082</c:v>
                </c:pt>
                <c:pt idx="19">
                  <c:v>14.545440554435192</c:v>
                </c:pt>
                <c:pt idx="20">
                  <c:v>16.442237251795174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B6F-4151-90ED-24E459586C81}"/>
            </c:ext>
          </c:extLst>
        </c:ser>
        <c:ser>
          <c:idx val="16"/>
          <c:order val="16"/>
          <c:tx>
            <c:strRef>
              <c:f>BS!$V$5</c:f>
              <c:strCache>
                <c:ptCount val="1"/>
                <c:pt idx="0">
                  <c:v> 344 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BS!$E$6:$E$26</c:f>
              <c:numCache>
                <c:formatCode>General</c:formatCode>
                <c:ptCount val="21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</c:numCache>
            </c:numRef>
          </c:cat>
          <c:val>
            <c:numRef>
              <c:f>BS!$V$6:$V$26</c:f>
              <c:numCache>
                <c:formatCode>0.0</c:formatCode>
                <c:ptCount val="21"/>
                <c:pt idx="0">
                  <c:v>6.9043039000971104E-10</c:v>
                </c:pt>
                <c:pt idx="1">
                  <c:v>5.8428810589025789E-7</c:v>
                </c:pt>
                <c:pt idx="2">
                  <c:v>4.0145625819196706E-5</c:v>
                </c:pt>
                <c:pt idx="3">
                  <c:v>7.2547632898882324E-4</c:v>
                </c:pt>
                <c:pt idx="4">
                  <c:v>5.8694582270618911E-3</c:v>
                </c:pt>
                <c:pt idx="5">
                  <c:v>2.8142085062548228E-2</c:v>
                </c:pt>
                <c:pt idx="6">
                  <c:v>9.416885911444739E-2</c:v>
                </c:pt>
                <c:pt idx="7">
                  <c:v>0.24362788145441261</c:v>
                </c:pt>
                <c:pt idx="8">
                  <c:v>0.52144134239070583</c:v>
                </c:pt>
                <c:pt idx="9">
                  <c:v>0.96735191502982687</c:v>
                </c:pt>
                <c:pt idx="10">
                  <c:v>1.6079316000293193</c:v>
                </c:pt>
                <c:pt idx="11">
                  <c:v>2.4534350696697196</c:v>
                </c:pt>
                <c:pt idx="12">
                  <c:v>3.499064361508486</c:v>
                </c:pt>
                <c:pt idx="13">
                  <c:v>4.7288144601652053</c:v>
                </c:pt>
                <c:pt idx="14">
                  <c:v>6.1200383845923412</c:v>
                </c:pt>
                <c:pt idx="15">
                  <c:v>7.6474918367930442</c:v>
                </c:pt>
                <c:pt idx="16">
                  <c:v>9.2863066163809584</c:v>
                </c:pt>
                <c:pt idx="17">
                  <c:v>11.013832519708451</c:v>
                </c:pt>
                <c:pt idx="18">
                  <c:v>12.810541755112659</c:v>
                </c:pt>
                <c:pt idx="19">
                  <c:v>14.660269389675797</c:v>
                </c:pt>
                <c:pt idx="20">
                  <c:v>16.550044972353824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B6F-4151-90ED-24E459586C81}"/>
            </c:ext>
          </c:extLst>
        </c:ser>
        <c:ser>
          <c:idx val="17"/>
          <c:order val="17"/>
          <c:tx>
            <c:strRef>
              <c:f>BS!$W$5</c:f>
              <c:strCache>
                <c:ptCount val="1"/>
                <c:pt idx="0">
                  <c:v> 365 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BS!$E$6:$E$26</c:f>
              <c:numCache>
                <c:formatCode>General</c:formatCode>
                <c:ptCount val="21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</c:numCache>
            </c:numRef>
          </c:cat>
          <c:val>
            <c:numRef>
              <c:f>BS!$W$6:$W$26</c:f>
              <c:numCache>
                <c:formatCode>0.0</c:formatCode>
                <c:ptCount val="21"/>
                <c:pt idx="0">
                  <c:v>2.1844034144108572E-9</c:v>
                </c:pt>
                <c:pt idx="1">
                  <c:v>1.283883157652225E-6</c:v>
                </c:pt>
                <c:pt idx="2">
                  <c:v>7.0525651334572641E-5</c:v>
                </c:pt>
                <c:pt idx="3">
                  <c:v>1.0978167542800132E-3</c:v>
                </c:pt>
                <c:pt idx="4">
                  <c:v>8.0003132164619267E-3</c:v>
                </c:pt>
                <c:pt idx="5">
                  <c:v>3.556595549954622E-2</c:v>
                </c:pt>
                <c:pt idx="6">
                  <c:v>0.11254739510575307</c:v>
                </c:pt>
                <c:pt idx="7">
                  <c:v>0.27924597081880442</c:v>
                </c:pt>
                <c:pt idx="8">
                  <c:v>0.57906176227939143</c:v>
                </c:pt>
                <c:pt idx="9">
                  <c:v>1.0486950824634302</c:v>
                </c:pt>
                <c:pt idx="10">
                  <c:v>1.7113900671100861</c:v>
                </c:pt>
                <c:pt idx="11">
                  <c:v>2.5748292284956786</c:v>
                </c:pt>
                <c:pt idx="12">
                  <c:v>3.632870364512403</c:v>
                </c:pt>
                <c:pt idx="13">
                  <c:v>4.8693436455392032</c:v>
                </c:pt>
                <c:pt idx="14">
                  <c:v>6.2622802769617607</c:v>
                </c:pt>
                <c:pt idx="15">
                  <c:v>7.78755518024591</c:v>
                </c:pt>
                <c:pt idx="16">
                  <c:v>9.4215267460528089</c:v>
                </c:pt>
                <c:pt idx="17">
                  <c:v>11.14266105306632</c:v>
                </c:pt>
                <c:pt idx="18">
                  <c:v>12.932328141337564</c:v>
                </c:pt>
                <c:pt idx="19">
                  <c:v>14.77501452956616</c:v>
                </c:pt>
                <c:pt idx="20">
                  <c:v>16.65817495510095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B6F-4151-90ED-24E459586C81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981460576"/>
        <c:axId val="981466336"/>
        <c:axId val="982994544"/>
      </c:surface3DChart>
      <c:catAx>
        <c:axId val="981460576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Precio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466336"/>
        <c:crosses val="autoZero"/>
        <c:auto val="1"/>
        <c:lblAlgn val="ctr"/>
        <c:lblOffset val="100"/>
        <c:noMultiLvlLbl val="0"/>
      </c:catAx>
      <c:valAx>
        <c:axId val="98146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P/L ($)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460576"/>
        <c:crosses val="autoZero"/>
        <c:crossBetween val="midCat"/>
      </c:valAx>
      <c:serAx>
        <c:axId val="982994544"/>
        <c:scaling>
          <c:orientation val="maxMin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Tiempo</a:t>
                </a:r>
                <a:r>
                  <a:rPr lang="en-US" baseline="0"/>
                  <a:t> (dias)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46633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A8658-7B2B-4A57-A1A3-2B2F6D320C5F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17</xdr:row>
      <xdr:rowOff>90014</xdr:rowOff>
    </xdr:from>
    <xdr:to>
      <xdr:col>12</xdr:col>
      <xdr:colOff>0</xdr:colOff>
      <xdr:row>24</xdr:row>
      <xdr:rowOff>190556</xdr:rowOff>
    </xdr:to>
    <xdr:pic>
      <xdr:nvPicPr>
        <xdr:cNvPr id="2" name="4 Imagen" descr="Resultado de imagen para risk management consulting">
          <a:extLst>
            <a:ext uri="{FF2B5EF4-FFF2-40B4-BE49-F238E27FC236}">
              <a16:creationId xmlns:a16="http://schemas.microsoft.com/office/drawing/2014/main" id="{E00E47BD-D693-4029-9BF8-41323D5660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614264"/>
          <a:ext cx="8953500" cy="15007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12959013" cy="94372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410B82-2716-F7A1-F300-677C2CEB5BB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66675</xdr:colOff>
      <xdr:row>0</xdr:row>
      <xdr:rowOff>0</xdr:rowOff>
    </xdr:from>
    <xdr:to>
      <xdr:col>11</xdr:col>
      <xdr:colOff>339725</xdr:colOff>
      <xdr:row>3</xdr:row>
      <xdr:rowOff>116364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ED1D2A-0ECA-73B2-D305-160D77077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0"/>
          <a:ext cx="2301875" cy="6592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:/Users/David/Dropbox/dh-library/_xls/_2009/1a/1_a_6_practicebag_v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dministrador1/Desktop/CLASE%20INVERSI&#211;N%20BURS&#193;TIL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belcornejohernandez/Library/Containers/com.microsoft.Excel/Data/Desktop/Trading/Calculadoras%20Money%20Management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:/Dropbox/bt-content/FRM/FRM%20XLS/XLS-2012/T1/T1%202012%20XLS%20bundle_v090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belcornejohernandez/Desktop/Negocio%2015%20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02%20RYSC\Diplomado%20Riesgos\Aplicaciones\Riesgo%20de%20Cr&#233;dito%20ok\AP6%20Estimaci&#243;n%20LGD%20(Curso)%2020160910%20ok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:/Users/David%20Harper/Documents/_xls/invest/RAPM_v1.xls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microsoft.com/office/2019/04/relationships/externalLinkLongPath" Target="/C:/Users/Cornejo/OneDrive/Proyecto/Cursos/Cursos/Evaluacio&#769;n%20de%20proyectos/Apuntes/ABEL%202015/ABEL%203/ABEL/Respaldo%20Informaci&#243;n/Desktop/AAA/ABEL/ABEL/HISTORY/CLASES%2010-3/HISTORY/SEMINARIO%20DE%20FINANZAS/CLASES%2010-1/EXCEL%20CLASES/prestamos.xls?710E67FC" TargetMode="External"/><Relationship Id="rId1" Type="http://schemas.openxmlformats.org/officeDocument/2006/relationships/externalLinkPath" Target="file:///\\710E67FC\prestamo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Cornejo/Desktop/Proyecto/CLASES%2011-2/REVISAR%20MDOS%20ANAHUAC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dministrador1/Desktop/PRONOSTICO%20USD%202%20Y%20FUTURO%20DIVISAS.xlsx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microsoft.com/office/2019/04/relationships/externalLinkLongPath" Target="/C:/Users/abelcornejohernandez/Desktop/ABEL%202015/ABEL%203/ABEL/Respaldo%20Informaci&#243;n/Desktop/AAA/ABEL/ABEL/HISTORY/CLASES%2010-3/CLASE%20ECONOMETRIA/CLASE%20INGENER&#205;A%20FINANCIERA/CLASES%2010-2/HISTORY/CLASES%2009-2/NOTAS%20US%20DOLLAR.xlsx?84D89C2C" TargetMode="External"/><Relationship Id="rId1" Type="http://schemas.openxmlformats.org/officeDocument/2006/relationships/externalLinkPath" Target="file:///\\84D89C2C\NOTAS%20US%20DOLL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ropbox/bt-content-shared/FRM/FRM%20XLS/T1%202013%20XLS%20bundle_v0315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bel/Desktop/CLASES%202013/INGENIER&#205;A%20FINANCIERA/CLASE%20DE%20RIESGOS/CLASES%2010-2/HISTORY/CLASES%2009-2/HISTORY/VARIOS/CLASES%2009-1-a/MATERIAL/B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actice_bag_1a"/>
      <sheetName val="Simple one-asset VaR"/>
      <sheetName val="CML"/>
      <sheetName val="SML"/>
      <sheetName val="SML_CAPM"/>
      <sheetName val="RAPMs"/>
      <sheetName val="Grinold 7.1 &amp; 7.2"/>
      <sheetName val="Sheet2"/>
    </sheetNames>
    <sheetDataSet>
      <sheetData sheetId="0"/>
      <sheetData sheetId="1">
        <row r="5">
          <cell r="C5">
            <v>0.01</v>
          </cell>
        </row>
      </sheetData>
      <sheetData sheetId="2">
        <row r="30">
          <cell r="K30">
            <v>0.1</v>
          </cell>
        </row>
      </sheetData>
      <sheetData sheetId="3">
        <row r="2">
          <cell r="D2">
            <v>7.0000000000000007E-2</v>
          </cell>
        </row>
        <row r="22">
          <cell r="D22">
            <v>5.1794872097691153E-2</v>
          </cell>
        </row>
        <row r="29">
          <cell r="D29">
            <v>-1.4820908808832704E-8</v>
          </cell>
          <cell r="E29">
            <v>0.579207911169212</v>
          </cell>
          <cell r="F29">
            <v>1.0618811828276458</v>
          </cell>
          <cell r="G29">
            <v>1</v>
          </cell>
          <cell r="H29">
            <v>1.5445544544860796</v>
          </cell>
          <cell r="I29">
            <v>2.0272277261445137</v>
          </cell>
          <cell r="J29">
            <v>2.5099009978029474</v>
          </cell>
        </row>
      </sheetData>
      <sheetData sheetId="4">
        <row r="6">
          <cell r="D6">
            <v>0.08</v>
          </cell>
        </row>
      </sheetData>
      <sheetData sheetId="5">
        <row r="19">
          <cell r="D19">
            <v>0.41025641004275859</v>
          </cell>
        </row>
      </sheetData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TE91"/>
      <sheetName val="CETE E"/>
      <sheetName val="CETE V"/>
      <sheetName val="CETE MS"/>
      <sheetName val="BONO M"/>
      <sheetName val="BONO M5 E"/>
      <sheetName val="BONO M20"/>
      <sheetName val="M OK"/>
      <sheetName val="UDIBONO C"/>
      <sheetName val="UDIBONO"/>
      <sheetName val="UDIBONO CLASE"/>
      <sheetName val="BONDES182"/>
      <sheetName val="DM 0"/>
      <sheetName val="PORTAFOLI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>
        <row r="8">
          <cell r="J8">
            <v>-0.01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átula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C"/>
      <sheetName val="1a.1.IntroToVaR(2Assets)"/>
      <sheetName val="1a.1.IntroToVaR(HS)"/>
      <sheetName val="1a.2.Stulz(CDF)"/>
      <sheetName val="1a.2.Stulz(MV)"/>
      <sheetName val="1a.2.Stulz(HedgeIrrelev)"/>
      <sheetName val="1a.2.Stulz(bankruptcy)"/>
      <sheetName val="1a.2.Stulz(taxes)"/>
      <sheetName val="1a.2.Stulz(overhang)"/>
      <sheetName val="1b.1.CAPM (PP Curve)"/>
      <sheetName val="1b.1.CAPM(Market Portfolio)"/>
      <sheetName val="1b.1.CAPM(CML)"/>
      <sheetName val="1b.1.CAPM(SML)"/>
      <sheetName val="1b.2.APT(S&amp;P)"/>
      <sheetName val="1b.2.APT(Port)"/>
      <sheetName val="1b.2.APT(Grinold)"/>
      <sheetName val="1b.3.RAPMs"/>
      <sheetName val="1b.4.Sortino"/>
      <sheetName val="1b.5.PracticeBag"/>
    </sheetNames>
    <sheetDataSet>
      <sheetData sheetId="0"/>
      <sheetData sheetId="1"/>
      <sheetData sheetId="2"/>
      <sheetData sheetId="3">
        <row r="9">
          <cell r="C9">
            <v>0.1</v>
          </cell>
        </row>
      </sheetData>
      <sheetData sheetId="4"/>
      <sheetData sheetId="5">
        <row r="5">
          <cell r="C5">
            <v>0.05</v>
          </cell>
        </row>
        <row r="6">
          <cell r="C6">
            <v>0.06</v>
          </cell>
        </row>
        <row r="7">
          <cell r="C7">
            <v>350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9">
          <cell r="D19">
            <v>0.3333333333333332</v>
          </cell>
        </row>
      </sheetData>
      <sheetData sheetId="17">
        <row r="2">
          <cell r="K2">
            <v>0.04</v>
          </cell>
        </row>
        <row r="3">
          <cell r="K3">
            <v>0.05</v>
          </cell>
        </row>
        <row r="4">
          <cell r="P4">
            <v>0.1</v>
          </cell>
        </row>
        <row r="5">
          <cell r="O5">
            <v>0.08</v>
          </cell>
          <cell r="P5">
            <v>0.1</v>
          </cell>
        </row>
        <row r="6">
          <cell r="K6">
            <v>4.8555179198784722E-2</v>
          </cell>
          <cell r="O6">
            <v>0.5</v>
          </cell>
        </row>
      </sheetData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row Down"/>
      <sheetName val="Opciones"/>
      <sheetName val="Intro Por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6"/>
      <sheetName val="Estimación LGD"/>
      <sheetName val="Base Recuperaciones"/>
      <sheetName val="Base Castigos"/>
    </sheetNames>
    <sheetDataSet>
      <sheetData sheetId="0"/>
      <sheetData sheetId="1">
        <row r="37">
          <cell r="C37">
            <v>0.35</v>
          </cell>
        </row>
      </sheetData>
      <sheetData sheetId="2"/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PM_v1"/>
      <sheetName val="RAPM_v1 (screen)"/>
    </sheetNames>
    <sheetDataSet>
      <sheetData sheetId="0">
        <row r="4">
          <cell r="D4">
            <v>0.14000000000000001</v>
          </cell>
          <cell r="H4">
            <v>0.04</v>
          </cell>
        </row>
        <row r="5">
          <cell r="D5">
            <v>0.3</v>
          </cell>
        </row>
        <row r="7">
          <cell r="D7">
            <v>0.03</v>
          </cell>
        </row>
        <row r="8">
          <cell r="D8">
            <v>5</v>
          </cell>
        </row>
        <row r="9">
          <cell r="H9">
            <v>0.10400000000000001</v>
          </cell>
        </row>
      </sheetData>
      <sheetData sheetId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senta"/>
      <sheetName val="Ej1"/>
      <sheetName val="Ej2"/>
      <sheetName val="Ej3"/>
      <sheetName val="Ej4"/>
      <sheetName val="Ej5"/>
      <sheetName val="Ej6"/>
      <sheetName val="Ej7"/>
      <sheetName val="Ej8"/>
      <sheetName val="Ej9"/>
      <sheetName val="Ej10"/>
      <sheetName val="Ej11"/>
      <sheetName val="Ej12"/>
      <sheetName val="Ej13"/>
      <sheetName val="Ej14"/>
      <sheetName val="Ej15"/>
      <sheetName val="Ej16"/>
    </sheetNames>
    <sheetDataSet>
      <sheetData sheetId="0"/>
      <sheetData sheetId="1"/>
      <sheetData sheetId="2"/>
      <sheetData sheetId="3"/>
      <sheetData sheetId="4"/>
      <sheetData sheetId="5"/>
      <sheetData sheetId="6">
        <row r="13">
          <cell r="L13">
            <v>1</v>
          </cell>
          <cell r="M13">
            <v>0.02</v>
          </cell>
          <cell r="N13">
            <v>2.5000000000000001E-2</v>
          </cell>
          <cell r="O13">
            <v>2.0598362698427408E-3</v>
          </cell>
        </row>
        <row r="14">
          <cell r="L14">
            <v>2</v>
          </cell>
          <cell r="M14">
            <v>2.1999999999999999E-2</v>
          </cell>
          <cell r="N14">
            <v>2.7E-2</v>
          </cell>
          <cell r="O14">
            <v>2.2226272943570713E-3</v>
          </cell>
        </row>
        <row r="15">
          <cell r="L15">
            <v>3</v>
          </cell>
          <cell r="M15">
            <v>2.4E-2</v>
          </cell>
          <cell r="N15">
            <v>2.9000000000000001E-2</v>
          </cell>
          <cell r="O15">
            <v>2.3851279739270925E-3</v>
          </cell>
        </row>
        <row r="16">
          <cell r="L16">
            <v>4</v>
          </cell>
          <cell r="M16">
            <v>2.5999999999999999E-2</v>
          </cell>
          <cell r="N16">
            <v>3.1E-2</v>
          </cell>
          <cell r="O16">
            <v>2.5473393892132545E-3</v>
          </cell>
        </row>
        <row r="17">
          <cell r="L17">
            <v>5</v>
          </cell>
          <cell r="M17">
            <v>2.8000000000000001E-2</v>
          </cell>
          <cell r="N17">
            <v>3.3000000000000002E-2</v>
          </cell>
          <cell r="O17">
            <v>2.7092626147666721E-3</v>
          </cell>
        </row>
        <row r="18">
          <cell r="L18">
            <v>6</v>
          </cell>
          <cell r="M18">
            <v>0.03</v>
          </cell>
          <cell r="N18">
            <v>3.4999999999999996E-2</v>
          </cell>
          <cell r="O18">
            <v>2.8708987190766422E-3</v>
          </cell>
        </row>
        <row r="19">
          <cell r="L19">
            <v>7</v>
          </cell>
          <cell r="M19">
            <v>3.2000000000000001E-2</v>
          </cell>
          <cell r="N19">
            <v>3.6999999999999998E-2</v>
          </cell>
          <cell r="O19">
            <v>3.0322487646148311E-3</v>
          </cell>
        </row>
        <row r="20">
          <cell r="L20">
            <v>8</v>
          </cell>
          <cell r="M20">
            <v>3.4000000000000002E-2</v>
          </cell>
          <cell r="N20">
            <v>3.9E-2</v>
          </cell>
          <cell r="O20">
            <v>3.1933138078821255E-3</v>
          </cell>
        </row>
        <row r="21">
          <cell r="L21">
            <v>9</v>
          </cell>
          <cell r="M21">
            <v>3.5999999999999997E-2</v>
          </cell>
          <cell r="N21">
            <v>4.0999999999999995E-2</v>
          </cell>
          <cell r="O21">
            <v>3.3540948994528197E-3</v>
          </cell>
        </row>
        <row r="22">
          <cell r="L22">
            <v>10</v>
          </cell>
          <cell r="M22">
            <v>3.7999999999999999E-2</v>
          </cell>
          <cell r="N22">
            <v>4.2999999999999997E-2</v>
          </cell>
          <cell r="O22">
            <v>3.5145930840192463E-3</v>
          </cell>
        </row>
      </sheetData>
      <sheetData sheetId="7"/>
      <sheetData sheetId="8"/>
      <sheetData sheetId="9"/>
      <sheetData sheetId="10">
        <row r="5">
          <cell r="L5">
            <v>1</v>
          </cell>
          <cell r="M5">
            <v>0.02</v>
          </cell>
          <cell r="N5">
            <v>2.5000000000000001E-2</v>
          </cell>
          <cell r="O5">
            <v>2.0598362698427408E-3</v>
          </cell>
        </row>
        <row r="6">
          <cell r="L6">
            <v>2</v>
          </cell>
          <cell r="M6">
            <v>2.1999999999999999E-2</v>
          </cell>
          <cell r="N6">
            <v>2.7E-2</v>
          </cell>
          <cell r="O6">
            <v>2.2226272943570713E-3</v>
          </cell>
        </row>
        <row r="7">
          <cell r="L7">
            <v>3</v>
          </cell>
          <cell r="M7">
            <v>2.4E-2</v>
          </cell>
          <cell r="N7">
            <v>2.9000000000000001E-2</v>
          </cell>
          <cell r="O7">
            <v>2.3851279739270925E-3</v>
          </cell>
        </row>
        <row r="8">
          <cell r="L8">
            <v>4</v>
          </cell>
          <cell r="M8">
            <v>2.5999999999999999E-2</v>
          </cell>
          <cell r="N8">
            <v>3.1E-2</v>
          </cell>
          <cell r="O8">
            <v>2.5473393892132545E-3</v>
          </cell>
        </row>
        <row r="9">
          <cell r="L9">
            <v>5</v>
          </cell>
          <cell r="M9">
            <v>2.8000000000000001E-2</v>
          </cell>
          <cell r="N9">
            <v>3.3000000000000002E-2</v>
          </cell>
          <cell r="O9">
            <v>2.7092626147666721E-3</v>
          </cell>
        </row>
        <row r="10">
          <cell r="L10">
            <v>6</v>
          </cell>
          <cell r="M10">
            <v>0.03</v>
          </cell>
          <cell r="N10">
            <v>3.4999999999999996E-2</v>
          </cell>
          <cell r="O10">
            <v>2.8708987190766422E-3</v>
          </cell>
        </row>
        <row r="11">
          <cell r="L11">
            <v>7</v>
          </cell>
          <cell r="M11">
            <v>3.2000000000000001E-2</v>
          </cell>
          <cell r="N11">
            <v>3.6999999999999998E-2</v>
          </cell>
          <cell r="O11">
            <v>3.0322487646148311E-3</v>
          </cell>
        </row>
        <row r="12">
          <cell r="L12">
            <v>8</v>
          </cell>
          <cell r="M12">
            <v>3.4000000000000002E-2</v>
          </cell>
          <cell r="N12">
            <v>3.9E-2</v>
          </cell>
          <cell r="O12">
            <v>3.1933138078821255E-3</v>
          </cell>
        </row>
        <row r="13">
          <cell r="L13">
            <v>9</v>
          </cell>
          <cell r="M13">
            <v>3.5999999999999997E-2</v>
          </cell>
          <cell r="N13">
            <v>4.0999999999999995E-2</v>
          </cell>
          <cell r="O13">
            <v>3.3540948994528197E-3</v>
          </cell>
        </row>
        <row r="14">
          <cell r="L14">
            <v>10</v>
          </cell>
          <cell r="M14">
            <v>3.7999999999999999E-2</v>
          </cell>
          <cell r="N14">
            <v>4.2999999999999997E-2</v>
          </cell>
          <cell r="O14">
            <v>3.5145930840192463E-3</v>
          </cell>
        </row>
      </sheetData>
      <sheetData sheetId="11"/>
      <sheetData sheetId="12"/>
      <sheetData sheetId="13">
        <row r="13">
          <cell r="L13">
            <v>1</v>
          </cell>
          <cell r="M13">
            <v>0.02</v>
          </cell>
          <cell r="N13">
            <v>2.5000000000000001E-2</v>
          </cell>
          <cell r="O13">
            <v>2.0598362698427408E-3</v>
          </cell>
        </row>
        <row r="14">
          <cell r="L14">
            <v>2</v>
          </cell>
          <cell r="M14">
            <v>2.1999999999999999E-2</v>
          </cell>
          <cell r="N14">
            <v>2.7E-2</v>
          </cell>
          <cell r="O14">
            <v>2.2226272943570713E-3</v>
          </cell>
        </row>
        <row r="15">
          <cell r="L15">
            <v>3</v>
          </cell>
          <cell r="M15">
            <v>2.4E-2</v>
          </cell>
          <cell r="N15">
            <v>2.9000000000000001E-2</v>
          </cell>
          <cell r="O15">
            <v>2.3851279739270925E-3</v>
          </cell>
        </row>
        <row r="16">
          <cell r="L16">
            <v>4</v>
          </cell>
          <cell r="M16">
            <v>2.6000000000000002E-2</v>
          </cell>
          <cell r="N16">
            <v>3.1000000000000003E-2</v>
          </cell>
          <cell r="O16">
            <v>2.5473393892132545E-3</v>
          </cell>
        </row>
        <row r="17">
          <cell r="L17">
            <v>5</v>
          </cell>
          <cell r="M17">
            <v>2.8000000000000004E-2</v>
          </cell>
          <cell r="N17">
            <v>3.3000000000000002E-2</v>
          </cell>
          <cell r="O17">
            <v>2.7092626147666721E-3</v>
          </cell>
        </row>
        <row r="18">
          <cell r="L18">
            <v>6</v>
          </cell>
          <cell r="M18">
            <v>3.0000000000000006E-2</v>
          </cell>
          <cell r="N18">
            <v>3.5000000000000003E-2</v>
          </cell>
          <cell r="O18">
            <v>2.8708987190766422E-3</v>
          </cell>
        </row>
        <row r="19">
          <cell r="L19">
            <v>7</v>
          </cell>
          <cell r="M19">
            <v>3.2000000000000008E-2</v>
          </cell>
          <cell r="N19">
            <v>3.7000000000000005E-2</v>
          </cell>
          <cell r="O19">
            <v>3.0322487646148311E-3</v>
          </cell>
        </row>
        <row r="20">
          <cell r="L20">
            <v>8</v>
          </cell>
          <cell r="M20">
            <v>3.4000000000000009E-2</v>
          </cell>
          <cell r="N20">
            <v>3.9000000000000007E-2</v>
          </cell>
          <cell r="O20">
            <v>3.1933138078821255E-3</v>
          </cell>
        </row>
        <row r="21">
          <cell r="L21">
            <v>9</v>
          </cell>
          <cell r="M21">
            <v>3.6000000000000011E-2</v>
          </cell>
          <cell r="N21">
            <v>4.1000000000000009E-2</v>
          </cell>
          <cell r="O21">
            <v>3.3540948994528197E-3</v>
          </cell>
        </row>
        <row r="22">
          <cell r="L22">
            <v>10</v>
          </cell>
          <cell r="M22">
            <v>3.8000000000000013E-2</v>
          </cell>
          <cell r="N22">
            <v>4.300000000000001E-2</v>
          </cell>
          <cell r="O22">
            <v>3.5145930840192463E-3</v>
          </cell>
        </row>
      </sheetData>
      <sheetData sheetId="14"/>
      <sheetData sheetId="15"/>
      <sheetData sheetId="1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afolio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 Y E"/>
      <sheetName val="FUTURO TEÓRICO"/>
      <sheetName val="COBERTURA ESTÁTICA DIVISAS"/>
      <sheetName val="PRONOSTICO USD"/>
    </sheetNames>
    <sheetDataSet>
      <sheetData sheetId="0" refreshError="1"/>
      <sheetData sheetId="1">
        <row r="11">
          <cell r="G11">
            <v>42</v>
          </cell>
        </row>
      </sheetData>
      <sheetData sheetId="2" refreshError="1"/>
      <sheetData sheetId="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ll"/>
      <sheetName val="Condor"/>
      <sheetName val="Digital"/>
      <sheetName val="call y puts"/>
    </sheetNames>
    <sheetDataSet>
      <sheetData sheetId="0">
        <row r="7">
          <cell r="C7">
            <v>10.9</v>
          </cell>
        </row>
        <row r="8">
          <cell r="C8">
            <v>11.4</v>
          </cell>
        </row>
        <row r="9">
          <cell r="C9">
            <v>7.5999999999999998E-2</v>
          </cell>
        </row>
        <row r="10">
          <cell r="C10">
            <v>180</v>
          </cell>
        </row>
        <row r="11">
          <cell r="C11">
            <v>0.05</v>
          </cell>
        </row>
        <row r="12">
          <cell r="C12">
            <v>4.7500000000000001E-2</v>
          </cell>
        </row>
      </sheetData>
      <sheetData sheetId="1" refreshError="1"/>
      <sheetData sheetId="2" refreshError="1"/>
      <sheetData sheetId="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C"/>
      <sheetName val="1. IFC ERM (discount rates)"/>
      <sheetName val="2.5. Elton PP Curve"/>
      <sheetName val="2.5b. Elton Market Portfolio"/>
      <sheetName val="2.13 Elton CML"/>
      <sheetName val="2.13. Elton CAPM (SML)"/>
      <sheetName val="3.4 Amenc RAPM"/>
      <sheetName val="3.4. Bodie (RAPM)"/>
      <sheetName val="3.4. Amenc Sortino"/>
      <sheetName val="3.4. Amence RAPM PracticeBag"/>
      <sheetName val="A.1. IntroToVaR (2Assets)"/>
      <sheetName val="A.2. VaR HS"/>
      <sheetName val="A.3. Stulz (bankruptcy)"/>
      <sheetName val="A.3. Stulz (taxes)"/>
      <sheetName val="A.3. Stulz (overhang)"/>
      <sheetName val="A.4. APT (Grinold)"/>
      <sheetName val="A.4. APT (S&amp;P)"/>
      <sheetName val="A.4. APT (Port)"/>
    </sheetNames>
    <sheetDataSet>
      <sheetData sheetId="0"/>
      <sheetData sheetId="1"/>
      <sheetData sheetId="2">
        <row r="10">
          <cell r="H10">
            <v>0.19</v>
          </cell>
        </row>
      </sheetData>
      <sheetData sheetId="3">
        <row r="23">
          <cell r="H23">
            <v>0.19</v>
          </cell>
        </row>
      </sheetData>
      <sheetData sheetId="4">
        <row r="10">
          <cell r="H10">
            <v>0.06</v>
          </cell>
        </row>
      </sheetData>
      <sheetData sheetId="5">
        <row r="32">
          <cell r="C32">
            <v>6.0689354744398141E-2</v>
          </cell>
        </row>
      </sheetData>
      <sheetData sheetId="6">
        <row r="10">
          <cell r="D10">
            <v>0.04</v>
          </cell>
          <cell r="E10">
            <v>0.05</v>
          </cell>
          <cell r="F10">
            <v>0.06</v>
          </cell>
          <cell r="G10">
            <v>0.06</v>
          </cell>
          <cell r="H10">
            <v>7.0000000000000007E-2</v>
          </cell>
          <cell r="I10">
            <v>0.08</v>
          </cell>
          <cell r="J10">
            <v>0.08</v>
          </cell>
        </row>
      </sheetData>
      <sheetData sheetId="7"/>
      <sheetData sheetId="8">
        <row r="2">
          <cell r="K2">
            <v>0.04</v>
          </cell>
        </row>
      </sheetData>
      <sheetData sheetId="9"/>
      <sheetData sheetId="10"/>
      <sheetData sheetId="11">
        <row r="5">
          <cell r="C5">
            <v>0.01</v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olatilidad H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orgeluis.reyes@ciencias.unam.mx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asdaq.com/market-activity/stocks/aapl/option-chain/call-put-options/aapl--250801c00210000" TargetMode="External"/><Relationship Id="rId13" Type="http://schemas.openxmlformats.org/officeDocument/2006/relationships/hyperlink" Target="https://www.nasdaq.com/market-activity/stocks/aapl/option-chain/call-put-options/aapl--250801c00222500" TargetMode="External"/><Relationship Id="rId18" Type="http://schemas.openxmlformats.org/officeDocument/2006/relationships/hyperlink" Target="https://www.nasdaq.com/market-activity/stocks/aapl/option-chain/call-put-options/aapl--250801c00235000" TargetMode="External"/><Relationship Id="rId3" Type="http://schemas.openxmlformats.org/officeDocument/2006/relationships/hyperlink" Target="https://www.nasdaq.com/market-activity/stocks/aapl/option-chain/call-put-options/aapl--250801c00197500" TargetMode="External"/><Relationship Id="rId7" Type="http://schemas.openxmlformats.org/officeDocument/2006/relationships/hyperlink" Target="https://www.nasdaq.com/market-activity/stocks/aapl/option-chain/call-put-options/aapl--250801c00207500" TargetMode="External"/><Relationship Id="rId12" Type="http://schemas.openxmlformats.org/officeDocument/2006/relationships/hyperlink" Target="https://www.nasdaq.com/market-activity/stocks/aapl/option-chain/call-put-options/aapl--250801c00220000" TargetMode="External"/><Relationship Id="rId17" Type="http://schemas.openxmlformats.org/officeDocument/2006/relationships/hyperlink" Target="https://www.nasdaq.com/market-activity/stocks/aapl/option-chain/call-put-options/aapl--250801c00232500" TargetMode="External"/><Relationship Id="rId2" Type="http://schemas.openxmlformats.org/officeDocument/2006/relationships/hyperlink" Target="https://www.nasdaq.com/market-activity/stocks/aapl/option-chain/call-put-options/aapl--250801c00195000" TargetMode="External"/><Relationship Id="rId16" Type="http://schemas.openxmlformats.org/officeDocument/2006/relationships/hyperlink" Target="https://www.nasdaq.com/market-activity/stocks/aapl/option-chain/call-put-options/aapl--250801c00230000" TargetMode="External"/><Relationship Id="rId1" Type="http://schemas.openxmlformats.org/officeDocument/2006/relationships/hyperlink" Target="https://www.nasdaq.com/market-activity/stocks/aapl/option-chain/call-put-options/aapl--250801c00192500" TargetMode="External"/><Relationship Id="rId6" Type="http://schemas.openxmlformats.org/officeDocument/2006/relationships/hyperlink" Target="https://www.nasdaq.com/market-activity/stocks/aapl/option-chain/call-put-options/aapl--250801c00205000" TargetMode="External"/><Relationship Id="rId11" Type="http://schemas.openxmlformats.org/officeDocument/2006/relationships/hyperlink" Target="https://www.nasdaq.com/market-activity/stocks/aapl/option-chain/call-put-options/aapl--250801c00217500" TargetMode="External"/><Relationship Id="rId5" Type="http://schemas.openxmlformats.org/officeDocument/2006/relationships/hyperlink" Target="https://www.nasdaq.com/market-activity/stocks/aapl/option-chain/call-put-options/aapl--250801c00202500" TargetMode="External"/><Relationship Id="rId15" Type="http://schemas.openxmlformats.org/officeDocument/2006/relationships/hyperlink" Target="https://www.nasdaq.com/market-activity/stocks/aapl/option-chain/call-put-options/aapl--250801c00227500" TargetMode="External"/><Relationship Id="rId10" Type="http://schemas.openxmlformats.org/officeDocument/2006/relationships/hyperlink" Target="https://www.nasdaq.com/market-activity/stocks/aapl/option-chain/call-put-options/aapl--250801c00215000" TargetMode="External"/><Relationship Id="rId19" Type="http://schemas.openxmlformats.org/officeDocument/2006/relationships/drawing" Target="../drawings/drawing3.xml"/><Relationship Id="rId4" Type="http://schemas.openxmlformats.org/officeDocument/2006/relationships/hyperlink" Target="https://www.nasdaq.com/market-activity/stocks/aapl/option-chain/call-put-options/aapl--250801c00200000" TargetMode="External"/><Relationship Id="rId9" Type="http://schemas.openxmlformats.org/officeDocument/2006/relationships/hyperlink" Target="https://www.nasdaq.com/market-activity/stocks/aapl/option-chain/call-put-options/aapl--250801c00212500" TargetMode="External"/><Relationship Id="rId14" Type="http://schemas.openxmlformats.org/officeDocument/2006/relationships/hyperlink" Target="https://www.nasdaq.com/market-activity/stocks/aapl/option-chain/call-put-options/aapl--250801c002250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F8FF9-842D-42BF-9659-CEB4730B54D6}">
  <sheetPr codeName="Hoja1">
    <tabColor rgb="FF002060"/>
  </sheetPr>
  <dimension ref="A1:L34"/>
  <sheetViews>
    <sheetView zoomScaleNormal="100" workbookViewId="0">
      <selection activeCell="E8" sqref="E8"/>
    </sheetView>
  </sheetViews>
  <sheetFormatPr defaultColWidth="0" defaultRowHeight="15" customHeight="1" zeroHeight="1"/>
  <cols>
    <col min="1" max="1" width="5.7265625" style="2" customWidth="1"/>
    <col min="2" max="2" width="14.453125" style="2" customWidth="1"/>
    <col min="3" max="12" width="11.453125" style="2" customWidth="1"/>
    <col min="13" max="13" width="11.453125" style="2" hidden="1" customWidth="1"/>
    <col min="14" max="16384" width="11.453125" style="2" hidden="1"/>
  </cols>
  <sheetData>
    <row r="1" spans="1:12" ht="14.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14.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14.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14.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4.5"/>
    <row r="6" spans="1:12" ht="26">
      <c r="B6" s="16" t="s">
        <v>26</v>
      </c>
    </row>
    <row r="7" spans="1:12" ht="18.5">
      <c r="B7" s="3"/>
    </row>
    <row r="8" spans="1:12" s="4" customFormat="1" ht="15.5">
      <c r="B8" s="4" t="s">
        <v>0</v>
      </c>
      <c r="C8" s="4" t="s">
        <v>0</v>
      </c>
    </row>
    <row r="9" spans="1:12" s="4" customFormat="1" ht="15.5">
      <c r="B9" s="5" t="s">
        <v>1</v>
      </c>
      <c r="C9" s="4" t="s">
        <v>2</v>
      </c>
    </row>
    <row r="10" spans="1:12" s="4" customFormat="1" ht="15.5">
      <c r="B10" s="5" t="s">
        <v>0</v>
      </c>
    </row>
    <row r="11" spans="1:12" s="4" customFormat="1" ht="15.5">
      <c r="B11" s="5" t="s">
        <v>3</v>
      </c>
      <c r="C11" s="4" t="s">
        <v>15</v>
      </c>
    </row>
    <row r="12" spans="1:12" s="4" customFormat="1" ht="15.5">
      <c r="B12" s="5"/>
    </row>
    <row r="13" spans="1:12" s="4" customFormat="1" ht="15.5"/>
    <row r="14" spans="1:12" s="4" customFormat="1" ht="15.5">
      <c r="B14" s="5" t="s">
        <v>4</v>
      </c>
      <c r="C14" s="4" t="s">
        <v>5</v>
      </c>
    </row>
    <row r="15" spans="1:12" s="4" customFormat="1" ht="15.5">
      <c r="C15" s="6" t="s">
        <v>6</v>
      </c>
    </row>
    <row r="16" spans="1:12" s="4" customFormat="1" ht="15.5">
      <c r="B16" s="4" t="s">
        <v>0</v>
      </c>
    </row>
    <row r="17" spans="4:4" s="4" customFormat="1" ht="15.5">
      <c r="D17" s="4" t="s">
        <v>0</v>
      </c>
    </row>
    <row r="18" spans="4:4" s="4" customFormat="1" ht="15.5"/>
    <row r="19" spans="4:4" s="4" customFormat="1" ht="15.5"/>
    <row r="20" spans="4:4" s="4" customFormat="1" ht="15.5"/>
    <row r="21" spans="4:4" s="4" customFormat="1" ht="15.5"/>
    <row r="22" spans="4:4" s="4" customFormat="1" ht="15.5"/>
    <row r="23" spans="4:4" s="4" customFormat="1" ht="15.5"/>
    <row r="24" spans="4:4" s="4" customFormat="1" ht="15.5"/>
    <row r="25" spans="4:4" s="4" customFormat="1" ht="15.5"/>
    <row r="26" spans="4:4" s="4" customFormat="1" ht="15.5" hidden="1"/>
    <row r="27" spans="4:4" s="4" customFormat="1" ht="15.5" hidden="1"/>
    <row r="28" spans="4:4" s="4" customFormat="1" ht="15.5" hidden="1"/>
    <row r="29" spans="4:4" s="4" customFormat="1" ht="15.5" hidden="1"/>
    <row r="30" spans="4:4" ht="14.5" hidden="1"/>
    <row r="31" spans="4:4" ht="14.5" hidden="1"/>
    <row r="32" spans="4:4" ht="14.5" hidden="1"/>
    <row r="33" ht="14.5" hidden="1"/>
    <row r="34" ht="14.5" hidden="1"/>
  </sheetData>
  <hyperlinks>
    <hyperlink ref="C15" r:id="rId1" xr:uid="{D24FD8FE-3D2A-4D17-A9E3-490DB84A647E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72B29-FDA1-450E-9914-7A000CF3C1C1}">
  <sheetPr codeName="Hoja2"/>
  <dimension ref="B2:W31"/>
  <sheetViews>
    <sheetView zoomScale="90" zoomScaleNormal="90" workbookViewId="0">
      <selection activeCell="F6" sqref="F6"/>
    </sheetView>
  </sheetViews>
  <sheetFormatPr defaultColWidth="11.453125" defaultRowHeight="14.5"/>
  <cols>
    <col min="1" max="1" width="3.7265625" style="8" customWidth="1"/>
    <col min="2" max="2" width="19.54296875" style="8" customWidth="1"/>
    <col min="3" max="3" width="11.81640625" style="8" bestFit="1" customWidth="1"/>
    <col min="4" max="4" width="3.7265625" style="8" customWidth="1"/>
    <col min="5" max="5" width="11.453125" style="8"/>
    <col min="6" max="6" width="12.36328125" style="8" bestFit="1" customWidth="1"/>
    <col min="7" max="16384" width="11.453125" style="8"/>
  </cols>
  <sheetData>
    <row r="2" spans="2:23">
      <c r="B2" s="10" t="s">
        <v>14</v>
      </c>
    </row>
    <row r="3" spans="2:23">
      <c r="B3" s="10"/>
    </row>
    <row r="4" spans="2:23">
      <c r="F4" s="8" t="s">
        <v>9</v>
      </c>
    </row>
    <row r="5" spans="2:23">
      <c r="B5" s="11" t="s">
        <v>16</v>
      </c>
      <c r="C5" s="20">
        <v>25</v>
      </c>
      <c r="E5" s="8" t="s">
        <v>8</v>
      </c>
      <c r="F5" s="13">
        <v>10</v>
      </c>
      <c r="G5" s="13">
        <v>30.882352941176471</v>
      </c>
      <c r="H5" s="13">
        <v>51.764705882352942</v>
      </c>
      <c r="I5" s="13">
        <v>72.64705882352942</v>
      </c>
      <c r="J5" s="13">
        <v>93.529411764705884</v>
      </c>
      <c r="K5" s="13">
        <v>114.41176470588235</v>
      </c>
      <c r="L5" s="13">
        <v>135.29411764705881</v>
      </c>
      <c r="M5" s="13">
        <v>156.17647058823528</v>
      </c>
      <c r="N5" s="13">
        <v>177.05882352941174</v>
      </c>
      <c r="O5" s="13">
        <v>197.9411764705882</v>
      </c>
      <c r="P5" s="13">
        <v>218.82352941176467</v>
      </c>
      <c r="Q5" s="13">
        <v>239.70588235294113</v>
      </c>
      <c r="R5" s="13">
        <v>260.58823529411762</v>
      </c>
      <c r="S5" s="13">
        <v>281.47058823529409</v>
      </c>
      <c r="T5" s="13">
        <v>302.35294117647055</v>
      </c>
      <c r="U5" s="13">
        <v>323.23529411764702</v>
      </c>
      <c r="V5" s="13">
        <v>344.11764705882348</v>
      </c>
      <c r="W5" s="13">
        <v>364.99999999999994</v>
      </c>
    </row>
    <row r="6" spans="2:23">
      <c r="B6" s="11" t="s">
        <v>10</v>
      </c>
      <c r="C6" s="20">
        <v>30</v>
      </c>
      <c r="E6" s="17">
        <v>5</v>
      </c>
      <c r="F6" s="23" cm="1">
        <f t="array" ref="F6">BS($E6,$C$6,$C$7,$C$8,F$5,$C$11)</f>
        <v>6.5381957715633662E-283</v>
      </c>
      <c r="G6" s="23" cm="1">
        <f t="array" ref="G6">BS($E6,$C$6,$C$7,$C$8,G$5,$C$11)</f>
        <v>1.2737984764529598E-93</v>
      </c>
      <c r="H6" s="23" cm="1">
        <f t="array" ref="H6">BS($E6,$C$6,$C$7,$C$8,H$5,$C$11)</f>
        <v>7.3353718748718443E-57</v>
      </c>
      <c r="I6" s="23" cm="1">
        <f t="array" ref="I6">BS($E6,$C$6,$C$7,$C$8,I$5,$C$11)</f>
        <v>3.7059945840351487E-41</v>
      </c>
      <c r="J6" s="23" cm="1">
        <f t="array" ref="J6">BS($E6,$C$6,$C$7,$C$8,J$5,$C$11)</f>
        <v>2.0030480219887814E-32</v>
      </c>
      <c r="K6" s="23" cm="1">
        <f t="array" ref="K6">BS($E6,$C$6,$C$7,$C$8,K$5,$C$11)</f>
        <v>7.460288636745915E-27</v>
      </c>
      <c r="L6" s="23" cm="1">
        <f t="array" ref="L6">BS($E6,$C$6,$C$7,$C$8,L$5,$C$11)</f>
        <v>5.5199338612519339E-23</v>
      </c>
      <c r="M6" s="23" cm="1">
        <f t="array" ref="M6">BS($E6,$C$6,$C$7,$C$8,M$5,$C$11)</f>
        <v>3.8852508801205874E-20</v>
      </c>
      <c r="N6" s="23" cm="1">
        <f t="array" ref="N6">BS($E6,$C$6,$C$7,$C$8,N$5,$C$11)</f>
        <v>5.9581185822743622E-18</v>
      </c>
      <c r="O6" s="23" cm="1">
        <f t="array" ref="O6">BS($E6,$C$6,$C$7,$C$8,O$5,$C$11)</f>
        <v>3.216392286107895E-16</v>
      </c>
      <c r="P6" s="23" cm="1">
        <f t="array" ref="P6">BS($E6,$C$6,$C$7,$C$8,P$5,$C$11)</f>
        <v>8.2268991075935244E-15</v>
      </c>
      <c r="Q6" s="23" cm="1">
        <f t="array" ref="Q6">BS($E6,$C$6,$C$7,$C$8,Q$5,$C$11)</f>
        <v>1.2103727175054183E-13</v>
      </c>
      <c r="R6" s="23" cm="1">
        <f t="array" ref="R6">BS($E6,$C$6,$C$7,$C$8,R$5,$C$11)</f>
        <v>1.1687628081209272E-12</v>
      </c>
      <c r="S6" s="23" cm="1">
        <f t="array" ref="S6">BS($E6,$C$6,$C$7,$C$8,S$5,$C$11)</f>
        <v>8.12876113604079E-12</v>
      </c>
      <c r="T6" s="23" cm="1">
        <f t="array" ref="T6">BS($E6,$C$6,$C$7,$C$8,T$5,$C$11)</f>
        <v>4.3558660593202267E-11</v>
      </c>
      <c r="U6" s="23" cm="1">
        <f t="array" ref="U6">BS($E6,$C$6,$C$7,$C$8,U$5,$C$11)</f>
        <v>1.8906509317430673E-10</v>
      </c>
      <c r="V6" s="23" cm="1">
        <f t="array" ref="V6">BS($E6,$C$6,$C$7,$C$8,V$5,$C$11)</f>
        <v>6.9043039000971104E-10</v>
      </c>
      <c r="W6" s="23" cm="1">
        <f t="array" ref="W6">BS($E6,$C$6,$C$7,$C$8,W$5,$C$11)</f>
        <v>2.1844034144108572E-9</v>
      </c>
    </row>
    <row r="7" spans="2:23">
      <c r="B7" s="11" t="s">
        <v>11</v>
      </c>
      <c r="C7" s="21">
        <v>0.3</v>
      </c>
      <c r="E7" s="11">
        <f>+E6+2</f>
        <v>7</v>
      </c>
      <c r="F7" s="23" cm="1">
        <f t="array" ref="F7">BS($E7,$C$6,$C$7,$C$8,F$5,$C$11)</f>
        <v>7.8099890559881417E-188</v>
      </c>
      <c r="G7" s="23" cm="1">
        <f t="array" ref="G7">BS($E7,$C$6,$C$7,$C$8,G$5,$C$11)</f>
        <v>1.0306865025171089E-62</v>
      </c>
      <c r="H7" s="23" cm="1">
        <f t="array" ref="H7">BS($E7,$C$6,$C$7,$C$8,H$5,$C$11)</f>
        <v>2.3797091620435157E-38</v>
      </c>
      <c r="I7" s="23" cm="1">
        <f t="array" ref="I7">BS($E7,$C$6,$C$7,$C$8,I$5,$C$11)</f>
        <v>6.4512321783657531E-28</v>
      </c>
      <c r="J7" s="23" cm="1">
        <f t="array" ref="J7">BS($E7,$C$6,$C$7,$C$8,J$5,$C$11)</f>
        <v>4.2187816622309187E-22</v>
      </c>
      <c r="K7" s="23" cm="1">
        <f t="array" ref="K7">BS($E7,$C$6,$C$7,$C$8,K$5,$C$11)</f>
        <v>2.2063267111415215E-18</v>
      </c>
      <c r="L7" s="23" cm="1">
        <f t="array" ref="L7">BS($E7,$C$6,$C$7,$C$8,L$5,$C$11)</f>
        <v>8.5496910590083964E-16</v>
      </c>
      <c r="M7" s="23" cm="1">
        <f t="array" ref="M7">BS($E7,$C$6,$C$7,$C$8,M$5,$C$11)</f>
        <v>6.9327937661411785E-14</v>
      </c>
      <c r="N7" s="23" cm="1">
        <f t="array" ref="N7">BS($E7,$C$6,$C$7,$C$8,N$5,$C$11)</f>
        <v>2.0384901560999621E-12</v>
      </c>
      <c r="O7" s="23" cm="1">
        <f t="array" ref="O7">BS($E7,$C$6,$C$7,$C$8,O$5,$C$11)</f>
        <v>2.9888237335994635E-11</v>
      </c>
      <c r="P7" s="23" cm="1">
        <f t="array" ref="P7">BS($E7,$C$6,$C$7,$C$8,P$5,$C$11)</f>
        <v>2.662141470288046E-10</v>
      </c>
      <c r="Q7" s="23" cm="1">
        <f t="array" ref="Q7">BS($E7,$C$6,$C$7,$C$8,Q$5,$C$11)</f>
        <v>1.6387199072254763E-9</v>
      </c>
      <c r="R7" s="23" cm="1">
        <f t="array" ref="R7">BS($E7,$C$6,$C$7,$C$8,R$5,$C$11)</f>
        <v>7.6114153415314907E-9</v>
      </c>
      <c r="S7" s="23" cm="1">
        <f t="array" ref="S7">BS($E7,$C$6,$C$7,$C$8,S$5,$C$11)</f>
        <v>2.8379352902679808E-8</v>
      </c>
      <c r="T7" s="23" cm="1">
        <f t="array" ref="T7">BS($E7,$C$6,$C$7,$C$8,T$5,$C$11)</f>
        <v>8.8843036934749504E-8</v>
      </c>
      <c r="U7" s="23" cm="1">
        <f t="array" ref="U7">BS($E7,$C$6,$C$7,$C$8,U$5,$C$11)</f>
        <v>2.4145108206942064E-7</v>
      </c>
      <c r="V7" s="23" cm="1">
        <f t="array" ref="V7">BS($E7,$C$6,$C$7,$C$8,V$5,$C$11)</f>
        <v>5.8428810589025789E-7</v>
      </c>
      <c r="W7" s="23" cm="1">
        <f t="array" ref="W7">BS($E7,$C$6,$C$7,$C$8,W$5,$C$11)</f>
        <v>1.283883157652225E-6</v>
      </c>
    </row>
    <row r="8" spans="2:23">
      <c r="B8" s="11" t="s">
        <v>17</v>
      </c>
      <c r="C8" s="22">
        <v>4.4999999999999998E-2</v>
      </c>
      <c r="E8" s="11">
        <f t="shared" ref="E8:E26" si="0">+E7+2</f>
        <v>9</v>
      </c>
      <c r="F8" s="23" cm="1">
        <f t="array" ref="F8">BS($E8,$C$6,$C$7,$C$8,F$5,$C$11)</f>
        <v>1.2748871098230412E-129</v>
      </c>
      <c r="G8" s="23" cm="1">
        <f t="array" ref="G8">BS($E8,$C$6,$C$7,$C$8,G$5,$C$11)</f>
        <v>9.3941077004479487E-44</v>
      </c>
      <c r="H8" s="23" cm="1">
        <f t="array" ref="H8">BS($E8,$C$6,$C$7,$C$8,H$5,$C$11)</f>
        <v>5.6547729254862662E-27</v>
      </c>
      <c r="I8" s="23" cm="1">
        <f t="array" ref="I8">BS($E8,$C$6,$C$7,$C$8,I$5,$C$11)</f>
        <v>9.142399338976314E-20</v>
      </c>
      <c r="J8" s="23" cm="1">
        <f t="array" ref="J8">BS($E8,$C$6,$C$7,$C$8,J$5,$C$11)</f>
        <v>9.8076910631326933E-16</v>
      </c>
      <c r="K8" s="23" cm="1">
        <f t="array" ref="K8">BS($E8,$C$6,$C$7,$C$8,K$5,$C$11)</f>
        <v>3.769560050051828E-13</v>
      </c>
      <c r="L8" s="23" cm="1">
        <f t="array" ref="L8">BS($E8,$C$6,$C$7,$C$8,L$5,$C$11)</f>
        <v>2.4017857083076782E-11</v>
      </c>
      <c r="M8" s="23" cm="1">
        <f t="array" ref="M8">BS($E8,$C$6,$C$7,$C$8,M$5,$C$11)</f>
        <v>5.1868504724786016E-10</v>
      </c>
      <c r="N8" s="23" cm="1">
        <f t="array" ref="N8">BS($E8,$C$6,$C$7,$C$8,N$5,$C$11)</f>
        <v>5.5470964816974669E-9</v>
      </c>
      <c r="O8" s="23" cm="1">
        <f t="array" ref="O8">BS($E8,$C$6,$C$7,$C$8,O$5,$C$11)</f>
        <v>3.6604869877836866E-8</v>
      </c>
      <c r="P8" s="23" cm="1">
        <f t="array" ref="P8">BS($E8,$C$6,$C$7,$C$8,P$5,$C$11)</f>
        <v>1.7083994884384449E-7</v>
      </c>
      <c r="Q8" s="23" cm="1">
        <f t="array" ref="Q8">BS($E8,$C$6,$C$7,$C$8,Q$5,$C$11)</f>
        <v>6.1654821081129421E-7</v>
      </c>
      <c r="R8" s="23" cm="1">
        <f t="array" ref="R8">BS($E8,$C$6,$C$7,$C$8,R$5,$C$11)</f>
        <v>1.8284888715740041E-6</v>
      </c>
      <c r="S8" s="23" cm="1">
        <f t="array" ref="S8">BS($E8,$C$6,$C$7,$C$8,S$5,$C$11)</f>
        <v>4.6516788507656466E-6</v>
      </c>
      <c r="T8" s="23" cm="1">
        <f t="array" ref="T8">BS($E8,$C$6,$C$7,$C$8,T$5,$C$11)</f>
        <v>1.0472718032995126E-5</v>
      </c>
      <c r="U8" s="23" cm="1">
        <f t="array" ref="U8">BS($E8,$C$6,$C$7,$C$8,U$5,$C$11)</f>
        <v>2.1355854525061308E-5</v>
      </c>
      <c r="V8" s="23" cm="1">
        <f t="array" ref="V8">BS($E8,$C$6,$C$7,$C$8,V$5,$C$11)</f>
        <v>4.0145625819196706E-5</v>
      </c>
      <c r="W8" s="23" cm="1">
        <f t="array" ref="W8">BS($E8,$C$6,$C$7,$C$8,W$5,$C$11)</f>
        <v>7.0525651334572641E-5</v>
      </c>
    </row>
    <row r="9" spans="2:23">
      <c r="B9" s="11" t="s">
        <v>9</v>
      </c>
      <c r="C9" s="20">
        <v>100</v>
      </c>
      <c r="E9" s="11">
        <f t="shared" si="0"/>
        <v>11</v>
      </c>
      <c r="F9" s="23" cm="1">
        <f t="array" ref="F9">BS($E9,$C$6,$C$7,$C$8,F$5,$C$11)</f>
        <v>5.4440725557031561E-91</v>
      </c>
      <c r="G9" s="23" cm="1">
        <f t="array" ref="G9">BS($E9,$C$6,$C$7,$C$8,G$5,$C$11)</f>
        <v>3.8611590621182918E-31</v>
      </c>
      <c r="H9" s="23" cm="1">
        <f t="array" ref="H9">BS($E9,$C$6,$C$7,$C$8,H$5,$C$11)</f>
        <v>2.1834472624010189E-19</v>
      </c>
      <c r="I9" s="23" cm="1">
        <f t="array" ref="I9">BS($E9,$C$6,$C$7,$C$8,I$5,$C$11)</f>
        <v>2.5701247602346006E-14</v>
      </c>
      <c r="J9" s="23" cm="1">
        <f t="array" ref="J9">BS($E9,$C$6,$C$7,$C$8,J$5,$C$11)</f>
        <v>1.805865123854231E-11</v>
      </c>
      <c r="K9" s="23" cm="1">
        <f t="array" ref="K9">BS($E9,$C$6,$C$7,$C$8,K$5,$C$11)</f>
        <v>1.2283469940697545E-9</v>
      </c>
      <c r="L9" s="23" cm="1">
        <f t="array" ref="L9">BS($E9,$C$6,$C$7,$C$8,L$5,$C$11)</f>
        <v>2.3620946916686623E-8</v>
      </c>
      <c r="M9" s="23" cm="1">
        <f t="array" ref="M9">BS($E9,$C$6,$C$7,$C$8,M$5,$C$11)</f>
        <v>2.1195714610847191E-7</v>
      </c>
      <c r="N9" s="23" cm="1">
        <f t="array" ref="N9">BS($E9,$C$6,$C$7,$C$8,N$5,$C$11)</f>
        <v>1.1580487005381342E-6</v>
      </c>
      <c r="O9" s="23" cm="1">
        <f t="array" ref="O9">BS($E9,$C$6,$C$7,$C$8,O$5,$C$11)</f>
        <v>4.4963812402393889E-6</v>
      </c>
      <c r="P9" s="23" cm="1">
        <f t="array" ref="P9">BS($E9,$C$6,$C$7,$C$8,P$5,$C$11)</f>
        <v>1.3657457715261995E-5</v>
      </c>
      <c r="Q9" s="23" cm="1">
        <f t="array" ref="Q9">BS($E9,$C$6,$C$7,$C$8,Q$5,$C$11)</f>
        <v>3.4558849493678922E-5</v>
      </c>
      <c r="R9" s="23" cm="1">
        <f t="array" ref="R9">BS($E9,$C$6,$C$7,$C$8,R$5,$C$11)</f>
        <v>7.6046659343947899E-5</v>
      </c>
      <c r="S9" s="23" cm="1">
        <f t="array" ref="S9">BS($E9,$C$6,$C$7,$C$8,S$5,$C$11)</f>
        <v>1.5000679661634087E-4</v>
      </c>
      <c r="T9" s="23" cm="1">
        <f t="array" ref="T9">BS($E9,$C$6,$C$7,$C$8,T$5,$C$11)</f>
        <v>2.7116616043720539E-4</v>
      </c>
      <c r="U9" s="23" cm="1">
        <f t="array" ref="U9">BS($E9,$C$6,$C$7,$C$8,U$5,$C$11)</f>
        <v>4.5666221495000662E-4</v>
      </c>
      <c r="V9" s="23" cm="1">
        <f t="array" ref="V9">BS($E9,$C$6,$C$7,$C$8,V$5,$C$11)</f>
        <v>7.2547632898882324E-4</v>
      </c>
      <c r="W9" s="23" cm="1">
        <f t="array" ref="W9">BS($E9,$C$6,$C$7,$C$8,W$5,$C$11)</f>
        <v>1.0978167542800132E-3</v>
      </c>
    </row>
    <row r="10" spans="2:23">
      <c r="B10" s="11" t="s">
        <v>13</v>
      </c>
      <c r="C10" s="19" t="s">
        <v>27</v>
      </c>
      <c r="E10" s="11">
        <f t="shared" si="0"/>
        <v>13</v>
      </c>
      <c r="F10" s="23" cm="1">
        <f t="array" ref="F10">BS($E10,$C$6,$C$7,$C$8,F$5,$C$11)</f>
        <v>3.846391162551261E-64</v>
      </c>
      <c r="G10" s="23" cm="1">
        <f t="array" ref="G10">BS($E10,$C$6,$C$7,$C$8,G$5,$C$11)</f>
        <v>2.4241933193547072E-22</v>
      </c>
      <c r="H10" s="23" cm="1">
        <f t="array" ref="H10">BS($E10,$C$6,$C$7,$C$8,H$5,$C$11)</f>
        <v>4.4474153913364905E-14</v>
      </c>
      <c r="I10" s="23" cm="1">
        <f t="array" ref="I10">BS($E10,$C$6,$C$7,$C$8,I$5,$C$11)</f>
        <v>1.7167127173126561E-10</v>
      </c>
      <c r="J10" s="23" cm="1">
        <f t="array" ref="J10">BS($E10,$C$6,$C$7,$C$8,J$5,$C$11)</f>
        <v>1.8163659551869583E-8</v>
      </c>
      <c r="K10" s="23" cm="1">
        <f t="array" ref="K10">BS($E10,$C$6,$C$7,$C$8,K$5,$C$11)</f>
        <v>3.7083723522916686E-7</v>
      </c>
      <c r="L10" s="23" cm="1">
        <f t="array" ref="L10">BS($E10,$C$6,$C$7,$C$8,L$5,$C$11)</f>
        <v>3.1002673171295263E-6</v>
      </c>
      <c r="M10" s="23" cm="1">
        <f t="array" ref="M10">BS($E10,$C$6,$C$7,$C$8,M$5,$C$11)</f>
        <v>1.509991368932312E-5</v>
      </c>
      <c r="N10" s="23" cm="1">
        <f t="array" ref="N10">BS($E10,$C$6,$C$7,$C$8,N$5,$C$11)</f>
        <v>5.16871477481925E-5</v>
      </c>
      <c r="O10" s="23" cm="1">
        <f t="array" ref="O10">BS($E10,$C$6,$C$7,$C$8,O$5,$C$11)</f>
        <v>1.3869215076108303E-4</v>
      </c>
      <c r="P10" s="23" cm="1">
        <f t="array" ref="P10">BS($E10,$C$6,$C$7,$C$8,P$5,$C$11)</f>
        <v>3.1225734949674819E-4</v>
      </c>
      <c r="Q10" s="23" cm="1">
        <f t="array" ref="Q10">BS($E10,$C$6,$C$7,$C$8,Q$5,$C$11)</f>
        <v>6.1679146117417892E-4</v>
      </c>
      <c r="R10" s="23" cm="1">
        <f t="array" ref="R10">BS($E10,$C$6,$C$7,$C$8,R$5,$C$11)</f>
        <v>1.102002336295942E-3</v>
      </c>
      <c r="S10" s="23" cm="1">
        <f t="array" ref="S10">BS($E10,$C$6,$C$7,$C$8,S$5,$C$11)</f>
        <v>1.8198208652493025E-3</v>
      </c>
      <c r="T10" s="23" cm="1">
        <f t="array" ref="T10">BS($E10,$C$6,$C$7,$C$8,T$5,$C$11)</f>
        <v>2.8217158452710431E-3</v>
      </c>
      <c r="U10" s="23" cm="1">
        <f t="array" ref="U10">BS($E10,$C$6,$C$7,$C$8,U$5,$C$11)</f>
        <v>4.1566148910590697E-3</v>
      </c>
      <c r="V10" s="23" cm="1">
        <f t="array" ref="V10">BS($E10,$C$6,$C$7,$C$8,V$5,$C$11)</f>
        <v>5.8694582270618911E-3</v>
      </c>
      <c r="W10" s="23" cm="1">
        <f t="array" ref="W10">BS($E10,$C$6,$C$7,$C$8,W$5,$C$11)</f>
        <v>8.0003132164619267E-3</v>
      </c>
    </row>
    <row r="11" spans="2:23">
      <c r="B11" s="11" t="s">
        <v>13</v>
      </c>
      <c r="C11" s="20" t="b">
        <f>IF(C10="Call",TRUE,FALSE)</f>
        <v>1</v>
      </c>
      <c r="E11" s="11">
        <f t="shared" si="0"/>
        <v>15</v>
      </c>
      <c r="F11" s="23" cm="1">
        <f t="array" ref="F11">BS($E11,$C$6,$C$7,$C$8,F$5,$C$11)</f>
        <v>5.7018327756708265E-45</v>
      </c>
      <c r="G11" s="23" cm="1">
        <f t="array" ref="G11">BS($E11,$C$6,$C$7,$C$8,G$5,$C$11)</f>
        <v>4.9873192526111431E-16</v>
      </c>
      <c r="H11" s="23" cm="1">
        <f t="array" ref="H11">BS($E11,$C$6,$C$7,$C$8,H$5,$C$11)</f>
        <v>2.986049642780114E-10</v>
      </c>
      <c r="I11" s="23" cm="1">
        <f t="array" ref="I11">BS($E11,$C$6,$C$7,$C$8,I$5,$C$11)</f>
        <v>1.0074991864185591E-7</v>
      </c>
      <c r="J11" s="23" cm="1">
        <f t="array" ref="J11">BS($E11,$C$6,$C$7,$C$8,J$5,$C$11)</f>
        <v>2.7600418171560821E-6</v>
      </c>
      <c r="K11" s="23" cm="1">
        <f t="array" ref="K11">BS($E11,$C$6,$C$7,$C$8,K$5,$C$11)</f>
        <v>2.3852224909792384E-5</v>
      </c>
      <c r="L11" s="23" cm="1">
        <f t="array" ref="L11">BS($E11,$C$6,$C$7,$C$8,L$5,$C$11)</f>
        <v>1.0991714973904079E-4</v>
      </c>
      <c r="M11" s="23" cm="1">
        <f t="array" ref="M11">BS($E11,$C$6,$C$7,$C$8,M$5,$C$11)</f>
        <v>3.4569335944781374E-4</v>
      </c>
      <c r="N11" s="23" cm="1">
        <f t="array" ref="N11">BS($E11,$C$6,$C$7,$C$8,N$5,$C$11)</f>
        <v>8.4643918439843494E-4</v>
      </c>
      <c r="O11" s="23" cm="1">
        <f t="array" ref="O11">BS($E11,$C$6,$C$7,$C$8,O$5,$C$11)</f>
        <v>1.7424796882883585E-3</v>
      </c>
      <c r="P11" s="23" cm="1">
        <f t="array" ref="P11">BS($E11,$C$6,$C$7,$C$8,P$5,$C$11)</f>
        <v>3.1641210066344211E-3</v>
      </c>
      <c r="Q11" s="23" cm="1">
        <f t="array" ref="Q11">BS($E11,$C$6,$C$7,$C$8,Q$5,$C$11)</f>
        <v>5.2307608126438837E-3</v>
      </c>
      <c r="R11" s="23" cm="1">
        <f t="array" ref="R11">BS($E11,$C$6,$C$7,$C$8,R$5,$C$11)</f>
        <v>8.0446803093094238E-3</v>
      </c>
      <c r="S11" s="23" cm="1">
        <f t="array" ref="S11">BS($E11,$C$6,$C$7,$C$8,S$5,$C$11)</f>
        <v>1.1688559031519968E-2</v>
      </c>
      <c r="T11" s="23" cm="1">
        <f t="array" ref="T11">BS($E11,$C$6,$C$7,$C$8,T$5,$C$11)</f>
        <v>1.6225475069844286E-2</v>
      </c>
      <c r="U11" s="23" cm="1">
        <f t="array" ref="U11">BS($E11,$C$6,$C$7,$C$8,U$5,$C$11)</f>
        <v>2.1700348106140299E-2</v>
      </c>
      <c r="V11" s="23" cm="1">
        <f t="array" ref="V11">BS($E11,$C$6,$C$7,$C$8,V$5,$C$11)</f>
        <v>2.8142085062548228E-2</v>
      </c>
      <c r="W11" s="23" cm="1">
        <f t="array" ref="W11">BS($E11,$C$6,$C$7,$C$8,W$5,$C$11)</f>
        <v>3.556595549954622E-2</v>
      </c>
    </row>
    <row r="12" spans="2:23">
      <c r="E12" s="11">
        <f t="shared" si="0"/>
        <v>17</v>
      </c>
      <c r="F12" s="23" cm="1">
        <f t="array" ref="F12">BS($E12,$C$6,$C$7,$C$8,F$5,$C$11)</f>
        <v>4.3308608326832355E-31</v>
      </c>
      <c r="G12" s="23" cm="1">
        <f t="array" ref="G12">BS($E12,$C$6,$C$7,$C$8,G$5,$C$11)</f>
        <v>2.0058271097739787E-11</v>
      </c>
      <c r="H12" s="23" cm="1">
        <f t="array" ref="H12">BS($E12,$C$6,$C$7,$C$8,H$5,$C$11)</f>
        <v>1.9230759794261318E-7</v>
      </c>
      <c r="I12" s="23" cm="1">
        <f t="array" ref="I12">BS($E12,$C$6,$C$7,$C$8,I$5,$C$11)</f>
        <v>1.1137260575323619E-5</v>
      </c>
      <c r="J12" s="23" cm="1">
        <f t="array" ref="J12">BS($E12,$C$6,$C$7,$C$8,J$5,$C$11)</f>
        <v>1.1467796265804452E-4</v>
      </c>
      <c r="K12" s="23" cm="1">
        <f t="array" ref="K12">BS($E12,$C$6,$C$7,$C$8,K$5,$C$11)</f>
        <v>5.3123599911967731E-4</v>
      </c>
      <c r="L12" s="23" cm="1">
        <f t="array" ref="L12">BS($E12,$C$6,$C$7,$C$8,L$5,$C$11)</f>
        <v>1.5881787212231394E-3</v>
      </c>
      <c r="M12" s="23" cm="1">
        <f t="array" ref="M12">BS($E12,$C$6,$C$7,$C$8,M$5,$C$11)</f>
        <v>3.6333393377099774E-3</v>
      </c>
      <c r="N12" s="23" cm="1">
        <f t="array" ref="N12">BS($E12,$C$6,$C$7,$C$8,N$5,$C$11)</f>
        <v>6.9688567116569233E-3</v>
      </c>
      <c r="O12" s="23" cm="1">
        <f t="array" ref="O12">BS($E12,$C$6,$C$7,$C$8,O$5,$C$11)</f>
        <v>1.1822535629373188E-2</v>
      </c>
      <c r="P12" s="23" cm="1">
        <f t="array" ref="P12">BS($E12,$C$6,$C$7,$C$8,P$5,$C$11)</f>
        <v>1.8345200742497347E-2</v>
      </c>
      <c r="Q12" s="23" cm="1">
        <f t="array" ref="Q12">BS($E12,$C$6,$C$7,$C$8,Q$5,$C$11)</f>
        <v>2.6620521287822996E-2</v>
      </c>
      <c r="R12" s="23" cm="1">
        <f t="array" ref="R12">BS($E12,$C$6,$C$7,$C$8,R$5,$C$11)</f>
        <v>3.6678738886397555E-2</v>
      </c>
      <c r="S12" s="23" cm="1">
        <f t="array" ref="S12">BS($E12,$C$6,$C$7,$C$8,S$5,$C$11)</f>
        <v>4.8510075880760062E-2</v>
      </c>
      <c r="T12" s="23" cm="1">
        <f t="array" ref="T12">BS($E12,$C$6,$C$7,$C$8,T$5,$C$11)</f>
        <v>6.207617735121318E-2</v>
      </c>
      <c r="U12" s="23" cm="1">
        <f t="array" ref="U12">BS($E12,$C$6,$C$7,$C$8,U$5,$C$11)</f>
        <v>7.7319218980322013E-2</v>
      </c>
      <c r="V12" s="23" cm="1">
        <f t="array" ref="V12">BS($E12,$C$6,$C$7,$C$8,V$5,$C$11)</f>
        <v>9.416885911444739E-2</v>
      </c>
      <c r="W12" s="23" cm="1">
        <f t="array" ref="W12">BS($E12,$C$6,$C$7,$C$8,W$5,$C$11)</f>
        <v>0.11254739510575307</v>
      </c>
    </row>
    <row r="13" spans="2:23">
      <c r="E13" s="11">
        <f t="shared" si="0"/>
        <v>19</v>
      </c>
      <c r="F13" s="23" cm="1">
        <f t="array" ref="F13">BS($E13,$C$6,$C$7,$C$8,F$5,$C$11)</f>
        <v>5.2614635445325734E-21</v>
      </c>
      <c r="G13" s="23" cm="1">
        <f t="array" ref="G13">BS($E13,$C$6,$C$7,$C$8,G$5,$C$11)</f>
        <v>4.8333131611209272E-8</v>
      </c>
      <c r="H13" s="23" cm="1">
        <f t="array" ref="H13">BS($E13,$C$6,$C$7,$C$8,H$5,$C$11)</f>
        <v>2.3223047248343643E-5</v>
      </c>
      <c r="I13" s="23" cm="1">
        <f t="array" ref="I13">BS($E13,$C$6,$C$7,$C$8,I$5,$C$11)</f>
        <v>3.7426685081521499E-4</v>
      </c>
      <c r="J13" s="23" cm="1">
        <f t="array" ref="J13">BS($E13,$C$6,$C$7,$C$8,J$5,$C$11)</f>
        <v>1.8906906629606937E-3</v>
      </c>
      <c r="K13" s="23" cm="1">
        <f t="array" ref="K13">BS($E13,$C$6,$C$7,$C$8,K$5,$C$11)</f>
        <v>5.5568718600180061E-3</v>
      </c>
      <c r="L13" s="23" cm="1">
        <f t="array" ref="L13">BS($E13,$C$6,$C$7,$C$8,L$5,$C$11)</f>
        <v>1.2104838458319139E-2</v>
      </c>
      <c r="M13" s="23" cm="1">
        <f t="array" ref="M13">BS($E13,$C$6,$C$7,$C$8,M$5,$C$11)</f>
        <v>2.1927355641940316E-2</v>
      </c>
      <c r="N13" s="23" cm="1">
        <f t="array" ref="N13">BS($E13,$C$6,$C$7,$C$8,N$5,$C$11)</f>
        <v>3.5145037604294382E-2</v>
      </c>
      <c r="O13" s="23" cm="1">
        <f t="array" ref="O13">BS($E13,$C$6,$C$7,$C$8,O$5,$C$11)</f>
        <v>5.1699014434175461E-2</v>
      </c>
      <c r="P13" s="23" cm="1">
        <f t="array" ref="P13">BS($E13,$C$6,$C$7,$C$8,P$5,$C$11)</f>
        <v>7.1425734809763997E-2</v>
      </c>
      <c r="Q13" s="23" cm="1">
        <f t="array" ref="Q13">BS($E13,$C$6,$C$7,$C$8,Q$5,$C$11)</f>
        <v>9.4108094107578921E-2</v>
      </c>
      <c r="R13" s="23" cm="1">
        <f t="array" ref="R13">BS($E13,$C$6,$C$7,$C$8,R$5,$C$11)</f>
        <v>0.11950765491448578</v>
      </c>
      <c r="S13" s="23" cm="1">
        <f t="array" ref="S13">BS($E13,$C$6,$C$7,$C$8,S$5,$C$11)</f>
        <v>0.14738385609243676</v>
      </c>
      <c r="T13" s="23" cm="1">
        <f t="array" ref="T13">BS($E13,$C$6,$C$7,$C$8,T$5,$C$11)</f>
        <v>0.17750484137689559</v>
      </c>
      <c r="U13" s="23" cm="1">
        <f t="array" ref="U13">BS($E13,$C$6,$C$7,$C$8,U$5,$C$11)</f>
        <v>0.20965308614666145</v>
      </c>
      <c r="V13" s="23" cm="1">
        <f t="array" ref="V13">BS($E13,$C$6,$C$7,$C$8,V$5,$C$11)</f>
        <v>0.24362788145441261</v>
      </c>
      <c r="W13" s="23" cm="1">
        <f t="array" ref="W13">BS($E13,$C$6,$C$7,$C$8,W$5,$C$11)</f>
        <v>0.27924597081880442</v>
      </c>
    </row>
    <row r="14" spans="2:23">
      <c r="E14" s="11">
        <f t="shared" si="0"/>
        <v>21</v>
      </c>
      <c r="F14" s="23" cm="1">
        <f t="array" ref="F14">BS($E14,$C$6,$C$7,$C$8,F$5,$C$11)</f>
        <v>9.9719951422747296E-14</v>
      </c>
      <c r="G14" s="23" cm="1">
        <f t="array" ref="G14">BS($E14,$C$6,$C$7,$C$8,G$5,$C$11)</f>
        <v>1.4680248116259297E-5</v>
      </c>
      <c r="H14" s="23" cm="1">
        <f t="array" ref="H14">BS($E14,$C$6,$C$7,$C$8,H$5,$C$11)</f>
        <v>8.2096543512877318E-4</v>
      </c>
      <c r="I14" s="23" cm="1">
        <f t="array" ref="I14">BS($E14,$C$6,$C$7,$C$8,I$5,$C$11)</f>
        <v>5.2549847617010953E-3</v>
      </c>
      <c r="J14" s="23" cm="1">
        <f t="array" ref="J14">BS($E14,$C$6,$C$7,$C$8,J$5,$C$11)</f>
        <v>1.5838974217038615E-2</v>
      </c>
      <c r="K14" s="23" cm="1">
        <f t="array" ref="K14">BS($E14,$C$6,$C$7,$C$8,K$5,$C$11)</f>
        <v>3.3419356658944466E-2</v>
      </c>
      <c r="L14" s="23" cm="1">
        <f t="array" ref="L14">BS($E14,$C$6,$C$7,$C$8,L$5,$C$11)</f>
        <v>5.7750553129521931E-2</v>
      </c>
      <c r="M14" s="23" cm="1">
        <f t="array" ref="M14">BS($E14,$C$6,$C$7,$C$8,M$5,$C$11)</f>
        <v>8.8131053154576033E-2</v>
      </c>
      <c r="N14" s="23" cm="1">
        <f t="array" ref="N14">BS($E14,$C$6,$C$7,$C$8,N$5,$C$11)</f>
        <v>0.1237441531900072</v>
      </c>
      <c r="O14" s="23" cm="1">
        <f t="array" ref="O14">BS($E14,$C$6,$C$7,$C$8,O$5,$C$11)</f>
        <v>0.16380586274850351</v>
      </c>
      <c r="P14" s="23" cm="1">
        <f t="array" ref="P14">BS($E14,$C$6,$C$7,$C$8,P$5,$C$11)</f>
        <v>0.2076182098507553</v>
      </c>
      <c r="Q14" s="23" cm="1">
        <f t="array" ref="Q14">BS($E14,$C$6,$C$7,$C$8,Q$5,$C$11)</f>
        <v>0.25458074833019273</v>
      </c>
      <c r="R14" s="23" cm="1">
        <f t="array" ref="R14">BS($E14,$C$6,$C$7,$C$8,R$5,$C$11)</f>
        <v>0.30418516664675899</v>
      </c>
      <c r="S14" s="23" cm="1">
        <f t="array" ref="S14">BS($E14,$C$6,$C$7,$C$8,S$5,$C$11)</f>
        <v>0.35600413489400795</v>
      </c>
      <c r="T14" s="23" cm="1">
        <f t="array" ref="T14">BS($E14,$C$6,$C$7,$C$8,T$5,$C$11)</f>
        <v>0.4096791518279157</v>
      </c>
      <c r="U14" s="23" cm="1">
        <f t="array" ref="U14">BS($E14,$C$6,$C$7,$C$8,U$5,$C$11)</f>
        <v>0.46490927468392806</v>
      </c>
      <c r="V14" s="23" cm="1">
        <f t="array" ref="V14">BS($E14,$C$6,$C$7,$C$8,V$5,$C$11)</f>
        <v>0.52144134239070583</v>
      </c>
      <c r="W14" s="23" cm="1">
        <f t="array" ref="W14">BS($E14,$C$6,$C$7,$C$8,W$5,$C$11)</f>
        <v>0.57906176227939143</v>
      </c>
    </row>
    <row r="15" spans="2:23">
      <c r="E15" s="11">
        <f t="shared" si="0"/>
        <v>23</v>
      </c>
      <c r="F15" s="23" cm="1">
        <f t="array" ref="F15">BS($E15,$C$6,$C$7,$C$8,F$5,$C$11)</f>
        <v>1.4316475846249399E-8</v>
      </c>
      <c r="G15" s="23" cm="1">
        <f t="array" ref="G15">BS($E15,$C$6,$C$7,$C$8,G$5,$C$11)</f>
        <v>9.4384428355243077E-4</v>
      </c>
      <c r="H15" s="23" cm="1">
        <f t="array" ref="H15">BS($E15,$C$6,$C$7,$C$8,H$5,$C$11)</f>
        <v>1.1588063068074861E-2</v>
      </c>
      <c r="I15" s="23" cm="1">
        <f t="array" ref="I15">BS($E15,$C$6,$C$7,$C$8,I$5,$C$11)</f>
        <v>3.8463148980998563E-2</v>
      </c>
      <c r="J15" s="23" cm="1">
        <f t="array" ref="J15">BS($E15,$C$6,$C$7,$C$8,J$5,$C$11)</f>
        <v>8.005625420123752E-2</v>
      </c>
      <c r="K15" s="23" cm="1">
        <f t="array" ref="K15">BS($E15,$C$6,$C$7,$C$8,K$5,$C$11)</f>
        <v>0.1329579755812369</v>
      </c>
      <c r="L15" s="23" cm="1">
        <f t="array" ref="L15">BS($E15,$C$6,$C$7,$C$8,L$5,$C$11)</f>
        <v>0.19416144067913699</v>
      </c>
      <c r="M15" s="23" cm="1">
        <f t="array" ref="M15">BS($E15,$C$6,$C$7,$C$8,M$5,$C$11)</f>
        <v>0.26138943188963459</v>
      </c>
      <c r="N15" s="23" cm="1">
        <f t="array" ref="N15">BS($E15,$C$6,$C$7,$C$8,N$5,$C$11)</f>
        <v>0.33298030414322533</v>
      </c>
      <c r="O15" s="23" cm="1">
        <f t="array" ref="O15">BS($E15,$C$6,$C$7,$C$8,O$5,$C$11)</f>
        <v>0.40772671745441524</v>
      </c>
      <c r="P15" s="23" cm="1">
        <f t="array" ref="P15">BS($E15,$C$6,$C$7,$C$8,P$5,$C$11)</f>
        <v>0.4847454064415202</v>
      </c>
      <c r="Q15" s="23" cm="1">
        <f t="array" ref="Q15">BS($E15,$C$6,$C$7,$C$8,Q$5,$C$11)</f>
        <v>0.56338342231634542</v>
      </c>
      <c r="R15" s="23" cm="1">
        <f t="array" ref="R15">BS($E15,$C$6,$C$7,$C$8,R$5,$C$11)</f>
        <v>0.64315269246088125</v>
      </c>
      <c r="S15" s="23" cm="1">
        <f t="array" ref="S15">BS($E15,$C$6,$C$7,$C$8,S$5,$C$11)</f>
        <v>0.72368451370866538</v>
      </c>
      <c r="T15" s="23" cm="1">
        <f t="array" ref="T15">BS($E15,$C$6,$C$7,$C$8,T$5,$C$11)</f>
        <v>0.80469769034435945</v>
      </c>
      <c r="U15" s="23" cm="1">
        <f t="array" ref="U15">BS($E15,$C$6,$C$7,$C$8,U$5,$C$11)</f>
        <v>0.8859759780864751</v>
      </c>
      <c r="V15" s="23" cm="1">
        <f t="array" ref="V15">BS($E15,$C$6,$C$7,$C$8,V$5,$C$11)</f>
        <v>0.96735191502982687</v>
      </c>
      <c r="W15" s="23" cm="1">
        <f t="array" ref="W15">BS($E15,$C$6,$C$7,$C$8,W$5,$C$11)</f>
        <v>1.0486950824634302</v>
      </c>
    </row>
    <row r="16" spans="2:23">
      <c r="E16" s="11">
        <f t="shared" si="0"/>
        <v>25</v>
      </c>
      <c r="F16" s="23" cm="1">
        <f t="array" ref="F16">BS($E16,$C$6,$C$7,$C$8,F$5,$C$11)</f>
        <v>4.9028946940161272E-5</v>
      </c>
      <c r="G16" s="23" cm="1">
        <f t="array" ref="G16">BS($E16,$C$6,$C$7,$C$8,G$5,$C$11)</f>
        <v>1.8742909078087955E-2</v>
      </c>
      <c r="H16" s="23" cm="1">
        <f t="array" ref="H16">BS($E16,$C$6,$C$7,$C$8,H$5,$C$11)</f>
        <v>8.1819075597773905E-2</v>
      </c>
      <c r="I16" s="23" cm="1">
        <f t="array" ref="I16">BS($E16,$C$6,$C$7,$C$8,I$5,$C$11)</f>
        <v>0.17222444470604525</v>
      </c>
      <c r="J16" s="23" cm="1">
        <f t="array" ref="J16">BS($E16,$C$6,$C$7,$C$8,J$5,$C$11)</f>
        <v>0.27630248434911397</v>
      </c>
      <c r="K16" s="23" cm="1">
        <f t="array" ref="K16">BS($E16,$C$6,$C$7,$C$8,K$5,$C$11)</f>
        <v>0.38704760801152638</v>
      </c>
      <c r="L16" s="23" cm="1">
        <f t="array" ref="L16">BS($E16,$C$6,$C$7,$C$8,L$5,$C$11)</f>
        <v>0.50082974875625297</v>
      </c>
      <c r="M16" s="23" cm="1">
        <f t="array" ref="M16">BS($E16,$C$6,$C$7,$C$8,M$5,$C$11)</f>
        <v>0.61568245132404176</v>
      </c>
      <c r="N16" s="23" cm="1">
        <f t="array" ref="N16">BS($E16,$C$6,$C$7,$C$8,N$5,$C$11)</f>
        <v>0.73050046807921021</v>
      </c>
      <c r="O16" s="23" cm="1">
        <f t="array" ref="O16">BS($E16,$C$6,$C$7,$C$8,O$5,$C$11)</f>
        <v>0.84464829602243796</v>
      </c>
      <c r="P16" s="23" cm="1">
        <f t="array" ref="P16">BS($E16,$C$6,$C$7,$C$8,P$5,$C$11)</f>
        <v>0.95775829124839529</v>
      </c>
      <c r="Q16" s="23" cm="1">
        <f t="array" ref="Q16">BS($E16,$C$6,$C$7,$C$8,Q$5,$C$11)</f>
        <v>1.0696210676144702</v>
      </c>
      <c r="R16" s="23" cm="1">
        <f t="array" ref="R16">BS($E16,$C$6,$C$7,$C$8,R$5,$C$11)</f>
        <v>1.1801233185719253</v>
      </c>
      <c r="S16" s="23" cm="1">
        <f t="array" ref="S16">BS($E16,$C$6,$C$7,$C$8,S$5,$C$11)</f>
        <v>1.2892112171792496</v>
      </c>
      <c r="T16" s="23" cm="1">
        <f t="array" ref="T16">BS($E16,$C$6,$C$7,$C$8,T$5,$C$11)</f>
        <v>1.3968682022175543</v>
      </c>
      <c r="U16" s="23" cm="1">
        <f t="array" ref="U16">BS($E16,$C$6,$C$7,$C$8,U$5,$C$11)</f>
        <v>1.5031011517903643</v>
      </c>
      <c r="V16" s="23" cm="1">
        <f t="array" ref="V16">BS($E16,$C$6,$C$7,$C$8,V$5,$C$11)</f>
        <v>1.6079316000293193</v>
      </c>
      <c r="W16" s="23" cm="1">
        <f t="array" ref="W16">BS($E16,$C$6,$C$7,$C$8,W$5,$C$11)</f>
        <v>1.7113900671100861</v>
      </c>
    </row>
    <row r="17" spans="5:23">
      <c r="E17" s="11">
        <f t="shared" si="0"/>
        <v>27</v>
      </c>
      <c r="F17" s="23" cm="1">
        <f t="array" ref="F17">BS($E17,$C$6,$C$7,$C$8,F$5,$C$11)</f>
        <v>9.6584003351291026E-3</v>
      </c>
      <c r="G17" s="23" cm="1">
        <f t="array" ref="G17">BS($E17,$C$6,$C$7,$C$8,G$5,$C$11)</f>
        <v>0.15330288345721499</v>
      </c>
      <c r="H17" s="23" cm="1">
        <f t="array" ref="H17">BS($E17,$C$6,$C$7,$C$8,H$5,$C$11)</f>
        <v>0.34242394655472808</v>
      </c>
      <c r="I17" s="23" cm="1">
        <f t="array" ref="I17">BS($E17,$C$6,$C$7,$C$8,I$5,$C$11)</f>
        <v>0.53164276509012698</v>
      </c>
      <c r="J17" s="23" cm="1">
        <f t="array" ref="J17">BS($E17,$C$6,$C$7,$C$8,J$5,$C$11)</f>
        <v>0.71385203953843579</v>
      </c>
      <c r="K17" s="23" cm="1">
        <f t="array" ref="K17">BS($E17,$C$6,$C$7,$C$8,K$5,$C$11)</f>
        <v>0.88821375488907162</v>
      </c>
      <c r="L17" s="23" cm="1">
        <f t="array" ref="L17">BS($E17,$C$6,$C$7,$C$8,L$5,$C$11)</f>
        <v>1.0552119803990596</v>
      </c>
      <c r="M17" s="23" cm="1">
        <f t="array" ref="M17">BS($E17,$C$6,$C$7,$C$8,M$5,$C$11)</f>
        <v>1.2155839209277666</v>
      </c>
      <c r="N17" s="23" cm="1">
        <f t="array" ref="N17">BS($E17,$C$6,$C$7,$C$8,N$5,$C$11)</f>
        <v>1.3700497889844989</v>
      </c>
      <c r="O17" s="23" cm="1">
        <f t="array" ref="O17">BS($E17,$C$6,$C$7,$C$8,O$5,$C$11)</f>
        <v>1.5192474092689174</v>
      </c>
      <c r="P17" s="23" cm="1">
        <f t="array" ref="P17">BS($E17,$C$6,$C$7,$C$8,P$5,$C$11)</f>
        <v>1.6637249172819821</v>
      </c>
      <c r="Q17" s="23" cm="1">
        <f t="array" ref="Q17">BS($E17,$C$6,$C$7,$C$8,Q$5,$C$11)</f>
        <v>1.8039496508747686</v>
      </c>
      <c r="R17" s="23" cm="1">
        <f t="array" ref="R17">BS($E17,$C$6,$C$7,$C$8,R$5,$C$11)</f>
        <v>1.9403203414339973</v>
      </c>
      <c r="S17" s="23" cm="1">
        <f t="array" ref="S17">BS($E17,$C$6,$C$7,$C$8,S$5,$C$11)</f>
        <v>2.0731786543677515</v>
      </c>
      <c r="T17" s="23" cm="1">
        <f t="array" ref="T17">BS($E17,$C$6,$C$7,$C$8,T$5,$C$11)</f>
        <v>2.2028190509462071</v>
      </c>
      <c r="U17" s="23" cm="1">
        <f t="array" ref="U17">BS($E17,$C$6,$C$7,$C$8,U$5,$C$11)</f>
        <v>2.3294969019576044</v>
      </c>
      <c r="V17" s="23" cm="1">
        <f t="array" ref="V17">BS($E17,$C$6,$C$7,$C$8,V$5,$C$11)</f>
        <v>2.4534350696697196</v>
      </c>
      <c r="W17" s="23" cm="1">
        <f t="array" ref="W17">BS($E17,$C$6,$C$7,$C$8,W$5,$C$11)</f>
        <v>2.5748292284956786</v>
      </c>
    </row>
    <row r="18" spans="5:23">
      <c r="E18" s="11">
        <f t="shared" si="0"/>
        <v>29</v>
      </c>
      <c r="F18" s="23" cm="1">
        <f t="array" ref="F18">BS($E18,$C$6,$C$7,$C$8,F$5,$C$11)</f>
        <v>0.22780912022429778</v>
      </c>
      <c r="G18" s="23" cm="1">
        <f t="array" ref="G18">BS($E18,$C$6,$C$7,$C$8,G$5,$C$11)</f>
        <v>0.64919850526661982</v>
      </c>
      <c r="H18" s="23" cm="1">
        <f t="array" ref="H18">BS($E18,$C$6,$C$7,$C$8,H$5,$C$11)</f>
        <v>0.96898794055187665</v>
      </c>
      <c r="I18" s="23" cm="1">
        <f t="array" ref="I18">BS($E18,$C$6,$C$7,$C$8,I$5,$C$11)</f>
        <v>1.2397800308819882</v>
      </c>
      <c r="J18" s="23" cm="1">
        <f t="array" ref="J18">BS($E18,$C$6,$C$7,$C$8,J$5,$C$11)</f>
        <v>1.4803521862795428</v>
      </c>
      <c r="K18" s="23" cm="1">
        <f t="array" ref="K18">BS($E18,$C$6,$C$7,$C$8,K$5,$C$11)</f>
        <v>1.699865646793512</v>
      </c>
      <c r="L18" s="23" cm="1">
        <f t="array" ref="L18">BS($E18,$C$6,$C$7,$C$8,L$5,$C$11)</f>
        <v>1.9035987222652135</v>
      </c>
      <c r="M18" s="23" cm="1">
        <f t="array" ref="M18">BS($E18,$C$6,$C$7,$C$8,M$5,$C$11)</f>
        <v>2.0949207794510496</v>
      </c>
      <c r="N18" s="23" cm="1">
        <f t="array" ref="N18">BS($E18,$C$6,$C$7,$C$8,N$5,$C$11)</f>
        <v>2.2761382888915858</v>
      </c>
      <c r="O18" s="23" cm="1">
        <f t="array" ref="O18">BS($E18,$C$6,$C$7,$C$8,O$5,$C$11)</f>
        <v>2.4489124758325129</v>
      </c>
      <c r="P18" s="23" cm="1">
        <f t="array" ref="P18">BS($E18,$C$6,$C$7,$C$8,P$5,$C$11)</f>
        <v>2.614487069694313</v>
      </c>
      <c r="Q18" s="23" cm="1">
        <f t="array" ref="Q18">BS($E18,$C$6,$C$7,$C$8,Q$5,$C$11)</f>
        <v>2.7738220717297164</v>
      </c>
      <c r="R18" s="23" cm="1">
        <f t="array" ref="R18">BS($E18,$C$6,$C$7,$C$8,R$5,$C$11)</f>
        <v>2.927676989310811</v>
      </c>
      <c r="S18" s="23" cm="1">
        <f t="array" ref="S18">BS($E18,$C$6,$C$7,$C$8,S$5,$C$11)</f>
        <v>3.0766650759638203</v>
      </c>
      <c r="T18" s="23" cm="1">
        <f t="array" ref="T18">BS($E18,$C$6,$C$7,$C$8,T$5,$C$11)</f>
        <v>3.2212900417782251</v>
      </c>
      <c r="U18" s="23" cm="1">
        <f t="array" ref="U18">BS($E18,$C$6,$C$7,$C$8,U$5,$C$11)</f>
        <v>3.3619716983965144</v>
      </c>
      <c r="V18" s="23" cm="1">
        <f t="array" ref="V18">BS($E18,$C$6,$C$7,$C$8,V$5,$C$11)</f>
        <v>3.499064361508486</v>
      </c>
      <c r="W18" s="23" cm="1">
        <f t="array" ref="W18">BS($E18,$C$6,$C$7,$C$8,W$5,$C$11)</f>
        <v>3.632870364512403</v>
      </c>
    </row>
    <row r="19" spans="5:23">
      <c r="E19" s="11">
        <f t="shared" si="0"/>
        <v>31</v>
      </c>
      <c r="F19" s="23" cm="1">
        <f t="array" ref="F19">BS($E19,$C$6,$C$7,$C$8,F$5,$C$11)</f>
        <v>1.2623316081538505</v>
      </c>
      <c r="G19" s="23" cm="1">
        <f t="array" ref="G19">BS($E19,$C$6,$C$7,$C$8,G$5,$C$11)</f>
        <v>1.7159697837510244</v>
      </c>
      <c r="H19" s="23" cm="1">
        <f t="array" ref="H19">BS($E19,$C$6,$C$7,$C$8,H$5,$C$11)</f>
        <v>2.0570259307372822</v>
      </c>
      <c r="I19" s="23" cm="1">
        <f t="array" ref="I19">BS($E19,$C$6,$C$7,$C$8,I$5,$C$11)</f>
        <v>2.3448380739606094</v>
      </c>
      <c r="J19" s="23" cm="1">
        <f t="array" ref="J19">BS($E19,$C$6,$C$7,$C$8,J$5,$C$11)</f>
        <v>2.5999941532333786</v>
      </c>
      <c r="K19" s="23" cm="1">
        <f t="array" ref="K19">BS($E19,$C$6,$C$7,$C$8,K$5,$C$11)</f>
        <v>2.8324579077156073</v>
      </c>
      <c r="L19" s="23" cm="1">
        <f t="array" ref="L19">BS($E19,$C$6,$C$7,$C$8,L$5,$C$11)</f>
        <v>3.0479467397601319</v>
      </c>
      <c r="M19" s="23" cm="1">
        <f t="array" ref="M19">BS($E19,$C$6,$C$7,$C$8,M$5,$C$11)</f>
        <v>3.2501012501849367</v>
      </c>
      <c r="N19" s="23" cm="1">
        <f t="array" ref="N19">BS($E19,$C$6,$C$7,$C$8,N$5,$C$11)</f>
        <v>3.4414093769374681</v>
      </c>
      <c r="O19" s="23" cm="1">
        <f t="array" ref="O19">BS($E19,$C$6,$C$7,$C$8,O$5,$C$11)</f>
        <v>3.6236608505896193</v>
      </c>
      <c r="P19" s="23" cm="1">
        <f t="array" ref="P19">BS($E19,$C$6,$C$7,$C$8,P$5,$C$11)</f>
        <v>3.7981943604157848</v>
      </c>
      <c r="Q19" s="23" cm="1">
        <f t="array" ref="Q19">BS($E19,$C$6,$C$7,$C$8,Q$5,$C$11)</f>
        <v>3.9660424451340042</v>
      </c>
      <c r="R19" s="23" cm="1">
        <f t="array" ref="R19">BS($E19,$C$6,$C$7,$C$8,R$5,$C$11)</f>
        <v>4.1280215141959893</v>
      </c>
      <c r="S19" s="23" cm="1">
        <f t="array" ref="S19">BS($E19,$C$6,$C$7,$C$8,S$5,$C$11)</f>
        <v>4.2847904413478428</v>
      </c>
      <c r="T19" s="23" cm="1">
        <f t="array" ref="T19">BS($E19,$C$6,$C$7,$C$8,T$5,$C$11)</f>
        <v>4.4368901834591643</v>
      </c>
      <c r="U19" s="23" cm="1">
        <f t="array" ref="U19">BS($E19,$C$6,$C$7,$C$8,U$5,$C$11)</f>
        <v>4.5847714351779683</v>
      </c>
      <c r="V19" s="23" cm="1">
        <f t="array" ref="V19">BS($E19,$C$6,$C$7,$C$8,V$5,$C$11)</f>
        <v>4.7288144601652053</v>
      </c>
      <c r="W19" s="23" cm="1">
        <f t="array" ref="W19">BS($E19,$C$6,$C$7,$C$8,W$5,$C$11)</f>
        <v>4.8693436455392032</v>
      </c>
    </row>
    <row r="20" spans="5:23">
      <c r="E20" s="11">
        <f t="shared" si="0"/>
        <v>33</v>
      </c>
      <c r="F20" s="23" cm="1">
        <f t="array" ref="F20">BS($E20,$C$6,$C$7,$C$8,F$5,$C$11)</f>
        <v>3.0534930886116918</v>
      </c>
      <c r="G20" s="23" cm="1">
        <f t="array" ref="G20">BS($E20,$C$6,$C$7,$C$8,G$5,$C$11)</f>
        <v>3.2943368694171049</v>
      </c>
      <c r="H20" s="23" cm="1">
        <f t="array" ref="H20">BS($E20,$C$6,$C$7,$C$8,H$5,$C$11)</f>
        <v>3.5549422010447493</v>
      </c>
      <c r="I20" s="23" cm="1">
        <f t="array" ref="I20">BS($E20,$C$6,$C$7,$C$8,I$5,$C$11)</f>
        <v>3.8009964754680539</v>
      </c>
      <c r="J20" s="23" cm="1">
        <f t="array" ref="J20">BS($E20,$C$6,$C$7,$C$8,J$5,$C$11)</f>
        <v>4.0312776902224172</v>
      </c>
      <c r="K20" s="23" cm="1">
        <f t="array" ref="K20">BS($E20,$C$6,$C$7,$C$8,K$5,$C$11)</f>
        <v>4.2478430480852225</v>
      </c>
      <c r="L20" s="23" cm="1">
        <f t="array" ref="L20">BS($E20,$C$6,$C$7,$C$8,L$5,$C$11)</f>
        <v>4.4527991013000943</v>
      </c>
      <c r="M20" s="23" cm="1">
        <f t="array" ref="M20">BS($E20,$C$6,$C$7,$C$8,M$5,$C$11)</f>
        <v>4.6478867181696053</v>
      </c>
      <c r="N20" s="23" cm="1">
        <f t="array" ref="N20">BS($E20,$C$6,$C$7,$C$8,N$5,$C$11)</f>
        <v>4.8344934251295832</v>
      </c>
      <c r="O20" s="23" cm="1">
        <f t="array" ref="O20">BS($E20,$C$6,$C$7,$C$8,O$5,$C$11)</f>
        <v>5.013725424494023</v>
      </c>
      <c r="P20" s="23" cm="1">
        <f t="array" ref="P20">BS($E20,$C$6,$C$7,$C$8,P$5,$C$11)</f>
        <v>5.1864736727237926</v>
      </c>
      <c r="Q20" s="23" cm="1">
        <f t="array" ref="Q20">BS($E20,$C$6,$C$7,$C$8,Q$5,$C$11)</f>
        <v>5.3534649280222908</v>
      </c>
      <c r="R20" s="23" cm="1">
        <f t="array" ref="R20">BS($E20,$C$6,$C$7,$C$8,R$5,$C$11)</f>
        <v>5.5152996148671498</v>
      </c>
      <c r="S20" s="23" cm="1">
        <f t="array" ref="S20">BS($E20,$C$6,$C$7,$C$8,S$5,$C$11)</f>
        <v>5.672479760403391</v>
      </c>
      <c r="T20" s="23" cm="1">
        <f t="array" ref="T20">BS($E20,$C$6,$C$7,$C$8,T$5,$C$11)</f>
        <v>5.8254297476949759</v>
      </c>
      <c r="U20" s="23" cm="1">
        <f t="array" ref="U20">BS($E20,$C$6,$C$7,$C$8,U$5,$C$11)</f>
        <v>5.9745119079321185</v>
      </c>
      <c r="V20" s="23" cm="1">
        <f t="array" ref="V20">BS($E20,$C$6,$C$7,$C$8,V$5,$C$11)</f>
        <v>6.1200383845923412</v>
      </c>
      <c r="W20" s="23" cm="1">
        <f t="array" ref="W20">BS($E20,$C$6,$C$7,$C$8,W$5,$C$11)</f>
        <v>6.2622802769617607</v>
      </c>
    </row>
    <row r="21" spans="5:23">
      <c r="E21" s="11">
        <f t="shared" si="0"/>
        <v>35</v>
      </c>
      <c r="F21" s="23" cm="1">
        <f t="array" ref="F21">BS($E21,$C$6,$C$7,$C$8,F$5,$C$11)</f>
        <v>5.0378967936642773</v>
      </c>
      <c r="G21" s="23" cm="1">
        <f t="array" ref="G21">BS($E21,$C$6,$C$7,$C$8,G$5,$C$11)</f>
        <v>5.1562967644041358</v>
      </c>
      <c r="H21" s="23" cm="1">
        <f t="array" ref="H21">BS($E21,$C$6,$C$7,$C$8,H$5,$C$11)</f>
        <v>5.3245669118886241</v>
      </c>
      <c r="I21" s="23" cm="1">
        <f t="array" ref="I21">BS($E21,$C$6,$C$7,$C$8,I$5,$C$11)</f>
        <v>5.5091496748533082</v>
      </c>
      <c r="J21" s="23" cm="1">
        <f t="array" ref="J21">BS($E21,$C$6,$C$7,$C$8,J$5,$C$11)</f>
        <v>5.6965070687498915</v>
      </c>
      <c r="K21" s="23" cm="1">
        <f t="array" ref="K21">BS($E21,$C$6,$C$7,$C$8,K$5,$C$11)</f>
        <v>5.881732642290725</v>
      </c>
      <c r="L21" s="23" cm="1">
        <f t="array" ref="L21">BS($E21,$C$6,$C$7,$C$8,L$5,$C$11)</f>
        <v>6.0630225010314902</v>
      </c>
      <c r="M21" s="23" cm="1">
        <f t="array" ref="M21">BS($E21,$C$6,$C$7,$C$8,M$5,$C$11)</f>
        <v>6.2397863654927157</v>
      </c>
      <c r="N21" s="23" cm="1">
        <f t="array" ref="N21">BS($E21,$C$6,$C$7,$C$8,N$5,$C$11)</f>
        <v>6.4119399089018216</v>
      </c>
      <c r="O21" s="23" cm="1">
        <f t="array" ref="O21">BS($E21,$C$6,$C$7,$C$8,O$5,$C$11)</f>
        <v>6.5796140686534237</v>
      </c>
      <c r="P21" s="23" cm="1">
        <f t="array" ref="P21">BS($E21,$C$6,$C$7,$C$8,P$5,$C$11)</f>
        <v>6.7430273243334575</v>
      </c>
      <c r="Q21" s="23" cm="1">
        <f t="array" ref="Q21">BS($E21,$C$6,$C$7,$C$8,Q$5,$C$11)</f>
        <v>6.9024271704793279</v>
      </c>
      <c r="R21" s="23" cm="1">
        <f t="array" ref="R21">BS($E21,$C$6,$C$7,$C$8,R$5,$C$11)</f>
        <v>7.0580628835349764</v>
      </c>
      <c r="S21" s="23" cm="1">
        <f t="array" ref="S21">BS($E21,$C$6,$C$7,$C$8,S$5,$C$11)</f>
        <v>7.2101731046653157</v>
      </c>
      <c r="T21" s="23" cm="1">
        <f t="array" ref="T21">BS($E21,$C$6,$C$7,$C$8,T$5,$C$11)</f>
        <v>7.3589806481811806</v>
      </c>
      <c r="U21" s="23" cm="1">
        <f t="array" ref="U21">BS($E21,$C$6,$C$7,$C$8,U$5,$C$11)</f>
        <v>7.5046908789102424</v>
      </c>
      <c r="V21" s="23" cm="1">
        <f t="array" ref="V21">BS($E21,$C$6,$C$7,$C$8,V$5,$C$11)</f>
        <v>7.6474918367930442</v>
      </c>
      <c r="W21" s="23" cm="1">
        <f t="array" ref="W21">BS($E21,$C$6,$C$7,$C$8,W$5,$C$11)</f>
        <v>7.78755518024591</v>
      </c>
    </row>
    <row r="22" spans="5:23">
      <c r="E22" s="11">
        <f t="shared" si="0"/>
        <v>37</v>
      </c>
      <c r="F22" s="23" cm="1">
        <f t="array" ref="F22">BS($E22,$C$6,$C$7,$C$8,F$5,$C$11)</f>
        <v>7.0374809705165369</v>
      </c>
      <c r="G22" s="23" cm="1">
        <f t="array" ref="G22">BS($E22,$C$6,$C$7,$C$8,G$5,$C$11)</f>
        <v>7.1228224406015137</v>
      </c>
      <c r="H22" s="23" cm="1">
        <f t="array" ref="H22">BS($E22,$C$6,$C$7,$C$8,H$5,$C$11)</f>
        <v>7.2351540371175886</v>
      </c>
      <c r="I22" s="23" cm="1">
        <f t="array" ref="I22">BS($E22,$C$6,$C$7,$C$8,I$5,$C$11)</f>
        <v>7.3692733957455197</v>
      </c>
      <c r="J22" s="23" cm="1">
        <f t="array" ref="J22">BS($E22,$C$6,$C$7,$C$8,J$5,$C$11)</f>
        <v>7.515299422776188</v>
      </c>
      <c r="K22" s="23" cm="1">
        <f t="array" ref="K22">BS($E22,$C$6,$C$7,$C$8,K$5,$C$11)</f>
        <v>7.6670607369917789</v>
      </c>
      <c r="L22" s="23" cm="1">
        <f t="array" ref="L22">BS($E22,$C$6,$C$7,$C$8,L$5,$C$11)</f>
        <v>7.8210688170232814</v>
      </c>
      <c r="M22" s="23" cm="1">
        <f t="array" ref="M22">BS($E22,$C$6,$C$7,$C$8,M$5,$C$11)</f>
        <v>7.9753507813842326</v>
      </c>
      <c r="N22" s="23" cm="1">
        <f t="array" ref="N22">BS($E22,$C$6,$C$7,$C$8,N$5,$C$11)</f>
        <v>8.1287779519872387</v>
      </c>
      <c r="O22" s="23" cm="1">
        <f t="array" ref="O22">BS($E22,$C$6,$C$7,$C$8,O$5,$C$11)</f>
        <v>8.2807028633770337</v>
      </c>
      <c r="P22" s="23" cm="1">
        <f t="array" ref="P22">BS($E22,$C$6,$C$7,$C$8,P$5,$C$11)</f>
        <v>8.4307600394603064</v>
      </c>
      <c r="Q22" s="23" cm="1">
        <f t="array" ref="Q22">BS($E22,$C$6,$C$7,$C$8,Q$5,$C$11)</f>
        <v>8.5787532896104324</v>
      </c>
      <c r="R22" s="23" cm="1">
        <f t="array" ref="R22">BS($E22,$C$6,$C$7,$C$8,R$5,$C$11)</f>
        <v>8.7245899274906833</v>
      </c>
      <c r="S22" s="23" cm="1">
        <f t="array" ref="S22">BS($E22,$C$6,$C$7,$C$8,S$5,$C$11)</f>
        <v>8.8682412767067476</v>
      </c>
      <c r="T22" s="23" cm="1">
        <f t="array" ref="T22">BS($E22,$C$6,$C$7,$C$8,T$5,$C$11)</f>
        <v>9.0097183769769451</v>
      </c>
      <c r="U22" s="23" cm="1">
        <f t="array" ref="U22">BS($E22,$C$6,$C$7,$C$8,U$5,$C$11)</f>
        <v>9.1490567377381851</v>
      </c>
      <c r="V22" s="23" cm="1">
        <f t="array" ref="V22">BS($E22,$C$6,$C$7,$C$8,V$5,$C$11)</f>
        <v>9.2863066163809584</v>
      </c>
      <c r="W22" s="23" cm="1">
        <f t="array" ref="W22">BS($E22,$C$6,$C$7,$C$8,W$5,$C$11)</f>
        <v>9.4215267460528089</v>
      </c>
    </row>
    <row r="23" spans="5:23">
      <c r="E23" s="11">
        <f t="shared" si="0"/>
        <v>39</v>
      </c>
      <c r="F23" s="23" cm="1">
        <f t="array" ref="F23">BS($E23,$C$6,$C$7,$C$8,F$5,$C$11)</f>
        <v>9.0374765927506679</v>
      </c>
      <c r="G23" s="23" cm="1">
        <f t="array" ref="G23">BS($E23,$C$6,$C$7,$C$8,G$5,$C$11)</f>
        <v>9.1166159054090556</v>
      </c>
      <c r="H23" s="23" cm="1">
        <f t="array" ref="H23">BS($E23,$C$6,$C$7,$C$8,H$5,$C$11)</f>
        <v>9.2052578176302156</v>
      </c>
      <c r="I23" s="23" cm="1">
        <f t="array" ref="I23">BS($E23,$C$6,$C$7,$C$8,I$5,$C$11)</f>
        <v>9.3086305786539754</v>
      </c>
      <c r="J23" s="23" cm="1">
        <f t="array" ref="J23">BS($E23,$C$6,$C$7,$C$8,J$5,$C$11)</f>
        <v>9.4242203854352091</v>
      </c>
      <c r="K23" s="23" cm="1">
        <f t="array" ref="K23">BS($E23,$C$6,$C$7,$C$8,K$5,$C$11)</f>
        <v>9.5482715180164313</v>
      </c>
      <c r="L23" s="23" cm="1">
        <f t="array" ref="L23">BS($E23,$C$6,$C$7,$C$8,L$5,$C$11)</f>
        <v>9.6777736585930931</v>
      </c>
      <c r="M23" s="23" cm="1">
        <f t="array" ref="M23">BS($E23,$C$6,$C$7,$C$8,M$5,$C$11)</f>
        <v>9.8105880632677156</v>
      </c>
      <c r="N23" s="23" cm="1">
        <f t="array" ref="N23">BS($E23,$C$6,$C$7,$C$8,N$5,$C$11)</f>
        <v>9.945239978791097</v>
      </c>
      <c r="O23" s="23" cm="1">
        <f t="array" ref="O23">BS($E23,$C$6,$C$7,$C$8,O$5,$C$11)</f>
        <v>10.080716759490684</v>
      </c>
      <c r="P23" s="23" cm="1">
        <f t="array" ref="P23">BS($E23,$C$6,$C$7,$C$8,P$5,$C$11)</f>
        <v>10.216320851142012</v>
      </c>
      <c r="Q23" s="23" cm="1">
        <f t="array" ref="Q23">BS($E23,$C$6,$C$7,$C$8,Q$5,$C$11)</f>
        <v>10.351569864471536</v>
      </c>
      <c r="R23" s="23" cm="1">
        <f t="array" ref="R23">BS($E23,$C$6,$C$7,$C$8,R$5,$C$11)</f>
        <v>10.486129667339352</v>
      </c>
      <c r="S23" s="23" cm="1">
        <f t="array" ref="S23">BS($E23,$C$6,$C$7,$C$8,S$5,$C$11)</f>
        <v>10.619769431499773</v>
      </c>
      <c r="T23" s="23" cm="1">
        <f t="array" ref="T23">BS($E23,$C$6,$C$7,$C$8,T$5,$C$11)</f>
        <v>10.752331116765891</v>
      </c>
      <c r="U23" s="23" cm="1">
        <f t="array" ref="U23">BS($E23,$C$6,$C$7,$C$8,U$5,$C$11)</f>
        <v>10.88370849153922</v>
      </c>
      <c r="V23" s="23" cm="1">
        <f t="array" ref="V23">BS($E23,$C$6,$C$7,$C$8,V$5,$C$11)</f>
        <v>11.013832519708451</v>
      </c>
      <c r="W23" s="23" cm="1">
        <f t="array" ref="W23">BS($E23,$C$6,$C$7,$C$8,W$5,$C$11)</f>
        <v>11.14266105306632</v>
      </c>
    </row>
    <row r="24" spans="5:23">
      <c r="E24" s="11">
        <f t="shared" si="0"/>
        <v>41</v>
      </c>
      <c r="F24" s="23" cm="1">
        <f t="array" ref="F24">BS($E24,$C$6,$C$7,$C$8,F$5,$C$11)</f>
        <v>11.037476572309938</v>
      </c>
      <c r="G24" s="23" cm="1">
        <f t="array" ref="G24">BS($E24,$C$6,$C$7,$C$8,G$5,$C$11)</f>
        <v>11.115706249673618</v>
      </c>
      <c r="H24" s="23" cm="1">
        <f t="array" ref="H24">BS($E24,$C$6,$C$7,$C$8,H$5,$C$11)</f>
        <v>11.196485135232933</v>
      </c>
      <c r="I24" s="23" cm="1">
        <f t="array" ref="I24">BS($E24,$C$6,$C$7,$C$8,I$5,$C$11)</f>
        <v>11.284546723752062</v>
      </c>
      <c r="J24" s="23" cm="1">
        <f t="array" ref="J24">BS($E24,$C$6,$C$7,$C$8,J$5,$C$11)</f>
        <v>11.381309569301646</v>
      </c>
      <c r="K24" s="23" cm="1">
        <f t="array" ref="K24">BS($E24,$C$6,$C$7,$C$8,K$5,$C$11)</f>
        <v>11.485773336311762</v>
      </c>
      <c r="L24" s="23" cm="1">
        <f t="array" ref="L24">BS($E24,$C$6,$C$7,$C$8,L$5,$C$11)</f>
        <v>11.596304314171149</v>
      </c>
      <c r="M24" s="23" cm="1">
        <f t="array" ref="M24">BS($E24,$C$6,$C$7,$C$8,M$5,$C$11)</f>
        <v>11.711355138964052</v>
      </c>
      <c r="N24" s="23" cm="1">
        <f t="array" ref="N24">BS($E24,$C$6,$C$7,$C$8,N$5,$C$11)</f>
        <v>11.829650345228121</v>
      </c>
      <c r="O24" s="23" cm="1">
        <f t="array" ref="O24">BS($E24,$C$6,$C$7,$C$8,O$5,$C$11)</f>
        <v>11.950190287651697</v>
      </c>
      <c r="P24" s="23" cm="1">
        <f t="array" ref="P24">BS($E24,$C$6,$C$7,$C$8,P$5,$C$11)</f>
        <v>12.072206572712059</v>
      </c>
      <c r="Q24" s="23" cm="1">
        <f t="array" ref="Q24">BS($E24,$C$6,$C$7,$C$8,Q$5,$C$11)</f>
        <v>12.195112495223533</v>
      </c>
      <c r="R24" s="23" cm="1">
        <f t="array" ref="R24">BS($E24,$C$6,$C$7,$C$8,R$5,$C$11)</f>
        <v>12.318460620731738</v>
      </c>
      <c r="S24" s="23" cm="1">
        <f t="array" ref="S24">BS($E24,$C$6,$C$7,$C$8,S$5,$C$11)</f>
        <v>12.441909413076779</v>
      </c>
      <c r="T24" s="23" cm="1">
        <f t="array" ref="T24">BS($E24,$C$6,$C$7,$C$8,T$5,$C$11)</f>
        <v>12.565197821748303</v>
      </c>
      <c r="U24" s="23" cm="1">
        <f t="array" ref="U24">BS($E24,$C$6,$C$7,$C$8,U$5,$C$11)</f>
        <v>12.688126160703082</v>
      </c>
      <c r="V24" s="23" cm="1">
        <f t="array" ref="V24">BS($E24,$C$6,$C$7,$C$8,V$5,$C$11)</f>
        <v>12.810541755112659</v>
      </c>
      <c r="W24" s="23" cm="1">
        <f t="array" ref="W24">BS($E24,$C$6,$C$7,$C$8,W$5,$C$11)</f>
        <v>12.932328141337564</v>
      </c>
    </row>
    <row r="25" spans="5:23">
      <c r="E25" s="11">
        <f t="shared" si="0"/>
        <v>43</v>
      </c>
      <c r="F25" s="23" cm="1">
        <f t="array" ref="F25">BS($E25,$C$6,$C$7,$C$8,F$5,$C$11)</f>
        <v>13.037476572262637</v>
      </c>
      <c r="G25" s="23" cm="1">
        <f t="array" ref="G25">BS($E25,$C$6,$C$7,$C$8,G$5,$C$11)</f>
        <v>13.115597505800391</v>
      </c>
      <c r="H25" s="23" cm="1">
        <f t="array" ref="H25">BS($E25,$C$6,$C$7,$C$8,H$5,$C$11)</f>
        <v>13.194186505581712</v>
      </c>
      <c r="I25" s="23" cm="1">
        <f t="array" ref="I25">BS($E25,$C$6,$C$7,$C$8,I$5,$C$11)</f>
        <v>13.275682316214667</v>
      </c>
      <c r="J25" s="23" cm="1">
        <f t="array" ref="J25">BS($E25,$C$6,$C$7,$C$8,J$5,$C$11)</f>
        <v>13.362194057803702</v>
      </c>
      <c r="K25" s="23" cm="1">
        <f t="array" ref="K25">BS($E25,$C$6,$C$7,$C$8,K$5,$C$11)</f>
        <v>13.454294925132032</v>
      </c>
      <c r="L25" s="23" cm="1">
        <f t="array" ref="L25">BS($E25,$C$6,$C$7,$C$8,L$5,$C$11)</f>
        <v>13.551589539630427</v>
      </c>
      <c r="M25" s="23" cm="1">
        <f t="array" ref="M25">BS($E25,$C$6,$C$7,$C$8,M$5,$C$11)</f>
        <v>13.653311053415379</v>
      </c>
      <c r="N25" s="23" cm="1">
        <f t="array" ref="N25">BS($E25,$C$6,$C$7,$C$8,N$5,$C$11)</f>
        <v>13.758631347903268</v>
      </c>
      <c r="O25" s="23" cm="1">
        <f t="array" ref="O25">BS($E25,$C$6,$C$7,$C$8,O$5,$C$11)</f>
        <v>13.866788181931824</v>
      </c>
      <c r="P25" s="23" cm="1">
        <f t="array" ref="P25">BS($E25,$C$6,$C$7,$C$8,P$5,$C$11)</f>
        <v>13.977124978266435</v>
      </c>
      <c r="Q25" s="23" cm="1">
        <f t="array" ref="Q25">BS($E25,$C$6,$C$7,$C$8,Q$5,$C$11)</f>
        <v>14.089093677002474</v>
      </c>
      <c r="R25" s="23" cm="1">
        <f t="array" ref="R25">BS($E25,$C$6,$C$7,$C$8,R$5,$C$11)</f>
        <v>14.202243856548872</v>
      </c>
      <c r="S25" s="23" cm="1">
        <f t="array" ref="S25">BS($E25,$C$6,$C$7,$C$8,S$5,$C$11)</f>
        <v>14.316208130780169</v>
      </c>
      <c r="T25" s="23" cm="1">
        <f t="array" ref="T25">BS($E25,$C$6,$C$7,$C$8,T$5,$C$11)</f>
        <v>14.430687854816963</v>
      </c>
      <c r="U25" s="23" cm="1">
        <f t="array" ref="U25">BS($E25,$C$6,$C$7,$C$8,U$5,$C$11)</f>
        <v>14.545440554435192</v>
      </c>
      <c r="V25" s="23" cm="1">
        <f t="array" ref="V25">BS($E25,$C$6,$C$7,$C$8,V$5,$C$11)</f>
        <v>14.660269389675797</v>
      </c>
      <c r="W25" s="23" cm="1">
        <f t="array" ref="W25">BS($E25,$C$6,$C$7,$C$8,W$5,$C$11)</f>
        <v>14.77501452956616</v>
      </c>
    </row>
    <row r="26" spans="5:23">
      <c r="E26" s="11">
        <f t="shared" si="0"/>
        <v>45</v>
      </c>
      <c r="F26" s="23" cm="1">
        <f t="array" ref="F26">BS($E26,$C$6,$C$7,$C$8,F$5,$C$11)</f>
        <v>15.037476572262573</v>
      </c>
      <c r="G26" s="23" cm="1">
        <f t="array" ref="G26">BS($E26,$C$6,$C$7,$C$8,G$5,$C$11)</f>
        <v>15.115586599859135</v>
      </c>
      <c r="H26" s="23" cm="1">
        <f t="array" ref="H26">BS($E26,$C$6,$C$7,$C$8,H$5,$C$11)</f>
        <v>15.193640258758634</v>
      </c>
      <c r="I26" s="23" cm="1">
        <f t="array" ref="I26">BS($E26,$C$6,$C$7,$C$8,I$5,$C$11)</f>
        <v>15.272626705363347</v>
      </c>
      <c r="J26" s="23" cm="1">
        <f t="array" ref="J26">BS($E26,$C$6,$C$7,$C$8,J$5,$C$11)</f>
        <v>15.354079859743621</v>
      </c>
      <c r="K26" s="23" cm="1">
        <f t="array" ref="K26">BS($E26,$C$6,$C$7,$C$8,K$5,$C$11)</f>
        <v>15.439024180818457</v>
      </c>
      <c r="L26" s="23" cm="1">
        <f t="array" ref="L26">BS($E26,$C$6,$C$7,$C$8,L$5,$C$11)</f>
        <v>15.52777931008913</v>
      </c>
      <c r="M26" s="23" cm="1">
        <f t="array" ref="M26">BS($E26,$C$6,$C$7,$C$8,M$5,$C$11)</f>
        <v>15.620199434290758</v>
      </c>
      <c r="N26" s="23" cm="1">
        <f t="array" ref="N26">BS($E26,$C$6,$C$7,$C$8,N$5,$C$11)</f>
        <v>15.71590963266344</v>
      </c>
      <c r="O26" s="23" cm="1">
        <f t="array" ref="O26">BS($E26,$C$6,$C$7,$C$8,O$5,$C$11)</f>
        <v>15.814453405328468</v>
      </c>
      <c r="P26" s="23" cm="1">
        <f t="array" ref="P26">BS($E26,$C$6,$C$7,$C$8,P$5,$C$11)</f>
        <v>15.915370513621212</v>
      </c>
      <c r="Q26" s="23" cm="1">
        <f t="array" ref="Q26">BS($E26,$C$6,$C$7,$C$8,Q$5,$C$11)</f>
        <v>16.018233258596432</v>
      </c>
      <c r="R26" s="23" cm="1">
        <f t="array" ref="R26">BS($E26,$C$6,$C$7,$C$8,R$5,$C$11)</f>
        <v>16.12266043196481</v>
      </c>
      <c r="S26" s="23" cm="1">
        <f t="array" ref="S26">BS($E26,$C$6,$C$7,$C$8,S$5,$C$11)</f>
        <v>16.228320034786325</v>
      </c>
      <c r="T26" s="23" cm="1">
        <f t="array" ref="T26">BS($E26,$C$6,$C$7,$C$8,T$5,$C$11)</f>
        <v>16.334926746869471</v>
      </c>
      <c r="U26" s="23" cm="1">
        <f t="array" ref="U26">BS($E26,$C$6,$C$7,$C$8,U$5,$C$11)</f>
        <v>16.442237251795174</v>
      </c>
      <c r="V26" s="23" cm="1">
        <f t="array" ref="V26">BS($E26,$C$6,$C$7,$C$8,V$5,$C$11)</f>
        <v>16.550044972353824</v>
      </c>
      <c r="W26" s="23" cm="1">
        <f t="array" ref="W26">BS($E26,$C$6,$C$7,$C$8,W$5,$C$11)</f>
        <v>16.65817495510095</v>
      </c>
    </row>
    <row r="31" spans="5:23">
      <c r="E31" s="18"/>
    </row>
  </sheetData>
  <dataValidations disablePrompts="1" count="1">
    <dataValidation type="list" allowBlank="1" showInputMessage="1" showErrorMessage="1" sqref="C10" xr:uid="{B1CDDD55-191E-4297-B4B8-A7B29C28D804}">
      <formula1>"Call,Put"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310D0-A694-47A4-A4F8-0D2536EB345A}">
  <sheetPr codeName="Hoja3"/>
  <dimension ref="B2:W26"/>
  <sheetViews>
    <sheetView zoomScale="90" zoomScaleNormal="90" workbookViewId="0">
      <selection activeCell="E6" sqref="E6:E26"/>
    </sheetView>
  </sheetViews>
  <sheetFormatPr defaultColWidth="11.453125" defaultRowHeight="14.5"/>
  <cols>
    <col min="1" max="1" width="3.7265625" style="8" customWidth="1"/>
    <col min="2" max="2" width="25.453125" style="8" customWidth="1"/>
    <col min="3" max="3" width="11.81640625" style="8" bestFit="1" customWidth="1"/>
    <col min="4" max="4" width="3.7265625" style="8" customWidth="1"/>
    <col min="5" max="16384" width="11.453125" style="8"/>
  </cols>
  <sheetData>
    <row r="2" spans="2:23">
      <c r="B2" s="10" t="s">
        <v>14</v>
      </c>
    </row>
    <row r="3" spans="2:23">
      <c r="B3" s="10"/>
    </row>
    <row r="4" spans="2:23">
      <c r="F4" s="8" t="s">
        <v>9</v>
      </c>
    </row>
    <row r="5" spans="2:23">
      <c r="B5" s="11" t="s">
        <v>16</v>
      </c>
      <c r="C5" s="12"/>
      <c r="E5" s="8" t="s">
        <v>8</v>
      </c>
      <c r="F5" s="13">
        <v>10</v>
      </c>
      <c r="G5" s="13">
        <v>30.882352941176471</v>
      </c>
      <c r="H5" s="13">
        <v>51.764705882352942</v>
      </c>
      <c r="I5" s="13">
        <v>72.64705882352942</v>
      </c>
      <c r="J5" s="13">
        <v>93.529411764705884</v>
      </c>
      <c r="K5" s="13">
        <v>114.41176470588235</v>
      </c>
      <c r="L5" s="13">
        <v>135.29411764705881</v>
      </c>
      <c r="M5" s="13">
        <v>156.17647058823528</v>
      </c>
      <c r="N5" s="13">
        <v>177.05882352941174</v>
      </c>
      <c r="O5" s="13">
        <v>197.9411764705882</v>
      </c>
      <c r="P5" s="13">
        <v>218.82352941176467</v>
      </c>
      <c r="Q5" s="13">
        <v>239.70588235294113</v>
      </c>
      <c r="R5" s="13">
        <v>260.58823529411762</v>
      </c>
      <c r="S5" s="13">
        <v>281.47058823529409</v>
      </c>
      <c r="T5" s="13">
        <v>302.35294117647055</v>
      </c>
      <c r="U5" s="13">
        <v>323.23529411764702</v>
      </c>
      <c r="V5" s="13">
        <v>344.11764705882348</v>
      </c>
      <c r="W5" s="13">
        <v>364.99999999999994</v>
      </c>
    </row>
    <row r="6" spans="2:23">
      <c r="B6" s="11" t="s">
        <v>10</v>
      </c>
      <c r="C6" s="12"/>
      <c r="E6" s="11">
        <v>10</v>
      </c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</row>
    <row r="7" spans="2:23">
      <c r="B7" s="11" t="s">
        <v>18</v>
      </c>
      <c r="C7" s="12"/>
      <c r="E7" s="11">
        <f>+E6+2</f>
        <v>12</v>
      </c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</row>
    <row r="8" spans="2:23">
      <c r="B8" s="11" t="s">
        <v>19</v>
      </c>
      <c r="C8" s="12"/>
      <c r="E8" s="11">
        <f t="shared" ref="E8:E26" si="0">+E7+2</f>
        <v>14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</row>
    <row r="9" spans="2:23">
      <c r="B9" s="11" t="s">
        <v>20</v>
      </c>
      <c r="C9" s="12"/>
      <c r="E9" s="11">
        <f t="shared" si="0"/>
        <v>16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</row>
    <row r="10" spans="2:23">
      <c r="B10" s="11" t="s">
        <v>9</v>
      </c>
      <c r="C10" s="12"/>
      <c r="E10" s="11">
        <f t="shared" si="0"/>
        <v>18</v>
      </c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2:23">
      <c r="B11" s="11" t="s">
        <v>13</v>
      </c>
      <c r="C11" s="12"/>
      <c r="E11" s="11">
        <f t="shared" si="0"/>
        <v>20</v>
      </c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</row>
    <row r="12" spans="2:23">
      <c r="B12" s="11" t="s">
        <v>13</v>
      </c>
      <c r="C12" s="12"/>
      <c r="E12" s="11">
        <f t="shared" si="0"/>
        <v>22</v>
      </c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</row>
    <row r="13" spans="2:23">
      <c r="E13" s="11">
        <f t="shared" si="0"/>
        <v>24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</row>
    <row r="14" spans="2:23">
      <c r="E14" s="11">
        <f t="shared" si="0"/>
        <v>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</row>
    <row r="15" spans="2:23">
      <c r="E15" s="11">
        <f t="shared" si="0"/>
        <v>28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</row>
    <row r="16" spans="2:23">
      <c r="E16" s="11">
        <f t="shared" si="0"/>
        <v>30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</row>
    <row r="17" spans="5:23">
      <c r="E17" s="11">
        <f t="shared" si="0"/>
        <v>32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</row>
    <row r="18" spans="5:23">
      <c r="E18" s="11">
        <f t="shared" si="0"/>
        <v>34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</row>
    <row r="19" spans="5:23">
      <c r="E19" s="11">
        <f t="shared" si="0"/>
        <v>36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</row>
    <row r="20" spans="5:23">
      <c r="E20" s="11">
        <f t="shared" si="0"/>
        <v>38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</row>
    <row r="21" spans="5:23">
      <c r="E21" s="11">
        <f t="shared" si="0"/>
        <v>40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</row>
    <row r="22" spans="5:23">
      <c r="E22" s="11">
        <f t="shared" si="0"/>
        <v>42</v>
      </c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</row>
    <row r="23" spans="5:23">
      <c r="E23" s="11">
        <f t="shared" si="0"/>
        <v>44</v>
      </c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</row>
    <row r="24" spans="5:23">
      <c r="E24" s="11">
        <f t="shared" si="0"/>
        <v>46</v>
      </c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</row>
    <row r="25" spans="5:23">
      <c r="E25" s="11">
        <f t="shared" si="0"/>
        <v>48</v>
      </c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</row>
    <row r="26" spans="5:23">
      <c r="E26" s="11">
        <f t="shared" si="0"/>
        <v>50</v>
      </c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E92C5-02E2-4885-BDC0-DFC173D88769}">
  <sheetPr codeName="Hoja5"/>
  <dimension ref="B2:W26"/>
  <sheetViews>
    <sheetView zoomScale="90" zoomScaleNormal="90" workbookViewId="0">
      <selection activeCell="E6" sqref="E6:E26"/>
    </sheetView>
  </sheetViews>
  <sheetFormatPr defaultColWidth="11.453125" defaultRowHeight="14.5"/>
  <cols>
    <col min="1" max="1" width="3.7265625" style="8" customWidth="1"/>
    <col min="2" max="2" width="19.54296875" style="8" customWidth="1"/>
    <col min="3" max="3" width="11.81640625" style="8" bestFit="1" customWidth="1"/>
    <col min="4" max="4" width="3.7265625" style="8" customWidth="1"/>
    <col min="5" max="16384" width="11.453125" style="8"/>
  </cols>
  <sheetData>
    <row r="2" spans="2:23">
      <c r="B2" s="10" t="s">
        <v>14</v>
      </c>
    </row>
    <row r="3" spans="2:23">
      <c r="B3" s="10"/>
    </row>
    <row r="4" spans="2:23">
      <c r="F4" s="8" t="s">
        <v>9</v>
      </c>
    </row>
    <row r="5" spans="2:23">
      <c r="B5" s="11" t="s">
        <v>16</v>
      </c>
      <c r="C5" s="12"/>
      <c r="E5" s="8" t="s">
        <v>8</v>
      </c>
      <c r="F5" s="13">
        <v>10</v>
      </c>
      <c r="G5" s="13">
        <v>30.882352941176471</v>
      </c>
      <c r="H5" s="13">
        <v>51.764705882352942</v>
      </c>
      <c r="I5" s="13">
        <v>72.64705882352942</v>
      </c>
      <c r="J5" s="13">
        <v>93.529411764705884</v>
      </c>
      <c r="K5" s="13">
        <v>114.41176470588235</v>
      </c>
      <c r="L5" s="13">
        <v>135.29411764705881</v>
      </c>
      <c r="M5" s="13">
        <v>156.17647058823528</v>
      </c>
      <c r="N5" s="13">
        <v>177.05882352941174</v>
      </c>
      <c r="O5" s="13">
        <v>197.9411764705882</v>
      </c>
      <c r="P5" s="13">
        <v>218.82352941176467</v>
      </c>
      <c r="Q5" s="13">
        <v>239.70588235294113</v>
      </c>
      <c r="R5" s="13">
        <v>260.58823529411762</v>
      </c>
      <c r="S5" s="13">
        <v>281.47058823529409</v>
      </c>
      <c r="T5" s="13">
        <v>302.35294117647055</v>
      </c>
      <c r="U5" s="13">
        <v>323.23529411764702</v>
      </c>
      <c r="V5" s="13">
        <v>344.11764705882348</v>
      </c>
      <c r="W5" s="13">
        <v>364.99999999999994</v>
      </c>
    </row>
    <row r="6" spans="2:23">
      <c r="B6" s="11" t="s">
        <v>10</v>
      </c>
      <c r="C6" s="12"/>
      <c r="E6" s="11">
        <v>10</v>
      </c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</row>
    <row r="7" spans="2:23">
      <c r="B7" s="11" t="s">
        <v>11</v>
      </c>
      <c r="C7" s="12"/>
      <c r="E7" s="11">
        <f>+E6+2</f>
        <v>12</v>
      </c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</row>
    <row r="8" spans="2:23">
      <c r="B8" s="11" t="s">
        <v>21</v>
      </c>
      <c r="C8" s="12"/>
      <c r="E8" s="11">
        <f t="shared" ref="E8:E26" si="0">+E7+2</f>
        <v>14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</row>
    <row r="9" spans="2:23">
      <c r="B9" s="11" t="s">
        <v>22</v>
      </c>
      <c r="C9" s="12"/>
      <c r="E9" s="11">
        <f t="shared" si="0"/>
        <v>16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</row>
    <row r="10" spans="2:23">
      <c r="B10" s="11" t="s">
        <v>9</v>
      </c>
      <c r="C10" s="12"/>
      <c r="E10" s="11">
        <f t="shared" si="0"/>
        <v>18</v>
      </c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2:23">
      <c r="B11" s="11" t="s">
        <v>13</v>
      </c>
      <c r="C11" s="12"/>
      <c r="E11" s="11">
        <f t="shared" si="0"/>
        <v>20</v>
      </c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</row>
    <row r="12" spans="2:23">
      <c r="B12" s="11" t="s">
        <v>13</v>
      </c>
      <c r="C12" s="12"/>
      <c r="E12" s="11">
        <f t="shared" si="0"/>
        <v>22</v>
      </c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</row>
    <row r="13" spans="2:23">
      <c r="E13" s="11">
        <f t="shared" si="0"/>
        <v>24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</row>
    <row r="14" spans="2:23">
      <c r="E14" s="11">
        <f t="shared" si="0"/>
        <v>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</row>
    <row r="15" spans="2:23">
      <c r="E15" s="11">
        <f t="shared" si="0"/>
        <v>28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</row>
    <row r="16" spans="2:23">
      <c r="E16" s="11">
        <f t="shared" si="0"/>
        <v>30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</row>
    <row r="17" spans="5:23">
      <c r="E17" s="11">
        <f t="shared" si="0"/>
        <v>32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</row>
    <row r="18" spans="5:23">
      <c r="E18" s="11">
        <f t="shared" si="0"/>
        <v>34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</row>
    <row r="19" spans="5:23">
      <c r="E19" s="11">
        <f t="shared" si="0"/>
        <v>36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</row>
    <row r="20" spans="5:23">
      <c r="E20" s="11">
        <f t="shared" si="0"/>
        <v>38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</row>
    <row r="21" spans="5:23">
      <c r="E21" s="11">
        <f t="shared" si="0"/>
        <v>40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</row>
    <row r="22" spans="5:23">
      <c r="E22" s="11">
        <f t="shared" si="0"/>
        <v>42</v>
      </c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</row>
    <row r="23" spans="5:23">
      <c r="E23" s="11">
        <f t="shared" si="0"/>
        <v>44</v>
      </c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</row>
    <row r="24" spans="5:23">
      <c r="E24" s="11">
        <f t="shared" si="0"/>
        <v>46</v>
      </c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</row>
    <row r="25" spans="5:23">
      <c r="E25" s="11">
        <f t="shared" si="0"/>
        <v>48</v>
      </c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</row>
    <row r="26" spans="5:23">
      <c r="E26" s="11">
        <f t="shared" si="0"/>
        <v>50</v>
      </c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9C3CA-5D68-4AC1-A7E2-3910B6AB4295}">
  <sheetPr codeName="Hoja6"/>
  <dimension ref="B2:W26"/>
  <sheetViews>
    <sheetView zoomScale="90" zoomScaleNormal="90" workbookViewId="0">
      <selection activeCell="A5" sqref="A5"/>
    </sheetView>
  </sheetViews>
  <sheetFormatPr defaultColWidth="11.453125" defaultRowHeight="14.5"/>
  <cols>
    <col min="1" max="1" width="3.7265625" style="8" customWidth="1"/>
    <col min="2" max="2" width="22.453125" style="8" customWidth="1"/>
    <col min="3" max="3" width="11.81640625" style="8" bestFit="1" customWidth="1"/>
    <col min="4" max="4" width="3.7265625" style="8" customWidth="1"/>
    <col min="5" max="16384" width="11.453125" style="8"/>
  </cols>
  <sheetData>
    <row r="2" spans="2:23">
      <c r="B2" s="10" t="s">
        <v>14</v>
      </c>
    </row>
    <row r="3" spans="2:23">
      <c r="B3" s="10"/>
    </row>
    <row r="4" spans="2:23">
      <c r="F4" s="8" t="s">
        <v>9</v>
      </c>
    </row>
    <row r="5" spans="2:23">
      <c r="B5" s="11" t="s">
        <v>23</v>
      </c>
      <c r="C5" s="12"/>
      <c r="E5" s="8" t="s">
        <v>8</v>
      </c>
      <c r="F5" s="13">
        <v>10</v>
      </c>
      <c r="G5" s="13">
        <v>30.882352941176471</v>
      </c>
      <c r="H5" s="13">
        <v>51.764705882352942</v>
      </c>
      <c r="I5" s="13">
        <v>72.64705882352942</v>
      </c>
      <c r="J5" s="13">
        <v>93.529411764705884</v>
      </c>
      <c r="K5" s="13">
        <v>114.41176470588235</v>
      </c>
      <c r="L5" s="13">
        <v>135.29411764705881</v>
      </c>
      <c r="M5" s="13">
        <v>156.17647058823528</v>
      </c>
      <c r="N5" s="13">
        <v>177.05882352941174</v>
      </c>
      <c r="O5" s="13">
        <v>197.9411764705882</v>
      </c>
      <c r="P5" s="13">
        <v>218.82352941176467</v>
      </c>
      <c r="Q5" s="13">
        <v>239.70588235294113</v>
      </c>
      <c r="R5" s="13">
        <v>260.58823529411762</v>
      </c>
      <c r="S5" s="13">
        <v>281.47058823529409</v>
      </c>
      <c r="T5" s="13">
        <v>302.35294117647055</v>
      </c>
      <c r="U5" s="13">
        <v>323.23529411764702</v>
      </c>
      <c r="V5" s="13">
        <v>344.11764705882348</v>
      </c>
      <c r="W5" s="13">
        <v>364.99999999999994</v>
      </c>
    </row>
    <row r="6" spans="2:23">
      <c r="B6" s="11" t="s">
        <v>10</v>
      </c>
      <c r="C6" s="12"/>
      <c r="E6" s="11">
        <v>10</v>
      </c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</row>
    <row r="7" spans="2:23">
      <c r="B7" s="11" t="s">
        <v>24</v>
      </c>
      <c r="C7" s="15"/>
      <c r="E7" s="11">
        <f>+E6+2</f>
        <v>12</v>
      </c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</row>
    <row r="8" spans="2:23">
      <c r="B8" s="11" t="s">
        <v>25</v>
      </c>
      <c r="C8" s="15"/>
      <c r="E8" s="11">
        <f t="shared" ref="E8:E26" si="0">+E7+2</f>
        <v>14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</row>
    <row r="9" spans="2:23">
      <c r="B9" s="11" t="s">
        <v>12</v>
      </c>
      <c r="C9" s="12"/>
      <c r="E9" s="11">
        <f t="shared" si="0"/>
        <v>16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</row>
    <row r="10" spans="2:23">
      <c r="B10" s="11" t="s">
        <v>13</v>
      </c>
      <c r="C10" s="12"/>
      <c r="E10" s="11">
        <f t="shared" si="0"/>
        <v>18</v>
      </c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2:23">
      <c r="B11" s="11" t="s">
        <v>13</v>
      </c>
      <c r="C11" s="12"/>
      <c r="E11" s="11">
        <f t="shared" si="0"/>
        <v>20</v>
      </c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</row>
    <row r="12" spans="2:23">
      <c r="E12" s="11">
        <f t="shared" si="0"/>
        <v>22</v>
      </c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</row>
    <row r="13" spans="2:23">
      <c r="E13" s="11">
        <f t="shared" si="0"/>
        <v>24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</row>
    <row r="14" spans="2:23">
      <c r="E14" s="11">
        <f t="shared" si="0"/>
        <v>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</row>
    <row r="15" spans="2:23">
      <c r="E15" s="11">
        <f t="shared" si="0"/>
        <v>28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</row>
    <row r="16" spans="2:23">
      <c r="E16" s="11">
        <f t="shared" si="0"/>
        <v>30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</row>
    <row r="17" spans="5:23">
      <c r="E17" s="11">
        <f t="shared" si="0"/>
        <v>32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</row>
    <row r="18" spans="5:23">
      <c r="E18" s="11">
        <f t="shared" si="0"/>
        <v>34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</row>
    <row r="19" spans="5:23">
      <c r="E19" s="11">
        <f t="shared" si="0"/>
        <v>36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</row>
    <row r="20" spans="5:23">
      <c r="E20" s="11">
        <f t="shared" si="0"/>
        <v>38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</row>
    <row r="21" spans="5:23">
      <c r="E21" s="11">
        <f t="shared" si="0"/>
        <v>40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</row>
    <row r="22" spans="5:23">
      <c r="E22" s="11">
        <f t="shared" si="0"/>
        <v>42</v>
      </c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</row>
    <row r="23" spans="5:23">
      <c r="E23" s="11">
        <f t="shared" si="0"/>
        <v>44</v>
      </c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</row>
    <row r="24" spans="5:23">
      <c r="E24" s="11">
        <f t="shared" si="0"/>
        <v>46</v>
      </c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</row>
    <row r="25" spans="5:23">
      <c r="E25" s="11">
        <f t="shared" si="0"/>
        <v>48</v>
      </c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</row>
    <row r="26" spans="5:23">
      <c r="E26" s="11">
        <f t="shared" si="0"/>
        <v>50</v>
      </c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3B336-6767-4345-8626-E677F9411649}">
  <sheetPr codeName="Hoja4">
    <tabColor rgb="FF002060"/>
  </sheetPr>
  <dimension ref="B2:B10"/>
  <sheetViews>
    <sheetView zoomScale="115" zoomScaleNormal="115" workbookViewId="0">
      <selection activeCell="D8" sqref="D8"/>
    </sheetView>
  </sheetViews>
  <sheetFormatPr defaultColWidth="11.453125" defaultRowHeight="14.5"/>
  <cols>
    <col min="1" max="1" width="3.7265625" style="8" customWidth="1"/>
    <col min="2" max="2" width="80" style="8" customWidth="1"/>
    <col min="3" max="16384" width="11.453125" style="8"/>
  </cols>
  <sheetData>
    <row r="2" spans="2:2" ht="21">
      <c r="B2" s="7" t="s">
        <v>7</v>
      </c>
    </row>
    <row r="4" spans="2:2">
      <c r="B4" s="9"/>
    </row>
    <row r="5" spans="2:2">
      <c r="B5" s="9"/>
    </row>
    <row r="6" spans="2:2">
      <c r="B6" s="9"/>
    </row>
    <row r="7" spans="2:2">
      <c r="B7" s="9"/>
    </row>
    <row r="8" spans="2:2">
      <c r="B8" s="9"/>
    </row>
    <row r="9" spans="2:2">
      <c r="B9" s="9"/>
    </row>
    <row r="10" spans="2:2">
      <c r="B10" s="9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CBBBE-A205-4B75-BAB8-1AC769A08249}">
  <sheetPr codeName="Sheet2"/>
  <dimension ref="B4:W32"/>
  <sheetViews>
    <sheetView tabSelected="1" workbookViewId="0">
      <selection activeCell="E8" sqref="E8"/>
    </sheetView>
  </sheetViews>
  <sheetFormatPr defaultRowHeight="14.5"/>
  <cols>
    <col min="2" max="2" width="22.1796875" bestFit="1" customWidth="1"/>
    <col min="3" max="3" width="8.453125" customWidth="1"/>
    <col min="9" max="9" width="11.453125" bestFit="1" customWidth="1"/>
    <col min="10" max="10" width="8.81640625" bestFit="1" customWidth="1"/>
    <col min="13" max="18" width="8.81640625" bestFit="1" customWidth="1"/>
    <col min="20" max="23" width="8.81640625" bestFit="1" customWidth="1"/>
  </cols>
  <sheetData>
    <row r="4" spans="2:23">
      <c r="B4" s="10" t="s">
        <v>14</v>
      </c>
      <c r="C4" s="8"/>
    </row>
    <row r="5" spans="2:23">
      <c r="B5" s="10"/>
      <c r="C5" s="8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</row>
    <row r="6" spans="2:23" ht="62.5" thickBot="1">
      <c r="B6" s="8"/>
      <c r="C6" s="8"/>
      <c r="I6" s="26"/>
      <c r="J6" s="27" t="s">
        <v>28</v>
      </c>
      <c r="K6" s="27" t="s">
        <v>62</v>
      </c>
      <c r="L6" s="27" t="s">
        <v>29</v>
      </c>
      <c r="M6" s="27" t="s">
        <v>30</v>
      </c>
      <c r="N6" s="27" t="s">
        <v>31</v>
      </c>
      <c r="O6" s="27" t="s">
        <v>32</v>
      </c>
      <c r="P6" s="27" t="s">
        <v>33</v>
      </c>
      <c r="Q6" s="27" t="s">
        <v>10</v>
      </c>
      <c r="R6" s="27" t="s">
        <v>28</v>
      </c>
      <c r="S6" s="27" t="s">
        <v>29</v>
      </c>
      <c r="T6" s="27" t="s">
        <v>30</v>
      </c>
      <c r="U6" s="27" t="s">
        <v>31</v>
      </c>
      <c r="V6" s="27" t="s">
        <v>32</v>
      </c>
      <c r="W6" s="27" t="s">
        <v>33</v>
      </c>
    </row>
    <row r="7" spans="2:23" ht="18" thickBot="1">
      <c r="B7" s="11" t="s">
        <v>16</v>
      </c>
      <c r="C7" s="20">
        <v>213.88</v>
      </c>
      <c r="I7" s="28">
        <v>45870</v>
      </c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2:23" ht="16" thickBot="1">
      <c r="B8" s="11" t="s">
        <v>10</v>
      </c>
      <c r="C8" s="20">
        <f>Q9</f>
        <v>195</v>
      </c>
      <c r="I8" s="30">
        <v>45870</v>
      </c>
      <c r="J8" s="31">
        <v>21.7</v>
      </c>
      <c r="K8" s="35">
        <v>0.51426237596747149</v>
      </c>
      <c r="L8" s="31" t="s">
        <v>34</v>
      </c>
      <c r="M8" s="31">
        <v>20.6</v>
      </c>
      <c r="N8" s="31">
        <v>22.95</v>
      </c>
      <c r="O8" s="31" t="s">
        <v>34</v>
      </c>
      <c r="P8" s="31">
        <v>16</v>
      </c>
      <c r="Q8" s="32">
        <v>192.5</v>
      </c>
      <c r="R8" s="31">
        <v>0.22</v>
      </c>
      <c r="S8" s="33" t="s">
        <v>35</v>
      </c>
      <c r="T8" s="31">
        <v>0.2</v>
      </c>
      <c r="U8" s="31">
        <v>0.21</v>
      </c>
      <c r="V8" s="31">
        <v>421</v>
      </c>
      <c r="W8" s="31">
        <v>1783</v>
      </c>
    </row>
    <row r="9" spans="2:23" ht="16" thickBot="1">
      <c r="B9" s="11" t="s">
        <v>11</v>
      </c>
      <c r="C9" s="21">
        <v>0.32229584509000531</v>
      </c>
      <c r="I9" s="30">
        <v>45870</v>
      </c>
      <c r="J9" s="31">
        <v>19.02</v>
      </c>
      <c r="K9" s="35">
        <v>0.32229584509000531</v>
      </c>
      <c r="L9" s="33" t="s">
        <v>36</v>
      </c>
      <c r="M9" s="31">
        <v>18.899999999999999</v>
      </c>
      <c r="N9" s="31">
        <v>19.55</v>
      </c>
      <c r="O9" s="31">
        <v>28</v>
      </c>
      <c r="P9" s="31">
        <v>1147</v>
      </c>
      <c r="Q9" s="32">
        <v>195</v>
      </c>
      <c r="R9" s="31">
        <v>0.27</v>
      </c>
      <c r="S9" s="33" t="s">
        <v>37</v>
      </c>
      <c r="T9" s="31">
        <v>0.27</v>
      </c>
      <c r="U9" s="31">
        <v>0.28999999999999998</v>
      </c>
      <c r="V9" s="31">
        <v>1501</v>
      </c>
      <c r="W9" s="31">
        <v>5384</v>
      </c>
    </row>
    <row r="10" spans="2:23" ht="16" thickBot="1">
      <c r="B10" s="11" t="s">
        <v>17</v>
      </c>
      <c r="C10" s="22">
        <v>4.4999999999999998E-2</v>
      </c>
      <c r="I10" s="30">
        <v>45870</v>
      </c>
      <c r="J10" s="31">
        <v>16.72</v>
      </c>
      <c r="K10" s="35"/>
      <c r="L10" s="33" t="s">
        <v>38</v>
      </c>
      <c r="M10" s="31">
        <v>16.850000000000001</v>
      </c>
      <c r="N10" s="31">
        <v>17.149999999999999</v>
      </c>
      <c r="O10" s="31">
        <v>4</v>
      </c>
      <c r="P10" s="31">
        <v>90</v>
      </c>
      <c r="Q10" s="32">
        <v>197.5</v>
      </c>
      <c r="R10" s="31">
        <v>0.4</v>
      </c>
      <c r="S10" s="33" t="s">
        <v>39</v>
      </c>
      <c r="T10" s="31">
        <v>0.39</v>
      </c>
      <c r="U10" s="31">
        <v>0.41</v>
      </c>
      <c r="V10" s="31">
        <v>2322</v>
      </c>
      <c r="W10" s="31">
        <v>881</v>
      </c>
    </row>
    <row r="11" spans="2:23" ht="16" thickBot="1">
      <c r="B11" s="11" t="s">
        <v>9</v>
      </c>
      <c r="C11" s="20">
        <v>5</v>
      </c>
      <c r="I11" s="30">
        <v>45870</v>
      </c>
      <c r="J11" s="31">
        <v>14.65</v>
      </c>
      <c r="K11" s="35"/>
      <c r="L11" s="33" t="s">
        <v>40</v>
      </c>
      <c r="M11" s="31">
        <v>14.6</v>
      </c>
      <c r="N11" s="31">
        <v>14.85</v>
      </c>
      <c r="O11" s="31">
        <v>743</v>
      </c>
      <c r="P11" s="31">
        <v>1428</v>
      </c>
      <c r="Q11" s="32">
        <v>200</v>
      </c>
      <c r="R11" s="31">
        <v>0.56999999999999995</v>
      </c>
      <c r="S11" s="33" t="s">
        <v>41</v>
      </c>
      <c r="T11" s="31">
        <v>0.56999999999999995</v>
      </c>
      <c r="U11" s="31">
        <v>0.59</v>
      </c>
      <c r="V11" s="31">
        <v>2313</v>
      </c>
      <c r="W11" s="31">
        <v>7357</v>
      </c>
    </row>
    <row r="12" spans="2:23" ht="16" thickBot="1">
      <c r="B12" s="11" t="s">
        <v>13</v>
      </c>
      <c r="C12" s="19" t="s">
        <v>27</v>
      </c>
      <c r="I12" s="30">
        <v>45870</v>
      </c>
      <c r="J12" s="31">
        <v>12.45</v>
      </c>
      <c r="K12" s="35"/>
      <c r="L12" s="33" t="s">
        <v>42</v>
      </c>
      <c r="M12" s="31">
        <v>12.4</v>
      </c>
      <c r="N12" s="31">
        <v>12.6</v>
      </c>
      <c r="O12" s="31">
        <v>675</v>
      </c>
      <c r="P12" s="31">
        <v>342</v>
      </c>
      <c r="Q12" s="32">
        <v>202.5</v>
      </c>
      <c r="R12" s="31">
        <v>0.87</v>
      </c>
      <c r="S12" s="33" t="s">
        <v>43</v>
      </c>
      <c r="T12" s="31">
        <v>0.85</v>
      </c>
      <c r="U12" s="31">
        <v>0.87</v>
      </c>
      <c r="V12" s="31">
        <v>2238</v>
      </c>
      <c r="W12" s="31">
        <v>3320</v>
      </c>
    </row>
    <row r="13" spans="2:23" ht="16" thickBot="1">
      <c r="B13" s="11" t="s">
        <v>13</v>
      </c>
      <c r="C13" s="20" t="b">
        <f>IF(C12="Call",TRUE,FALSE)</f>
        <v>1</v>
      </c>
      <c r="I13" s="30">
        <v>45870</v>
      </c>
      <c r="J13" s="31">
        <v>10.38</v>
      </c>
      <c r="K13" s="35"/>
      <c r="L13" s="33" t="s">
        <v>44</v>
      </c>
      <c r="M13" s="31">
        <v>10.3</v>
      </c>
      <c r="N13" s="31">
        <v>10.5</v>
      </c>
      <c r="O13" s="31">
        <v>624</v>
      </c>
      <c r="P13" s="31">
        <v>2488</v>
      </c>
      <c r="Q13" s="32">
        <v>205</v>
      </c>
      <c r="R13" s="31">
        <v>1.26</v>
      </c>
      <c r="S13" s="33" t="s">
        <v>45</v>
      </c>
      <c r="T13" s="31">
        <v>1.26</v>
      </c>
      <c r="U13" s="31">
        <v>1.3</v>
      </c>
      <c r="V13" s="31">
        <v>5773</v>
      </c>
      <c r="W13" s="31">
        <v>6021</v>
      </c>
    </row>
    <row r="14" spans="2:23" ht="16" thickBot="1">
      <c r="B14" s="25" t="s">
        <v>63</v>
      </c>
      <c r="C14" s="36" cm="1">
        <f t="array" ref="C14">BS(C7,C8,C9,C10,C11,C13)</f>
        <v>19.019985883652993</v>
      </c>
      <c r="I14" s="30">
        <v>45870</v>
      </c>
      <c r="J14" s="31">
        <v>8.4499999999999993</v>
      </c>
      <c r="K14" s="35"/>
      <c r="L14" s="33" t="s">
        <v>46</v>
      </c>
      <c r="M14" s="31">
        <v>8.4</v>
      </c>
      <c r="N14" s="31">
        <v>8.5500000000000007</v>
      </c>
      <c r="O14" s="31">
        <v>715</v>
      </c>
      <c r="P14" s="31">
        <v>586</v>
      </c>
      <c r="Q14" s="32">
        <v>207.5</v>
      </c>
      <c r="R14" s="31">
        <v>1.88</v>
      </c>
      <c r="S14" s="33" t="s">
        <v>47</v>
      </c>
      <c r="T14" s="31">
        <v>1.86</v>
      </c>
      <c r="U14" s="31">
        <v>1.89</v>
      </c>
      <c r="V14" s="31">
        <v>3514</v>
      </c>
      <c r="W14" s="31">
        <v>2097</v>
      </c>
    </row>
    <row r="15" spans="2:23" ht="16" thickBot="1">
      <c r="I15" s="30">
        <v>45870</v>
      </c>
      <c r="J15" s="31">
        <v>6.79</v>
      </c>
      <c r="K15" s="35"/>
      <c r="L15" s="33" t="s">
        <v>48</v>
      </c>
      <c r="M15" s="31">
        <v>6.75</v>
      </c>
      <c r="N15" s="31">
        <v>6.85</v>
      </c>
      <c r="O15" s="31">
        <v>3714</v>
      </c>
      <c r="P15" s="31">
        <v>12526</v>
      </c>
      <c r="Q15" s="32">
        <v>210</v>
      </c>
      <c r="R15" s="31">
        <v>2.67</v>
      </c>
      <c r="S15" s="33" t="s">
        <v>49</v>
      </c>
      <c r="T15" s="31">
        <v>2.65</v>
      </c>
      <c r="U15" s="31">
        <v>2.7</v>
      </c>
      <c r="V15" s="31">
        <v>11654</v>
      </c>
      <c r="W15" s="31">
        <v>7828</v>
      </c>
    </row>
    <row r="16" spans="2:23" ht="16" thickBot="1">
      <c r="I16" s="30">
        <v>45870</v>
      </c>
      <c r="J16" s="31">
        <v>5.3</v>
      </c>
      <c r="K16" s="35"/>
      <c r="L16" s="33" t="s">
        <v>50</v>
      </c>
      <c r="M16" s="31">
        <v>5.25</v>
      </c>
      <c r="N16" s="31">
        <v>5.35</v>
      </c>
      <c r="O16" s="31">
        <v>5992</v>
      </c>
      <c r="P16" s="31">
        <v>4913</v>
      </c>
      <c r="Q16" s="32">
        <v>212.5</v>
      </c>
      <c r="R16" s="31">
        <v>3.68</v>
      </c>
      <c r="S16" s="33" t="s">
        <v>51</v>
      </c>
      <c r="T16" s="31">
        <v>3.65</v>
      </c>
      <c r="U16" s="31">
        <v>3.75</v>
      </c>
      <c r="V16" s="31">
        <v>5606</v>
      </c>
      <c r="W16" s="31">
        <v>7224</v>
      </c>
    </row>
    <row r="17" spans="9:23" ht="16" thickBot="1">
      <c r="I17" s="30">
        <v>45870</v>
      </c>
      <c r="J17" s="31">
        <v>4</v>
      </c>
      <c r="K17" s="35"/>
      <c r="L17" s="33" t="s">
        <v>52</v>
      </c>
      <c r="M17" s="31">
        <v>3.95</v>
      </c>
      <c r="N17" s="31">
        <v>4.0999999999999996</v>
      </c>
      <c r="O17" s="31">
        <v>23060</v>
      </c>
      <c r="P17" s="31">
        <v>18632</v>
      </c>
      <c r="Q17" s="32">
        <v>215</v>
      </c>
      <c r="R17" s="31">
        <v>4.95</v>
      </c>
      <c r="S17" s="33" t="s">
        <v>40</v>
      </c>
      <c r="T17" s="31">
        <v>4.8499999999999996</v>
      </c>
      <c r="U17" s="31">
        <v>5</v>
      </c>
      <c r="V17" s="31">
        <v>4934</v>
      </c>
      <c r="W17" s="31">
        <v>7960</v>
      </c>
    </row>
    <row r="18" spans="9:23" ht="16" thickBot="1">
      <c r="I18" s="30">
        <v>45870</v>
      </c>
      <c r="J18" s="31">
        <v>2.97</v>
      </c>
      <c r="K18" s="35"/>
      <c r="L18" s="33" t="s">
        <v>52</v>
      </c>
      <c r="M18" s="31">
        <v>2.93</v>
      </c>
      <c r="N18" s="31">
        <v>2.97</v>
      </c>
      <c r="O18" s="31">
        <v>7363</v>
      </c>
      <c r="P18" s="31">
        <v>3064</v>
      </c>
      <c r="Q18" s="32">
        <v>217.5</v>
      </c>
      <c r="R18" s="31">
        <v>6.3</v>
      </c>
      <c r="S18" s="33" t="s">
        <v>46</v>
      </c>
      <c r="T18" s="31">
        <v>6.25</v>
      </c>
      <c r="U18" s="31">
        <v>6.4</v>
      </c>
      <c r="V18" s="31">
        <v>310</v>
      </c>
      <c r="W18" s="31">
        <v>596</v>
      </c>
    </row>
    <row r="19" spans="9:23" ht="16" thickBot="1">
      <c r="I19" s="30">
        <v>45870</v>
      </c>
      <c r="J19" s="31">
        <v>2.08</v>
      </c>
      <c r="K19" s="35"/>
      <c r="L19" s="33" t="s">
        <v>40</v>
      </c>
      <c r="M19" s="31">
        <v>2.0499999999999998</v>
      </c>
      <c r="N19" s="31">
        <v>2.09</v>
      </c>
      <c r="O19" s="31">
        <v>27718</v>
      </c>
      <c r="P19" s="31">
        <v>20062</v>
      </c>
      <c r="Q19" s="32">
        <v>220</v>
      </c>
      <c r="R19" s="31">
        <v>8</v>
      </c>
      <c r="S19" s="33" t="s">
        <v>53</v>
      </c>
      <c r="T19" s="31">
        <v>7.9</v>
      </c>
      <c r="U19" s="31">
        <v>8</v>
      </c>
      <c r="V19" s="31">
        <v>281</v>
      </c>
      <c r="W19" s="31">
        <v>1232</v>
      </c>
    </row>
    <row r="20" spans="9:23" ht="16" thickBot="1">
      <c r="I20" s="30">
        <v>45870</v>
      </c>
      <c r="J20" s="31">
        <v>1.4</v>
      </c>
      <c r="K20" s="35"/>
      <c r="L20" s="33" t="s">
        <v>54</v>
      </c>
      <c r="M20" s="31">
        <v>1.39</v>
      </c>
      <c r="N20" s="31">
        <v>1.42</v>
      </c>
      <c r="O20" s="31">
        <v>7496</v>
      </c>
      <c r="P20" s="31">
        <v>6939</v>
      </c>
      <c r="Q20" s="32">
        <v>222.5</v>
      </c>
      <c r="R20" s="31">
        <v>9.85</v>
      </c>
      <c r="S20" s="33" t="s">
        <v>55</v>
      </c>
      <c r="T20" s="31">
        <v>9.6999999999999993</v>
      </c>
      <c r="U20" s="31">
        <v>9.85</v>
      </c>
      <c r="V20" s="31">
        <v>575</v>
      </c>
      <c r="W20" s="31">
        <v>334</v>
      </c>
    </row>
    <row r="21" spans="9:23" ht="16" thickBot="1">
      <c r="I21" s="30">
        <v>45870</v>
      </c>
      <c r="J21" s="31">
        <v>0.92</v>
      </c>
      <c r="K21" s="35"/>
      <c r="L21" s="33" t="s">
        <v>50</v>
      </c>
      <c r="M21" s="31">
        <v>0.91</v>
      </c>
      <c r="N21" s="31">
        <v>0.94</v>
      </c>
      <c r="O21" s="31">
        <v>21483</v>
      </c>
      <c r="P21" s="31">
        <v>11067</v>
      </c>
      <c r="Q21" s="32">
        <v>225</v>
      </c>
      <c r="R21" s="31">
        <v>11.92</v>
      </c>
      <c r="S21" s="33" t="s">
        <v>41</v>
      </c>
      <c r="T21" s="31">
        <v>11.65</v>
      </c>
      <c r="U21" s="31">
        <v>12.15</v>
      </c>
      <c r="V21" s="31">
        <v>193</v>
      </c>
      <c r="W21" s="31">
        <v>1687</v>
      </c>
    </row>
    <row r="22" spans="9:23" ht="16" thickBot="1">
      <c r="I22" s="30">
        <v>45870</v>
      </c>
      <c r="J22" s="31">
        <v>0.61</v>
      </c>
      <c r="K22" s="35"/>
      <c r="L22" s="33" t="s">
        <v>56</v>
      </c>
      <c r="M22" s="31">
        <v>0.59</v>
      </c>
      <c r="N22" s="31">
        <v>0.61</v>
      </c>
      <c r="O22" s="31">
        <v>1509</v>
      </c>
      <c r="P22" s="31">
        <v>3786</v>
      </c>
      <c r="Q22" s="32">
        <v>227.5</v>
      </c>
      <c r="R22" s="31">
        <v>13.5</v>
      </c>
      <c r="S22" s="31" t="s">
        <v>34</v>
      </c>
      <c r="T22" s="31">
        <v>13.8</v>
      </c>
      <c r="U22" s="31">
        <v>14.4</v>
      </c>
      <c r="V22" s="31" t="s">
        <v>34</v>
      </c>
      <c r="W22" s="31">
        <v>19</v>
      </c>
    </row>
    <row r="23" spans="9:23" ht="16" thickBot="1">
      <c r="I23" s="30">
        <v>45870</v>
      </c>
      <c r="J23" s="31">
        <v>0.4</v>
      </c>
      <c r="K23" s="35"/>
      <c r="L23" s="33" t="s">
        <v>43</v>
      </c>
      <c r="M23" s="31">
        <v>0.38</v>
      </c>
      <c r="N23" s="31">
        <v>0.4</v>
      </c>
      <c r="O23" s="31">
        <v>11001</v>
      </c>
      <c r="P23" s="31">
        <v>15932</v>
      </c>
      <c r="Q23" s="32">
        <v>230</v>
      </c>
      <c r="R23" s="31">
        <v>16.28</v>
      </c>
      <c r="S23" s="34" t="s">
        <v>57</v>
      </c>
      <c r="T23" s="31">
        <v>16.100000000000001</v>
      </c>
      <c r="U23" s="31">
        <v>16.75</v>
      </c>
      <c r="V23" s="31">
        <v>59</v>
      </c>
      <c r="W23" s="31">
        <v>257</v>
      </c>
    </row>
    <row r="24" spans="9:23" ht="16" thickBot="1">
      <c r="I24" s="30">
        <v>45870</v>
      </c>
      <c r="J24" s="31">
        <v>0.26</v>
      </c>
      <c r="K24" s="35"/>
      <c r="L24" s="33" t="s">
        <v>58</v>
      </c>
      <c r="M24" s="31">
        <v>0.25</v>
      </c>
      <c r="N24" s="31">
        <v>0.27</v>
      </c>
      <c r="O24" s="31">
        <v>2109</v>
      </c>
      <c r="P24" s="31">
        <v>1152</v>
      </c>
      <c r="Q24" s="32">
        <v>232.5</v>
      </c>
      <c r="R24" s="31">
        <v>18.16</v>
      </c>
      <c r="S24" s="34" t="s">
        <v>59</v>
      </c>
      <c r="T24" s="31">
        <v>18.45</v>
      </c>
      <c r="U24" s="31">
        <v>19.05</v>
      </c>
      <c r="V24" s="31">
        <v>30</v>
      </c>
      <c r="W24" s="31">
        <v>94</v>
      </c>
    </row>
    <row r="25" spans="9:23" ht="16" thickBot="1">
      <c r="I25" s="30">
        <v>45870</v>
      </c>
      <c r="J25" s="31">
        <v>0.17</v>
      </c>
      <c r="K25" s="35"/>
      <c r="L25" s="33" t="s">
        <v>60</v>
      </c>
      <c r="M25" s="31">
        <v>0.17</v>
      </c>
      <c r="N25" s="31">
        <v>0.18</v>
      </c>
      <c r="O25" s="31">
        <v>3758</v>
      </c>
      <c r="P25" s="31">
        <v>4665</v>
      </c>
      <c r="Q25" s="32">
        <v>235</v>
      </c>
      <c r="R25" s="31">
        <v>20.87</v>
      </c>
      <c r="S25" s="34" t="s">
        <v>61</v>
      </c>
      <c r="T25" s="31">
        <v>20.9</v>
      </c>
      <c r="U25" s="31">
        <v>21.4</v>
      </c>
      <c r="V25" s="31"/>
      <c r="W25" s="29"/>
    </row>
    <row r="30" spans="9:23">
      <c r="J30" t="s">
        <v>64</v>
      </c>
    </row>
    <row r="32" spans="9:23">
      <c r="J32" t="s">
        <v>65</v>
      </c>
    </row>
  </sheetData>
  <dataValidations disablePrompts="1" count="1">
    <dataValidation type="list" allowBlank="1" showInputMessage="1" showErrorMessage="1" sqref="C12" xr:uid="{EBFCF028-8C1C-498C-B5EE-5C3E1042D7BE}">
      <formula1>"Call,Put"</formula1>
    </dataValidation>
  </dataValidations>
  <hyperlinks>
    <hyperlink ref="Q8" r:id="rId1" display="https://www.nasdaq.com/market-activity/stocks/aapl/option-chain/call-put-options/aapl--250801c00192500" xr:uid="{B90B7D0E-9466-409E-AA55-051B3A95728D}"/>
    <hyperlink ref="Q9" r:id="rId2" display="https://www.nasdaq.com/market-activity/stocks/aapl/option-chain/call-put-options/aapl--250801c00195000" xr:uid="{1319F615-2062-4730-B8B1-E1BAFA03FFFF}"/>
    <hyperlink ref="Q10" r:id="rId3" display="https://www.nasdaq.com/market-activity/stocks/aapl/option-chain/call-put-options/aapl--250801c00197500" xr:uid="{85D4F717-7C2C-4DDD-B90A-90ED7BBA27A6}"/>
    <hyperlink ref="Q11" r:id="rId4" display="https://www.nasdaq.com/market-activity/stocks/aapl/option-chain/call-put-options/aapl--250801c00200000" xr:uid="{8571B09D-2740-4F95-BB96-F7E72BCC3F9A}"/>
    <hyperlink ref="Q12" r:id="rId5" display="https://www.nasdaq.com/market-activity/stocks/aapl/option-chain/call-put-options/aapl--250801c00202500" xr:uid="{ECE5337A-3B3D-4FF7-8D03-EBC05DCFB6CD}"/>
    <hyperlink ref="Q13" r:id="rId6" display="https://www.nasdaq.com/market-activity/stocks/aapl/option-chain/call-put-options/aapl--250801c00205000" xr:uid="{35057808-F3B4-4D0E-A90B-EF4F28CA1E3C}"/>
    <hyperlink ref="Q14" r:id="rId7" display="https://www.nasdaq.com/market-activity/stocks/aapl/option-chain/call-put-options/aapl--250801c00207500" xr:uid="{C7109C40-6EBA-493E-BE65-F2DFE29A3026}"/>
    <hyperlink ref="Q15" r:id="rId8" display="https://www.nasdaq.com/market-activity/stocks/aapl/option-chain/call-put-options/aapl--250801c00210000" xr:uid="{2B679AAB-DD3B-4D2E-897C-02DBDAE70EE2}"/>
    <hyperlink ref="Q16" r:id="rId9" display="https://www.nasdaq.com/market-activity/stocks/aapl/option-chain/call-put-options/aapl--250801c00212500" xr:uid="{F89FF41A-6E51-4607-8ABA-B375E9807FB3}"/>
    <hyperlink ref="Q17" r:id="rId10" display="https://www.nasdaq.com/market-activity/stocks/aapl/option-chain/call-put-options/aapl--250801c00215000" xr:uid="{95DCC9D9-3F62-4A00-BA05-6D466A95B995}"/>
    <hyperlink ref="Q18" r:id="rId11" display="https://www.nasdaq.com/market-activity/stocks/aapl/option-chain/call-put-options/aapl--250801c00217500" xr:uid="{06FED6B5-D0E0-4992-A1E7-CE077EE1E5E0}"/>
    <hyperlink ref="Q19" r:id="rId12" display="https://www.nasdaq.com/market-activity/stocks/aapl/option-chain/call-put-options/aapl--250801c00220000" xr:uid="{A05C334D-5048-4015-9059-9020D0CBFA63}"/>
    <hyperlink ref="Q20" r:id="rId13" display="https://www.nasdaq.com/market-activity/stocks/aapl/option-chain/call-put-options/aapl--250801c00222500" xr:uid="{108BA443-1E2C-4A10-8A8C-5B06D654EDF2}"/>
    <hyperlink ref="Q21" r:id="rId14" display="https://www.nasdaq.com/market-activity/stocks/aapl/option-chain/call-put-options/aapl--250801c00225000" xr:uid="{FDA3F5E9-E86A-4B01-A1D7-C7B185A337A8}"/>
    <hyperlink ref="Q22" r:id="rId15" display="https://www.nasdaq.com/market-activity/stocks/aapl/option-chain/call-put-options/aapl--250801c00227500" xr:uid="{6B0129E7-F450-45E0-9C11-5227808DFE99}"/>
    <hyperlink ref="Q23" r:id="rId16" display="https://www.nasdaq.com/market-activity/stocks/aapl/option-chain/call-put-options/aapl--250801c00230000" xr:uid="{F2FBC449-0145-4289-A847-1DA9D9E3F76A}"/>
    <hyperlink ref="Q24" r:id="rId17" display="https://www.nasdaq.com/market-activity/stocks/aapl/option-chain/call-put-options/aapl--250801c00232500" xr:uid="{36B3FC29-11ED-4BD4-8A18-AA9B291E0D20}"/>
    <hyperlink ref="Q25" r:id="rId18" display="https://www.nasdaq.com/market-activity/stocks/aapl/option-chain/call-put-options/aapl--250801c00235000" xr:uid="{B82E4444-56CD-4300-BFEA-5B647CBA6B96}"/>
  </hyperlinks>
  <pageMargins left="0.7" right="0.7" top="0.75" bottom="0.75" header="0.3" footer="0.3"/>
  <drawing r:id="rId1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AP</vt:lpstr>
      <vt:lpstr>BS</vt:lpstr>
      <vt:lpstr>BS_Div</vt:lpstr>
      <vt:lpstr>BS_FX</vt:lpstr>
      <vt:lpstr>BS_76</vt:lpstr>
      <vt:lpstr>Conclusiones</vt:lpstr>
      <vt:lpstr>Volatilidad Implicita</vt:lpstr>
      <vt:lpstr>Payoff Diagram 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 Reyes García</dc:creator>
  <cp:lastModifiedBy>Enrique Garcia</cp:lastModifiedBy>
  <dcterms:created xsi:type="dcterms:W3CDTF">2022-04-17T02:40:33Z</dcterms:created>
  <dcterms:modified xsi:type="dcterms:W3CDTF">2025-07-28T03:43:06Z</dcterms:modified>
</cp:coreProperties>
</file>