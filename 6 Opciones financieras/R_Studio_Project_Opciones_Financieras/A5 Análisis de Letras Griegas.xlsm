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garcia\Desktop\AXM_Courses\Finance\6 Opciones financieras\02 Modelos de Valuacion\"/>
    </mc:Choice>
  </mc:AlternateContent>
  <xr:revisionPtr revIDLastSave="0" documentId="13_ncr:1_{67C0EC15-1A99-4778-BE6B-BC653196577B}" xr6:coauthVersionLast="47" xr6:coauthVersionMax="47" xr10:uidLastSave="{00000000-0000-0000-0000-000000000000}"/>
  <bookViews>
    <workbookView xWindow="25230" yWindow="-16320" windowWidth="29040" windowHeight="15840" activeTab="1" xr2:uid="{710154D1-B4B1-4DE1-8DC4-17FFC98FC3A5}"/>
  </bookViews>
  <sheets>
    <sheet name="AP" sheetId="1" r:id="rId1"/>
    <sheet name="Letras Griegas" sheetId="4" r:id="rId2"/>
    <sheet name="Conclusiones" sheetId="2" r:id="rId3"/>
  </sheets>
  <functionGroups builtInGroupCount="19"/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</externalReferences>
  <definedNames>
    <definedName name="Beta">[1]SML!$D$29:$J$29</definedName>
    <definedName name="BLA" localSheetId="1">#REF!</definedName>
    <definedName name="BLA">#REF!</definedName>
    <definedName name="BLACK76" localSheetId="1">#REF!</definedName>
    <definedName name="BLACK76">#REF!</definedName>
    <definedName name="bond_compute_handler" localSheetId="2">Conclusiones!bond_compute_handler</definedName>
    <definedName name="bond_compute_handler" localSheetId="1">'Letras Griegas'!bond_compute_handler</definedName>
    <definedName name="bond_compute_handler">bond_compute_handler</definedName>
    <definedName name="Bond_Display_Tree" localSheetId="2">Conclusiones!Bond_Display_Tree</definedName>
    <definedName name="Bond_Display_Tree" localSheetId="1">'Letras Griegas'!Bond_Display_Tree</definedName>
    <definedName name="Bond_Display_Tree">Bond_Display_Tree</definedName>
    <definedName name="bond_graph_handler" localSheetId="2">Conclusiones!bond_graph_handler</definedName>
    <definedName name="bond_graph_handler" localSheetId="1">'Letras Griegas'!bond_graph_handler</definedName>
    <definedName name="bond_graph_handler">bond_graph_handler</definedName>
    <definedName name="bond_graph_input_formatter" localSheetId="2">Conclusiones!bond_graph_input_formatter</definedName>
    <definedName name="bond_graph_input_formatter" localSheetId="1">'Letras Griegas'!bond_graph_input_formatter</definedName>
    <definedName name="bond_graph_input_formatter">bond_graph_input_formatter</definedName>
    <definedName name="Bond_Option_Select" localSheetId="2">Conclusiones!Bond_Option_Select</definedName>
    <definedName name="Bond_Option_Select" localSheetId="1">'Letras Griegas'!Bond_Option_Select</definedName>
    <definedName name="Bond_Option_Select">Bond_Option_Select</definedName>
    <definedName name="CAMBIO">'[2]M OK'!$J$8</definedName>
    <definedName name="Cap_or_Swap_Option_Select" localSheetId="2">Conclusiones!Cap_or_Swap_Option_Select</definedName>
    <definedName name="Cap_or_Swap_Option_Select" localSheetId="1">'Letras Griegas'!Cap_or_Swap_Option_Select</definedName>
    <definedName name="Cap_or_Swap_Option_Select">Cap_or_Swap_Option_Select</definedName>
    <definedName name="Cap_or_Swap_Select" localSheetId="2">Conclusiones!Cap_or_Swap_Select</definedName>
    <definedName name="Cap_or_Swap_Select" localSheetId="1">'Letras Griegas'!Cap_or_Swap_Select</definedName>
    <definedName name="Cap_or_Swap_Select">Cap_or_Swap_Select</definedName>
    <definedName name="Capital">[3]Carátula!$D$4</definedName>
    <definedName name="cete" localSheetId="1">#REF!</definedName>
    <definedName name="cete">#REF!</definedName>
    <definedName name="cete2" localSheetId="1">#REF!</definedName>
    <definedName name="cete2">#REF!</definedName>
    <definedName name="cetes" localSheetId="1">#REF!</definedName>
    <definedName name="cetes">#REF!</definedName>
    <definedName name="confidence" localSheetId="1">#REF!</definedName>
    <definedName name="confidence">#REF!</definedName>
    <definedName name="down_deviation">'[4]1b.4.Sortino'!$K$6</definedName>
    <definedName name="Equity_compute_handler" localSheetId="2">Conclusiones!Equity_compute_handler</definedName>
    <definedName name="Equity_compute_handler" localSheetId="1">'Letras Griegas'!Equity_compute_handler</definedName>
    <definedName name="Equity_compute_handler">Equity_compute_handler</definedName>
    <definedName name="Equity_Display_Tree" localSheetId="2">Conclusiones!Equity_Display_Tree</definedName>
    <definedName name="Equity_Display_Tree" localSheetId="1">'Letras Griegas'!Equity_Display_Tree</definedName>
    <definedName name="Equity_Display_Tree">Equity_Display_Tree</definedName>
    <definedName name="Equity_graph_handler" localSheetId="2">Conclusiones!Equity_graph_handler</definedName>
    <definedName name="Equity_graph_handler" localSheetId="1">'Letras Griegas'!Equity_graph_handler</definedName>
    <definedName name="Equity_graph_handler">Equity_graph_handler</definedName>
    <definedName name="Equity_graph_input_formatter" localSheetId="2">Conclusiones!Equity_graph_input_formatter</definedName>
    <definedName name="Equity_graph_input_formatter" localSheetId="1">'Letras Griegas'!Equity_graph_input_formatter</definedName>
    <definedName name="Equity_graph_input_formatter">Equity_graph_input_formatter</definedName>
    <definedName name="Equity_Option_Select" localSheetId="2">Conclusiones!Equity_Option_Select</definedName>
    <definedName name="Equity_Option_Select" localSheetId="1">'Letras Griegas'!Equity_Option_Select</definedName>
    <definedName name="Equity_Option_Select">Equity_Option_Select</definedName>
    <definedName name="Equity_Underlying_Select" localSheetId="2">Conclusiones!Equity_Underlying_Select</definedName>
    <definedName name="Equity_Underlying_Select" localSheetId="1">'Letras Griegas'!Equity_Underlying_Select</definedName>
    <definedName name="Equity_Underlying_Select">Equity_Underlying_Select</definedName>
    <definedName name="ERP">[1]SML!$D$22</definedName>
    <definedName name="erp_">'[4]1a.2.Stulz(HedgeIrrelev)'!$C$6</definedName>
    <definedName name="fecha" localSheetId="1">#REF!</definedName>
    <definedName name="fecha">#REF!</definedName>
    <definedName name="flujoscaja" localSheetId="1">#REF!</definedName>
    <definedName name="flujoscaja">#REF!</definedName>
    <definedName name="forward">'[4]1a.2.Stulz(HedgeIrrelev)'!$C$7</definedName>
    <definedName name="Ganadoras">'[5]Drow Down'!$F$14</definedName>
    <definedName name="ggg" localSheetId="1">#REF!</definedName>
    <definedName name="ggg">#REF!</definedName>
    <definedName name="GGGGG" localSheetId="1">#REF!</definedName>
    <definedName name="GGGGG">#REF!</definedName>
    <definedName name="i">'[6]Estimación LGD'!$C$37</definedName>
    <definedName name="Index_Sheet_Kutools" localSheetId="1">#REF!</definedName>
    <definedName name="Index_Sheet_Kutools">#REF!</definedName>
    <definedName name="IR">'[4]1b.3.RAPMs'!$D$19</definedName>
    <definedName name="JJJ" localSheetId="1">#REF!</definedName>
    <definedName name="JJJ">#REF!</definedName>
    <definedName name="KILLA" localSheetId="1">#REF!</definedName>
    <definedName name="KILLA">#REF!</definedName>
    <definedName name="LOJ" localSheetId="1">#REF!</definedName>
    <definedName name="LOJ">#REF!</definedName>
    <definedName name="MAR">'[4]1b.4.Sortino'!$K$3</definedName>
    <definedName name="MarketReturn">[7]RAPM_v1!$H$9</definedName>
    <definedName name="mitabla">[8]Ej13!$L$13:$O$22</definedName>
    <definedName name="movnom">[9]Portafolio!$L$2</definedName>
    <definedName name="movreal">[9]Portafolio!$L$3</definedName>
    <definedName name="n" localSheetId="1">#REF!</definedName>
    <definedName name="n">#REF!</definedName>
    <definedName name="Nominal" localSheetId="1">#REF!</definedName>
    <definedName name="Nominal">#REF!</definedName>
    <definedName name="P_Entrada">[3]Carátula!$D$16</definedName>
    <definedName name="P_Stop">[3]Carátula!$D$17</definedName>
    <definedName name="Perdedoras">'[5]Drow Down'!$F$13</definedName>
    <definedName name="PF">'[10]FUTURO TEÓRICO'!$G$11</definedName>
    <definedName name="pmk">[11]Bull!$C$7</definedName>
    <definedName name="PortReturn">[7]RAPM_v1!$D$4</definedName>
    <definedName name="PortVolatility">[7]RAPM_v1!$D$5</definedName>
    <definedName name="Prima">[5]Opciones!$H$6</definedName>
    <definedName name="Prima2">[5]Opciones!$H$29</definedName>
    <definedName name="Prima3">[5]Opciones!$R$6</definedName>
    <definedName name="Prima4">[5]Opciones!$R$29</definedName>
    <definedName name="pzo">[11]Bull!$C$10</definedName>
    <definedName name="r_a">'[5]Intro Port'!$D$11</definedName>
    <definedName name="r_b">'[5]Intro Port'!$D$16</definedName>
    <definedName name="residual_risk" localSheetId="1">#REF!</definedName>
    <definedName name="residual_risk">#REF!</definedName>
    <definedName name="Return__E_P">'[12]3.4 Amenc RAPM'!$D$10:$J$10</definedName>
    <definedName name="return_p">'[4]1b.4.Sortino'!$O$5</definedName>
    <definedName name="rf">'[5]Intro Port'!$D$8</definedName>
    <definedName name="rf_rate">[1]SML!$D$2</definedName>
    <definedName name="rho">'[4]1b.4.Sortino'!$O$6</definedName>
    <definedName name="rho_ab">'[5]Intro Port'!$D$21</definedName>
    <definedName name="Riesgo_Individual">[3]Carátula!$D$5</definedName>
    <definedName name="Riesgo_Total">[3]Carátula!$D$6</definedName>
    <definedName name="riskfree">'[4]1b.4.Sortino'!$K$2</definedName>
    <definedName name="riskfree_">'[4]1a.2.Stulz(HedgeIrrelev)'!$C$5</definedName>
    <definedName name="riskfree_rate">[7]RAPM_v1!$H$4</definedName>
    <definedName name="sigma" localSheetId="1">#REF!</definedName>
    <definedName name="sigma">#REF!</definedName>
    <definedName name="sigma_a">'[5]Intro Port'!$D$12</definedName>
    <definedName name="sigma_b">'[5]Intro Port'!$D$17</definedName>
    <definedName name="significance" localSheetId="1">#REF!</definedName>
    <definedName name="significance">#REF!</definedName>
    <definedName name="ST" localSheetId="1">#REF!</definedName>
    <definedName name="ST">#REF!</definedName>
    <definedName name="step_">'[4]1a.2.Stulz(CDF)'!$C$9</definedName>
    <definedName name="stkp">[11]Bull!$C$8</definedName>
    <definedName name="STRANGL" localSheetId="1">#REF!</definedName>
    <definedName name="STRANGL">#REF!</definedName>
    <definedName name="STRAP1" localSheetId="1">#REF!</definedName>
    <definedName name="STRAP1">#REF!</definedName>
    <definedName name="STRAP2" localSheetId="1">#REF!</definedName>
    <definedName name="STRAP2">#REF!</definedName>
    <definedName name="Strike">[5]Opciones!$G$6</definedName>
    <definedName name="Strike2">[5]Opciones!$G$29</definedName>
    <definedName name="Strike3">[5]Opciones!$Q$6</definedName>
    <definedName name="Strike4">[5]Opciones!$Q$29</definedName>
    <definedName name="STRIP" localSheetId="1">#REF!</definedName>
    <definedName name="STRIP">#REF!</definedName>
    <definedName name="STRIP2" localSheetId="1">#REF!</definedName>
    <definedName name="STRIP2">#REF!</definedName>
    <definedName name="swap_compute_handler" localSheetId="2">Conclusiones!swap_compute_handler</definedName>
    <definedName name="swap_compute_handler" localSheetId="1">'Letras Griegas'!swap_compute_handler</definedName>
    <definedName name="swap_compute_handler">[0]!swap_compute_handler</definedName>
    <definedName name="swap_graph_handler" localSheetId="2">Conclusiones!swap_graph_handler</definedName>
    <definedName name="swap_graph_handler" localSheetId="1">'Letras Griegas'!swap_graph_handler</definedName>
    <definedName name="swap_graph_handler">[0]!swap_graph_handler</definedName>
    <definedName name="swap_graph_input_formatter" localSheetId="2">Conclusiones!swap_graph_input_formatter</definedName>
    <definedName name="swap_graph_input_formatter" localSheetId="1">'Letras Griegas'!swap_graph_input_formatter</definedName>
    <definedName name="swap_graph_input_formatter">[0]!swap_graph_input_formatter</definedName>
    <definedName name="T">[7]RAPM_v1!$D$8</definedName>
    <definedName name="tablatipos">[8]Ej6!$L$13:$O$22</definedName>
    <definedName name="tablax">[8]Ej10!$L$5:$O$14</definedName>
    <definedName name="TE">[7]RAPM_v1!$D$7</definedName>
    <definedName name="tf">[11]Bull!$C$12</definedName>
    <definedName name="ti">[11]Bull!$C$9</definedName>
    <definedName name="VAR" localSheetId="1">#REF!</definedName>
    <definedName name="VAR">#REF!</definedName>
    <definedName name="vol">[11]Bull!$C$11</definedName>
    <definedName name="vol_b">'[4]1b.4.Sortino'!$P$4</definedName>
    <definedName name="vol_p">'[4]1b.4.Sortino'!$P$5</definedName>
    <definedName name="VOLATILIDAD">'[13]Volatilidad H'!$H$12:$H$111</definedName>
    <definedName name="window" localSheetId="1">#REF!</definedName>
    <definedName name="window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13" i="4" l="1"/>
  <c r="C11" i="4"/>
  <c r="G7" i="4" a="1"/>
  <c r="G6" i="4" a="1"/>
  <c r="F9" i="4" a="1"/>
  <c r="F8" i="4" a="1"/>
  <c r="F7" i="4" a="1"/>
  <c r="F6" i="4" a="1"/>
  <c r="M6" i="4" a="1"/>
  <c r="S6" i="4" a="1"/>
  <c r="H7" i="4" a="1"/>
  <c r="N7" i="4" a="1"/>
  <c r="T7" i="4" a="1"/>
  <c r="I8" i="4" a="1"/>
  <c r="O8" i="4" a="1"/>
  <c r="U8" i="4" a="1"/>
  <c r="J9" i="4" a="1"/>
  <c r="P9" i="4" a="1"/>
  <c r="V9" i="4" a="1"/>
  <c r="K10" i="4" a="1"/>
  <c r="Q10" i="4" a="1"/>
  <c r="W10" i="4" a="1"/>
  <c r="L11" i="4" a="1"/>
  <c r="R11" i="4" a="1"/>
  <c r="G12" i="4" a="1"/>
  <c r="M12" i="4" a="1"/>
  <c r="S12" i="4" a="1"/>
  <c r="H13" i="4" a="1"/>
  <c r="N13" i="4" a="1"/>
  <c r="T13" i="4" a="1"/>
  <c r="I14" i="4" a="1"/>
  <c r="O14" i="4" a="1"/>
  <c r="U14" i="4" a="1"/>
  <c r="J15" i="4" a="1"/>
  <c r="P15" i="4" a="1"/>
  <c r="V15" i="4" a="1"/>
  <c r="Q9" i="4" a="1"/>
  <c r="T12" i="4" a="1"/>
  <c r="O13" i="4" a="1"/>
  <c r="P14" i="4" a="1"/>
  <c r="K15" i="4" a="1"/>
  <c r="W15" i="4" a="1"/>
  <c r="R16" i="4" a="1"/>
  <c r="M17" i="4" a="1"/>
  <c r="H18" i="4" a="1"/>
  <c r="T18" i="4" a="1"/>
  <c r="O19" i="4" a="1"/>
  <c r="J20" i="4" a="1"/>
  <c r="V20" i="4" a="1"/>
  <c r="Q21" i="4" a="1"/>
  <c r="L22" i="4" a="1"/>
  <c r="G23" i="4" a="1"/>
  <c r="S23" i="4" a="1"/>
  <c r="N24" i="4" a="1"/>
  <c r="I25" i="4" a="1"/>
  <c r="U25" i="4" a="1"/>
  <c r="P26" i="4" a="1"/>
  <c r="Q14" i="4" a="1"/>
  <c r="N17" i="4" a="1"/>
  <c r="H6" i="4" a="1"/>
  <c r="N6" i="4" a="1"/>
  <c r="T6" i="4" a="1"/>
  <c r="I7" i="4" a="1"/>
  <c r="O7" i="4" a="1"/>
  <c r="U7" i="4" a="1"/>
  <c r="J8" i="4" a="1"/>
  <c r="P8" i="4" a="1"/>
  <c r="V8" i="4" a="1"/>
  <c r="K9" i="4" a="1"/>
  <c r="W9" i="4" a="1"/>
  <c r="L10" i="4" a="1"/>
  <c r="R10" i="4" a="1"/>
  <c r="G11" i="4" a="1"/>
  <c r="M11" i="4" a="1"/>
  <c r="S11" i="4" a="1"/>
  <c r="H12" i="4" a="1"/>
  <c r="N12" i="4" a="1"/>
  <c r="I13" i="4" a="1"/>
  <c r="U13" i="4" a="1"/>
  <c r="J14" i="4" a="1"/>
  <c r="V14" i="4" a="1"/>
  <c r="Q15" i="4" a="1"/>
  <c r="L16" i="4" a="1"/>
  <c r="G17" i="4" a="1"/>
  <c r="S17" i="4" a="1"/>
  <c r="N18" i="4" a="1"/>
  <c r="I19" i="4" a="1"/>
  <c r="U19" i="4" a="1"/>
  <c r="P20" i="4" a="1"/>
  <c r="K21" i="4" a="1"/>
  <c r="W21" i="4" a="1"/>
  <c r="R22" i="4" a="1"/>
  <c r="M23" i="4" a="1"/>
  <c r="H24" i="4" a="1"/>
  <c r="T24" i="4" a="1"/>
  <c r="O25" i="4" a="1"/>
  <c r="J26" i="4" a="1"/>
  <c r="V26" i="4" a="1"/>
  <c r="L15" i="4" a="1"/>
  <c r="H17" i="4" a="1"/>
  <c r="I6" i="4" a="1"/>
  <c r="O6" i="4" a="1"/>
  <c r="U6" i="4" a="1"/>
  <c r="J7" i="4" a="1"/>
  <c r="P7" i="4" a="1"/>
  <c r="V7" i="4" a="1"/>
  <c r="K8" i="4" a="1"/>
  <c r="Q8" i="4" a="1"/>
  <c r="W8" i="4" a="1"/>
  <c r="L9" i="4" a="1"/>
  <c r="R9" i="4" a="1"/>
  <c r="G10" i="4" a="1"/>
  <c r="M10" i="4" a="1"/>
  <c r="S10" i="4" a="1"/>
  <c r="H11" i="4" a="1"/>
  <c r="N11" i="4" a="1"/>
  <c r="T11" i="4" a="1"/>
  <c r="I12" i="4" a="1"/>
  <c r="O12" i="4" a="1"/>
  <c r="U12" i="4" a="1"/>
  <c r="J13" i="4" a="1"/>
  <c r="P13" i="4" a="1"/>
  <c r="V13" i="4" a="1"/>
  <c r="K14" i="4" a="1"/>
  <c r="W14" i="4" a="1"/>
  <c r="G16" i="4" a="1"/>
  <c r="M16" i="4" a="1"/>
  <c r="S16" i="4" a="1"/>
  <c r="R15" i="4" a="1"/>
  <c r="G9" i="4" a="1"/>
  <c r="V12" i="4" a="1"/>
  <c r="W13" i="4" a="1"/>
  <c r="R14" i="4" a="1"/>
  <c r="M15" i="4" a="1"/>
  <c r="H16" i="4" a="1"/>
  <c r="T16" i="4" a="1"/>
  <c r="O17" i="4" a="1"/>
  <c r="J18" i="4" a="1"/>
  <c r="V18" i="4" a="1"/>
  <c r="Q19" i="4" a="1"/>
  <c r="L20" i="4" a="1"/>
  <c r="G21" i="4" a="1"/>
  <c r="S21" i="4" a="1"/>
  <c r="N22" i="4" a="1"/>
  <c r="O23" i="4" a="1"/>
  <c r="J24" i="4" a="1"/>
  <c r="V24" i="4" a="1"/>
  <c r="Q25" i="4" a="1"/>
  <c r="L26" i="4" a="1"/>
  <c r="J6" i="4" a="1"/>
  <c r="P6" i="4" a="1"/>
  <c r="V6" i="4" a="1"/>
  <c r="K7" i="4" a="1"/>
  <c r="Q7" i="4" a="1"/>
  <c r="W7" i="4" a="1"/>
  <c r="L8" i="4" a="1"/>
  <c r="R8" i="4" a="1"/>
  <c r="M9" i="4" a="1"/>
  <c r="S9" i="4" a="1"/>
  <c r="H10" i="4" a="1"/>
  <c r="N10" i="4" a="1"/>
  <c r="T10" i="4" a="1"/>
  <c r="I11" i="4" a="1"/>
  <c r="O11" i="4" a="1"/>
  <c r="U11" i="4" a="1"/>
  <c r="J12" i="4" a="1"/>
  <c r="P12" i="4" a="1"/>
  <c r="K13" i="4" a="1"/>
  <c r="Q13" i="4" a="1"/>
  <c r="L14" i="4" a="1"/>
  <c r="G15" i="4" a="1"/>
  <c r="S15" i="4" a="1"/>
  <c r="N16" i="4" a="1"/>
  <c r="I17" i="4" a="1"/>
  <c r="U17" i="4" a="1"/>
  <c r="P18" i="4" a="1"/>
  <c r="K19" i="4" a="1"/>
  <c r="W19" i="4" a="1"/>
  <c r="R20" i="4" a="1"/>
  <c r="M21" i="4" a="1"/>
  <c r="H22" i="4" a="1"/>
  <c r="T22" i="4" a="1"/>
  <c r="I23" i="4" a="1"/>
  <c r="U23" i="4" a="1"/>
  <c r="P24" i="4" a="1"/>
  <c r="K25" i="4" a="1"/>
  <c r="W25" i="4" a="1"/>
  <c r="R26" i="4" a="1"/>
  <c r="H9" i="4" a="1"/>
  <c r="V11" i="4" a="1"/>
  <c r="W12" i="4" a="1"/>
  <c r="R13" i="4" a="1"/>
  <c r="M14" i="4" a="1"/>
  <c r="S14" i="4" a="1"/>
  <c r="N15" i="4" a="1"/>
  <c r="T15" i="4" a="1"/>
  <c r="I16" i="4" a="1"/>
  <c r="U16" i="4" a="1"/>
  <c r="J17" i="4" a="1"/>
  <c r="V17" i="4" a="1"/>
  <c r="K18" i="4" a="1"/>
  <c r="W18" i="4" a="1"/>
  <c r="L19" i="4" a="1"/>
  <c r="G20" i="4" a="1"/>
  <c r="M20" i="4" a="1"/>
  <c r="H21" i="4" a="1"/>
  <c r="N21" i="4" a="1"/>
  <c r="I22" i="4" a="1"/>
  <c r="O22" i="4" a="1"/>
  <c r="J23" i="4" a="1"/>
  <c r="P23" i="4" a="1"/>
  <c r="K24" i="4" a="1"/>
  <c r="Q24" i="4" a="1"/>
  <c r="L25" i="4" a="1"/>
  <c r="R25" i="4" a="1"/>
  <c r="G26" i="4" a="1"/>
  <c r="S26" i="4" a="1"/>
  <c r="K6" i="4" a="1"/>
  <c r="Q6" i="4" a="1"/>
  <c r="W6" i="4" a="1"/>
  <c r="L7" i="4" a="1"/>
  <c r="R7" i="4" a="1"/>
  <c r="G8" i="4" a="1"/>
  <c r="M8" i="4" a="1"/>
  <c r="S8" i="4" a="1"/>
  <c r="N9" i="4" a="1"/>
  <c r="T9" i="4" a="1"/>
  <c r="I10" i="4" a="1"/>
  <c r="O10" i="4" a="1"/>
  <c r="U10" i="4" a="1"/>
  <c r="J11" i="4" a="1"/>
  <c r="P11" i="4" a="1"/>
  <c r="K12" i="4" a="1"/>
  <c r="Q12" i="4" a="1"/>
  <c r="L13" i="4" a="1"/>
  <c r="G14" i="4" a="1"/>
  <c r="H15" i="4" a="1"/>
  <c r="O16" i="4" a="1"/>
  <c r="P17" i="4" a="1"/>
  <c r="Q18" i="4" a="1"/>
  <c r="R19" i="4" a="1"/>
  <c r="S20" i="4" a="1"/>
  <c r="T21" i="4" a="1"/>
  <c r="U22" i="4" a="1"/>
  <c r="V23" i="4" a="1"/>
  <c r="W24" i="4" a="1"/>
  <c r="M26" i="4" a="1"/>
  <c r="N8" i="4" a="1"/>
  <c r="K16" i="4" a="1"/>
  <c r="L17" i="4" a="1"/>
  <c r="L18" i="4" a="1"/>
  <c r="H19" i="4" a="1"/>
  <c r="R21" i="4" a="1"/>
  <c r="P22" i="4" a="1"/>
  <c r="L23" i="4" a="1"/>
  <c r="V25" i="4" a="1"/>
  <c r="T26" i="4" a="1"/>
  <c r="L24" i="4" a="1"/>
  <c r="U21" i="4" a="1"/>
  <c r="U26" i="4" a="1"/>
  <c r="O18" i="4" a="1"/>
  <c r="M24" i="4" a="1"/>
  <c r="W26" i="4" a="1"/>
  <c r="S7" i="4" a="1"/>
  <c r="K22" i="4" a="1"/>
  <c r="W11" i="4" a="1"/>
  <c r="I18" i="4" a="1"/>
  <c r="T20" i="4" a="1"/>
  <c r="R6" i="4" a="1"/>
  <c r="P10" i="4" a="1"/>
  <c r="L12" i="4" a="1"/>
  <c r="S13" i="4" a="1"/>
  <c r="I15" i="4" a="1"/>
  <c r="J19" i="4" a="1"/>
  <c r="H20" i="4" a="1"/>
  <c r="U20" i="4" a="1"/>
  <c r="N23" i="4" a="1"/>
  <c r="H25" i="4" a="1"/>
  <c r="J25" i="4" a="1"/>
  <c r="M19" i="4" a="1"/>
  <c r="Q23" i="4" a="1"/>
  <c r="U9" i="4" a="1"/>
  <c r="O26" i="4" a="1"/>
  <c r="T14" i="4" a="1"/>
  <c r="T19" i="4" a="1"/>
  <c r="G25" i="4" a="1"/>
  <c r="T8" i="4" a="1"/>
  <c r="P16" i="4" a="1"/>
  <c r="Q17" i="4" a="1"/>
  <c r="M18" i="4" a="1"/>
  <c r="W20" i="4" a="1"/>
  <c r="Q22" i="4" a="1"/>
  <c r="H26" i="4" a="1"/>
  <c r="V10" i="4" a="1"/>
  <c r="I20" i="4" a="1"/>
  <c r="S22" i="4" a="1"/>
  <c r="N26" i="4" a="1"/>
  <c r="S19" i="4" a="1"/>
  <c r="S24" i="4" a="1"/>
  <c r="O21" i="4" a="1"/>
  <c r="H8" i="4" a="1"/>
  <c r="G24" i="4" a="1"/>
  <c r="V19" i="4" a="1"/>
  <c r="T25" i="4" a="1"/>
  <c r="I9" i="4" a="1"/>
  <c r="R12" i="4" a="1"/>
  <c r="H14" i="4" a="1"/>
  <c r="O15" i="4" a="1"/>
  <c r="Q16" i="4" a="1"/>
  <c r="R17" i="4" a="1"/>
  <c r="K20" i="4" a="1"/>
  <c r="I21" i="4" a="1"/>
  <c r="V21" i="4" a="1"/>
  <c r="O24" i="4" a="1"/>
  <c r="M25" i="4" a="1"/>
  <c r="I26" i="4" a="1"/>
  <c r="N14" i="4" a="1"/>
  <c r="W17" i="4" a="1"/>
  <c r="J22" i="4" a="1"/>
  <c r="O20" i="4" a="1"/>
  <c r="G18" i="4" a="1"/>
  <c r="U24" i="4" a="1"/>
  <c r="M13" i="4" a="1"/>
  <c r="G19" i="4" a="1"/>
  <c r="Q26" i="4" a="1"/>
  <c r="P21" i="4" a="1"/>
  <c r="K11" i="4" a="1"/>
  <c r="T17" i="4" a="1"/>
  <c r="R18" i="4" a="1"/>
  <c r="N19" i="4" a="1"/>
  <c r="G22" i="4" a="1"/>
  <c r="V22" i="4" a="1"/>
  <c r="R23" i="4" a="1"/>
  <c r="K26" i="4" a="1"/>
  <c r="N25" i="4" a="1"/>
  <c r="Q11" i="4" a="1"/>
  <c r="S18" i="4" a="1"/>
  <c r="W22" i="4" a="1"/>
  <c r="W16" i="4" a="1"/>
  <c r="H23" i="4" a="1"/>
  <c r="Q20" i="4" a="1"/>
  <c r="J16" i="4" a="1"/>
  <c r="K23" i="4" a="1"/>
  <c r="J10" i="4" a="1"/>
  <c r="M7" i="4" a="1"/>
  <c r="O9" i="4" a="1"/>
  <c r="V16" i="4" a="1"/>
  <c r="P19" i="4" a="1"/>
  <c r="N20" i="4" a="1"/>
  <c r="J21" i="4" a="1"/>
  <c r="T23" i="4" a="1"/>
  <c r="R24" i="4" a="1"/>
  <c r="G13" i="4" a="1"/>
  <c r="U15" i="4" a="1"/>
  <c r="L21" i="4" a="1"/>
  <c r="P25" i="4" a="1"/>
  <c r="U18" i="4" a="1"/>
  <c r="W23" i="4" a="1"/>
  <c r="S25" i="4" a="1"/>
  <c r="K17" i="4" a="1"/>
  <c r="M22" i="4" a="1"/>
  <c r="L6" i="4" a="1"/>
  <c r="I24" i="4" a="1"/>
  <c r="F17" i="4" a="1"/>
  <c r="F23" i="4" a="1"/>
  <c r="F12" i="4" a="1"/>
  <c r="F24" i="4" a="1"/>
  <c r="F19" i="4" a="1"/>
  <c r="F14" i="4" a="1"/>
  <c r="F20" i="4" a="1"/>
  <c r="F21" i="4" a="1"/>
  <c r="F16" i="4" a="1"/>
  <c r="F11" i="4" a="1"/>
  <c r="F18" i="4" a="1"/>
  <c r="F13" i="4" a="1"/>
  <c r="F25" i="4" a="1"/>
  <c r="F26" i="4" a="1"/>
  <c r="F15" i="4" a="1"/>
  <c r="F10" i="4" a="1"/>
  <c r="F22" i="4" a="1"/>
  <c r="G7" i="4" l="1"/>
  <c r="G6" i="4"/>
  <c r="F9" i="4"/>
  <c r="F8" i="4"/>
  <c r="F7" i="4"/>
  <c r="F6" i="4"/>
  <c r="I24" i="4"/>
  <c r="L6" i="4"/>
  <c r="M22" i="4"/>
  <c r="K17" i="4"/>
  <c r="S25" i="4"/>
  <c r="W23" i="4"/>
  <c r="U18" i="4"/>
  <c r="P25" i="4"/>
  <c r="L21" i="4"/>
  <c r="U15" i="4"/>
  <c r="G13" i="4"/>
  <c r="R24" i="4"/>
  <c r="T23" i="4"/>
  <c r="J21" i="4"/>
  <c r="N20" i="4"/>
  <c r="P19" i="4"/>
  <c r="V16" i="4"/>
  <c r="O9" i="4"/>
  <c r="M7" i="4"/>
  <c r="J10" i="4"/>
  <c r="K23" i="4"/>
  <c r="J16" i="4"/>
  <c r="Q20" i="4"/>
  <c r="H23" i="4"/>
  <c r="W16" i="4"/>
  <c r="W22" i="4"/>
  <c r="S18" i="4"/>
  <c r="Q11" i="4"/>
  <c r="N25" i="4"/>
  <c r="K26" i="4"/>
  <c r="R23" i="4"/>
  <c r="V22" i="4"/>
  <c r="G22" i="4"/>
  <c r="N19" i="4"/>
  <c r="R18" i="4"/>
  <c r="T17" i="4"/>
  <c r="K11" i="4"/>
  <c r="P21" i="4"/>
  <c r="Q26" i="4"/>
  <c r="G19" i="4"/>
  <c r="M13" i="4"/>
  <c r="U24" i="4"/>
  <c r="G18" i="4"/>
  <c r="O20" i="4"/>
  <c r="J22" i="4"/>
  <c r="W17" i="4"/>
  <c r="N14" i="4"/>
  <c r="I26" i="4"/>
  <c r="M25" i="4"/>
  <c r="O24" i="4"/>
  <c r="V21" i="4"/>
  <c r="I21" i="4"/>
  <c r="K20" i="4"/>
  <c r="R17" i="4"/>
  <c r="Q16" i="4"/>
  <c r="O15" i="4"/>
  <c r="H14" i="4"/>
  <c r="R12" i="4"/>
  <c r="I9" i="4"/>
  <c r="T25" i="4"/>
  <c r="V19" i="4"/>
  <c r="G24" i="4"/>
  <c r="H8" i="4"/>
  <c r="O21" i="4"/>
  <c r="S24" i="4"/>
  <c r="S19" i="4"/>
  <c r="N26" i="4"/>
  <c r="S22" i="4"/>
  <c r="I20" i="4"/>
  <c r="V10" i="4"/>
  <c r="H26" i="4"/>
  <c r="Q22" i="4"/>
  <c r="W20" i="4"/>
  <c r="M18" i="4"/>
  <c r="Q17" i="4"/>
  <c r="P16" i="4"/>
  <c r="T8" i="4"/>
  <c r="G25" i="4"/>
  <c r="T19" i="4"/>
  <c r="T14" i="4"/>
  <c r="O26" i="4"/>
  <c r="U9" i="4"/>
  <c r="Q23" i="4"/>
  <c r="M19" i="4"/>
  <c r="J25" i="4"/>
  <c r="H25" i="4"/>
  <c r="N23" i="4"/>
  <c r="U20" i="4"/>
  <c r="H20" i="4"/>
  <c r="J19" i="4"/>
  <c r="I15" i="4"/>
  <c r="S13" i="4"/>
  <c r="L12" i="4"/>
  <c r="P10" i="4"/>
  <c r="R6" i="4"/>
  <c r="T20" i="4"/>
  <c r="I18" i="4"/>
  <c r="W11" i="4"/>
  <c r="K22" i="4"/>
  <c r="S7" i="4"/>
  <c r="W26" i="4"/>
  <c r="M24" i="4"/>
  <c r="O18" i="4"/>
  <c r="U26" i="4"/>
  <c r="U21" i="4"/>
  <c r="L24" i="4"/>
  <c r="T26" i="4"/>
  <c r="V25" i="4"/>
  <c r="L23" i="4"/>
  <c r="P22" i="4"/>
  <c r="R21" i="4"/>
  <c r="H19" i="4"/>
  <c r="L18" i="4"/>
  <c r="L17" i="4"/>
  <c r="K16" i="4"/>
  <c r="N8" i="4"/>
  <c r="M26" i="4"/>
  <c r="W24" i="4"/>
  <c r="V23" i="4"/>
  <c r="U22" i="4"/>
  <c r="T21" i="4"/>
  <c r="S20" i="4"/>
  <c r="R19" i="4"/>
  <c r="Q18" i="4"/>
  <c r="P17" i="4"/>
  <c r="O16" i="4"/>
  <c r="H15" i="4"/>
  <c r="G14" i="4"/>
  <c r="L13" i="4"/>
  <c r="Q12" i="4"/>
  <c r="K12" i="4"/>
  <c r="P11" i="4"/>
  <c r="J11" i="4"/>
  <c r="U10" i="4"/>
  <c r="O10" i="4"/>
  <c r="I10" i="4"/>
  <c r="T9" i="4"/>
  <c r="N9" i="4"/>
  <c r="S8" i="4"/>
  <c r="M8" i="4"/>
  <c r="G8" i="4"/>
  <c r="R7" i="4"/>
  <c r="L7" i="4"/>
  <c r="W6" i="4"/>
  <c r="Q6" i="4"/>
  <c r="K6" i="4"/>
  <c r="S26" i="4"/>
  <c r="G26" i="4"/>
  <c r="R25" i="4"/>
  <c r="L25" i="4"/>
  <c r="Q24" i="4"/>
  <c r="K24" i="4"/>
  <c r="P23" i="4"/>
  <c r="J23" i="4"/>
  <c r="O22" i="4"/>
  <c r="I22" i="4"/>
  <c r="N21" i="4"/>
  <c r="H21" i="4"/>
  <c r="M20" i="4"/>
  <c r="G20" i="4"/>
  <c r="L19" i="4"/>
  <c r="W18" i="4"/>
  <c r="K18" i="4"/>
  <c r="V17" i="4"/>
  <c r="J17" i="4"/>
  <c r="U16" i="4"/>
  <c r="I16" i="4"/>
  <c r="T15" i="4"/>
  <c r="N15" i="4"/>
  <c r="S14" i="4"/>
  <c r="M14" i="4"/>
  <c r="R13" i="4"/>
  <c r="W12" i="4"/>
  <c r="V11" i="4"/>
  <c r="H9" i="4"/>
  <c r="R26" i="4"/>
  <c r="W25" i="4"/>
  <c r="K25" i="4"/>
  <c r="P24" i="4"/>
  <c r="U23" i="4"/>
  <c r="I23" i="4"/>
  <c r="T22" i="4"/>
  <c r="H22" i="4"/>
  <c r="M21" i="4"/>
  <c r="R20" i="4"/>
  <c r="W19" i="4"/>
  <c r="K19" i="4"/>
  <c r="P18" i="4"/>
  <c r="U17" i="4"/>
  <c r="I17" i="4"/>
  <c r="N16" i="4"/>
  <c r="S15" i="4"/>
  <c r="G15" i="4"/>
  <c r="L14" i="4"/>
  <c r="Q13" i="4"/>
  <c r="K13" i="4"/>
  <c r="P12" i="4"/>
  <c r="J12" i="4"/>
  <c r="U11" i="4"/>
  <c r="O11" i="4"/>
  <c r="I11" i="4"/>
  <c r="T10" i="4"/>
  <c r="N10" i="4"/>
  <c r="H10" i="4"/>
  <c r="S9" i="4"/>
  <c r="M9" i="4"/>
  <c r="R8" i="4"/>
  <c r="L8" i="4"/>
  <c r="W7" i="4"/>
  <c r="Q7" i="4"/>
  <c r="K7" i="4"/>
  <c r="V6" i="4"/>
  <c r="P6" i="4"/>
  <c r="J6" i="4"/>
  <c r="L26" i="4"/>
  <c r="Q25" i="4"/>
  <c r="V24" i="4"/>
  <c r="J24" i="4"/>
  <c r="O23" i="4"/>
  <c r="N22" i="4"/>
  <c r="S21" i="4"/>
  <c r="G21" i="4"/>
  <c r="L20" i="4"/>
  <c r="Q19" i="4"/>
  <c r="V18" i="4"/>
  <c r="J18" i="4"/>
  <c r="O17" i="4"/>
  <c r="T16" i="4"/>
  <c r="H16" i="4"/>
  <c r="M15" i="4"/>
  <c r="R14" i="4"/>
  <c r="W13" i="4"/>
  <c r="V12" i="4"/>
  <c r="G9" i="4"/>
  <c r="R15" i="4"/>
  <c r="S16" i="4"/>
  <c r="M16" i="4"/>
  <c r="G16" i="4"/>
  <c r="W14" i="4"/>
  <c r="K14" i="4"/>
  <c r="V13" i="4"/>
  <c r="P13" i="4"/>
  <c r="J13" i="4"/>
  <c r="U12" i="4"/>
  <c r="O12" i="4"/>
  <c r="I12" i="4"/>
  <c r="T11" i="4"/>
  <c r="N11" i="4"/>
  <c r="H11" i="4"/>
  <c r="S10" i="4"/>
  <c r="M10" i="4"/>
  <c r="G10" i="4"/>
  <c r="R9" i="4"/>
  <c r="L9" i="4"/>
  <c r="W8" i="4"/>
  <c r="Q8" i="4"/>
  <c r="K8" i="4"/>
  <c r="V7" i="4"/>
  <c r="P7" i="4"/>
  <c r="J7" i="4"/>
  <c r="U6" i="4"/>
  <c r="O6" i="4"/>
  <c r="I6" i="4"/>
  <c r="H17" i="4"/>
  <c r="L15" i="4"/>
  <c r="V26" i="4"/>
  <c r="J26" i="4"/>
  <c r="O25" i="4"/>
  <c r="T24" i="4"/>
  <c r="H24" i="4"/>
  <c r="M23" i="4"/>
  <c r="R22" i="4"/>
  <c r="W21" i="4"/>
  <c r="K21" i="4"/>
  <c r="P20" i="4"/>
  <c r="U19" i="4"/>
  <c r="I19" i="4"/>
  <c r="N18" i="4"/>
  <c r="S17" i="4"/>
  <c r="G17" i="4"/>
  <c r="L16" i="4"/>
  <c r="Q15" i="4"/>
  <c r="V14" i="4"/>
  <c r="J14" i="4"/>
  <c r="U13" i="4"/>
  <c r="I13" i="4"/>
  <c r="N12" i="4"/>
  <c r="H12" i="4"/>
  <c r="S11" i="4"/>
  <c r="M11" i="4"/>
  <c r="G11" i="4"/>
  <c r="R10" i="4"/>
  <c r="L10" i="4"/>
  <c r="W9" i="4"/>
  <c r="K9" i="4"/>
  <c r="V8" i="4"/>
  <c r="P8" i="4"/>
  <c r="J8" i="4"/>
  <c r="U7" i="4"/>
  <c r="O7" i="4"/>
  <c r="I7" i="4"/>
  <c r="T6" i="4"/>
  <c r="N6" i="4"/>
  <c r="H6" i="4"/>
  <c r="N17" i="4"/>
  <c r="Q14" i="4"/>
  <c r="P26" i="4"/>
  <c r="U25" i="4"/>
  <c r="I25" i="4"/>
  <c r="N24" i="4"/>
  <c r="S23" i="4"/>
  <c r="G23" i="4"/>
  <c r="L22" i="4"/>
  <c r="Q21" i="4"/>
  <c r="V20" i="4"/>
  <c r="J20" i="4"/>
  <c r="O19" i="4"/>
  <c r="T18" i="4"/>
  <c r="H18" i="4"/>
  <c r="M17" i="4"/>
  <c r="R16" i="4"/>
  <c r="W15" i="4"/>
  <c r="K15" i="4"/>
  <c r="P14" i="4"/>
  <c r="O13" i="4"/>
  <c r="T12" i="4"/>
  <c r="Q9" i="4"/>
  <c r="V15" i="4"/>
  <c r="P15" i="4"/>
  <c r="J15" i="4"/>
  <c r="U14" i="4"/>
  <c r="O14" i="4"/>
  <c r="I14" i="4"/>
  <c r="T13" i="4"/>
  <c r="N13" i="4"/>
  <c r="H13" i="4"/>
  <c r="S12" i="4"/>
  <c r="M12" i="4"/>
  <c r="G12" i="4"/>
  <c r="R11" i="4"/>
  <c r="L11" i="4"/>
  <c r="W10" i="4"/>
  <c r="Q10" i="4"/>
  <c r="K10" i="4"/>
  <c r="V9" i="4"/>
  <c r="P9" i="4"/>
  <c r="J9" i="4"/>
  <c r="U8" i="4"/>
  <c r="O8" i="4"/>
  <c r="I8" i="4"/>
  <c r="T7" i="4"/>
  <c r="N7" i="4"/>
  <c r="H7" i="4"/>
  <c r="S6" i="4"/>
  <c r="M6" i="4"/>
  <c r="F22" i="4"/>
  <c r="F10" i="4"/>
  <c r="F15" i="4"/>
  <c r="F26" i="4"/>
  <c r="F25" i="4"/>
  <c r="F13" i="4"/>
  <c r="F18" i="4"/>
  <c r="F11" i="4"/>
  <c r="F16" i="4"/>
  <c r="F21" i="4"/>
  <c r="F20" i="4"/>
  <c r="F14" i="4"/>
  <c r="F19" i="4"/>
  <c r="F24" i="4"/>
  <c r="F12" i="4"/>
  <c r="F23" i="4"/>
  <c r="F1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<sst xmlns="http://schemas.openxmlformats.org/spreadsheetml/2006/main" count="29" uniqueCount="23">
  <si>
    <t xml:space="preserve"> </t>
  </si>
  <si>
    <t>Aplicación</t>
  </si>
  <si>
    <t>Precios de Opciones</t>
  </si>
  <si>
    <t>Descripción</t>
  </si>
  <si>
    <t>Ponente</t>
  </si>
  <si>
    <t>Jorge Luis Reyes García</t>
  </si>
  <si>
    <t>jorgeluis.reyes@ciencias.unam.mx</t>
  </si>
  <si>
    <t>Conclusiones</t>
  </si>
  <si>
    <t>Precio So</t>
  </si>
  <si>
    <t>Tiempo (días)</t>
  </si>
  <si>
    <t xml:space="preserve">Spot </t>
  </si>
  <si>
    <t>Strike</t>
  </si>
  <si>
    <t>Volatilidad</t>
  </si>
  <si>
    <t>Tasa libre de riesgo</t>
  </si>
  <si>
    <t>Opción (Call/Put)</t>
  </si>
  <si>
    <t>Sensibilidad</t>
  </si>
  <si>
    <t>Letras Griegas</t>
  </si>
  <si>
    <t xml:space="preserve">del tiempo. </t>
  </si>
  <si>
    <t xml:space="preserve">Analizar las sensibilidades de las opciones call y put ante cambios en precios del subyacente y </t>
  </si>
  <si>
    <t>Opciones Financieras</t>
  </si>
  <si>
    <t>Tiempo (dias)</t>
  </si>
  <si>
    <t>Call</t>
  </si>
  <si>
    <t>Gamma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</si>
</sst>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.00_-;\-* #,##0.00_-;_-* &quot;-&quot;??_-;_-@_-"/>
    <numFmt numFmtId="165" formatCode="_-* #,##0_-;\-* #,##0_-;_-* &quot;-&quot;??_-;_-@_-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20"/>
      <name val="Calibri"/>
      <family val="2"/>
      <scheme val="minor"/>
    </font>
    <font>
      <b/>
      <sz val="14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3" fillId="0" borderId="0" applyNumberFormat="0" applyFill="0" applyBorder="0" applyAlignment="0" applyProtection="0"/>
  </cellStyleXfs>
  <cellXfs count="18">
    <xf numFmtId="0" fontId="0" fillId="0" borderId="0" xfId="0"/>
    <xf numFmtId="0" fontId="4" fillId="2" borderId="0" xfId="0" applyFont="1" applyFill="1"/>
    <xf numFmtId="0" fontId="4" fillId="3" borderId="0" xfId="0" applyFont="1" applyFill="1"/>
    <xf numFmtId="0" fontId="6" fillId="3" borderId="0" xfId="0" applyFont="1" applyFill="1" applyAlignment="1">
      <alignment horizontal="left" indent="43"/>
    </xf>
    <xf numFmtId="0" fontId="7" fillId="3" borderId="0" xfId="0" applyFont="1" applyFill="1"/>
    <xf numFmtId="0" fontId="8" fillId="3" borderId="0" xfId="0" applyFont="1" applyFill="1"/>
    <xf numFmtId="0" fontId="3" fillId="3" borderId="0" xfId="2" applyFill="1"/>
    <xf numFmtId="0" fontId="9" fillId="3" borderId="0" xfId="0" applyFont="1" applyFill="1"/>
    <xf numFmtId="0" fontId="0" fillId="3" borderId="0" xfId="0" applyFill="1"/>
    <xf numFmtId="0" fontId="0" fillId="4" borderId="0" xfId="0" applyFill="1"/>
    <xf numFmtId="0" fontId="2" fillId="3" borderId="0" xfId="0" applyFont="1" applyFill="1"/>
    <xf numFmtId="0" fontId="2" fillId="4" borderId="1" xfId="0" applyFont="1" applyFill="1" applyBorder="1"/>
    <xf numFmtId="0" fontId="0" fillId="3" borderId="1" xfId="0" applyFill="1" applyBorder="1"/>
    <xf numFmtId="165" fontId="2" fillId="4" borderId="1" xfId="1" applyNumberFormat="1" applyFont="1" applyFill="1" applyBorder="1"/>
    <xf numFmtId="9" fontId="0" fillId="3" borderId="1" xfId="0" applyNumberFormat="1" applyFill="1" applyBorder="1"/>
    <xf numFmtId="0" fontId="5" fillId="3" borderId="0" xfId="0" applyFont="1" applyFill="1" applyAlignment="1">
      <alignment horizontal="left" indent="32"/>
    </xf>
    <xf numFmtId="0" fontId="0" fillId="5" borderId="1" xfId="0" applyFill="1" applyBorder="1"/>
    <xf numFmtId="2" fontId="0" fillId="3" borderId="1" xfId="1" applyNumberFormat="1" applyFont="1" applyFill="1" applyBorder="1" applyAlignment="1">
      <alignment horizontal="center" vertic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5.xml"/><Relationship Id="rId13" Type="http://schemas.openxmlformats.org/officeDocument/2006/relationships/externalLink" Target="externalLinks/externalLink10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externalLink" Target="externalLinks/externalLink4.xml"/><Relationship Id="rId12" Type="http://schemas.openxmlformats.org/officeDocument/2006/relationships/externalLink" Target="externalLinks/externalLink9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3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3.xml"/><Relationship Id="rId11" Type="http://schemas.openxmlformats.org/officeDocument/2006/relationships/externalLink" Target="externalLinks/externalLink8.xml"/><Relationship Id="rId5" Type="http://schemas.openxmlformats.org/officeDocument/2006/relationships/externalLink" Target="externalLinks/externalLink2.xml"/><Relationship Id="rId15" Type="http://schemas.openxmlformats.org/officeDocument/2006/relationships/externalLink" Target="externalLinks/externalLink12.xml"/><Relationship Id="rId10" Type="http://schemas.openxmlformats.org/officeDocument/2006/relationships/externalLink" Target="externalLinks/externalLink7.xml"/><Relationship Id="rId19" Type="http://schemas.openxmlformats.org/officeDocument/2006/relationships/sharedStrings" Target="sharedStrings.xml"/><Relationship Id="rId4" Type="http://schemas.openxmlformats.org/officeDocument/2006/relationships/externalLink" Target="externalLinks/externalLink1.xml"/><Relationship Id="rId9" Type="http://schemas.openxmlformats.org/officeDocument/2006/relationships/externalLink" Target="externalLinks/externalLink6.xml"/><Relationship Id="rId14" Type="http://schemas.openxmlformats.org/officeDocument/2006/relationships/externalLink" Target="externalLinks/externalLink11.xml"/><Relationship Id="rId22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'Letras Griegas'!$F$5</c:f>
              <c:strCache>
                <c:ptCount val="1"/>
                <c:pt idx="0">
                  <c:v> 10 </c:v>
                </c:pt>
              </c:strCache>
            </c:strRef>
          </c:tx>
          <c:spPr>
            <a:solidFill>
              <a:schemeClr val="accent1"/>
            </a:solidFill>
            <a:ln/>
            <a:effectLst/>
            <a:sp3d/>
          </c:spPr>
          <c:cat>
            <c:numRef>
              <c:f>'Letras Griegas'!$E$6:$E$26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</c:numCache>
            </c:numRef>
          </c:cat>
          <c:val>
            <c:numRef>
              <c:f>'Letras Griegas'!$F$6:$F$26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6.371972662505592E-225</c:v>
                </c:pt>
                <c:pt idx="3">
                  <c:v>1.4386978190695619E-136</c:v>
                </c:pt>
                <c:pt idx="4">
                  <c:v>1.1026173986433202E-85</c:v>
                </c:pt>
                <c:pt idx="5">
                  <c:v>6.8634938905852711E-54</c:v>
                </c:pt>
                <c:pt idx="6">
                  <c:v>3.0622109444137471E-33</c:v>
                </c:pt>
                <c:pt idx="7">
                  <c:v>1.1136424424510503E-19</c:v>
                </c:pt>
                <c:pt idx="8">
                  <c:v>6.6686212324391158E-11</c:v>
                </c:pt>
                <c:pt idx="9">
                  <c:v>1.704127866952861E-5</c:v>
                </c:pt>
                <c:pt idx="10">
                  <c:v>1.5357142453190269E-2</c:v>
                </c:pt>
                <c:pt idx="11">
                  <c:v>0.20424867459631205</c:v>
                </c:pt>
                <c:pt idx="12">
                  <c:v>0.10950603076202368</c:v>
                </c:pt>
                <c:pt idx="13">
                  <c:v>4.8900398450676362E-3</c:v>
                </c:pt>
                <c:pt idx="14">
                  <c:v>3.1106273287094448E-5</c:v>
                </c:pt>
                <c:pt idx="15">
                  <c:v>4.2254030461349794E-8</c:v>
                </c:pt>
                <c:pt idx="16">
                  <c:v>1.6721970761504363E-11</c:v>
                </c:pt>
                <c:pt idx="17">
                  <c:v>2.4555961154072615E-15</c:v>
                </c:pt>
                <c:pt idx="18">
                  <c:v>1.6192753748315346E-19</c:v>
                </c:pt>
                <c:pt idx="19">
                  <c:v>5.5826463632015279E-24</c:v>
                </c:pt>
                <c:pt idx="20">
                  <c:v>1.1373919704506163E-28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91-45AC-90D6-ABC9EC73E6DD}"/>
            </c:ext>
          </c:extLst>
        </c:ser>
        <c:ser>
          <c:idx val="1"/>
          <c:order val="1"/>
          <c:tx>
            <c:strRef>
              <c:f>'Letras Griegas'!$G$5</c:f>
              <c:strCache>
                <c:ptCount val="1"/>
                <c:pt idx="0">
                  <c:v> 31 </c:v>
                </c:pt>
              </c:strCache>
            </c:strRef>
          </c:tx>
          <c:spPr>
            <a:solidFill>
              <a:schemeClr val="accent2"/>
            </a:solidFill>
            <a:ln/>
            <a:effectLst/>
            <a:sp3d/>
          </c:spPr>
          <c:cat>
            <c:numRef>
              <c:f>'Letras Griegas'!$E$6:$E$26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</c:numCache>
            </c:numRef>
          </c:cat>
          <c:val>
            <c:numRef>
              <c:f>'Letras Griegas'!$G$6:$G$26</c:f>
              <c:numCache>
                <c:formatCode>0.00</c:formatCode>
                <c:ptCount val="21"/>
                <c:pt idx="0">
                  <c:v>0</c:v>
                </c:pt>
                <c:pt idx="1">
                  <c:v>5.268624124440284E-132</c:v>
                </c:pt>
                <c:pt idx="2">
                  <c:v>4.9441529990244337E-73</c:v>
                </c:pt>
                <c:pt idx="3">
                  <c:v>1.2261807636126185E-44</c:v>
                </c:pt>
                <c:pt idx="4">
                  <c:v>2.5529981103676924E-28</c:v>
                </c:pt>
                <c:pt idx="5">
                  <c:v>3.7752762715517006E-18</c:v>
                </c:pt>
                <c:pt idx="6">
                  <c:v>1.4444863227626833E-11</c:v>
                </c:pt>
                <c:pt idx="7">
                  <c:v>2.8993727061661199E-7</c:v>
                </c:pt>
                <c:pt idx="8">
                  <c:v>1.687749868502868E-4</c:v>
                </c:pt>
                <c:pt idx="9">
                  <c:v>8.1261842888264383E-3</c:v>
                </c:pt>
                <c:pt idx="10">
                  <c:v>6.3861771644146734E-2</c:v>
                </c:pt>
                <c:pt idx="11">
                  <c:v>0.12983539414613152</c:v>
                </c:pt>
                <c:pt idx="12">
                  <c:v>9.4338341294217504E-2</c:v>
                </c:pt>
                <c:pt idx="13">
                  <c:v>3.0934528111011862E-2</c:v>
                </c:pt>
                <c:pt idx="14">
                  <c:v>5.4394037436171945E-3</c:v>
                </c:pt>
                <c:pt idx="15">
                  <c:v>5.8409734919893485E-4</c:v>
                </c:pt>
                <c:pt idx="16">
                  <c:v>4.2321347952034051E-5</c:v>
                </c:pt>
                <c:pt idx="17">
                  <c:v>2.2360658641569335E-6</c:v>
                </c:pt>
                <c:pt idx="18">
                  <c:v>9.1586571614210183E-8</c:v>
                </c:pt>
                <c:pt idx="19">
                  <c:v>3.0533636709981079E-9</c:v>
                </c:pt>
                <c:pt idx="20">
                  <c:v>8.6172429357427235E-11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991-45AC-90D6-ABC9EC73E6DD}"/>
            </c:ext>
          </c:extLst>
        </c:ser>
        <c:ser>
          <c:idx val="2"/>
          <c:order val="2"/>
          <c:tx>
            <c:strRef>
              <c:f>'Letras Griegas'!$H$5</c:f>
              <c:strCache>
                <c:ptCount val="1"/>
                <c:pt idx="0">
                  <c:v> 52 </c:v>
                </c:pt>
              </c:strCache>
            </c:strRef>
          </c:tx>
          <c:spPr>
            <a:solidFill>
              <a:schemeClr val="accent3"/>
            </a:solidFill>
            <a:ln/>
            <a:effectLst/>
            <a:sp3d/>
          </c:spPr>
          <c:cat>
            <c:numRef>
              <c:f>'Letras Griegas'!$E$6:$E$26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</c:numCache>
            </c:numRef>
          </c:cat>
          <c:val>
            <c:numRef>
              <c:f>'Letras Griegas'!$H$6:$H$26</c:f>
              <c:numCache>
                <c:formatCode>0.00</c:formatCode>
                <c:ptCount val="21"/>
                <c:pt idx="0">
                  <c:v>1.1738760297038167E-210</c:v>
                </c:pt>
                <c:pt idx="1">
                  <c:v>9.7657081210922914E-79</c:v>
                </c:pt>
                <c:pt idx="2">
                  <c:v>9.3446686104026752E-44</c:v>
                </c:pt>
                <c:pt idx="3">
                  <c:v>6.0533089133550719E-27</c:v>
                </c:pt>
                <c:pt idx="4">
                  <c:v>2.6483414322491186E-17</c:v>
                </c:pt>
                <c:pt idx="5">
                  <c:v>2.6029490382449321E-11</c:v>
                </c:pt>
                <c:pt idx="6">
                  <c:v>1.9089511688228046E-7</c:v>
                </c:pt>
                <c:pt idx="7">
                  <c:v>6.2356964493925045E-5</c:v>
                </c:pt>
                <c:pt idx="8">
                  <c:v>2.5027911754761678E-3</c:v>
                </c:pt>
                <c:pt idx="9">
                  <c:v>2.2983843261414408E-2</c:v>
                </c:pt>
                <c:pt idx="10">
                  <c:v>7.2264980561153921E-2</c:v>
                </c:pt>
                <c:pt idx="11">
                  <c:v>0.10221208737756773</c:v>
                </c:pt>
                <c:pt idx="12">
                  <c:v>7.8759064758517239E-2</c:v>
                </c:pt>
                <c:pt idx="13">
                  <c:v>3.7960179405040401E-2</c:v>
                </c:pt>
                <c:pt idx="14">
                  <c:v>1.2674230412709781E-2</c:v>
                </c:pt>
                <c:pt idx="15">
                  <c:v>3.1659056849768974E-3</c:v>
                </c:pt>
                <c:pt idx="16">
                  <c:v>6.2759001298317814E-4</c:v>
                </c:pt>
                <c:pt idx="17">
                  <c:v>1.0336763890888131E-4</c:v>
                </c:pt>
                <c:pt idx="18">
                  <c:v>1.4666418112170622E-5</c:v>
                </c:pt>
                <c:pt idx="19">
                  <c:v>1.8450199745010434E-6</c:v>
                </c:pt>
                <c:pt idx="20">
                  <c:v>2.106082475880364E-7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991-45AC-90D6-ABC9EC73E6DD}"/>
            </c:ext>
          </c:extLst>
        </c:ser>
        <c:ser>
          <c:idx val="3"/>
          <c:order val="3"/>
          <c:tx>
            <c:strRef>
              <c:f>'Letras Griegas'!$I$5</c:f>
              <c:strCache>
                <c:ptCount val="1"/>
                <c:pt idx="0">
                  <c:v> 73 </c:v>
                </c:pt>
              </c:strCache>
            </c:strRef>
          </c:tx>
          <c:spPr>
            <a:solidFill>
              <a:schemeClr val="accent4"/>
            </a:solidFill>
            <a:ln/>
            <a:effectLst/>
            <a:sp3d/>
          </c:spPr>
          <c:cat>
            <c:numRef>
              <c:f>'Letras Griegas'!$E$6:$E$26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</c:numCache>
            </c:numRef>
          </c:cat>
          <c:val>
            <c:numRef>
              <c:f>'Letras Griegas'!$I$6:$I$26</c:f>
              <c:numCache>
                <c:formatCode>0.00</c:formatCode>
                <c:ptCount val="21"/>
                <c:pt idx="0">
                  <c:v>9.1910196785878374E-150</c:v>
                </c:pt>
                <c:pt idx="1">
                  <c:v>4.049111956145781E-56</c:v>
                </c:pt>
                <c:pt idx="2">
                  <c:v>2.4512606038537766E-31</c:v>
                </c:pt>
                <c:pt idx="3">
                  <c:v>1.8917194937427338E-19</c:v>
                </c:pt>
                <c:pt idx="4">
                  <c:v>1.2001021132660808E-12</c:v>
                </c:pt>
                <c:pt idx="5">
                  <c:v>1.9764657403326618E-8</c:v>
                </c:pt>
                <c:pt idx="6">
                  <c:v>1.0139891205149872E-5</c:v>
                </c:pt>
                <c:pt idx="7">
                  <c:v>5.7521436283208165E-4</c:v>
                </c:pt>
                <c:pt idx="8">
                  <c:v>7.4067800674720912E-3</c:v>
                </c:pt>
                <c:pt idx="9">
                  <c:v>3.3630468733782448E-2</c:v>
                </c:pt>
                <c:pt idx="10">
                  <c:v>7.16328189560579E-2</c:v>
                </c:pt>
                <c:pt idx="11">
                  <c:v>8.6836019564019554E-2</c:v>
                </c:pt>
                <c:pt idx="12">
                  <c:v>6.8602449673066127E-2</c:v>
                </c:pt>
                <c:pt idx="13">
                  <c:v>3.8947093209610872E-2</c:v>
                </c:pt>
                <c:pt idx="14">
                  <c:v>1.7078626220863338E-2</c:v>
                </c:pt>
                <c:pt idx="15">
                  <c:v>6.1078653283047268E-3</c:v>
                </c:pt>
                <c:pt idx="16">
                  <c:v>1.857294865131514E-3</c:v>
                </c:pt>
                <c:pt idx="17">
                  <c:v>4.9601794000379319E-4</c:v>
                </c:pt>
                <c:pt idx="18">
                  <c:v>1.1934883186107969E-4</c:v>
                </c:pt>
                <c:pt idx="19">
                  <c:v>2.6403647441282821E-5</c:v>
                </c:pt>
                <c:pt idx="20">
                  <c:v>5.4591567598162218E-6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991-45AC-90D6-ABC9EC73E6DD}"/>
            </c:ext>
          </c:extLst>
        </c:ser>
        <c:ser>
          <c:idx val="4"/>
          <c:order val="4"/>
          <c:tx>
            <c:strRef>
              <c:f>'Letras Griegas'!$J$5</c:f>
              <c:strCache>
                <c:ptCount val="1"/>
                <c:pt idx="0">
                  <c:v> 94 </c:v>
                </c:pt>
              </c:strCache>
            </c:strRef>
          </c:tx>
          <c:spPr>
            <a:solidFill>
              <a:schemeClr val="accent5"/>
            </a:solidFill>
            <a:ln/>
            <a:effectLst/>
            <a:sp3d/>
          </c:spPr>
          <c:cat>
            <c:numRef>
              <c:f>'Letras Griegas'!$E$6:$E$26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</c:numCache>
            </c:numRef>
          </c:cat>
          <c:val>
            <c:numRef>
              <c:f>'Letras Griegas'!$J$6:$J$26</c:f>
              <c:numCache>
                <c:formatCode>0.00</c:formatCode>
                <c:ptCount val="21"/>
                <c:pt idx="0">
                  <c:v>4.4757040717203517E-116</c:v>
                </c:pt>
                <c:pt idx="1">
                  <c:v>1.2900570619084993E-43</c:v>
                </c:pt>
                <c:pt idx="2">
                  <c:v>1.7701207464032028E-24</c:v>
                </c:pt>
                <c:pt idx="3">
                  <c:v>2.5719270768318479E-15</c:v>
                </c:pt>
                <c:pt idx="4">
                  <c:v>4.3808679776062955E-10</c:v>
                </c:pt>
                <c:pt idx="5">
                  <c:v>7.5056299734625509E-7</c:v>
                </c:pt>
                <c:pt idx="6">
                  <c:v>8.8345289633322095E-5</c:v>
                </c:pt>
                <c:pt idx="7">
                  <c:v>1.9019028633005053E-3</c:v>
                </c:pt>
                <c:pt idx="8">
                  <c:v>1.3053386504128741E-2</c:v>
                </c:pt>
                <c:pt idx="9">
                  <c:v>4.0135301717701063E-2</c:v>
                </c:pt>
                <c:pt idx="10">
                  <c:v>6.8913016743619257E-2</c:v>
                </c:pt>
                <c:pt idx="11">
                  <c:v>7.6703439242547217E-2</c:v>
                </c:pt>
                <c:pt idx="12">
                  <c:v>6.1440513676673907E-2</c:v>
                </c:pt>
                <c:pt idx="13">
                  <c:v>3.8189632592753188E-2</c:v>
                </c:pt>
                <c:pt idx="14">
                  <c:v>1.947351585004339E-2</c:v>
                </c:pt>
                <c:pt idx="15">
                  <c:v>8.4946033724469273E-3</c:v>
                </c:pt>
                <c:pt idx="16">
                  <c:v>3.2732155546465044E-3</c:v>
                </c:pt>
                <c:pt idx="17">
                  <c:v>1.1422643007231957E-3</c:v>
                </c:pt>
                <c:pt idx="18">
                  <c:v>3.6816337050674791E-4</c:v>
                </c:pt>
                <c:pt idx="19">
                  <c:v>1.1132102738708327E-4</c:v>
                </c:pt>
                <c:pt idx="20">
                  <c:v>3.197601145268777E-5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991-45AC-90D6-ABC9EC73E6DD}"/>
            </c:ext>
          </c:extLst>
        </c:ser>
        <c:ser>
          <c:idx val="5"/>
          <c:order val="5"/>
          <c:tx>
            <c:strRef>
              <c:f>'Letras Griegas'!$K$5</c:f>
              <c:strCache>
                <c:ptCount val="1"/>
                <c:pt idx="0">
                  <c:v> 114 </c:v>
                </c:pt>
              </c:strCache>
            </c:strRef>
          </c:tx>
          <c:spPr>
            <a:solidFill>
              <a:schemeClr val="accent6"/>
            </a:solidFill>
            <a:ln/>
            <a:effectLst/>
            <a:sp3d/>
          </c:spPr>
          <c:cat>
            <c:numRef>
              <c:f>'Letras Griegas'!$E$6:$E$26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</c:numCache>
            </c:numRef>
          </c:cat>
          <c:val>
            <c:numRef>
              <c:f>'Letras Griegas'!$K$6:$K$26</c:f>
              <c:numCache>
                <c:formatCode>0.00</c:formatCode>
                <c:ptCount val="21"/>
                <c:pt idx="0">
                  <c:v>1.075816677219125E-94</c:v>
                </c:pt>
                <c:pt idx="1">
                  <c:v>1.0972482185537697E-35</c:v>
                </c:pt>
                <c:pt idx="2">
                  <c:v>3.9225891965950156E-20</c:v>
                </c:pt>
                <c:pt idx="3">
                  <c:v>1.0602892838629229E-12</c:v>
                </c:pt>
                <c:pt idx="4">
                  <c:v>1.8161988716415219E-8</c:v>
                </c:pt>
                <c:pt idx="5">
                  <c:v>7.3947292563026626E-6</c:v>
                </c:pt>
                <c:pt idx="6">
                  <c:v>3.4178842861073202E-4</c:v>
                </c:pt>
                <c:pt idx="7">
                  <c:v>3.9771861342811007E-3</c:v>
                </c:pt>
                <c:pt idx="8">
                  <c:v>1.8306196991532065E-2</c:v>
                </c:pt>
                <c:pt idx="9">
                  <c:v>4.3944285513104309E-2</c:v>
                </c:pt>
                <c:pt idx="10">
                  <c:v>6.5802433993739917E-2</c:v>
                </c:pt>
                <c:pt idx="11">
                  <c:v>6.9376883806108708E-2</c:v>
                </c:pt>
                <c:pt idx="12">
                  <c:v>5.6061503230188166E-2</c:v>
                </c:pt>
                <c:pt idx="13">
                  <c:v>3.6910032337412697E-2</c:v>
                </c:pt>
                <c:pt idx="14">
                  <c:v>2.0713172647453575E-2</c:v>
                </c:pt>
                <c:pt idx="15">
                  <c:v>1.0249874426063061E-2</c:v>
                </c:pt>
                <c:pt idx="16">
                  <c:v>4.5903895299624509E-3</c:v>
                </c:pt>
                <c:pt idx="17">
                  <c:v>1.8984907370218449E-3</c:v>
                </c:pt>
                <c:pt idx="18">
                  <c:v>7.3670366925276563E-4</c:v>
                </c:pt>
                <c:pt idx="19">
                  <c:v>2.7163638081695193E-4</c:v>
                </c:pt>
                <c:pt idx="20">
                  <c:v>9.613870593945245E-5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991-45AC-90D6-ABC9EC73E6DD}"/>
            </c:ext>
          </c:extLst>
        </c:ser>
        <c:ser>
          <c:idx val="6"/>
          <c:order val="6"/>
          <c:tx>
            <c:strRef>
              <c:f>'Letras Griegas'!$L$5</c:f>
              <c:strCache>
                <c:ptCount val="1"/>
                <c:pt idx="0">
                  <c:v> 135 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/>
            <a:effectLst/>
            <a:sp3d/>
          </c:spPr>
          <c:cat>
            <c:numRef>
              <c:f>'Letras Griegas'!$E$6:$E$26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</c:numCache>
            </c:numRef>
          </c:cat>
          <c:val>
            <c:numRef>
              <c:f>'Letras Griegas'!$L$6:$L$26</c:f>
              <c:numCache>
                <c:formatCode>0.00</c:formatCode>
                <c:ptCount val="21"/>
                <c:pt idx="0">
                  <c:v>6.3957245087557884E-80</c:v>
                </c:pt>
                <c:pt idx="1">
                  <c:v>3.2779059615093838E-30</c:v>
                </c:pt>
                <c:pt idx="2">
                  <c:v>3.9006997914969805E-17</c:v>
                </c:pt>
                <c:pt idx="3">
                  <c:v>6.7105499674591776E-11</c:v>
                </c:pt>
                <c:pt idx="4">
                  <c:v>2.348972111518852E-7</c:v>
                </c:pt>
                <c:pt idx="5">
                  <c:v>3.5417323658586413E-5</c:v>
                </c:pt>
                <c:pt idx="6">
                  <c:v>8.5784355968967141E-4</c:v>
                </c:pt>
                <c:pt idx="7">
                  <c:v>6.5240841731559317E-3</c:v>
                </c:pt>
                <c:pt idx="8">
                  <c:v>2.2781993353648066E-2</c:v>
                </c:pt>
                <c:pt idx="9">
                  <c:v>4.6087317468688778E-2</c:v>
                </c:pt>
                <c:pt idx="10">
                  <c:v>6.278171616361955E-2</c:v>
                </c:pt>
                <c:pt idx="11">
                  <c:v>6.3757634323306334E-2</c:v>
                </c:pt>
                <c:pt idx="12">
                  <c:v>5.1834149741767074E-2</c:v>
                </c:pt>
                <c:pt idx="13">
                  <c:v>3.5511637698841747E-2</c:v>
                </c:pt>
                <c:pt idx="14">
                  <c:v>2.129283313030339E-2</c:v>
                </c:pt>
                <c:pt idx="15">
                  <c:v>1.1496623509212912E-2</c:v>
                </c:pt>
                <c:pt idx="16">
                  <c:v>5.7127225174423311E-3</c:v>
                </c:pt>
                <c:pt idx="17">
                  <c:v>2.6570362610043295E-3</c:v>
                </c:pt>
                <c:pt idx="18">
                  <c:v>1.1722173252912769E-3</c:v>
                </c:pt>
                <c:pt idx="19">
                  <c:v>4.9575256071091272E-4</c:v>
                </c:pt>
                <c:pt idx="20">
                  <c:v>2.0269881175115256E-4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991-45AC-90D6-ABC9EC73E6DD}"/>
            </c:ext>
          </c:extLst>
        </c:ser>
        <c:ser>
          <c:idx val="7"/>
          <c:order val="7"/>
          <c:tx>
            <c:strRef>
              <c:f>'Letras Griegas'!$M$5</c:f>
              <c:strCache>
                <c:ptCount val="1"/>
                <c:pt idx="0">
                  <c:v> 156 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/>
            <a:effectLst/>
            <a:sp3d/>
          </c:spPr>
          <c:cat>
            <c:numRef>
              <c:f>'Letras Griegas'!$E$6:$E$26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</c:numCache>
            </c:numRef>
          </c:cat>
          <c:val>
            <c:numRef>
              <c:f>'Letras Griegas'!$M$6:$M$26</c:f>
              <c:numCache>
                <c:formatCode>0.00</c:formatCode>
                <c:ptCount val="21"/>
                <c:pt idx="0">
                  <c:v>4.2101832590227317E-69</c:v>
                </c:pt>
                <c:pt idx="1">
                  <c:v>3.3254362562027508E-26</c:v>
                </c:pt>
                <c:pt idx="2">
                  <c:v>6.0571043674089419E-15</c:v>
                </c:pt>
                <c:pt idx="3">
                  <c:v>1.3852943469698799E-9</c:v>
                </c:pt>
                <c:pt idx="4">
                  <c:v>1.5151669461449842E-6</c:v>
                </c:pt>
                <c:pt idx="5">
                  <c:v>1.1034380538111168E-4</c:v>
                </c:pt>
                <c:pt idx="6">
                  <c:v>1.664742456654936E-3</c:v>
                </c:pt>
                <c:pt idx="7">
                  <c:v>9.2714098829138128E-3</c:v>
                </c:pt>
                <c:pt idx="8">
                  <c:v>2.6445083016863748E-2</c:v>
                </c:pt>
                <c:pt idx="9">
                  <c:v>4.719470508003553E-2</c:v>
                </c:pt>
                <c:pt idx="10">
                  <c:v>5.9985312891888139E-2</c:v>
                </c:pt>
                <c:pt idx="11">
                  <c:v>5.9268244642504291E-2</c:v>
                </c:pt>
                <c:pt idx="12">
                  <c:v>4.8398883587716324E-2</c:v>
                </c:pt>
                <c:pt idx="13">
                  <c:v>3.4138576819036537E-2</c:v>
                </c:pt>
                <c:pt idx="14">
                  <c:v>2.1487088186986972E-2</c:v>
                </c:pt>
                <c:pt idx="15">
                  <c:v>1.2366691400933518E-2</c:v>
                </c:pt>
                <c:pt idx="16">
                  <c:v>6.6312643885429803E-3</c:v>
                </c:pt>
                <c:pt idx="17">
                  <c:v>3.3613126831267526E-3</c:v>
                </c:pt>
                <c:pt idx="18">
                  <c:v>1.6290842570558866E-3</c:v>
                </c:pt>
                <c:pt idx="19">
                  <c:v>7.6178796937531254E-4</c:v>
                </c:pt>
                <c:pt idx="20">
                  <c:v>3.4620669302945072E-4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991-45AC-90D6-ABC9EC73E6DD}"/>
            </c:ext>
          </c:extLst>
        </c:ser>
        <c:ser>
          <c:idx val="8"/>
          <c:order val="8"/>
          <c:tx>
            <c:strRef>
              <c:f>'Letras Griegas'!$N$5</c:f>
              <c:strCache>
                <c:ptCount val="1"/>
                <c:pt idx="0">
                  <c:v> 177 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/>
            <a:effectLst/>
            <a:sp3d/>
          </c:spPr>
          <c:cat>
            <c:numRef>
              <c:f>'Letras Griegas'!$E$6:$E$26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</c:numCache>
            </c:numRef>
          </c:cat>
          <c:val>
            <c:numRef>
              <c:f>'Letras Griegas'!$N$6:$N$26</c:f>
              <c:numCache>
                <c:formatCode>0.00</c:formatCode>
                <c:ptCount val="21"/>
                <c:pt idx="0">
                  <c:v>7.7113161938950598E-61</c:v>
                </c:pt>
                <c:pt idx="1">
                  <c:v>3.7963988414443124E-23</c:v>
                </c:pt>
                <c:pt idx="2">
                  <c:v>2.836691775457932E-13</c:v>
                </c:pt>
                <c:pt idx="3">
                  <c:v>1.3882307706951547E-8</c:v>
                </c:pt>
                <c:pt idx="4">
                  <c:v>6.2423175880662433E-6</c:v>
                </c:pt>
                <c:pt idx="5">
                  <c:v>2.6069518915885175E-4</c:v>
                </c:pt>
                <c:pt idx="6">
                  <c:v>2.7392664485881451E-3</c:v>
                </c:pt>
                <c:pt idx="7">
                  <c:v>1.2023693331036905E-2</c:v>
                </c:pt>
                <c:pt idx="8">
                  <c:v>2.9382690017330015E-2</c:v>
                </c:pt>
                <c:pt idx="9">
                  <c:v>4.7647506599367624E-2</c:v>
                </c:pt>
                <c:pt idx="10">
                  <c:v>5.7437000782794664E-2</c:v>
                </c:pt>
                <c:pt idx="11">
                  <c:v>5.5572399861659225E-2</c:v>
                </c:pt>
                <c:pt idx="12">
                  <c:v>4.5535152528339735E-2</c:v>
                </c:pt>
                <c:pt idx="13">
                  <c:v>3.284180830280501E-2</c:v>
                </c:pt>
                <c:pt idx="14">
                  <c:v>2.1451554105334385E-2</c:v>
                </c:pt>
                <c:pt idx="15">
                  <c:v>1.2963751789884653E-2</c:v>
                </c:pt>
                <c:pt idx="16">
                  <c:v>7.3678870974716835E-3</c:v>
                </c:pt>
                <c:pt idx="17">
                  <c:v>3.9884273005579857E-3</c:v>
                </c:pt>
                <c:pt idx="18">
                  <c:v>2.0769723488799135E-3</c:v>
                </c:pt>
                <c:pt idx="19">
                  <c:v>1.0487275283756162E-3</c:v>
                </c:pt>
                <c:pt idx="20">
                  <c:v>5.1671212890005991E-4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991-45AC-90D6-ABC9EC73E6DD}"/>
            </c:ext>
          </c:extLst>
        </c:ser>
        <c:ser>
          <c:idx val="9"/>
          <c:order val="9"/>
          <c:tx>
            <c:strRef>
              <c:f>'Letras Griegas'!$O$5</c:f>
              <c:strCache>
                <c:ptCount val="1"/>
                <c:pt idx="0">
                  <c:v> 198 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/>
            <a:effectLst/>
            <a:sp3d/>
          </c:spPr>
          <c:cat>
            <c:numRef>
              <c:f>'Letras Griegas'!$E$6:$E$26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</c:numCache>
            </c:numRef>
          </c:cat>
          <c:val>
            <c:numRef>
              <c:f>'Letras Griegas'!$O$6:$O$26</c:f>
              <c:numCache>
                <c:formatCode>0.00</c:formatCode>
                <c:ptCount val="21"/>
                <c:pt idx="0">
                  <c:v>2.5325708584606916E-54</c:v>
                </c:pt>
                <c:pt idx="1">
                  <c:v>9.7453316832432231E-21</c:v>
                </c:pt>
                <c:pt idx="2">
                  <c:v>5.8601213202739192E-12</c:v>
                </c:pt>
                <c:pt idx="3">
                  <c:v>8.496049832540177E-8</c:v>
                </c:pt>
                <c:pt idx="4">
                  <c:v>1.8946042854068961E-5</c:v>
                </c:pt>
                <c:pt idx="5">
                  <c:v>5.1022395882456279E-4</c:v>
                </c:pt>
                <c:pt idx="6">
                  <c:v>4.0300572501162516E-3</c:v>
                </c:pt>
                <c:pt idx="7">
                  <c:v>1.4660055800202229E-2</c:v>
                </c:pt>
                <c:pt idx="8">
                  <c:v>3.1711091761812658E-2</c:v>
                </c:pt>
                <c:pt idx="9">
                  <c:v>4.7680133001113616E-2</c:v>
                </c:pt>
                <c:pt idx="10">
                  <c:v>5.5124145477879569E-2</c:v>
                </c:pt>
                <c:pt idx="11">
                  <c:v>5.2459197647429671E-2</c:v>
                </c:pt>
                <c:pt idx="12">
                  <c:v>4.3099533339223624E-2</c:v>
                </c:pt>
                <c:pt idx="13">
                  <c:v>3.1636079866158177E-2</c:v>
                </c:pt>
                <c:pt idx="14">
                  <c:v>2.1277322462256179E-2</c:v>
                </c:pt>
                <c:pt idx="15">
                  <c:v>1.3363267171022066E-2</c:v>
                </c:pt>
                <c:pt idx="16">
                  <c:v>7.9517479067027601E-3</c:v>
                </c:pt>
                <c:pt idx="17">
                  <c:v>4.5336121005521415E-3</c:v>
                </c:pt>
                <c:pt idx="18">
                  <c:v>2.498537748730914E-3</c:v>
                </c:pt>
                <c:pt idx="19">
                  <c:v>1.3403689981306306E-3</c:v>
                </c:pt>
                <c:pt idx="20">
                  <c:v>7.0386974500618411E-4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991-45AC-90D6-ABC9EC73E6DD}"/>
            </c:ext>
          </c:extLst>
        </c:ser>
        <c:ser>
          <c:idx val="10"/>
          <c:order val="10"/>
          <c:tx>
            <c:strRef>
              <c:f>'Letras Griegas'!$P$5</c:f>
              <c:strCache>
                <c:ptCount val="1"/>
                <c:pt idx="0">
                  <c:v> 219 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/>
            <a:effectLst/>
            <a:sp3d/>
          </c:spPr>
          <c:cat>
            <c:numRef>
              <c:f>'Letras Griegas'!$E$6:$E$26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</c:numCache>
            </c:numRef>
          </c:cat>
          <c:val>
            <c:numRef>
              <c:f>'Letras Griegas'!$P$6:$P$26</c:f>
              <c:numCache>
                <c:formatCode>0.00</c:formatCode>
                <c:ptCount val="21"/>
                <c:pt idx="0">
                  <c:v>4.71884339120648E-49</c:v>
                </c:pt>
                <c:pt idx="1">
                  <c:v>8.6283304659520298E-19</c:v>
                </c:pt>
                <c:pt idx="2">
                  <c:v>6.7541474964472385E-11</c:v>
                </c:pt>
                <c:pt idx="3">
                  <c:v>3.65915511787838E-7</c:v>
                </c:pt>
                <c:pt idx="4">
                  <c:v>4.6262838979914525E-5</c:v>
                </c:pt>
                <c:pt idx="5">
                  <c:v>8.735690029808026E-4</c:v>
                </c:pt>
                <c:pt idx="6">
                  <c:v>5.4771417847770979E-3</c:v>
                </c:pt>
                <c:pt idx="7">
                  <c:v>1.7114704723677803E-2</c:v>
                </c:pt>
                <c:pt idx="8">
                  <c:v>3.3541177130564856E-2</c:v>
                </c:pt>
                <c:pt idx="9">
                  <c:v>4.7440219013349653E-2</c:v>
                </c:pt>
                <c:pt idx="10">
                  <c:v>5.3023391852142158E-2</c:v>
                </c:pt>
                <c:pt idx="11">
                  <c:v>4.9788780222592692E-2</c:v>
                </c:pt>
                <c:pt idx="12">
                  <c:v>4.0994318119583484E-2</c:v>
                </c:pt>
                <c:pt idx="13">
                  <c:v>3.0521604522842909E-2</c:v>
                </c:pt>
                <c:pt idx="14">
                  <c:v>2.1019378101152609E-2</c:v>
                </c:pt>
                <c:pt idx="15">
                  <c:v>1.3619067531393095E-2</c:v>
                </c:pt>
                <c:pt idx="16">
                  <c:v>8.4106528731217028E-3</c:v>
                </c:pt>
                <c:pt idx="17">
                  <c:v>5.0007569863113862E-3</c:v>
                </c:pt>
                <c:pt idx="18">
                  <c:v>2.8853086495082554E-3</c:v>
                </c:pt>
                <c:pt idx="19">
                  <c:v>1.6256100556351989E-3</c:v>
                </c:pt>
                <c:pt idx="20">
                  <c:v>8.9884096280925618E-4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991-45AC-90D6-ABC9EC73E6DD}"/>
            </c:ext>
          </c:extLst>
        </c:ser>
        <c:ser>
          <c:idx val="11"/>
          <c:order val="11"/>
          <c:tx>
            <c:strRef>
              <c:f>'Letras Griegas'!$Q$5</c:f>
              <c:strCache>
                <c:ptCount val="1"/>
                <c:pt idx="0">
                  <c:v> 240 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/>
            <a:effectLst/>
            <a:sp3d/>
          </c:spPr>
          <c:cat>
            <c:numRef>
              <c:f>'Letras Griegas'!$E$6:$E$26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</c:numCache>
            </c:numRef>
          </c:cat>
          <c:val>
            <c:numRef>
              <c:f>'Letras Griegas'!$Q$6:$Q$26</c:f>
              <c:numCache>
                <c:formatCode>0.00</c:formatCode>
                <c:ptCount val="21"/>
                <c:pt idx="0">
                  <c:v>1.0563920288396753E-44</c:v>
                </c:pt>
                <c:pt idx="1">
                  <c:v>3.4815629506451439E-17</c:v>
                </c:pt>
                <c:pt idx="2">
                  <c:v>5.060918678891753E-10</c:v>
                </c:pt>
                <c:pt idx="3">
                  <c:v>1.2162536762213869E-6</c:v>
                </c:pt>
                <c:pt idx="4">
                  <c:v>9.6242163425984094E-5</c:v>
                </c:pt>
                <c:pt idx="5">
                  <c:v>1.3555505728139216E-3</c:v>
                </c:pt>
                <c:pt idx="6">
                  <c:v>7.023496348796174E-3</c:v>
                </c:pt>
                <c:pt idx="7">
                  <c:v>1.9358012190117221E-2</c:v>
                </c:pt>
                <c:pt idx="8">
                  <c:v>3.4968078050960021E-2</c:v>
                </c:pt>
                <c:pt idx="9">
                  <c:v>4.702291323549166E-2</c:v>
                </c:pt>
                <c:pt idx="10">
                  <c:v>5.1109911442325483E-2</c:v>
                </c:pt>
                <c:pt idx="11">
                  <c:v>4.7464249740946464E-2</c:v>
                </c:pt>
                <c:pt idx="12">
                  <c:v>3.9150386973947113E-2</c:v>
                </c:pt>
                <c:pt idx="13">
                  <c:v>2.9492915462388181E-2</c:v>
                </c:pt>
                <c:pt idx="14">
                  <c:v>2.0711788184647105E-2</c:v>
                </c:pt>
                <c:pt idx="15">
                  <c:v>1.3769534167780401E-2</c:v>
                </c:pt>
                <c:pt idx="16">
                  <c:v>8.7684569024515293E-3</c:v>
                </c:pt>
                <c:pt idx="17">
                  <c:v>5.3973207074251746E-3</c:v>
                </c:pt>
                <c:pt idx="18">
                  <c:v>3.2342968289409842E-3</c:v>
                </c:pt>
                <c:pt idx="19">
                  <c:v>1.8974963579087064E-3</c:v>
                </c:pt>
                <c:pt idx="20">
                  <c:v>1.0948217467421648E-3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991-45AC-90D6-ABC9EC73E6DD}"/>
            </c:ext>
          </c:extLst>
        </c:ser>
        <c:ser>
          <c:idx val="12"/>
          <c:order val="12"/>
          <c:tx>
            <c:strRef>
              <c:f>'Letras Griegas'!$R$5</c:f>
              <c:strCache>
                <c:ptCount val="1"/>
                <c:pt idx="0">
                  <c:v> 261 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'Letras Griegas'!$E$6:$E$26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</c:numCache>
            </c:numRef>
          </c:cat>
          <c:val>
            <c:numRef>
              <c:f>'Letras Griegas'!$R$6:$R$26</c:f>
              <c:numCache>
                <c:formatCode>0.00</c:formatCode>
                <c:ptCount val="21"/>
                <c:pt idx="0">
                  <c:v>4.7306162506474415E-41</c:v>
                </c:pt>
                <c:pt idx="1">
                  <c:v>7.7362563438706011E-16</c:v>
                </c:pt>
                <c:pt idx="2">
                  <c:v>2.7351776939065911E-9</c:v>
                </c:pt>
                <c:pt idx="3">
                  <c:v>3.3215667225457017E-6</c:v>
                </c:pt>
                <c:pt idx="4">
                  <c:v>1.7733346890853177E-4</c:v>
                </c:pt>
                <c:pt idx="5">
                  <c:v>1.9526809583580225E-3</c:v>
                </c:pt>
                <c:pt idx="6">
                  <c:v>8.6203180714450184E-3</c:v>
                </c:pt>
                <c:pt idx="7">
                  <c:v>2.1382511254244396E-2</c:v>
                </c:pt>
                <c:pt idx="8">
                  <c:v>3.6069911593072664E-2</c:v>
                </c:pt>
                <c:pt idx="9">
                  <c:v>4.6490805362536115E-2</c:v>
                </c:pt>
                <c:pt idx="10">
                  <c:v>4.9360637836468685E-2</c:v>
                </c:pt>
                <c:pt idx="11">
                  <c:v>4.5416061065811114E-2</c:v>
                </c:pt>
                <c:pt idx="12">
                  <c:v>3.751730122826543E-2</c:v>
                </c:pt>
                <c:pt idx="13">
                  <c:v>2.8542639791957567E-2</c:v>
                </c:pt>
                <c:pt idx="14">
                  <c:v>2.0376103312021526E-2</c:v>
                </c:pt>
                <c:pt idx="15">
                  <c:v>1.3842229251969457E-2</c:v>
                </c:pt>
                <c:pt idx="16">
                  <c:v>9.0447483221174994E-3</c:v>
                </c:pt>
                <c:pt idx="17">
                  <c:v>5.7317683844271211E-3</c:v>
                </c:pt>
                <c:pt idx="18">
                  <c:v>3.5456815855342957E-3</c:v>
                </c:pt>
                <c:pt idx="19">
                  <c:v>2.1520913751839378E-3</c:v>
                </c:pt>
                <c:pt idx="20">
                  <c:v>1.286929596169916E-3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991-45AC-90D6-ABC9EC73E6DD}"/>
            </c:ext>
          </c:extLst>
        </c:ser>
        <c:ser>
          <c:idx val="13"/>
          <c:order val="13"/>
          <c:tx>
            <c:strRef>
              <c:f>'Letras Griegas'!$S$5</c:f>
              <c:strCache>
                <c:ptCount val="1"/>
                <c:pt idx="0">
                  <c:v> 281 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'Letras Griegas'!$E$6:$E$26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</c:numCache>
            </c:numRef>
          </c:cat>
          <c:val>
            <c:numRef>
              <c:f>'Letras Griegas'!$S$6:$S$26</c:f>
              <c:numCache>
                <c:formatCode>0.00</c:formatCode>
                <c:ptCount val="21"/>
                <c:pt idx="0">
                  <c:v>6.0642919951325313E-38</c:v>
                </c:pt>
                <c:pt idx="1">
                  <c:v>1.0813727656883671E-14</c:v>
                </c:pt>
                <c:pt idx="2">
                  <c:v>1.1469257639895154E-8</c:v>
                </c:pt>
                <c:pt idx="3">
                  <c:v>7.7882673961819981E-6</c:v>
                </c:pt>
                <c:pt idx="4">
                  <c:v>2.974077873933631E-4</c:v>
                </c:pt>
                <c:pt idx="5">
                  <c:v>2.655500945993356E-3</c:v>
                </c:pt>
                <c:pt idx="6">
                  <c:v>1.0228501883289109E-2</c:v>
                </c:pt>
                <c:pt idx="7">
                  <c:v>2.3193544899587869E-2</c:v>
                </c:pt>
                <c:pt idx="8">
                  <c:v>3.6909606617350744E-2</c:v>
                </c:pt>
                <c:pt idx="9">
                  <c:v>4.5885785497655845E-2</c:v>
                </c:pt>
                <c:pt idx="10">
                  <c:v>4.7755209557265664E-2</c:v>
                </c:pt>
                <c:pt idx="11">
                  <c:v>4.3592829037973693E-2</c:v>
                </c:pt>
                <c:pt idx="12">
                  <c:v>3.6057284781452564E-2</c:v>
                </c:pt>
                <c:pt idx="13">
                  <c:v>2.7663126625148304E-2</c:v>
                </c:pt>
                <c:pt idx="14">
                  <c:v>2.0026167593682507E-2</c:v>
                </c:pt>
                <c:pt idx="15">
                  <c:v>1.3857143407657889E-2</c:v>
                </c:pt>
                <c:pt idx="16">
                  <c:v>9.2553069241903766E-3</c:v>
                </c:pt>
                <c:pt idx="17">
                  <c:v>6.0123598786142067E-3</c:v>
                </c:pt>
                <c:pt idx="18">
                  <c:v>3.8213469053518766E-3</c:v>
                </c:pt>
                <c:pt idx="19">
                  <c:v>2.3875213303210137E-3</c:v>
                </c:pt>
                <c:pt idx="20">
                  <c:v>1.4718663360723727E-3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991-45AC-90D6-ABC9EC73E6DD}"/>
            </c:ext>
          </c:extLst>
        </c:ser>
        <c:ser>
          <c:idx val="14"/>
          <c:order val="14"/>
          <c:tx>
            <c:strRef>
              <c:f>'Letras Griegas'!$T$5</c:f>
              <c:strCache>
                <c:ptCount val="1"/>
                <c:pt idx="0">
                  <c:v> 302 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'Letras Griegas'!$E$6:$E$26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</c:numCache>
            </c:numRef>
          </c:cat>
          <c:val>
            <c:numRef>
              <c:f>'Letras Griegas'!$T$6:$T$26</c:f>
              <c:numCache>
                <c:formatCode>0.00</c:formatCode>
                <c:ptCount val="21"/>
                <c:pt idx="0">
                  <c:v>2.8844177356392837E-35</c:v>
                </c:pt>
                <c:pt idx="1">
                  <c:v>1.0469090367647713E-13</c:v>
                </c:pt>
                <c:pt idx="2">
                  <c:v>3.9337130563657974E-8</c:v>
                </c:pt>
                <c:pt idx="3">
                  <c:v>1.6185573485732276E-5</c:v>
                </c:pt>
                <c:pt idx="4">
                  <c:v>4.6302728468180767E-4</c:v>
                </c:pt>
                <c:pt idx="5">
                  <c:v>3.4508867481266065E-3</c:v>
                </c:pt>
                <c:pt idx="6">
                  <c:v>1.1818188920256477E-2</c:v>
                </c:pt>
                <c:pt idx="7">
                  <c:v>2.4803339268205375E-2</c:v>
                </c:pt>
                <c:pt idx="8">
                  <c:v>3.753747432169393E-2</c:v>
                </c:pt>
                <c:pt idx="9">
                  <c:v>4.523628444202632E-2</c:v>
                </c:pt>
                <c:pt idx="10">
                  <c:v>4.6276037259149999E-2</c:v>
                </c:pt>
                <c:pt idx="11">
                  <c:v>4.1955650611503963E-2</c:v>
                </c:pt>
                <c:pt idx="12">
                  <c:v>3.474141370626678E-2</c:v>
                </c:pt>
                <c:pt idx="13">
                  <c:v>2.684712847862631E-2</c:v>
                </c:pt>
                <c:pt idx="14">
                  <c:v>1.9670962100042523E-2</c:v>
                </c:pt>
                <c:pt idx="15">
                  <c:v>1.382893127713121E-2</c:v>
                </c:pt>
                <c:pt idx="16">
                  <c:v>9.4127485456015139E-3</c:v>
                </c:pt>
                <c:pt idx="17">
                  <c:v>6.2466333724228865E-3</c:v>
                </c:pt>
                <c:pt idx="18">
                  <c:v>4.0639973985931409E-3</c:v>
                </c:pt>
                <c:pt idx="19">
                  <c:v>2.6032611572019532E-3</c:v>
                </c:pt>
                <c:pt idx="20">
                  <c:v>1.6475507487526263E-3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991-45AC-90D6-ABC9EC73E6DD}"/>
            </c:ext>
          </c:extLst>
        </c:ser>
        <c:ser>
          <c:idx val="15"/>
          <c:order val="15"/>
          <c:tx>
            <c:strRef>
              <c:f>'Letras Griegas'!$U$5</c:f>
              <c:strCache>
                <c:ptCount val="1"/>
                <c:pt idx="0">
                  <c:v> 323 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'Letras Griegas'!$E$6:$E$26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</c:numCache>
            </c:numRef>
          </c:cat>
          <c:val>
            <c:numRef>
              <c:f>'Letras Griegas'!$U$6:$U$26</c:f>
              <c:numCache>
                <c:formatCode>0.00</c:formatCode>
                <c:ptCount val="21"/>
                <c:pt idx="0">
                  <c:v>6.1698782842510037E-33</c:v>
                </c:pt>
                <c:pt idx="1">
                  <c:v>7.5390865324183199E-13</c:v>
                </c:pt>
                <c:pt idx="2">
                  <c:v>1.1475619610832223E-7</c:v>
                </c:pt>
                <c:pt idx="3">
                  <c:v>3.0523519084617946E-5</c:v>
                </c:pt>
                <c:pt idx="4">
                  <c:v>6.7902708149445953E-4</c:v>
                </c:pt>
                <c:pt idx="5">
                  <c:v>4.3239453762570646E-3</c:v>
                </c:pt>
                <c:pt idx="6">
                  <c:v>1.3367511269737389E-2</c:v>
                </c:pt>
                <c:pt idx="7">
                  <c:v>2.6227372035903942E-2</c:v>
                </c:pt>
                <c:pt idx="8">
                  <c:v>3.7993672059653753E-2</c:v>
                </c:pt>
                <c:pt idx="9">
                  <c:v>4.4561804138076637E-2</c:v>
                </c:pt>
                <c:pt idx="10">
                  <c:v>4.4908057684183746E-2</c:v>
                </c:pt>
                <c:pt idx="11">
                  <c:v>4.0474456507454633E-2</c:v>
                </c:pt>
                <c:pt idx="12">
                  <c:v>3.3547117888497992E-2</c:v>
                </c:pt>
                <c:pt idx="13">
                  <c:v>2.608805442385357E-2</c:v>
                </c:pt>
                <c:pt idx="14">
                  <c:v>1.9316334570008972E-2</c:v>
                </c:pt>
                <c:pt idx="15">
                  <c:v>1.3768448667783038E-2</c:v>
                </c:pt>
                <c:pt idx="16">
                  <c:v>9.5271428854467616E-3</c:v>
                </c:pt>
                <c:pt idx="17">
                  <c:v>6.4412357492060245E-3</c:v>
                </c:pt>
                <c:pt idx="18">
                  <c:v>4.2766416567056398E-3</c:v>
                </c:pt>
                <c:pt idx="19">
                  <c:v>2.7996318087432472E-3</c:v>
                </c:pt>
                <c:pt idx="20">
                  <c:v>1.8127961200987326E-3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991-45AC-90D6-ABC9EC73E6DD}"/>
            </c:ext>
          </c:extLst>
        </c:ser>
        <c:ser>
          <c:idx val="16"/>
          <c:order val="16"/>
          <c:tx>
            <c:strRef>
              <c:f>'Letras Griegas'!$V$5</c:f>
              <c:strCache>
                <c:ptCount val="1"/>
                <c:pt idx="0">
                  <c:v> 344 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'Letras Griegas'!$E$6:$E$26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</c:numCache>
            </c:numRef>
          </c:cat>
          <c:val>
            <c:numRef>
              <c:f>'Letras Griegas'!$V$6:$V$26</c:f>
              <c:numCache>
                <c:formatCode>0.00</c:formatCode>
                <c:ptCount val="21"/>
                <c:pt idx="0">
                  <c:v>6.8655763061985695E-31</c:v>
                </c:pt>
                <c:pt idx="1">
                  <c:v>4.2624726616551623E-12</c:v>
                </c:pt>
                <c:pt idx="2">
                  <c:v>2.9329977665189878E-7</c:v>
                </c:pt>
                <c:pt idx="3">
                  <c:v>5.3173882217387177E-5</c:v>
                </c:pt>
                <c:pt idx="4">
                  <c:v>9.4837774203278995E-4</c:v>
                </c:pt>
                <c:pt idx="5">
                  <c:v>5.2594048522869672E-3</c:v>
                </c:pt>
                <c:pt idx="6">
                  <c:v>1.486113128438653E-2</c:v>
                </c:pt>
                <c:pt idx="7">
                  <c:v>2.748221220304899E-2</c:v>
                </c:pt>
                <c:pt idx="8">
                  <c:v>3.8310301446975559E-2</c:v>
                </c:pt>
                <c:pt idx="9">
                  <c:v>4.3875817824716321E-2</c:v>
                </c:pt>
                <c:pt idx="10">
                  <c:v>4.3638400969703783E-2</c:v>
                </c:pt>
                <c:pt idx="11">
                  <c:v>3.9125587187141937E-2</c:v>
                </c:pt>
                <c:pt idx="12">
                  <c:v>3.2456492880634874E-2</c:v>
                </c:pt>
                <c:pt idx="13">
                  <c:v>2.5380028948416004E-2</c:v>
                </c:pt>
                <c:pt idx="14">
                  <c:v>1.8966078581821873E-2</c:v>
                </c:pt>
                <c:pt idx="15">
                  <c:v>1.3683816323276581E-2</c:v>
                </c:pt>
                <c:pt idx="16">
                  <c:v>9.606539617881835E-3</c:v>
                </c:pt>
                <c:pt idx="17">
                  <c:v>6.6019186689287397E-3</c:v>
                </c:pt>
                <c:pt idx="18">
                  <c:v>4.4623011710447445E-3</c:v>
                </c:pt>
                <c:pt idx="19">
                  <c:v>2.9774585643011003E-3</c:v>
                </c:pt>
                <c:pt idx="20">
                  <c:v>1.9670524415638757E-3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991-45AC-90D6-ABC9EC73E6DD}"/>
            </c:ext>
          </c:extLst>
        </c:ser>
        <c:ser>
          <c:idx val="17"/>
          <c:order val="17"/>
          <c:tx>
            <c:strRef>
              <c:f>'Letras Griegas'!$W$5</c:f>
              <c:strCache>
                <c:ptCount val="1"/>
                <c:pt idx="0">
                  <c:v> 365 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/>
            <a:effectLst/>
            <a:sp3d/>
          </c:spPr>
          <c:cat>
            <c:numRef>
              <c:f>'Letras Griegas'!$E$6:$E$26</c:f>
              <c:numCache>
                <c:formatCode>General</c:formatCode>
                <c:ptCount val="21"/>
                <c:pt idx="0">
                  <c:v>1</c:v>
                </c:pt>
                <c:pt idx="1">
                  <c:v>4</c:v>
                </c:pt>
                <c:pt idx="2">
                  <c:v>7</c:v>
                </c:pt>
                <c:pt idx="3">
                  <c:v>10</c:v>
                </c:pt>
                <c:pt idx="4">
                  <c:v>13</c:v>
                </c:pt>
                <c:pt idx="5">
                  <c:v>16</c:v>
                </c:pt>
                <c:pt idx="6">
                  <c:v>19</c:v>
                </c:pt>
                <c:pt idx="7">
                  <c:v>22</c:v>
                </c:pt>
                <c:pt idx="8">
                  <c:v>25</c:v>
                </c:pt>
                <c:pt idx="9">
                  <c:v>28</c:v>
                </c:pt>
                <c:pt idx="10">
                  <c:v>31</c:v>
                </c:pt>
                <c:pt idx="11">
                  <c:v>34</c:v>
                </c:pt>
                <c:pt idx="12">
                  <c:v>37</c:v>
                </c:pt>
                <c:pt idx="13">
                  <c:v>40</c:v>
                </c:pt>
                <c:pt idx="14">
                  <c:v>43</c:v>
                </c:pt>
                <c:pt idx="15">
                  <c:v>46</c:v>
                </c:pt>
                <c:pt idx="16">
                  <c:v>49</c:v>
                </c:pt>
                <c:pt idx="17">
                  <c:v>52</c:v>
                </c:pt>
                <c:pt idx="18">
                  <c:v>55</c:v>
                </c:pt>
                <c:pt idx="19">
                  <c:v>58</c:v>
                </c:pt>
                <c:pt idx="20">
                  <c:v>61</c:v>
                </c:pt>
              </c:numCache>
            </c:numRef>
          </c:cat>
          <c:val>
            <c:numRef>
              <c:f>'Letras Griegas'!$W$6:$W$26</c:f>
              <c:numCache>
                <c:formatCode>0.00</c:formatCode>
                <c:ptCount val="21"/>
                <c:pt idx="0">
                  <c:v>4.4465327268722205E-29</c:v>
                </c:pt>
                <c:pt idx="1">
                  <c:v>1.972511864474742E-11</c:v>
                </c:pt>
                <c:pt idx="2">
                  <c:v>6.7191856059112382E-7</c:v>
                </c:pt>
                <c:pt idx="3">
                  <c:v>8.6752060841735322E-5</c:v>
                </c:pt>
                <c:pt idx="4">
                  <c:v>1.2722559050764276E-3</c:v>
                </c:pt>
                <c:pt idx="5">
                  <c:v>6.2425443178548302E-3</c:v>
                </c:pt>
                <c:pt idx="6">
                  <c:v>1.6288858268326524E-2</c:v>
                </c:pt>
                <c:pt idx="7">
                  <c:v>2.8584280095593551E-2</c:v>
                </c:pt>
                <c:pt idx="8">
                  <c:v>3.8513107332066143E-2</c:v>
                </c:pt>
                <c:pt idx="9">
                  <c:v>4.3187665421496713E-2</c:v>
                </c:pt>
                <c:pt idx="10">
                  <c:v>4.2456060550288728E-2</c:v>
                </c:pt>
                <c:pt idx="11">
                  <c:v>3.7890135399710957E-2</c:v>
                </c:pt>
                <c:pt idx="12">
                  <c:v>3.1455129034288702E-2</c:v>
                </c:pt>
                <c:pt idx="13">
                  <c:v>2.4717865249224605E-2</c:v>
                </c:pt>
                <c:pt idx="14">
                  <c:v>1.8622621975194785E-2</c:v>
                </c:pt>
                <c:pt idx="15">
                  <c:v>1.358116334408745E-2</c:v>
                </c:pt>
                <c:pt idx="16">
                  <c:v>9.6573944192349104E-3</c:v>
                </c:pt>
                <c:pt idx="17">
                  <c:v>6.7336076458912606E-3</c:v>
                </c:pt>
                <c:pt idx="18">
                  <c:v>4.6238548840305468E-3</c:v>
                </c:pt>
                <c:pt idx="19">
                  <c:v>3.1378443625352456E-3</c:v>
                </c:pt>
                <c:pt idx="20">
                  <c:v>2.1102103794216074E-3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991-45AC-90D6-ABC9EC73E6DD}"/>
            </c:ext>
          </c:extLst>
        </c:ser>
        <c:bandFmts>
          <c:bandFmt>
            <c:idx val="0"/>
            <c:spPr>
              <a:solidFill>
                <a:schemeClr val="accent1"/>
              </a:solidFill>
              <a:ln/>
              <a:effectLst/>
              <a:sp3d/>
            </c:spPr>
          </c:bandFmt>
          <c:bandFmt>
            <c:idx val="1"/>
            <c:spPr>
              <a:solidFill>
                <a:schemeClr val="accent2"/>
              </a:solidFill>
              <a:ln/>
              <a:effectLst/>
              <a:sp3d/>
            </c:spPr>
          </c:bandFmt>
          <c:bandFmt>
            <c:idx val="2"/>
            <c:spPr>
              <a:solidFill>
                <a:schemeClr val="accent3"/>
              </a:solidFill>
              <a:ln/>
              <a:effectLst/>
              <a:sp3d/>
            </c:spPr>
          </c:bandFmt>
          <c:bandFmt>
            <c:idx val="3"/>
            <c:spPr>
              <a:solidFill>
                <a:schemeClr val="accent4"/>
              </a:solidFill>
              <a:ln/>
              <a:effectLst/>
              <a:sp3d/>
            </c:spPr>
          </c:bandFmt>
          <c:bandFmt>
            <c:idx val="4"/>
            <c:spPr>
              <a:solidFill>
                <a:schemeClr val="accent5"/>
              </a:solidFill>
              <a:ln/>
              <a:effectLst/>
              <a:sp3d/>
            </c:spPr>
          </c:bandFmt>
          <c:bandFmt>
            <c:idx val="5"/>
            <c:spPr>
              <a:solidFill>
                <a:schemeClr val="accent6"/>
              </a:solidFill>
              <a:ln/>
              <a:effectLst/>
              <a:sp3d/>
            </c:spPr>
          </c:bandFmt>
          <c:bandFmt>
            <c:idx val="6"/>
            <c:spPr>
              <a:solidFill>
                <a:schemeClr val="accent1">
                  <a:lumMod val="60000"/>
                </a:schemeClr>
              </a:solidFill>
              <a:ln/>
              <a:effectLst/>
              <a:sp3d/>
            </c:spPr>
          </c:bandFmt>
          <c:bandFmt>
            <c:idx val="7"/>
            <c:spPr>
              <a:solidFill>
                <a:schemeClr val="accent2">
                  <a:lumMod val="60000"/>
                </a:schemeClr>
              </a:solidFill>
              <a:ln/>
              <a:effectLst/>
              <a:sp3d/>
            </c:spPr>
          </c:bandFmt>
          <c:bandFmt>
            <c:idx val="8"/>
            <c:spPr>
              <a:solidFill>
                <a:schemeClr val="accent3">
                  <a:lumMod val="60000"/>
                </a:schemeClr>
              </a:solidFill>
              <a:ln/>
              <a:effectLst/>
              <a:sp3d/>
            </c:spPr>
          </c:bandFmt>
          <c:bandFmt>
            <c:idx val="9"/>
            <c:spPr>
              <a:solidFill>
                <a:schemeClr val="accent4">
                  <a:lumMod val="60000"/>
                </a:schemeClr>
              </a:solidFill>
              <a:ln/>
              <a:effectLst/>
              <a:sp3d/>
            </c:spPr>
          </c:bandFmt>
          <c:bandFmt>
            <c:idx val="10"/>
            <c:spPr>
              <a:solidFill>
                <a:schemeClr val="accent5">
                  <a:lumMod val="60000"/>
                </a:schemeClr>
              </a:solidFill>
              <a:ln/>
              <a:effectLst/>
              <a:sp3d/>
            </c:spPr>
          </c:bandFmt>
          <c:bandFmt>
            <c:idx val="11"/>
            <c:spPr>
              <a:solidFill>
                <a:schemeClr val="accent6">
                  <a:lumMod val="60000"/>
                </a:schemeClr>
              </a:solidFill>
              <a:ln/>
              <a:effectLst/>
              <a:sp3d/>
            </c:spPr>
          </c:bandFmt>
          <c:bandFmt>
            <c:idx val="12"/>
            <c:spPr>
              <a:solidFill>
                <a:schemeClr val="accent1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3"/>
            <c:spPr>
              <a:solidFill>
                <a:schemeClr val="accent2">
                  <a:lumMod val="80000"/>
                  <a:lumOff val="20000"/>
                </a:schemeClr>
              </a:solidFill>
              <a:ln/>
              <a:effectLst/>
              <a:sp3d/>
            </c:spPr>
          </c:bandFmt>
          <c:bandFmt>
            <c:idx val="14"/>
            <c:spPr>
              <a:solidFill>
                <a:schemeClr val="accent3">
                  <a:lumMod val="80000"/>
                  <a:lumOff val="20000"/>
                </a:schemeClr>
              </a:solidFill>
              <a:ln/>
              <a:effectLst/>
              <a:sp3d/>
            </c:spPr>
          </c:bandFmt>
        </c:bandFmts>
        <c:axId val="1056688640"/>
        <c:axId val="1056684800"/>
        <c:axId val="957047232"/>
      </c:surface3DChart>
      <c:catAx>
        <c:axId val="10566886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6684800"/>
        <c:crosses val="autoZero"/>
        <c:auto val="1"/>
        <c:lblAlgn val="ctr"/>
        <c:lblOffset val="100"/>
        <c:noMultiLvlLbl val="0"/>
      </c:catAx>
      <c:valAx>
        <c:axId val="1056684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6688640"/>
        <c:crosses val="autoZero"/>
        <c:crossBetween val="midCat"/>
      </c:valAx>
      <c:serAx>
        <c:axId val="95704723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6684800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17</xdr:row>
      <xdr:rowOff>90014</xdr:rowOff>
    </xdr:from>
    <xdr:to>
      <xdr:col>12</xdr:col>
      <xdr:colOff>0</xdr:colOff>
      <xdr:row>24</xdr:row>
      <xdr:rowOff>190556</xdr:rowOff>
    </xdr:to>
    <xdr:pic>
      <xdr:nvPicPr>
        <xdr:cNvPr id="2" name="4 Imagen" descr="Resultado de imagen para risk management consulting">
          <a:extLst>
            <a:ext uri="{FF2B5EF4-FFF2-40B4-BE49-F238E27FC236}">
              <a16:creationId xmlns:a16="http://schemas.microsoft.com/office/drawing/2014/main" id="{E00E47BD-D693-4029-9BF8-41323D5660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525" y="3614264"/>
          <a:ext cx="8953500" cy="15007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307974</xdr:colOff>
      <xdr:row>26</xdr:row>
      <xdr:rowOff>110067</xdr:rowOff>
    </xdr:from>
    <xdr:to>
      <xdr:col>17</xdr:col>
      <xdr:colOff>288925</xdr:colOff>
      <xdr:row>55</xdr:row>
      <xdr:rowOff>52916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C430014-08CA-F3A2-4951-CEE3D9F888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:/Users/David/Dropbox/dh-library/_xls/_2009/1a/1_a_6_practicebag_v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dministrador1/Desktop/CLASE%20INVERSI&#211;N%20BURS&#193;TIL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belcornejohernandez/Library/Containers/com.microsoft.Excel/Data/Desktop/Trading/Calculadoras%20Money%20Management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:/Dropbox/bt-content/FRM/FRM%20XLS/XLS-2012/T1/T1%202012%20XLS%20bundle_v090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abelcornejohernandez/Desktop/Negocio%2015%202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02%20RYSC\Diplomado%20Riesgos\Aplicaciones\Riesgo%20de%20Cr&#233;dito%20ok\AP6%20Estimaci&#243;n%20LGD%20(Curso)%2020160910%20ok.xlsx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:/Users/David%20Harper/Documents/_xls/invest/RAPM_v1.xls" TargetMode="External"/></Relationships>
</file>

<file path=xl/externalLinks/_rels/externalLink8.xml.rels><?xml version="1.0" encoding="UTF-8" standalone="yes"?>
<Relationships xmlns="http://schemas.openxmlformats.org/package/2006/relationships"><Relationship Id="rId2" Type="http://schemas.microsoft.com/office/2019/04/relationships/externalLinkLongPath" Target="/C:/Users/Cornejo/OneDrive/Proyecto/Cursos/Cursos/Evaluacio&#769;n%20de%20proyectos/Apuntes/ABEL%202015/ABEL%203/ABEL/Respaldo%20Informaci&#243;n/Desktop/AAA/ABEL/ABEL/HISTORY/CLASES%2010-3/HISTORY/SEMINARIO%20DE%20FINANZAS/CLASES%2010-1/EXCEL%20CLASES/prestamos.xls?710E67FC" TargetMode="External"/><Relationship Id="rId1" Type="http://schemas.openxmlformats.org/officeDocument/2006/relationships/externalLinkPath" Target="file:///\\710E67FC\prestamos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Cornejo/Desktop/Proyecto/CLASES%2011-2/REVISAR%20MDOS%20ANAHUAC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dministrador1/Desktop/PRONOSTICO%20USD%202%20Y%20FUTURO%20DIVISAS.xlsx" TargetMode="External"/></Relationships>
</file>

<file path=xl/externalLinks/_rels/externalLink11.xml.rels><?xml version="1.0" encoding="UTF-8" standalone="yes"?>
<Relationships xmlns="http://schemas.openxmlformats.org/package/2006/relationships"><Relationship Id="rId2" Type="http://schemas.microsoft.com/office/2019/04/relationships/externalLinkLongPath" Target="/C:/Users/abelcornejohernandez/Desktop/ABEL%202015/ABEL%203/ABEL/Respaldo%20Informaci&#243;n/Desktop/AAA/ABEL/ABEL/HISTORY/CLASES%2010-3/CLASE%20ECONOMETRIA/CLASE%20INGENER&#205;A%20FINANCIERA/CLASES%2010-2/HISTORY/CLASES%2009-2/NOTAS%20US%20DOLLAR.xlsx?84D89C2C" TargetMode="External"/><Relationship Id="rId1" Type="http://schemas.openxmlformats.org/officeDocument/2006/relationships/externalLinkPath" Target="file:///\\84D89C2C\NOTAS%20US%20DOLLAR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David/Dropbox/bt-content-shared/FRM/FRM%20XLS/T1%202013%20XLS%20bundle_v0315.xlsx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/C:/Users/abel/Desktop/CLASES%202013/INGENIER&#205;A%20FINANCIERA/CLASE%20DE%20RIESGOS/CLASES%2010-2/HISTORY/CLASES%2009-2/HISTORY/VARIOS/CLASES%2009-1-a/MATERIAL/BS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actice_bag_1a"/>
      <sheetName val="Simple one-asset VaR"/>
      <sheetName val="CML"/>
      <sheetName val="SML"/>
      <sheetName val="SML_CAPM"/>
      <sheetName val="RAPMs"/>
      <sheetName val="Grinold 7.1 &amp; 7.2"/>
      <sheetName val="Sheet2"/>
    </sheetNames>
    <sheetDataSet>
      <sheetData sheetId="0"/>
      <sheetData sheetId="1">
        <row r="5">
          <cell r="C5">
            <v>0.01</v>
          </cell>
        </row>
      </sheetData>
      <sheetData sheetId="2">
        <row r="30">
          <cell r="K30">
            <v>0.1</v>
          </cell>
        </row>
      </sheetData>
      <sheetData sheetId="3">
        <row r="2">
          <cell r="D2">
            <v>7.0000000000000007E-2</v>
          </cell>
        </row>
        <row r="22">
          <cell r="D22">
            <v>5.1794872097691153E-2</v>
          </cell>
        </row>
        <row r="29">
          <cell r="D29">
            <v>-1.4820908808832704E-8</v>
          </cell>
          <cell r="E29">
            <v>0.579207911169212</v>
          </cell>
          <cell r="F29">
            <v>1.0618811828276458</v>
          </cell>
          <cell r="G29">
            <v>1</v>
          </cell>
          <cell r="H29">
            <v>1.5445544544860796</v>
          </cell>
          <cell r="I29">
            <v>2.0272277261445137</v>
          </cell>
          <cell r="J29">
            <v>2.5099009978029474</v>
          </cell>
        </row>
      </sheetData>
      <sheetData sheetId="4">
        <row r="6">
          <cell r="D6">
            <v>0.08</v>
          </cell>
        </row>
      </sheetData>
      <sheetData sheetId="5">
        <row r="19">
          <cell r="D19">
            <v>0.41025641004275859</v>
          </cell>
        </row>
      </sheetData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ETE91"/>
      <sheetName val="CETE E"/>
      <sheetName val="CETE V"/>
      <sheetName val="CETE MS"/>
      <sheetName val="BONO M"/>
      <sheetName val="BONO M5 E"/>
      <sheetName val="BONO M20"/>
      <sheetName val="M OK"/>
      <sheetName val="UDIBONO C"/>
      <sheetName val="UDIBONO"/>
      <sheetName val="UDIBONO CLASE"/>
      <sheetName val="BONDES182"/>
      <sheetName val="DM 0"/>
      <sheetName val="PORTAFOLI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/>
      <sheetData sheetId="7">
        <row r="8">
          <cell r="J8">
            <v>-0.01</v>
          </cell>
        </row>
      </sheetData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átula"/>
    </sheetNames>
    <sheetDataSet>
      <sheetData sheetId="0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C"/>
      <sheetName val="1a.1.IntroToVaR(2Assets)"/>
      <sheetName val="1a.1.IntroToVaR(HS)"/>
      <sheetName val="1a.2.Stulz(CDF)"/>
      <sheetName val="1a.2.Stulz(MV)"/>
      <sheetName val="1a.2.Stulz(HedgeIrrelev)"/>
      <sheetName val="1a.2.Stulz(bankruptcy)"/>
      <sheetName val="1a.2.Stulz(taxes)"/>
      <sheetName val="1a.2.Stulz(overhang)"/>
      <sheetName val="1b.1.CAPM (PP Curve)"/>
      <sheetName val="1b.1.CAPM(Market Portfolio)"/>
      <sheetName val="1b.1.CAPM(CML)"/>
      <sheetName val="1b.1.CAPM(SML)"/>
      <sheetName val="1b.2.APT(S&amp;P)"/>
      <sheetName val="1b.2.APT(Port)"/>
      <sheetName val="1b.2.APT(Grinold)"/>
      <sheetName val="1b.3.RAPMs"/>
      <sheetName val="1b.4.Sortino"/>
      <sheetName val="1b.5.PracticeBag"/>
    </sheetNames>
    <sheetDataSet>
      <sheetData sheetId="0"/>
      <sheetData sheetId="1"/>
      <sheetData sheetId="2"/>
      <sheetData sheetId="3">
        <row r="9">
          <cell r="C9">
            <v>0.1</v>
          </cell>
        </row>
      </sheetData>
      <sheetData sheetId="4"/>
      <sheetData sheetId="5">
        <row r="5">
          <cell r="C5">
            <v>0.05</v>
          </cell>
        </row>
        <row r="6">
          <cell r="C6">
            <v>0.06</v>
          </cell>
        </row>
        <row r="7">
          <cell r="C7">
            <v>350</v>
          </cell>
        </row>
      </sheetData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19">
          <cell r="D19">
            <v>0.3333333333333332</v>
          </cell>
        </row>
      </sheetData>
      <sheetData sheetId="17">
        <row r="2">
          <cell r="K2">
            <v>0.04</v>
          </cell>
        </row>
        <row r="3">
          <cell r="K3">
            <v>0.05</v>
          </cell>
        </row>
        <row r="4">
          <cell r="P4">
            <v>0.1</v>
          </cell>
        </row>
        <row r="5">
          <cell r="O5">
            <v>0.08</v>
          </cell>
          <cell r="P5">
            <v>0.1</v>
          </cell>
        </row>
        <row r="6">
          <cell r="K6">
            <v>4.8555179198784722E-2</v>
          </cell>
          <cell r="O6">
            <v>0.5</v>
          </cell>
        </row>
      </sheetData>
      <sheetData sheetId="1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row Down"/>
      <sheetName val="Opciones"/>
      <sheetName val="Intro Port"/>
    </sheetNames>
    <sheetDataSet>
      <sheetData sheetId="0" refreshError="1"/>
      <sheetData sheetId="1" refreshError="1"/>
      <sheetData sheetId="2" refreshError="1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P6"/>
      <sheetName val="Estimación LGD"/>
      <sheetName val="Base Recuperaciones"/>
      <sheetName val="Base Castigos"/>
    </sheetNames>
    <sheetDataSet>
      <sheetData sheetId="0"/>
      <sheetData sheetId="1">
        <row r="37">
          <cell r="C37">
            <v>0.35</v>
          </cell>
        </row>
      </sheetData>
      <sheetData sheetId="2"/>
      <sheetData sheetId="3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APM_v1"/>
      <sheetName val="RAPM_v1 (screen)"/>
    </sheetNames>
    <sheetDataSet>
      <sheetData sheetId="0">
        <row r="4">
          <cell r="D4">
            <v>0.14000000000000001</v>
          </cell>
          <cell r="H4">
            <v>0.04</v>
          </cell>
        </row>
        <row r="5">
          <cell r="D5">
            <v>0.3</v>
          </cell>
        </row>
        <row r="7">
          <cell r="D7">
            <v>0.03</v>
          </cell>
        </row>
        <row r="8">
          <cell r="D8">
            <v>5</v>
          </cell>
        </row>
        <row r="9">
          <cell r="H9">
            <v>0.10400000000000001</v>
          </cell>
        </row>
      </sheetData>
      <sheetData sheetId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resenta"/>
      <sheetName val="Ej1"/>
      <sheetName val="Ej2"/>
      <sheetName val="Ej3"/>
      <sheetName val="Ej4"/>
      <sheetName val="Ej5"/>
      <sheetName val="Ej6"/>
      <sheetName val="Ej7"/>
      <sheetName val="Ej8"/>
      <sheetName val="Ej9"/>
      <sheetName val="Ej10"/>
      <sheetName val="Ej11"/>
      <sheetName val="Ej12"/>
      <sheetName val="Ej13"/>
      <sheetName val="Ej14"/>
      <sheetName val="Ej15"/>
      <sheetName val="Ej16"/>
    </sheetNames>
    <sheetDataSet>
      <sheetData sheetId="0"/>
      <sheetData sheetId="1"/>
      <sheetData sheetId="2"/>
      <sheetData sheetId="3"/>
      <sheetData sheetId="4"/>
      <sheetData sheetId="5"/>
      <sheetData sheetId="6">
        <row r="13">
          <cell r="L13">
            <v>1</v>
          </cell>
          <cell r="M13">
            <v>0.02</v>
          </cell>
          <cell r="N13">
            <v>2.5000000000000001E-2</v>
          </cell>
          <cell r="O13">
            <v>2.0598362698427408E-3</v>
          </cell>
        </row>
        <row r="14">
          <cell r="L14">
            <v>2</v>
          </cell>
          <cell r="M14">
            <v>2.1999999999999999E-2</v>
          </cell>
          <cell r="N14">
            <v>2.7E-2</v>
          </cell>
          <cell r="O14">
            <v>2.2226272943570713E-3</v>
          </cell>
        </row>
        <row r="15">
          <cell r="L15">
            <v>3</v>
          </cell>
          <cell r="M15">
            <v>2.4E-2</v>
          </cell>
          <cell r="N15">
            <v>2.9000000000000001E-2</v>
          </cell>
          <cell r="O15">
            <v>2.3851279739270925E-3</v>
          </cell>
        </row>
        <row r="16">
          <cell r="L16">
            <v>4</v>
          </cell>
          <cell r="M16">
            <v>2.5999999999999999E-2</v>
          </cell>
          <cell r="N16">
            <v>3.1E-2</v>
          </cell>
          <cell r="O16">
            <v>2.5473393892132545E-3</v>
          </cell>
        </row>
        <row r="17">
          <cell r="L17">
            <v>5</v>
          </cell>
          <cell r="M17">
            <v>2.8000000000000001E-2</v>
          </cell>
          <cell r="N17">
            <v>3.3000000000000002E-2</v>
          </cell>
          <cell r="O17">
            <v>2.7092626147666721E-3</v>
          </cell>
        </row>
        <row r="18">
          <cell r="L18">
            <v>6</v>
          </cell>
          <cell r="M18">
            <v>0.03</v>
          </cell>
          <cell r="N18">
            <v>3.4999999999999996E-2</v>
          </cell>
          <cell r="O18">
            <v>2.8708987190766422E-3</v>
          </cell>
        </row>
        <row r="19">
          <cell r="L19">
            <v>7</v>
          </cell>
          <cell r="M19">
            <v>3.2000000000000001E-2</v>
          </cell>
          <cell r="N19">
            <v>3.6999999999999998E-2</v>
          </cell>
          <cell r="O19">
            <v>3.0322487646148311E-3</v>
          </cell>
        </row>
        <row r="20">
          <cell r="L20">
            <v>8</v>
          </cell>
          <cell r="M20">
            <v>3.4000000000000002E-2</v>
          </cell>
          <cell r="N20">
            <v>3.9E-2</v>
          </cell>
          <cell r="O20">
            <v>3.1933138078821255E-3</v>
          </cell>
        </row>
        <row r="21">
          <cell r="L21">
            <v>9</v>
          </cell>
          <cell r="M21">
            <v>3.5999999999999997E-2</v>
          </cell>
          <cell r="N21">
            <v>4.0999999999999995E-2</v>
          </cell>
          <cell r="O21">
            <v>3.3540948994528197E-3</v>
          </cell>
        </row>
        <row r="22">
          <cell r="L22">
            <v>10</v>
          </cell>
          <cell r="M22">
            <v>3.7999999999999999E-2</v>
          </cell>
          <cell r="N22">
            <v>4.2999999999999997E-2</v>
          </cell>
          <cell r="O22">
            <v>3.5145930840192463E-3</v>
          </cell>
        </row>
      </sheetData>
      <sheetData sheetId="7"/>
      <sheetData sheetId="8"/>
      <sheetData sheetId="9"/>
      <sheetData sheetId="10">
        <row r="5">
          <cell r="L5">
            <v>1</v>
          </cell>
          <cell r="M5">
            <v>0.02</v>
          </cell>
          <cell r="N5">
            <v>2.5000000000000001E-2</v>
          </cell>
          <cell r="O5">
            <v>2.0598362698427408E-3</v>
          </cell>
        </row>
        <row r="6">
          <cell r="L6">
            <v>2</v>
          </cell>
          <cell r="M6">
            <v>2.1999999999999999E-2</v>
          </cell>
          <cell r="N6">
            <v>2.7E-2</v>
          </cell>
          <cell r="O6">
            <v>2.2226272943570713E-3</v>
          </cell>
        </row>
        <row r="7">
          <cell r="L7">
            <v>3</v>
          </cell>
          <cell r="M7">
            <v>2.4E-2</v>
          </cell>
          <cell r="N7">
            <v>2.9000000000000001E-2</v>
          </cell>
          <cell r="O7">
            <v>2.3851279739270925E-3</v>
          </cell>
        </row>
        <row r="8">
          <cell r="L8">
            <v>4</v>
          </cell>
          <cell r="M8">
            <v>2.5999999999999999E-2</v>
          </cell>
          <cell r="N8">
            <v>3.1E-2</v>
          </cell>
          <cell r="O8">
            <v>2.5473393892132545E-3</v>
          </cell>
        </row>
        <row r="9">
          <cell r="L9">
            <v>5</v>
          </cell>
          <cell r="M9">
            <v>2.8000000000000001E-2</v>
          </cell>
          <cell r="N9">
            <v>3.3000000000000002E-2</v>
          </cell>
          <cell r="O9">
            <v>2.7092626147666721E-3</v>
          </cell>
        </row>
        <row r="10">
          <cell r="L10">
            <v>6</v>
          </cell>
          <cell r="M10">
            <v>0.03</v>
          </cell>
          <cell r="N10">
            <v>3.4999999999999996E-2</v>
          </cell>
          <cell r="O10">
            <v>2.8708987190766422E-3</v>
          </cell>
        </row>
        <row r="11">
          <cell r="L11">
            <v>7</v>
          </cell>
          <cell r="M11">
            <v>3.2000000000000001E-2</v>
          </cell>
          <cell r="N11">
            <v>3.6999999999999998E-2</v>
          </cell>
          <cell r="O11">
            <v>3.0322487646148311E-3</v>
          </cell>
        </row>
        <row r="12">
          <cell r="L12">
            <v>8</v>
          </cell>
          <cell r="M12">
            <v>3.4000000000000002E-2</v>
          </cell>
          <cell r="N12">
            <v>3.9E-2</v>
          </cell>
          <cell r="O12">
            <v>3.1933138078821255E-3</v>
          </cell>
        </row>
        <row r="13">
          <cell r="L13">
            <v>9</v>
          </cell>
          <cell r="M13">
            <v>3.5999999999999997E-2</v>
          </cell>
          <cell r="N13">
            <v>4.0999999999999995E-2</v>
          </cell>
          <cell r="O13">
            <v>3.3540948994528197E-3</v>
          </cell>
        </row>
        <row r="14">
          <cell r="L14">
            <v>10</v>
          </cell>
          <cell r="M14">
            <v>3.7999999999999999E-2</v>
          </cell>
          <cell r="N14">
            <v>4.2999999999999997E-2</v>
          </cell>
          <cell r="O14">
            <v>3.5145930840192463E-3</v>
          </cell>
        </row>
      </sheetData>
      <sheetData sheetId="11"/>
      <sheetData sheetId="12"/>
      <sheetData sheetId="13">
        <row r="13">
          <cell r="L13">
            <v>1</v>
          </cell>
          <cell r="M13">
            <v>0.02</v>
          </cell>
          <cell r="N13">
            <v>2.5000000000000001E-2</v>
          </cell>
          <cell r="O13">
            <v>2.0598362698427408E-3</v>
          </cell>
        </row>
        <row r="14">
          <cell r="L14">
            <v>2</v>
          </cell>
          <cell r="M14">
            <v>2.1999999999999999E-2</v>
          </cell>
          <cell r="N14">
            <v>2.7E-2</v>
          </cell>
          <cell r="O14">
            <v>2.2226272943570713E-3</v>
          </cell>
        </row>
        <row r="15">
          <cell r="L15">
            <v>3</v>
          </cell>
          <cell r="M15">
            <v>2.4E-2</v>
          </cell>
          <cell r="N15">
            <v>2.9000000000000001E-2</v>
          </cell>
          <cell r="O15">
            <v>2.3851279739270925E-3</v>
          </cell>
        </row>
        <row r="16">
          <cell r="L16">
            <v>4</v>
          </cell>
          <cell r="M16">
            <v>2.6000000000000002E-2</v>
          </cell>
          <cell r="N16">
            <v>3.1000000000000003E-2</v>
          </cell>
          <cell r="O16">
            <v>2.5473393892132545E-3</v>
          </cell>
        </row>
        <row r="17">
          <cell r="L17">
            <v>5</v>
          </cell>
          <cell r="M17">
            <v>2.8000000000000004E-2</v>
          </cell>
          <cell r="N17">
            <v>3.3000000000000002E-2</v>
          </cell>
          <cell r="O17">
            <v>2.7092626147666721E-3</v>
          </cell>
        </row>
        <row r="18">
          <cell r="L18">
            <v>6</v>
          </cell>
          <cell r="M18">
            <v>3.0000000000000006E-2</v>
          </cell>
          <cell r="N18">
            <v>3.5000000000000003E-2</v>
          </cell>
          <cell r="O18">
            <v>2.8708987190766422E-3</v>
          </cell>
        </row>
        <row r="19">
          <cell r="L19">
            <v>7</v>
          </cell>
          <cell r="M19">
            <v>3.2000000000000008E-2</v>
          </cell>
          <cell r="N19">
            <v>3.7000000000000005E-2</v>
          </cell>
          <cell r="O19">
            <v>3.0322487646148311E-3</v>
          </cell>
        </row>
        <row r="20">
          <cell r="L20">
            <v>8</v>
          </cell>
          <cell r="M20">
            <v>3.4000000000000009E-2</v>
          </cell>
          <cell r="N20">
            <v>3.9000000000000007E-2</v>
          </cell>
          <cell r="O20">
            <v>3.1933138078821255E-3</v>
          </cell>
        </row>
        <row r="21">
          <cell r="L21">
            <v>9</v>
          </cell>
          <cell r="M21">
            <v>3.6000000000000011E-2</v>
          </cell>
          <cell r="N21">
            <v>4.1000000000000009E-2</v>
          </cell>
          <cell r="O21">
            <v>3.3540948994528197E-3</v>
          </cell>
        </row>
        <row r="22">
          <cell r="L22">
            <v>10</v>
          </cell>
          <cell r="M22">
            <v>3.8000000000000013E-2</v>
          </cell>
          <cell r="N22">
            <v>4.300000000000001E-2</v>
          </cell>
          <cell r="O22">
            <v>3.5145930840192463E-3</v>
          </cell>
        </row>
      </sheetData>
      <sheetData sheetId="14"/>
      <sheetData sheetId="15"/>
      <sheetData sheetId="16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ortafolio"/>
    </sheetNames>
    <sheetDataSet>
      <sheetData sheetId="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H Y E"/>
      <sheetName val="FUTURO TEÓRICO"/>
      <sheetName val="COBERTURA ESTÁTICA DIVISAS"/>
      <sheetName val="PRONOSTICO USD"/>
    </sheetNames>
    <sheetDataSet>
      <sheetData sheetId="0" refreshError="1"/>
      <sheetData sheetId="1" refreshError="1">
        <row r="11">
          <cell r="G11">
            <v>42</v>
          </cell>
        </row>
      </sheetData>
      <sheetData sheetId="2" refreshError="1"/>
      <sheetData sheetId="3" refreshError="1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ull"/>
      <sheetName val="Condor"/>
      <sheetName val="Digital"/>
      <sheetName val="call y puts"/>
    </sheetNames>
    <sheetDataSet>
      <sheetData sheetId="0">
        <row r="7">
          <cell r="C7">
            <v>10.9</v>
          </cell>
        </row>
        <row r="8">
          <cell r="C8">
            <v>11.4</v>
          </cell>
        </row>
        <row r="9">
          <cell r="C9">
            <v>7.5999999999999998E-2</v>
          </cell>
        </row>
        <row r="10">
          <cell r="C10">
            <v>180</v>
          </cell>
        </row>
        <row r="11">
          <cell r="C11">
            <v>0.05</v>
          </cell>
        </row>
        <row r="12">
          <cell r="C12">
            <v>4.7500000000000001E-2</v>
          </cell>
        </row>
      </sheetData>
      <sheetData sheetId="1" refreshError="1"/>
      <sheetData sheetId="2" refreshError="1"/>
      <sheetData sheetId="3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OC"/>
      <sheetName val="1. IFC ERM (discount rates)"/>
      <sheetName val="2.5. Elton PP Curve"/>
      <sheetName val="2.5b. Elton Market Portfolio"/>
      <sheetName val="2.13 Elton CML"/>
      <sheetName val="2.13. Elton CAPM (SML)"/>
      <sheetName val="3.4 Amenc RAPM"/>
      <sheetName val="3.4. Bodie (RAPM)"/>
      <sheetName val="3.4. Amenc Sortino"/>
      <sheetName val="3.4. Amence RAPM PracticeBag"/>
      <sheetName val="A.1. IntroToVaR (2Assets)"/>
      <sheetName val="A.2. VaR HS"/>
      <sheetName val="A.3. Stulz (bankruptcy)"/>
      <sheetName val="A.3. Stulz (taxes)"/>
      <sheetName val="A.3. Stulz (overhang)"/>
      <sheetName val="A.4. APT (Grinold)"/>
      <sheetName val="A.4. APT (S&amp;P)"/>
      <sheetName val="A.4. APT (Port)"/>
    </sheetNames>
    <sheetDataSet>
      <sheetData sheetId="0"/>
      <sheetData sheetId="1"/>
      <sheetData sheetId="2">
        <row r="10">
          <cell r="H10">
            <v>0.19</v>
          </cell>
        </row>
      </sheetData>
      <sheetData sheetId="3">
        <row r="23">
          <cell r="H23">
            <v>0.19</v>
          </cell>
        </row>
      </sheetData>
      <sheetData sheetId="4">
        <row r="10">
          <cell r="H10">
            <v>0.06</v>
          </cell>
        </row>
      </sheetData>
      <sheetData sheetId="5">
        <row r="32">
          <cell r="C32">
            <v>6.0689354744398141E-2</v>
          </cell>
        </row>
      </sheetData>
      <sheetData sheetId="6">
        <row r="10">
          <cell r="D10">
            <v>0.04</v>
          </cell>
          <cell r="E10">
            <v>0.05</v>
          </cell>
          <cell r="F10">
            <v>0.06</v>
          </cell>
          <cell r="G10">
            <v>0.06</v>
          </cell>
          <cell r="H10">
            <v>7.0000000000000007E-2</v>
          </cell>
          <cell r="I10">
            <v>0.08</v>
          </cell>
          <cell r="J10">
            <v>0.08</v>
          </cell>
        </row>
      </sheetData>
      <sheetData sheetId="7"/>
      <sheetData sheetId="8">
        <row r="2">
          <cell r="K2">
            <v>0.04</v>
          </cell>
        </row>
      </sheetData>
      <sheetData sheetId="9"/>
      <sheetData sheetId="10"/>
      <sheetData sheetId="11">
        <row r="5">
          <cell r="C5">
            <v>0.01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Volatilidad H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jorgeluis.reyes@ciencias.unam.mx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DF8FF9-842D-42BF-9659-CEB4730B54D6}">
  <sheetPr codeName="Hoja1">
    <tabColor rgb="FF002060"/>
  </sheetPr>
  <dimension ref="A1:L34"/>
  <sheetViews>
    <sheetView zoomScaleNormal="100" workbookViewId="0">
      <selection activeCell="I8" sqref="I8"/>
    </sheetView>
  </sheetViews>
  <sheetFormatPr defaultColWidth="0" defaultRowHeight="15" customHeight="1" zeroHeight="1" x14ac:dyDescent="0.35"/>
  <cols>
    <col min="1" max="1" width="5.7265625" style="2" customWidth="1"/>
    <col min="2" max="2" width="14.453125" style="2" customWidth="1"/>
    <col min="3" max="12" width="11.453125" style="2" customWidth="1"/>
    <col min="13" max="13" width="11.453125" style="2" hidden="1" customWidth="1"/>
    <col min="14" max="16384" width="11.453125" style="2" hidden="1"/>
  </cols>
  <sheetData>
    <row r="1" spans="1:12" ht="14.5" x14ac:dyDescent="0.3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ht="14.5" x14ac:dyDescent="0.3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ht="14.5" x14ac:dyDescent="0.3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ht="14.5" x14ac:dyDescent="0.3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4.5" x14ac:dyDescent="0.35"/>
    <row r="6" spans="1:12" ht="26" x14ac:dyDescent="0.6">
      <c r="B6" s="15" t="s">
        <v>19</v>
      </c>
    </row>
    <row r="7" spans="1:12" ht="18.5" x14ac:dyDescent="0.45">
      <c r="B7" s="3"/>
    </row>
    <row r="8" spans="1:12" s="4" customFormat="1" ht="15.5" x14ac:dyDescent="0.35">
      <c r="B8" s="4" t="s">
        <v>0</v>
      </c>
      <c r="C8" s="4" t="s">
        <v>0</v>
      </c>
    </row>
    <row r="9" spans="1:12" s="4" customFormat="1" ht="15.5" x14ac:dyDescent="0.35">
      <c r="B9" s="5" t="s">
        <v>1</v>
      </c>
      <c r="C9" s="4" t="s">
        <v>2</v>
      </c>
    </row>
    <row r="10" spans="1:12" s="4" customFormat="1" ht="15.5" x14ac:dyDescent="0.35">
      <c r="B10" s="5" t="s">
        <v>0</v>
      </c>
    </row>
    <row r="11" spans="1:12" s="4" customFormat="1" ht="15.5" x14ac:dyDescent="0.35">
      <c r="B11" s="5" t="s">
        <v>3</v>
      </c>
      <c r="C11" s="4" t="s">
        <v>18</v>
      </c>
    </row>
    <row r="12" spans="1:12" s="4" customFormat="1" ht="15.5" x14ac:dyDescent="0.35">
      <c r="B12" s="5"/>
      <c r="C12" s="4" t="s">
        <v>17</v>
      </c>
    </row>
    <row r="13" spans="1:12" s="4" customFormat="1" ht="15.5" x14ac:dyDescent="0.35"/>
    <row r="14" spans="1:12" s="4" customFormat="1" ht="15.5" x14ac:dyDescent="0.35">
      <c r="B14" s="5" t="s">
        <v>4</v>
      </c>
      <c r="C14" s="4" t="s">
        <v>5</v>
      </c>
    </row>
    <row r="15" spans="1:12" s="4" customFormat="1" ht="15.5" x14ac:dyDescent="0.35">
      <c r="C15" s="6" t="s">
        <v>6</v>
      </c>
    </row>
    <row r="16" spans="1:12" s="4" customFormat="1" ht="15.5" x14ac:dyDescent="0.35">
      <c r="B16" s="4" t="s">
        <v>0</v>
      </c>
    </row>
    <row r="17" spans="4:4" s="4" customFormat="1" ht="15.5" x14ac:dyDescent="0.35">
      <c r="D17" s="4" t="s">
        <v>0</v>
      </c>
    </row>
    <row r="18" spans="4:4" s="4" customFormat="1" ht="15.5" x14ac:dyDescent="0.35"/>
    <row r="19" spans="4:4" s="4" customFormat="1" ht="15.5" x14ac:dyDescent="0.35"/>
    <row r="20" spans="4:4" s="4" customFormat="1" ht="15.5" x14ac:dyDescent="0.35"/>
    <row r="21" spans="4:4" s="4" customFormat="1" ht="15.5" x14ac:dyDescent="0.35"/>
    <row r="22" spans="4:4" s="4" customFormat="1" ht="15.5" x14ac:dyDescent="0.35"/>
    <row r="23" spans="4:4" s="4" customFormat="1" ht="15.5" x14ac:dyDescent="0.35"/>
    <row r="24" spans="4:4" s="4" customFormat="1" ht="15.5" x14ac:dyDescent="0.35"/>
    <row r="25" spans="4:4" s="4" customFormat="1" ht="15.5" x14ac:dyDescent="0.35"/>
    <row r="26" spans="4:4" s="4" customFormat="1" ht="15.5" hidden="1" x14ac:dyDescent="0.35"/>
    <row r="27" spans="4:4" s="4" customFormat="1" ht="15.5" hidden="1" x14ac:dyDescent="0.35"/>
    <row r="28" spans="4:4" s="4" customFormat="1" ht="15.5" hidden="1" x14ac:dyDescent="0.35"/>
    <row r="29" spans="4:4" s="4" customFormat="1" ht="15.5" hidden="1" x14ac:dyDescent="0.35"/>
    <row r="30" spans="4:4" ht="14.5" hidden="1" x14ac:dyDescent="0.35"/>
    <row r="31" spans="4:4" ht="14.5" hidden="1" x14ac:dyDescent="0.35"/>
    <row r="32" spans="4:4" ht="14.5" hidden="1" x14ac:dyDescent="0.35"/>
    <row r="33" ht="14.5" hidden="1" x14ac:dyDescent="0.35"/>
    <row r="34" ht="14.5" hidden="1" x14ac:dyDescent="0.35"/>
  </sheetData>
  <hyperlinks>
    <hyperlink ref="C15" r:id="rId1" xr:uid="{D24FD8FE-3D2A-4D17-A9E3-490DB84A647E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7B0240-B357-4C40-92B1-4349D9A2B38F}">
  <sheetPr codeName="Hoja2"/>
  <dimension ref="B2:W26"/>
  <sheetViews>
    <sheetView tabSelected="1" zoomScale="90" zoomScaleNormal="90" workbookViewId="0">
      <selection activeCell="D39" sqref="D39"/>
    </sheetView>
  </sheetViews>
  <sheetFormatPr defaultColWidth="11.453125" defaultRowHeight="14.5" x14ac:dyDescent="0.35"/>
  <cols>
    <col min="1" max="1" width="3.7265625" style="8" customWidth="1"/>
    <col min="2" max="2" width="19.54296875" style="8" customWidth="1"/>
    <col min="3" max="3" width="11.81640625" style="8" bestFit="1" customWidth="1"/>
    <col min="4" max="4" width="3.7265625" style="8" customWidth="1"/>
    <col min="5" max="16384" width="11.453125" style="8"/>
  </cols>
  <sheetData>
    <row r="2" spans="2:23" x14ac:dyDescent="0.35">
      <c r="B2" s="10" t="s">
        <v>16</v>
      </c>
    </row>
    <row r="3" spans="2:23" x14ac:dyDescent="0.35">
      <c r="B3" s="10"/>
    </row>
    <row r="4" spans="2:23" x14ac:dyDescent="0.35">
      <c r="E4" s="8" t="s">
        <v>8</v>
      </c>
      <c r="F4" s="8" t="s">
        <v>9</v>
      </c>
    </row>
    <row r="5" spans="2:23" x14ac:dyDescent="0.35">
      <c r="B5" s="11" t="s">
        <v>10</v>
      </c>
      <c r="C5" s="12">
        <v>30</v>
      </c>
      <c r="F5" s="13">
        <v>10</v>
      </c>
      <c r="G5" s="13">
        <v>30.882352941176471</v>
      </c>
      <c r="H5" s="13">
        <v>51.764705882352942</v>
      </c>
      <c r="I5" s="13">
        <v>72.64705882352942</v>
      </c>
      <c r="J5" s="13">
        <v>93.529411764705884</v>
      </c>
      <c r="K5" s="13">
        <v>114.41176470588235</v>
      </c>
      <c r="L5" s="13">
        <v>135.29411764705881</v>
      </c>
      <c r="M5" s="13">
        <v>156.17647058823528</v>
      </c>
      <c r="N5" s="13">
        <v>177.05882352941174</v>
      </c>
      <c r="O5" s="13">
        <v>197.9411764705882</v>
      </c>
      <c r="P5" s="13">
        <v>218.82352941176467</v>
      </c>
      <c r="Q5" s="13">
        <v>239.70588235294113</v>
      </c>
      <c r="R5" s="13">
        <v>260.58823529411762</v>
      </c>
      <c r="S5" s="13">
        <v>281.47058823529409</v>
      </c>
      <c r="T5" s="13">
        <v>302.35294117647055</v>
      </c>
      <c r="U5" s="13">
        <v>323.23529411764702</v>
      </c>
      <c r="V5" s="13">
        <v>344.11764705882348</v>
      </c>
      <c r="W5" s="13">
        <v>364.99999999999994</v>
      </c>
    </row>
    <row r="6" spans="2:23" x14ac:dyDescent="0.35">
      <c r="B6" s="11" t="s">
        <v>11</v>
      </c>
      <c r="C6" s="12">
        <v>35</v>
      </c>
      <c r="E6" s="11">
        <v>1</v>
      </c>
      <c r="F6" s="17" cm="1">
        <f t="array" ref="F6">griegas($E6,$C$6,$C$7,$C$8,F$5,$C$11,$C$13)</f>
        <v>0</v>
      </c>
      <c r="G6" s="17" cm="1">
        <f t="array" ref="G6">griegas($E6,$C$6,$C$7,$C$8,G$5,$C$11,$C$13)</f>
        <v>0</v>
      </c>
      <c r="H6" s="17" cm="1">
        <f t="array" ref="H6">griegas($E6,$C$6,$C$7,$C$8,H$5,$C$11,$C$13)</f>
        <v>1.1738760297038167E-210</v>
      </c>
      <c r="I6" s="17" cm="1">
        <f t="array" ref="I6">griegas($E6,$C$6,$C$7,$C$8,I$5,$C$11,$C$13)</f>
        <v>9.1910196785878374E-150</v>
      </c>
      <c r="J6" s="17" cm="1">
        <f t="array" ref="J6">griegas($E6,$C$6,$C$7,$C$8,J$5,$C$11,$C$13)</f>
        <v>4.4757040717203517E-116</v>
      </c>
      <c r="K6" s="17" cm="1">
        <f t="array" ref="K6">griegas($E6,$C$6,$C$7,$C$8,K$5,$C$11,$C$13)</f>
        <v>1.075816677219125E-94</v>
      </c>
      <c r="L6" s="17" cm="1">
        <f t="array" ref="L6">griegas($E6,$C$6,$C$7,$C$8,L$5,$C$11,$C$13)</f>
        <v>6.3957245087557884E-80</v>
      </c>
      <c r="M6" s="17" cm="1">
        <f t="array" ref="M6">griegas($E6,$C$6,$C$7,$C$8,M$5,$C$11,$C$13)</f>
        <v>4.2101832590227317E-69</v>
      </c>
      <c r="N6" s="17" cm="1">
        <f t="array" ref="N6">griegas($E6,$C$6,$C$7,$C$8,N$5,$C$11,$C$13)</f>
        <v>7.7113161938950598E-61</v>
      </c>
      <c r="O6" s="17" cm="1">
        <f t="array" ref="O6">griegas($E6,$C$6,$C$7,$C$8,O$5,$C$11,$C$13)</f>
        <v>2.5325708584606916E-54</v>
      </c>
      <c r="P6" s="17" cm="1">
        <f t="array" ref="P6">griegas($E6,$C$6,$C$7,$C$8,P$5,$C$11,$C$13)</f>
        <v>4.71884339120648E-49</v>
      </c>
      <c r="Q6" s="17" cm="1">
        <f t="array" ref="Q6">griegas($E6,$C$6,$C$7,$C$8,Q$5,$C$11,$C$13)</f>
        <v>1.0563920288396753E-44</v>
      </c>
      <c r="R6" s="17" cm="1">
        <f t="array" ref="R6">griegas($E6,$C$6,$C$7,$C$8,R$5,$C$11,$C$13)</f>
        <v>4.7306162506474415E-41</v>
      </c>
      <c r="S6" s="17" cm="1">
        <f t="array" ref="S6">griegas($E6,$C$6,$C$7,$C$8,S$5,$C$11,$C$13)</f>
        <v>6.0642919951325313E-38</v>
      </c>
      <c r="T6" s="17" cm="1">
        <f t="array" ref="T6">griegas($E6,$C$6,$C$7,$C$8,T$5,$C$11,$C$13)</f>
        <v>2.8844177356392837E-35</v>
      </c>
      <c r="U6" s="17" cm="1">
        <f t="array" ref="U6">griegas($E6,$C$6,$C$7,$C$8,U$5,$C$11,$C$13)</f>
        <v>6.1698782842510037E-33</v>
      </c>
      <c r="V6" s="17" cm="1">
        <f t="array" ref="V6">griegas($E6,$C$6,$C$7,$C$8,V$5,$C$11,$C$13)</f>
        <v>6.8655763061985695E-31</v>
      </c>
      <c r="W6" s="17" cm="1">
        <f t="array" ref="W6">griegas($E6,$C$6,$C$7,$C$8,W$5,$C$11,$C$13)</f>
        <v>4.4465327268722205E-29</v>
      </c>
    </row>
    <row r="7" spans="2:23" x14ac:dyDescent="0.35">
      <c r="B7" s="11" t="s">
        <v>12</v>
      </c>
      <c r="C7" s="14">
        <v>0.3</v>
      </c>
      <c r="E7" s="11">
        <v>4</v>
      </c>
      <c r="F7" s="17" cm="1">
        <f t="array" ref="F7">griegas($E7,$C$6,$C$7,$C$8,F$5,$C$11,$C$13)</f>
        <v>0</v>
      </c>
      <c r="G7" s="17" cm="1">
        <f t="array" ref="G7">griegas($E7,$C$6,$C$7,$C$8,G$5,$C$11,$C$13)</f>
        <v>5.268624124440284E-132</v>
      </c>
      <c r="H7" s="17" cm="1">
        <f t="array" ref="H7">griegas($E7,$C$6,$C$7,$C$8,H$5,$C$11,$C$13)</f>
        <v>9.7657081210922914E-79</v>
      </c>
      <c r="I7" s="17" cm="1">
        <f t="array" ref="I7">griegas($E7,$C$6,$C$7,$C$8,I$5,$C$11,$C$13)</f>
        <v>4.049111956145781E-56</v>
      </c>
      <c r="J7" s="17" cm="1">
        <f t="array" ref="J7">griegas($E7,$C$6,$C$7,$C$8,J$5,$C$11,$C$13)</f>
        <v>1.2900570619084993E-43</v>
      </c>
      <c r="K7" s="17" cm="1">
        <f t="array" ref="K7">griegas($E7,$C$6,$C$7,$C$8,K$5,$C$11,$C$13)</f>
        <v>1.0972482185537697E-35</v>
      </c>
      <c r="L7" s="17" cm="1">
        <f t="array" ref="L7">griegas($E7,$C$6,$C$7,$C$8,L$5,$C$11,$C$13)</f>
        <v>3.2779059615093838E-30</v>
      </c>
      <c r="M7" s="17" cm="1">
        <f t="array" ref="M7">griegas($E7,$C$6,$C$7,$C$8,M$5,$C$11,$C$13)</f>
        <v>3.3254362562027508E-26</v>
      </c>
      <c r="N7" s="17" cm="1">
        <f t="array" ref="N7">griegas($E7,$C$6,$C$7,$C$8,N$5,$C$11,$C$13)</f>
        <v>3.7963988414443124E-23</v>
      </c>
      <c r="O7" s="17" cm="1">
        <f t="array" ref="O7">griegas($E7,$C$6,$C$7,$C$8,O$5,$C$11,$C$13)</f>
        <v>9.7453316832432231E-21</v>
      </c>
      <c r="P7" s="17" cm="1">
        <f t="array" ref="P7">griegas($E7,$C$6,$C$7,$C$8,P$5,$C$11,$C$13)</f>
        <v>8.6283304659520298E-19</v>
      </c>
      <c r="Q7" s="17" cm="1">
        <f t="array" ref="Q7">griegas($E7,$C$6,$C$7,$C$8,Q$5,$C$11,$C$13)</f>
        <v>3.4815629506451439E-17</v>
      </c>
      <c r="R7" s="17" cm="1">
        <f t="array" ref="R7">griegas($E7,$C$6,$C$7,$C$8,R$5,$C$11,$C$13)</f>
        <v>7.7362563438706011E-16</v>
      </c>
      <c r="S7" s="17" cm="1">
        <f t="array" ref="S7">griegas($E7,$C$6,$C$7,$C$8,S$5,$C$11,$C$13)</f>
        <v>1.0813727656883671E-14</v>
      </c>
      <c r="T7" s="17" cm="1">
        <f t="array" ref="T7">griegas($E7,$C$6,$C$7,$C$8,T$5,$C$11,$C$13)</f>
        <v>1.0469090367647713E-13</v>
      </c>
      <c r="U7" s="17" cm="1">
        <f t="array" ref="U7">griegas($E7,$C$6,$C$7,$C$8,U$5,$C$11,$C$13)</f>
        <v>7.5390865324183199E-13</v>
      </c>
      <c r="V7" s="17" cm="1">
        <f t="array" ref="V7">griegas($E7,$C$6,$C$7,$C$8,V$5,$C$11,$C$13)</f>
        <v>4.2624726616551623E-12</v>
      </c>
      <c r="W7" s="17" cm="1">
        <f t="array" ref="W7">griegas($E7,$C$6,$C$7,$C$8,W$5,$C$11,$C$13)</f>
        <v>1.972511864474742E-11</v>
      </c>
    </row>
    <row r="8" spans="2:23" x14ac:dyDescent="0.35">
      <c r="B8" s="11" t="s">
        <v>13</v>
      </c>
      <c r="C8" s="14">
        <v>0.05</v>
      </c>
      <c r="E8" s="11">
        <v>7</v>
      </c>
      <c r="F8" s="17" cm="1">
        <f t="array" ref="F8">griegas($E8,$C$6,$C$7,$C$8,F$5,$C$11,$C$13)</f>
        <v>6.371972662505592E-225</v>
      </c>
      <c r="G8" s="17" cm="1">
        <f t="array" ref="G8">griegas($E8,$C$6,$C$7,$C$8,G$5,$C$11,$C$13)</f>
        <v>4.9441529990244337E-73</v>
      </c>
      <c r="H8" s="17" cm="1">
        <f t="array" ref="H8">griegas($E8,$C$6,$C$7,$C$8,H$5,$C$11,$C$13)</f>
        <v>9.3446686104026752E-44</v>
      </c>
      <c r="I8" s="17" cm="1">
        <f t="array" ref="I8">griegas($E8,$C$6,$C$7,$C$8,I$5,$C$11,$C$13)</f>
        <v>2.4512606038537766E-31</v>
      </c>
      <c r="J8" s="17" cm="1">
        <f t="array" ref="J8">griegas($E8,$C$6,$C$7,$C$8,J$5,$C$11,$C$13)</f>
        <v>1.7701207464032028E-24</v>
      </c>
      <c r="K8" s="17" cm="1">
        <f t="array" ref="K8">griegas($E8,$C$6,$C$7,$C$8,K$5,$C$11,$C$13)</f>
        <v>3.9225891965950156E-20</v>
      </c>
      <c r="L8" s="17" cm="1">
        <f t="array" ref="L8">griegas($E8,$C$6,$C$7,$C$8,L$5,$C$11,$C$13)</f>
        <v>3.9006997914969805E-17</v>
      </c>
      <c r="M8" s="17" cm="1">
        <f t="array" ref="M8">griegas($E8,$C$6,$C$7,$C$8,M$5,$C$11,$C$13)</f>
        <v>6.0571043674089419E-15</v>
      </c>
      <c r="N8" s="17" cm="1">
        <f t="array" ref="N8">griegas($E8,$C$6,$C$7,$C$8,N$5,$C$11,$C$13)</f>
        <v>2.836691775457932E-13</v>
      </c>
      <c r="O8" s="17" cm="1">
        <f t="array" ref="O8">griegas($E8,$C$6,$C$7,$C$8,O$5,$C$11,$C$13)</f>
        <v>5.8601213202739192E-12</v>
      </c>
      <c r="P8" s="17" cm="1">
        <f t="array" ref="P8">griegas($E8,$C$6,$C$7,$C$8,P$5,$C$11,$C$13)</f>
        <v>6.7541474964472385E-11</v>
      </c>
      <c r="Q8" s="17" cm="1">
        <f t="array" ref="Q8">griegas($E8,$C$6,$C$7,$C$8,Q$5,$C$11,$C$13)</f>
        <v>5.060918678891753E-10</v>
      </c>
      <c r="R8" s="17" cm="1">
        <f t="array" ref="R8">griegas($E8,$C$6,$C$7,$C$8,R$5,$C$11,$C$13)</f>
        <v>2.7351776939065911E-9</v>
      </c>
      <c r="S8" s="17" cm="1">
        <f t="array" ref="S8">griegas($E8,$C$6,$C$7,$C$8,S$5,$C$11,$C$13)</f>
        <v>1.1469257639895154E-8</v>
      </c>
      <c r="T8" s="17" cm="1">
        <f t="array" ref="T8">griegas($E8,$C$6,$C$7,$C$8,T$5,$C$11,$C$13)</f>
        <v>3.9337130563657974E-8</v>
      </c>
      <c r="U8" s="17" cm="1">
        <f t="array" ref="U8">griegas($E8,$C$6,$C$7,$C$8,U$5,$C$11,$C$13)</f>
        <v>1.1475619610832223E-7</v>
      </c>
      <c r="V8" s="17" cm="1">
        <f t="array" ref="V8">griegas($E8,$C$6,$C$7,$C$8,V$5,$C$11,$C$13)</f>
        <v>2.9329977665189878E-7</v>
      </c>
      <c r="W8" s="17" cm="1">
        <f t="array" ref="W8">griegas($E8,$C$6,$C$7,$C$8,W$5,$C$11,$C$13)</f>
        <v>6.7191856059112382E-7</v>
      </c>
    </row>
    <row r="9" spans="2:23" x14ac:dyDescent="0.35">
      <c r="B9" s="11" t="s">
        <v>20</v>
      </c>
      <c r="C9" s="12">
        <v>180</v>
      </c>
      <c r="E9" s="11">
        <v>10</v>
      </c>
      <c r="F9" s="17" cm="1">
        <f t="array" ref="F9">griegas($E9,$C$6,$C$7,$C$8,F$5,$C$11,$C$13)</f>
        <v>1.4386978190695619E-136</v>
      </c>
      <c r="G9" s="17" cm="1">
        <f t="array" ref="G9">griegas($E9,$C$6,$C$7,$C$8,G$5,$C$11,$C$13)</f>
        <v>1.2261807636126185E-44</v>
      </c>
      <c r="H9" s="17" cm="1">
        <f t="array" ref="H9">griegas($E9,$C$6,$C$7,$C$8,H$5,$C$11,$C$13)</f>
        <v>6.0533089133550719E-27</v>
      </c>
      <c r="I9" s="17" cm="1">
        <f t="array" ref="I9">griegas($E9,$C$6,$C$7,$C$8,I$5,$C$11,$C$13)</f>
        <v>1.8917194937427338E-19</v>
      </c>
      <c r="J9" s="17" cm="1">
        <f t="array" ref="J9">griegas($E9,$C$6,$C$7,$C$8,J$5,$C$11,$C$13)</f>
        <v>2.5719270768318479E-15</v>
      </c>
      <c r="K9" s="17" cm="1">
        <f t="array" ref="K9">griegas($E9,$C$6,$C$7,$C$8,K$5,$C$11,$C$13)</f>
        <v>1.0602892838629229E-12</v>
      </c>
      <c r="L9" s="17" cm="1">
        <f t="array" ref="L9">griegas($E9,$C$6,$C$7,$C$8,L$5,$C$11,$C$13)</f>
        <v>6.7105499674591776E-11</v>
      </c>
      <c r="M9" s="17" cm="1">
        <f t="array" ref="M9">griegas($E9,$C$6,$C$7,$C$8,M$5,$C$11,$C$13)</f>
        <v>1.3852943469698799E-9</v>
      </c>
      <c r="N9" s="17" cm="1">
        <f t="array" ref="N9">griegas($E9,$C$6,$C$7,$C$8,N$5,$C$11,$C$13)</f>
        <v>1.3882307706951547E-8</v>
      </c>
      <c r="O9" s="17" cm="1">
        <f t="array" ref="O9">griegas($E9,$C$6,$C$7,$C$8,O$5,$C$11,$C$13)</f>
        <v>8.496049832540177E-8</v>
      </c>
      <c r="P9" s="17" cm="1">
        <f t="array" ref="P9">griegas($E9,$C$6,$C$7,$C$8,P$5,$C$11,$C$13)</f>
        <v>3.65915511787838E-7</v>
      </c>
      <c r="Q9" s="17" cm="1">
        <f t="array" ref="Q9">griegas($E9,$C$6,$C$7,$C$8,Q$5,$C$11,$C$13)</f>
        <v>1.2162536762213869E-6</v>
      </c>
      <c r="R9" s="17" cm="1">
        <f t="array" ref="R9">griegas($E9,$C$6,$C$7,$C$8,R$5,$C$11,$C$13)</f>
        <v>3.3215667225457017E-6</v>
      </c>
      <c r="S9" s="17" cm="1">
        <f t="array" ref="S9">griegas($E9,$C$6,$C$7,$C$8,S$5,$C$11,$C$13)</f>
        <v>7.7882673961819981E-6</v>
      </c>
      <c r="T9" s="17" cm="1">
        <f t="array" ref="T9">griegas($E9,$C$6,$C$7,$C$8,T$5,$C$11,$C$13)</f>
        <v>1.6185573485732276E-5</v>
      </c>
      <c r="U9" s="17" cm="1">
        <f t="array" ref="U9">griegas($E9,$C$6,$C$7,$C$8,U$5,$C$11,$C$13)</f>
        <v>3.0523519084617946E-5</v>
      </c>
      <c r="V9" s="17" cm="1">
        <f t="array" ref="V9">griegas($E9,$C$6,$C$7,$C$8,V$5,$C$11,$C$13)</f>
        <v>5.3173882217387177E-5</v>
      </c>
      <c r="W9" s="17" cm="1">
        <f t="array" ref="W9">griegas($E9,$C$6,$C$7,$C$8,W$5,$C$11,$C$13)</f>
        <v>8.6752060841735322E-5</v>
      </c>
    </row>
    <row r="10" spans="2:23" x14ac:dyDescent="0.35">
      <c r="B10" s="11" t="s">
        <v>14</v>
      </c>
      <c r="C10" s="12" t="s">
        <v>21</v>
      </c>
      <c r="E10" s="11">
        <v>13</v>
      </c>
      <c r="F10" s="17" cm="1">
        <f t="array" ref="F10">griegas($E10,$C$6,$C$7,$C$8,F$5,$C$11,$C$13)</f>
        <v>1.1026173986433202E-85</v>
      </c>
      <c r="G10" s="17" cm="1">
        <f t="array" ref="G10">griegas($E10,$C$6,$C$7,$C$8,G$5,$C$11,$C$13)</f>
        <v>2.5529981103676924E-28</v>
      </c>
      <c r="H10" s="17" cm="1">
        <f t="array" ref="H10">griegas($E10,$C$6,$C$7,$C$8,H$5,$C$11,$C$13)</f>
        <v>2.6483414322491186E-17</v>
      </c>
      <c r="I10" s="17" cm="1">
        <f t="array" ref="I10">griegas($E10,$C$6,$C$7,$C$8,I$5,$C$11,$C$13)</f>
        <v>1.2001021132660808E-12</v>
      </c>
      <c r="J10" s="17" cm="1">
        <f t="array" ref="J10">griegas($E10,$C$6,$C$7,$C$8,J$5,$C$11,$C$13)</f>
        <v>4.3808679776062955E-10</v>
      </c>
      <c r="K10" s="17" cm="1">
        <f t="array" ref="K10">griegas($E10,$C$6,$C$7,$C$8,K$5,$C$11,$C$13)</f>
        <v>1.8161988716415219E-8</v>
      </c>
      <c r="L10" s="17" cm="1">
        <f t="array" ref="L10">griegas($E10,$C$6,$C$7,$C$8,L$5,$C$11,$C$13)</f>
        <v>2.348972111518852E-7</v>
      </c>
      <c r="M10" s="17" cm="1">
        <f t="array" ref="M10">griegas($E10,$C$6,$C$7,$C$8,M$5,$C$11,$C$13)</f>
        <v>1.5151669461449842E-6</v>
      </c>
      <c r="N10" s="17" cm="1">
        <f t="array" ref="N10">griegas($E10,$C$6,$C$7,$C$8,N$5,$C$11,$C$13)</f>
        <v>6.2423175880662433E-6</v>
      </c>
      <c r="O10" s="17" cm="1">
        <f t="array" ref="O10">griegas($E10,$C$6,$C$7,$C$8,O$5,$C$11,$C$13)</f>
        <v>1.8946042854068961E-5</v>
      </c>
      <c r="P10" s="17" cm="1">
        <f t="array" ref="P10">griegas($E10,$C$6,$C$7,$C$8,P$5,$C$11,$C$13)</f>
        <v>4.6262838979914525E-5</v>
      </c>
      <c r="Q10" s="17" cm="1">
        <f t="array" ref="Q10">griegas($E10,$C$6,$C$7,$C$8,Q$5,$C$11,$C$13)</f>
        <v>9.6242163425984094E-5</v>
      </c>
      <c r="R10" s="17" cm="1">
        <f t="array" ref="R10">griegas($E10,$C$6,$C$7,$C$8,R$5,$C$11,$C$13)</f>
        <v>1.7733346890853177E-4</v>
      </c>
      <c r="S10" s="17" cm="1">
        <f t="array" ref="S10">griegas($E10,$C$6,$C$7,$C$8,S$5,$C$11,$C$13)</f>
        <v>2.974077873933631E-4</v>
      </c>
      <c r="T10" s="17" cm="1">
        <f t="array" ref="T10">griegas($E10,$C$6,$C$7,$C$8,T$5,$C$11,$C$13)</f>
        <v>4.6302728468180767E-4</v>
      </c>
      <c r="U10" s="17" cm="1">
        <f t="array" ref="U10">griegas($E10,$C$6,$C$7,$C$8,U$5,$C$11,$C$13)</f>
        <v>6.7902708149445953E-4</v>
      </c>
      <c r="V10" s="17" cm="1">
        <f t="array" ref="V10">griegas($E10,$C$6,$C$7,$C$8,V$5,$C$11,$C$13)</f>
        <v>9.4837774203278995E-4</v>
      </c>
      <c r="W10" s="17" cm="1">
        <f t="array" ref="W10">griegas($E10,$C$6,$C$7,$C$8,W$5,$C$11,$C$13)</f>
        <v>1.2722559050764276E-3</v>
      </c>
    </row>
    <row r="11" spans="2:23" x14ac:dyDescent="0.35">
      <c r="B11" s="11" t="s">
        <v>14</v>
      </c>
      <c r="C11" s="16" t="b">
        <f>IF(C10="Call",TRUE,FALSE)</f>
        <v>1</v>
      </c>
      <c r="E11" s="11">
        <v>16</v>
      </c>
      <c r="F11" s="17" cm="1">
        <f t="array" ref="F11">griegas($E11,$C$6,$C$7,$C$8,F$5,$C$11,$C$13)</f>
        <v>6.8634938905852711E-54</v>
      </c>
      <c r="G11" s="17" cm="1">
        <f t="array" ref="G11">griegas($E11,$C$6,$C$7,$C$8,G$5,$C$11,$C$13)</f>
        <v>3.7752762715517006E-18</v>
      </c>
      <c r="H11" s="17" cm="1">
        <f t="array" ref="H11">griegas($E11,$C$6,$C$7,$C$8,H$5,$C$11,$C$13)</f>
        <v>2.6029490382449321E-11</v>
      </c>
      <c r="I11" s="17" cm="1">
        <f t="array" ref="I11">griegas($E11,$C$6,$C$7,$C$8,I$5,$C$11,$C$13)</f>
        <v>1.9764657403326618E-8</v>
      </c>
      <c r="J11" s="17" cm="1">
        <f t="array" ref="J11">griegas($E11,$C$6,$C$7,$C$8,J$5,$C$11,$C$13)</f>
        <v>7.5056299734625509E-7</v>
      </c>
      <c r="K11" s="17" cm="1">
        <f t="array" ref="K11">griegas($E11,$C$6,$C$7,$C$8,K$5,$C$11,$C$13)</f>
        <v>7.3947292563026626E-6</v>
      </c>
      <c r="L11" s="17" cm="1">
        <f t="array" ref="L11">griegas($E11,$C$6,$C$7,$C$8,L$5,$C$11,$C$13)</f>
        <v>3.5417323658586413E-5</v>
      </c>
      <c r="M11" s="17" cm="1">
        <f t="array" ref="M11">griegas($E11,$C$6,$C$7,$C$8,M$5,$C$11,$C$13)</f>
        <v>1.1034380538111168E-4</v>
      </c>
      <c r="N11" s="17" cm="1">
        <f t="array" ref="N11">griegas($E11,$C$6,$C$7,$C$8,N$5,$C$11,$C$13)</f>
        <v>2.6069518915885175E-4</v>
      </c>
      <c r="O11" s="17" cm="1">
        <f t="array" ref="O11">griegas($E11,$C$6,$C$7,$C$8,O$5,$C$11,$C$13)</f>
        <v>5.1022395882456279E-4</v>
      </c>
      <c r="P11" s="17" cm="1">
        <f t="array" ref="P11">griegas($E11,$C$6,$C$7,$C$8,P$5,$C$11,$C$13)</f>
        <v>8.735690029808026E-4</v>
      </c>
      <c r="Q11" s="17" cm="1">
        <f t="array" ref="Q11">griegas($E11,$C$6,$C$7,$C$8,Q$5,$C$11,$C$13)</f>
        <v>1.3555505728139216E-3</v>
      </c>
      <c r="R11" s="17" cm="1">
        <f t="array" ref="R11">griegas($E11,$C$6,$C$7,$C$8,R$5,$C$11,$C$13)</f>
        <v>1.9526809583580225E-3</v>
      </c>
      <c r="S11" s="17" cm="1">
        <f t="array" ref="S11">griegas($E11,$C$6,$C$7,$C$8,S$5,$C$11,$C$13)</f>
        <v>2.655500945993356E-3</v>
      </c>
      <c r="T11" s="17" cm="1">
        <f t="array" ref="T11">griegas($E11,$C$6,$C$7,$C$8,T$5,$C$11,$C$13)</f>
        <v>3.4508867481266065E-3</v>
      </c>
      <c r="U11" s="17" cm="1">
        <f t="array" ref="U11">griegas($E11,$C$6,$C$7,$C$8,U$5,$C$11,$C$13)</f>
        <v>4.3239453762570646E-3</v>
      </c>
      <c r="V11" s="17" cm="1">
        <f t="array" ref="V11">griegas($E11,$C$6,$C$7,$C$8,V$5,$C$11,$C$13)</f>
        <v>5.2594048522869672E-3</v>
      </c>
      <c r="W11" s="17" cm="1">
        <f t="array" ref="W11">griegas($E11,$C$6,$C$7,$C$8,W$5,$C$11,$C$13)</f>
        <v>6.2425443178548302E-3</v>
      </c>
    </row>
    <row r="12" spans="2:23" x14ac:dyDescent="0.35">
      <c r="B12" s="11" t="s">
        <v>15</v>
      </c>
      <c r="C12" s="12" t="s">
        <v>22</v>
      </c>
      <c r="E12" s="11">
        <v>19</v>
      </c>
      <c r="F12" s="17" cm="1">
        <f t="array" ref="F12">griegas($E12,$C$6,$C$7,$C$8,F$5,$C$11,$C$13)</f>
        <v>3.0622109444137471E-33</v>
      </c>
      <c r="G12" s="17" cm="1">
        <f t="array" ref="G12">griegas($E12,$C$6,$C$7,$C$8,G$5,$C$11,$C$13)</f>
        <v>1.4444863227626833E-11</v>
      </c>
      <c r="H12" s="17" cm="1">
        <f t="array" ref="H12">griegas($E12,$C$6,$C$7,$C$8,H$5,$C$11,$C$13)</f>
        <v>1.9089511688228046E-7</v>
      </c>
      <c r="I12" s="17" cm="1">
        <f t="array" ref="I12">griegas($E12,$C$6,$C$7,$C$8,I$5,$C$11,$C$13)</f>
        <v>1.0139891205149872E-5</v>
      </c>
      <c r="J12" s="17" cm="1">
        <f t="array" ref="J12">griegas($E12,$C$6,$C$7,$C$8,J$5,$C$11,$C$13)</f>
        <v>8.8345289633322095E-5</v>
      </c>
      <c r="K12" s="17" cm="1">
        <f t="array" ref="K12">griegas($E12,$C$6,$C$7,$C$8,K$5,$C$11,$C$13)</f>
        <v>3.4178842861073202E-4</v>
      </c>
      <c r="L12" s="17" cm="1">
        <f t="array" ref="L12">griegas($E12,$C$6,$C$7,$C$8,L$5,$C$11,$C$13)</f>
        <v>8.5784355968967141E-4</v>
      </c>
      <c r="M12" s="17" cm="1">
        <f t="array" ref="M12">griegas($E12,$C$6,$C$7,$C$8,M$5,$C$11,$C$13)</f>
        <v>1.664742456654936E-3</v>
      </c>
      <c r="N12" s="17" cm="1">
        <f t="array" ref="N12">griegas($E12,$C$6,$C$7,$C$8,N$5,$C$11,$C$13)</f>
        <v>2.7392664485881451E-3</v>
      </c>
      <c r="O12" s="17" cm="1">
        <f t="array" ref="O12">griegas($E12,$C$6,$C$7,$C$8,O$5,$C$11,$C$13)</f>
        <v>4.0300572501162516E-3</v>
      </c>
      <c r="P12" s="17" cm="1">
        <f t="array" ref="P12">griegas($E12,$C$6,$C$7,$C$8,P$5,$C$11,$C$13)</f>
        <v>5.4771417847770979E-3</v>
      </c>
      <c r="Q12" s="17" cm="1">
        <f t="array" ref="Q12">griegas($E12,$C$6,$C$7,$C$8,Q$5,$C$11,$C$13)</f>
        <v>7.023496348796174E-3</v>
      </c>
      <c r="R12" s="17" cm="1">
        <f t="array" ref="R12">griegas($E12,$C$6,$C$7,$C$8,R$5,$C$11,$C$13)</f>
        <v>8.6203180714450184E-3</v>
      </c>
      <c r="S12" s="17" cm="1">
        <f t="array" ref="S12">griegas($E12,$C$6,$C$7,$C$8,S$5,$C$11,$C$13)</f>
        <v>1.0228501883289109E-2</v>
      </c>
      <c r="T12" s="17" cm="1">
        <f t="array" ref="T12">griegas($E12,$C$6,$C$7,$C$8,T$5,$C$11,$C$13)</f>
        <v>1.1818188920256477E-2</v>
      </c>
      <c r="U12" s="17" cm="1">
        <f t="array" ref="U12">griegas($E12,$C$6,$C$7,$C$8,U$5,$C$11,$C$13)</f>
        <v>1.3367511269737389E-2</v>
      </c>
      <c r="V12" s="17" cm="1">
        <f t="array" ref="V12">griegas($E12,$C$6,$C$7,$C$8,V$5,$C$11,$C$13)</f>
        <v>1.486113128438653E-2</v>
      </c>
      <c r="W12" s="17" cm="1">
        <f t="array" ref="W12">griegas($E12,$C$6,$C$7,$C$8,W$5,$C$11,$C$13)</f>
        <v>1.6288858268326524E-2</v>
      </c>
    </row>
    <row r="13" spans="2:23" x14ac:dyDescent="0.35">
      <c r="B13" s="11" t="s">
        <v>15</v>
      </c>
      <c r="C13" s="16">
        <f>IF(C12="Delta",1,IF(C12="Gamma",2,IF(C12="Theta",3,IF(C12="Vega",4,IF(C12="Rho",5,0)))))</f>
        <v>2</v>
      </c>
      <c r="E13" s="11">
        <v>22</v>
      </c>
      <c r="F13" s="17" cm="1">
        <f t="array" ref="F13">griegas($E13,$C$6,$C$7,$C$8,F$5,$C$11,$C$13)</f>
        <v>1.1136424424510503E-19</v>
      </c>
      <c r="G13" s="17" cm="1">
        <f t="array" ref="G13">griegas($E13,$C$6,$C$7,$C$8,G$5,$C$11,$C$13)</f>
        <v>2.8993727061661199E-7</v>
      </c>
      <c r="H13" s="17" cm="1">
        <f t="array" ref="H13">griegas($E13,$C$6,$C$7,$C$8,H$5,$C$11,$C$13)</f>
        <v>6.2356964493925045E-5</v>
      </c>
      <c r="I13" s="17" cm="1">
        <f t="array" ref="I13">griegas($E13,$C$6,$C$7,$C$8,I$5,$C$11,$C$13)</f>
        <v>5.7521436283208165E-4</v>
      </c>
      <c r="J13" s="17" cm="1">
        <f t="array" ref="J13">griegas($E13,$C$6,$C$7,$C$8,J$5,$C$11,$C$13)</f>
        <v>1.9019028633005053E-3</v>
      </c>
      <c r="K13" s="17" cm="1">
        <f t="array" ref="K13">griegas($E13,$C$6,$C$7,$C$8,K$5,$C$11,$C$13)</f>
        <v>3.9771861342811007E-3</v>
      </c>
      <c r="L13" s="17" cm="1">
        <f t="array" ref="L13">griegas($E13,$C$6,$C$7,$C$8,L$5,$C$11,$C$13)</f>
        <v>6.5240841731559317E-3</v>
      </c>
      <c r="M13" s="17" cm="1">
        <f t="array" ref="M13">griegas($E13,$C$6,$C$7,$C$8,M$5,$C$11,$C$13)</f>
        <v>9.2714098829138128E-3</v>
      </c>
      <c r="N13" s="17" cm="1">
        <f t="array" ref="N13">griegas($E13,$C$6,$C$7,$C$8,N$5,$C$11,$C$13)</f>
        <v>1.2023693331036905E-2</v>
      </c>
      <c r="O13" s="17" cm="1">
        <f t="array" ref="O13">griegas($E13,$C$6,$C$7,$C$8,O$5,$C$11,$C$13)</f>
        <v>1.4660055800202229E-2</v>
      </c>
      <c r="P13" s="17" cm="1">
        <f t="array" ref="P13">griegas($E13,$C$6,$C$7,$C$8,P$5,$C$11,$C$13)</f>
        <v>1.7114704723677803E-2</v>
      </c>
      <c r="Q13" s="17" cm="1">
        <f t="array" ref="Q13">griegas($E13,$C$6,$C$7,$C$8,Q$5,$C$11,$C$13)</f>
        <v>1.9358012190117221E-2</v>
      </c>
      <c r="R13" s="17" cm="1">
        <f t="array" ref="R13">griegas($E13,$C$6,$C$7,$C$8,R$5,$C$11,$C$13)</f>
        <v>2.1382511254244396E-2</v>
      </c>
      <c r="S13" s="17" cm="1">
        <f t="array" ref="S13">griegas($E13,$C$6,$C$7,$C$8,S$5,$C$11,$C$13)</f>
        <v>2.3193544899587869E-2</v>
      </c>
      <c r="T13" s="17" cm="1">
        <f t="array" ref="T13">griegas($E13,$C$6,$C$7,$C$8,T$5,$C$11,$C$13)</f>
        <v>2.4803339268205375E-2</v>
      </c>
      <c r="U13" s="17" cm="1">
        <f t="array" ref="U13">griegas($E13,$C$6,$C$7,$C$8,U$5,$C$11,$C$13)</f>
        <v>2.6227372035903942E-2</v>
      </c>
      <c r="V13" s="17" cm="1">
        <f t="array" ref="V13">griegas($E13,$C$6,$C$7,$C$8,V$5,$C$11,$C$13)</f>
        <v>2.748221220304899E-2</v>
      </c>
      <c r="W13" s="17" cm="1">
        <f t="array" ref="W13">griegas($E13,$C$6,$C$7,$C$8,W$5,$C$11,$C$13)</f>
        <v>2.8584280095593551E-2</v>
      </c>
    </row>
    <row r="14" spans="2:23" x14ac:dyDescent="0.35">
      <c r="E14" s="11">
        <v>25</v>
      </c>
      <c r="F14" s="17" cm="1">
        <f t="array" ref="F14">griegas($E14,$C$6,$C$7,$C$8,F$5,$C$11,$C$13)</f>
        <v>6.6686212324391158E-11</v>
      </c>
      <c r="G14" s="17" cm="1">
        <f t="array" ref="G14">griegas($E14,$C$6,$C$7,$C$8,G$5,$C$11,$C$13)</f>
        <v>1.687749868502868E-4</v>
      </c>
      <c r="H14" s="17" cm="1">
        <f t="array" ref="H14">griegas($E14,$C$6,$C$7,$C$8,H$5,$C$11,$C$13)</f>
        <v>2.5027911754761678E-3</v>
      </c>
      <c r="I14" s="17" cm="1">
        <f t="array" ref="I14">griegas($E14,$C$6,$C$7,$C$8,I$5,$C$11,$C$13)</f>
        <v>7.4067800674720912E-3</v>
      </c>
      <c r="J14" s="17" cm="1">
        <f t="array" ref="J14">griegas($E14,$C$6,$C$7,$C$8,J$5,$C$11,$C$13)</f>
        <v>1.3053386504128741E-2</v>
      </c>
      <c r="K14" s="17" cm="1">
        <f t="array" ref="K14">griegas($E14,$C$6,$C$7,$C$8,K$5,$C$11,$C$13)</f>
        <v>1.8306196991532065E-2</v>
      </c>
      <c r="L14" s="17" cm="1">
        <f t="array" ref="L14">griegas($E14,$C$6,$C$7,$C$8,L$5,$C$11,$C$13)</f>
        <v>2.2781993353648066E-2</v>
      </c>
      <c r="M14" s="17" cm="1">
        <f t="array" ref="M14">griegas($E14,$C$6,$C$7,$C$8,M$5,$C$11,$C$13)</f>
        <v>2.6445083016863748E-2</v>
      </c>
      <c r="N14" s="17" cm="1">
        <f t="array" ref="N14">griegas($E14,$C$6,$C$7,$C$8,N$5,$C$11,$C$13)</f>
        <v>2.9382690017330015E-2</v>
      </c>
      <c r="O14" s="17" cm="1">
        <f t="array" ref="O14">griegas($E14,$C$6,$C$7,$C$8,O$5,$C$11,$C$13)</f>
        <v>3.1711091761812658E-2</v>
      </c>
      <c r="P14" s="17" cm="1">
        <f t="array" ref="P14">griegas($E14,$C$6,$C$7,$C$8,P$5,$C$11,$C$13)</f>
        <v>3.3541177130564856E-2</v>
      </c>
      <c r="Q14" s="17" cm="1">
        <f t="array" ref="Q14">griegas($E14,$C$6,$C$7,$C$8,Q$5,$C$11,$C$13)</f>
        <v>3.4968078050960021E-2</v>
      </c>
      <c r="R14" s="17" cm="1">
        <f t="array" ref="R14">griegas($E14,$C$6,$C$7,$C$8,R$5,$C$11,$C$13)</f>
        <v>3.6069911593072664E-2</v>
      </c>
      <c r="S14" s="17" cm="1">
        <f t="array" ref="S14">griegas($E14,$C$6,$C$7,$C$8,S$5,$C$11,$C$13)</f>
        <v>3.6909606617350744E-2</v>
      </c>
      <c r="T14" s="17" cm="1">
        <f t="array" ref="T14">griegas($E14,$C$6,$C$7,$C$8,T$5,$C$11,$C$13)</f>
        <v>3.753747432169393E-2</v>
      </c>
      <c r="U14" s="17" cm="1">
        <f t="array" ref="U14">griegas($E14,$C$6,$C$7,$C$8,U$5,$C$11,$C$13)</f>
        <v>3.7993672059653753E-2</v>
      </c>
      <c r="V14" s="17" cm="1">
        <f t="array" ref="V14">griegas($E14,$C$6,$C$7,$C$8,V$5,$C$11,$C$13)</f>
        <v>3.8310301446975559E-2</v>
      </c>
      <c r="W14" s="17" cm="1">
        <f t="array" ref="W14">griegas($E14,$C$6,$C$7,$C$8,W$5,$C$11,$C$13)</f>
        <v>3.8513107332066143E-2</v>
      </c>
    </row>
    <row r="15" spans="2:23" x14ac:dyDescent="0.35">
      <c r="E15" s="11">
        <v>28</v>
      </c>
      <c r="F15" s="17" cm="1">
        <f t="array" ref="F15">griegas($E15,$C$6,$C$7,$C$8,F$5,$C$11,$C$13)</f>
        <v>1.704127866952861E-5</v>
      </c>
      <c r="G15" s="17" cm="1">
        <f t="array" ref="G15">griegas($E15,$C$6,$C$7,$C$8,G$5,$C$11,$C$13)</f>
        <v>8.1261842888264383E-3</v>
      </c>
      <c r="H15" s="17" cm="1">
        <f t="array" ref="H15">griegas($E15,$C$6,$C$7,$C$8,H$5,$C$11,$C$13)</f>
        <v>2.2983843261414408E-2</v>
      </c>
      <c r="I15" s="17" cm="1">
        <f t="array" ref="I15">griegas($E15,$C$6,$C$7,$C$8,I$5,$C$11,$C$13)</f>
        <v>3.3630468733782448E-2</v>
      </c>
      <c r="J15" s="17" cm="1">
        <f t="array" ref="J15">griegas($E15,$C$6,$C$7,$C$8,J$5,$C$11,$C$13)</f>
        <v>4.0135301717701063E-2</v>
      </c>
      <c r="K15" s="17" cm="1">
        <f t="array" ref="K15">griegas($E15,$C$6,$C$7,$C$8,K$5,$C$11,$C$13)</f>
        <v>4.3944285513104309E-2</v>
      </c>
      <c r="L15" s="17" cm="1">
        <f t="array" ref="L15">griegas($E15,$C$6,$C$7,$C$8,L$5,$C$11,$C$13)</f>
        <v>4.6087317468688778E-2</v>
      </c>
      <c r="M15" s="17" cm="1">
        <f t="array" ref="M15">griegas($E15,$C$6,$C$7,$C$8,M$5,$C$11,$C$13)</f>
        <v>4.719470508003553E-2</v>
      </c>
      <c r="N15" s="17" cm="1">
        <f t="array" ref="N15">griegas($E15,$C$6,$C$7,$C$8,N$5,$C$11,$C$13)</f>
        <v>4.7647506599367624E-2</v>
      </c>
      <c r="O15" s="17" cm="1">
        <f t="array" ref="O15">griegas($E15,$C$6,$C$7,$C$8,O$5,$C$11,$C$13)</f>
        <v>4.7680133001113616E-2</v>
      </c>
      <c r="P15" s="17" cm="1">
        <f t="array" ref="P15">griegas($E15,$C$6,$C$7,$C$8,P$5,$C$11,$C$13)</f>
        <v>4.7440219013349653E-2</v>
      </c>
      <c r="Q15" s="17" cm="1">
        <f t="array" ref="Q15">griegas($E15,$C$6,$C$7,$C$8,Q$5,$C$11,$C$13)</f>
        <v>4.702291323549166E-2</v>
      </c>
      <c r="R15" s="17" cm="1">
        <f t="array" ref="R15">griegas($E15,$C$6,$C$7,$C$8,R$5,$C$11,$C$13)</f>
        <v>4.6490805362536115E-2</v>
      </c>
      <c r="S15" s="17" cm="1">
        <f t="array" ref="S15">griegas($E15,$C$6,$C$7,$C$8,S$5,$C$11,$C$13)</f>
        <v>4.5885785497655845E-2</v>
      </c>
      <c r="T15" s="17" cm="1">
        <f t="array" ref="T15">griegas($E15,$C$6,$C$7,$C$8,T$5,$C$11,$C$13)</f>
        <v>4.523628444202632E-2</v>
      </c>
      <c r="U15" s="17" cm="1">
        <f t="array" ref="U15">griegas($E15,$C$6,$C$7,$C$8,U$5,$C$11,$C$13)</f>
        <v>4.4561804138076637E-2</v>
      </c>
      <c r="V15" s="17" cm="1">
        <f t="array" ref="V15">griegas($E15,$C$6,$C$7,$C$8,V$5,$C$11,$C$13)</f>
        <v>4.3875817824716321E-2</v>
      </c>
      <c r="W15" s="17" cm="1">
        <f t="array" ref="W15">griegas($E15,$C$6,$C$7,$C$8,W$5,$C$11,$C$13)</f>
        <v>4.3187665421496713E-2</v>
      </c>
    </row>
    <row r="16" spans="2:23" x14ac:dyDescent="0.35">
      <c r="E16" s="11">
        <v>31</v>
      </c>
      <c r="F16" s="17" cm="1">
        <f t="array" ref="F16">griegas($E16,$C$6,$C$7,$C$8,F$5,$C$11,$C$13)</f>
        <v>1.5357142453190269E-2</v>
      </c>
      <c r="G16" s="17" cm="1">
        <f t="array" ref="G16">griegas($E16,$C$6,$C$7,$C$8,G$5,$C$11,$C$13)</f>
        <v>6.3861771644146734E-2</v>
      </c>
      <c r="H16" s="17" cm="1">
        <f t="array" ref="H16">griegas($E16,$C$6,$C$7,$C$8,H$5,$C$11,$C$13)</f>
        <v>7.2264980561153921E-2</v>
      </c>
      <c r="I16" s="17" cm="1">
        <f t="array" ref="I16">griegas($E16,$C$6,$C$7,$C$8,I$5,$C$11,$C$13)</f>
        <v>7.16328189560579E-2</v>
      </c>
      <c r="J16" s="17" cm="1">
        <f t="array" ref="J16">griegas($E16,$C$6,$C$7,$C$8,J$5,$C$11,$C$13)</f>
        <v>6.8913016743619257E-2</v>
      </c>
      <c r="K16" s="17" cm="1">
        <f t="array" ref="K16">griegas($E16,$C$6,$C$7,$C$8,K$5,$C$11,$C$13)</f>
        <v>6.5802433993739917E-2</v>
      </c>
      <c r="L16" s="17" cm="1">
        <f t="array" ref="L16">griegas($E16,$C$6,$C$7,$C$8,L$5,$C$11,$C$13)</f>
        <v>6.278171616361955E-2</v>
      </c>
      <c r="M16" s="17" cm="1">
        <f t="array" ref="M16">griegas($E16,$C$6,$C$7,$C$8,M$5,$C$11,$C$13)</f>
        <v>5.9985312891888139E-2</v>
      </c>
      <c r="N16" s="17" cm="1">
        <f t="array" ref="N16">griegas($E16,$C$6,$C$7,$C$8,N$5,$C$11,$C$13)</f>
        <v>5.7437000782794664E-2</v>
      </c>
      <c r="O16" s="17" cm="1">
        <f t="array" ref="O16">griegas($E16,$C$6,$C$7,$C$8,O$5,$C$11,$C$13)</f>
        <v>5.5124145477879569E-2</v>
      </c>
      <c r="P16" s="17" cm="1">
        <f t="array" ref="P16">griegas($E16,$C$6,$C$7,$C$8,P$5,$C$11,$C$13)</f>
        <v>5.3023391852142158E-2</v>
      </c>
      <c r="Q16" s="17" cm="1">
        <f t="array" ref="Q16">griegas($E16,$C$6,$C$7,$C$8,Q$5,$C$11,$C$13)</f>
        <v>5.1109911442325483E-2</v>
      </c>
      <c r="R16" s="17" cm="1">
        <f t="array" ref="R16">griegas($E16,$C$6,$C$7,$C$8,R$5,$C$11,$C$13)</f>
        <v>4.9360637836468685E-2</v>
      </c>
      <c r="S16" s="17" cm="1">
        <f t="array" ref="S16">griegas($E16,$C$6,$C$7,$C$8,S$5,$C$11,$C$13)</f>
        <v>4.7755209557265664E-2</v>
      </c>
      <c r="T16" s="17" cm="1">
        <f t="array" ref="T16">griegas($E16,$C$6,$C$7,$C$8,T$5,$C$11,$C$13)</f>
        <v>4.6276037259149999E-2</v>
      </c>
      <c r="U16" s="17" cm="1">
        <f t="array" ref="U16">griegas($E16,$C$6,$C$7,$C$8,U$5,$C$11,$C$13)</f>
        <v>4.4908057684183746E-2</v>
      </c>
      <c r="V16" s="17" cm="1">
        <f t="array" ref="V16">griegas($E16,$C$6,$C$7,$C$8,V$5,$C$11,$C$13)</f>
        <v>4.3638400969703783E-2</v>
      </c>
      <c r="W16" s="17" cm="1">
        <f t="array" ref="W16">griegas($E16,$C$6,$C$7,$C$8,W$5,$C$11,$C$13)</f>
        <v>4.2456060550288728E-2</v>
      </c>
    </row>
    <row r="17" spans="5:23" x14ac:dyDescent="0.35">
      <c r="E17" s="11">
        <v>34</v>
      </c>
      <c r="F17" s="17" cm="1">
        <f t="array" ref="F17">griegas($E17,$C$6,$C$7,$C$8,F$5,$C$11,$C$13)</f>
        <v>0.20424867459631205</v>
      </c>
      <c r="G17" s="17" cm="1">
        <f t="array" ref="G17">griegas($E17,$C$6,$C$7,$C$8,G$5,$C$11,$C$13)</f>
        <v>0.12983539414613152</v>
      </c>
      <c r="H17" s="17" cm="1">
        <f t="array" ref="H17">griegas($E17,$C$6,$C$7,$C$8,H$5,$C$11,$C$13)</f>
        <v>0.10221208737756773</v>
      </c>
      <c r="I17" s="17" cm="1">
        <f t="array" ref="I17">griegas($E17,$C$6,$C$7,$C$8,I$5,$C$11,$C$13)</f>
        <v>8.6836019564019554E-2</v>
      </c>
      <c r="J17" s="17" cm="1">
        <f t="array" ref="J17">griegas($E17,$C$6,$C$7,$C$8,J$5,$C$11,$C$13)</f>
        <v>7.6703439242547217E-2</v>
      </c>
      <c r="K17" s="17" cm="1">
        <f t="array" ref="K17">griegas($E17,$C$6,$C$7,$C$8,K$5,$C$11,$C$13)</f>
        <v>6.9376883806108708E-2</v>
      </c>
      <c r="L17" s="17" cm="1">
        <f t="array" ref="L17">griegas($E17,$C$6,$C$7,$C$8,L$5,$C$11,$C$13)</f>
        <v>6.3757634323306334E-2</v>
      </c>
      <c r="M17" s="17" cm="1">
        <f t="array" ref="M17">griegas($E17,$C$6,$C$7,$C$8,M$5,$C$11,$C$13)</f>
        <v>5.9268244642504291E-2</v>
      </c>
      <c r="N17" s="17" cm="1">
        <f t="array" ref="N17">griegas($E17,$C$6,$C$7,$C$8,N$5,$C$11,$C$13)</f>
        <v>5.5572399861659225E-2</v>
      </c>
      <c r="O17" s="17" cm="1">
        <f t="array" ref="O17">griegas($E17,$C$6,$C$7,$C$8,O$5,$C$11,$C$13)</f>
        <v>5.2459197647429671E-2</v>
      </c>
      <c r="P17" s="17" cm="1">
        <f t="array" ref="P17">griegas($E17,$C$6,$C$7,$C$8,P$5,$C$11,$C$13)</f>
        <v>4.9788780222592692E-2</v>
      </c>
      <c r="Q17" s="17" cm="1">
        <f t="array" ref="Q17">griegas($E17,$C$6,$C$7,$C$8,Q$5,$C$11,$C$13)</f>
        <v>4.7464249740946464E-2</v>
      </c>
      <c r="R17" s="17" cm="1">
        <f t="array" ref="R17">griegas($E17,$C$6,$C$7,$C$8,R$5,$C$11,$C$13)</f>
        <v>4.5416061065811114E-2</v>
      </c>
      <c r="S17" s="17" cm="1">
        <f t="array" ref="S17">griegas($E17,$C$6,$C$7,$C$8,S$5,$C$11,$C$13)</f>
        <v>4.3592829037973693E-2</v>
      </c>
      <c r="T17" s="17" cm="1">
        <f t="array" ref="T17">griegas($E17,$C$6,$C$7,$C$8,T$5,$C$11,$C$13)</f>
        <v>4.1955650611503963E-2</v>
      </c>
      <c r="U17" s="17" cm="1">
        <f t="array" ref="U17">griegas($E17,$C$6,$C$7,$C$8,U$5,$C$11,$C$13)</f>
        <v>4.0474456507454633E-2</v>
      </c>
      <c r="V17" s="17" cm="1">
        <f t="array" ref="V17">griegas($E17,$C$6,$C$7,$C$8,V$5,$C$11,$C$13)</f>
        <v>3.9125587187141937E-2</v>
      </c>
      <c r="W17" s="17" cm="1">
        <f t="array" ref="W17">griegas($E17,$C$6,$C$7,$C$8,W$5,$C$11,$C$13)</f>
        <v>3.7890135399710957E-2</v>
      </c>
    </row>
    <row r="18" spans="5:23" x14ac:dyDescent="0.35">
      <c r="E18" s="11">
        <v>37</v>
      </c>
      <c r="F18" s="17" cm="1">
        <f t="array" ref="F18">griegas($E18,$C$6,$C$7,$C$8,F$5,$C$11,$C$13)</f>
        <v>0.10950603076202368</v>
      </c>
      <c r="G18" s="17" cm="1">
        <f t="array" ref="G18">griegas($E18,$C$6,$C$7,$C$8,G$5,$C$11,$C$13)</f>
        <v>9.4338341294217504E-2</v>
      </c>
      <c r="H18" s="17" cm="1">
        <f t="array" ref="H18">griegas($E18,$C$6,$C$7,$C$8,H$5,$C$11,$C$13)</f>
        <v>7.8759064758517239E-2</v>
      </c>
      <c r="I18" s="17" cm="1">
        <f t="array" ref="I18">griegas($E18,$C$6,$C$7,$C$8,I$5,$C$11,$C$13)</f>
        <v>6.8602449673066127E-2</v>
      </c>
      <c r="J18" s="17" cm="1">
        <f t="array" ref="J18">griegas($E18,$C$6,$C$7,$C$8,J$5,$C$11,$C$13)</f>
        <v>6.1440513676673907E-2</v>
      </c>
      <c r="K18" s="17" cm="1">
        <f t="array" ref="K18">griegas($E18,$C$6,$C$7,$C$8,K$5,$C$11,$C$13)</f>
        <v>5.6061503230188166E-2</v>
      </c>
      <c r="L18" s="17" cm="1">
        <f t="array" ref="L18">griegas($E18,$C$6,$C$7,$C$8,L$5,$C$11,$C$13)</f>
        <v>5.1834149741767074E-2</v>
      </c>
      <c r="M18" s="17" cm="1">
        <f t="array" ref="M18">griegas($E18,$C$6,$C$7,$C$8,M$5,$C$11,$C$13)</f>
        <v>4.8398883587716324E-2</v>
      </c>
      <c r="N18" s="17" cm="1">
        <f t="array" ref="N18">griegas($E18,$C$6,$C$7,$C$8,N$5,$C$11,$C$13)</f>
        <v>4.5535152528339735E-2</v>
      </c>
      <c r="O18" s="17" cm="1">
        <f t="array" ref="O18">griegas($E18,$C$6,$C$7,$C$8,O$5,$C$11,$C$13)</f>
        <v>4.3099533339223624E-2</v>
      </c>
      <c r="P18" s="17" cm="1">
        <f t="array" ref="P18">griegas($E18,$C$6,$C$7,$C$8,P$5,$C$11,$C$13)</f>
        <v>4.0994318119583484E-2</v>
      </c>
      <c r="Q18" s="17" cm="1">
        <f t="array" ref="Q18">griegas($E18,$C$6,$C$7,$C$8,Q$5,$C$11,$C$13)</f>
        <v>3.9150386973947113E-2</v>
      </c>
      <c r="R18" s="17" cm="1">
        <f t="array" ref="R18">griegas($E18,$C$6,$C$7,$C$8,R$5,$C$11,$C$13)</f>
        <v>3.751730122826543E-2</v>
      </c>
      <c r="S18" s="17" cm="1">
        <f t="array" ref="S18">griegas($E18,$C$6,$C$7,$C$8,S$5,$C$11,$C$13)</f>
        <v>3.6057284781452564E-2</v>
      </c>
      <c r="T18" s="17" cm="1">
        <f t="array" ref="T18">griegas($E18,$C$6,$C$7,$C$8,T$5,$C$11,$C$13)</f>
        <v>3.474141370626678E-2</v>
      </c>
      <c r="U18" s="17" cm="1">
        <f t="array" ref="U18">griegas($E18,$C$6,$C$7,$C$8,U$5,$C$11,$C$13)</f>
        <v>3.3547117888497992E-2</v>
      </c>
      <c r="V18" s="17" cm="1">
        <f t="array" ref="V18">griegas($E18,$C$6,$C$7,$C$8,V$5,$C$11,$C$13)</f>
        <v>3.2456492880634874E-2</v>
      </c>
      <c r="W18" s="17" cm="1">
        <f t="array" ref="W18">griegas($E18,$C$6,$C$7,$C$8,W$5,$C$11,$C$13)</f>
        <v>3.1455129034288702E-2</v>
      </c>
    </row>
    <row r="19" spans="5:23" x14ac:dyDescent="0.35">
      <c r="E19" s="11">
        <v>40</v>
      </c>
      <c r="F19" s="17" cm="1">
        <f t="array" ref="F19">griegas($E19,$C$6,$C$7,$C$8,F$5,$C$11,$C$13)</f>
        <v>4.8900398450676362E-3</v>
      </c>
      <c r="G19" s="17" cm="1">
        <f t="array" ref="G19">griegas($E19,$C$6,$C$7,$C$8,G$5,$C$11,$C$13)</f>
        <v>3.0934528111011862E-2</v>
      </c>
      <c r="H19" s="17" cm="1">
        <f t="array" ref="H19">griegas($E19,$C$6,$C$7,$C$8,H$5,$C$11,$C$13)</f>
        <v>3.7960179405040401E-2</v>
      </c>
      <c r="I19" s="17" cm="1">
        <f t="array" ref="I19">griegas($E19,$C$6,$C$7,$C$8,I$5,$C$11,$C$13)</f>
        <v>3.8947093209610872E-2</v>
      </c>
      <c r="J19" s="17" cm="1">
        <f t="array" ref="J19">griegas($E19,$C$6,$C$7,$C$8,J$5,$C$11,$C$13)</f>
        <v>3.8189632592753188E-2</v>
      </c>
      <c r="K19" s="17" cm="1">
        <f t="array" ref="K19">griegas($E19,$C$6,$C$7,$C$8,K$5,$C$11,$C$13)</f>
        <v>3.6910032337412697E-2</v>
      </c>
      <c r="L19" s="17" cm="1">
        <f t="array" ref="L19">griegas($E19,$C$6,$C$7,$C$8,L$5,$C$11,$C$13)</f>
        <v>3.5511637698841747E-2</v>
      </c>
      <c r="M19" s="17" cm="1">
        <f t="array" ref="M19">griegas($E19,$C$6,$C$7,$C$8,M$5,$C$11,$C$13)</f>
        <v>3.4138576819036537E-2</v>
      </c>
      <c r="N19" s="17" cm="1">
        <f t="array" ref="N19">griegas($E19,$C$6,$C$7,$C$8,N$5,$C$11,$C$13)</f>
        <v>3.284180830280501E-2</v>
      </c>
      <c r="O19" s="17" cm="1">
        <f t="array" ref="O19">griegas($E19,$C$6,$C$7,$C$8,O$5,$C$11,$C$13)</f>
        <v>3.1636079866158177E-2</v>
      </c>
      <c r="P19" s="17" cm="1">
        <f t="array" ref="P19">griegas($E19,$C$6,$C$7,$C$8,P$5,$C$11,$C$13)</f>
        <v>3.0521604522842909E-2</v>
      </c>
      <c r="Q19" s="17" cm="1">
        <f t="array" ref="Q19">griegas($E19,$C$6,$C$7,$C$8,Q$5,$C$11,$C$13)</f>
        <v>2.9492915462388181E-2</v>
      </c>
      <c r="R19" s="17" cm="1">
        <f t="array" ref="R19">griegas($E19,$C$6,$C$7,$C$8,R$5,$C$11,$C$13)</f>
        <v>2.8542639791957567E-2</v>
      </c>
      <c r="S19" s="17" cm="1">
        <f t="array" ref="S19">griegas($E19,$C$6,$C$7,$C$8,S$5,$C$11,$C$13)</f>
        <v>2.7663126625148304E-2</v>
      </c>
      <c r="T19" s="17" cm="1">
        <f t="array" ref="T19">griegas($E19,$C$6,$C$7,$C$8,T$5,$C$11,$C$13)</f>
        <v>2.684712847862631E-2</v>
      </c>
      <c r="U19" s="17" cm="1">
        <f t="array" ref="U19">griegas($E19,$C$6,$C$7,$C$8,U$5,$C$11,$C$13)</f>
        <v>2.608805442385357E-2</v>
      </c>
      <c r="V19" s="17" cm="1">
        <f t="array" ref="V19">griegas($E19,$C$6,$C$7,$C$8,V$5,$C$11,$C$13)</f>
        <v>2.5380028948416004E-2</v>
      </c>
      <c r="W19" s="17" cm="1">
        <f t="array" ref="W19">griegas($E19,$C$6,$C$7,$C$8,W$5,$C$11,$C$13)</f>
        <v>2.4717865249224605E-2</v>
      </c>
    </row>
    <row r="20" spans="5:23" x14ac:dyDescent="0.35">
      <c r="E20" s="11">
        <v>43</v>
      </c>
      <c r="F20" s="17" cm="1">
        <f t="array" ref="F20">griegas($E20,$C$6,$C$7,$C$8,F$5,$C$11,$C$13)</f>
        <v>3.1106273287094448E-5</v>
      </c>
      <c r="G20" s="17" cm="1">
        <f t="array" ref="G20">griegas($E20,$C$6,$C$7,$C$8,G$5,$C$11,$C$13)</f>
        <v>5.4394037436171945E-3</v>
      </c>
      <c r="H20" s="17" cm="1">
        <f t="array" ref="H20">griegas($E20,$C$6,$C$7,$C$8,H$5,$C$11,$C$13)</f>
        <v>1.2674230412709781E-2</v>
      </c>
      <c r="I20" s="17" cm="1">
        <f t="array" ref="I20">griegas($E20,$C$6,$C$7,$C$8,I$5,$C$11,$C$13)</f>
        <v>1.7078626220863338E-2</v>
      </c>
      <c r="J20" s="17" cm="1">
        <f t="array" ref="J20">griegas($E20,$C$6,$C$7,$C$8,J$5,$C$11,$C$13)</f>
        <v>1.947351585004339E-2</v>
      </c>
      <c r="K20" s="17" cm="1">
        <f t="array" ref="K20">griegas($E20,$C$6,$C$7,$C$8,K$5,$C$11,$C$13)</f>
        <v>2.0713172647453575E-2</v>
      </c>
      <c r="L20" s="17" cm="1">
        <f t="array" ref="L20">griegas($E20,$C$6,$C$7,$C$8,L$5,$C$11,$C$13)</f>
        <v>2.129283313030339E-2</v>
      </c>
      <c r="M20" s="17" cm="1">
        <f t="array" ref="M20">griegas($E20,$C$6,$C$7,$C$8,M$5,$C$11,$C$13)</f>
        <v>2.1487088186986972E-2</v>
      </c>
      <c r="N20" s="17" cm="1">
        <f t="array" ref="N20">griegas($E20,$C$6,$C$7,$C$8,N$5,$C$11,$C$13)</f>
        <v>2.1451554105334385E-2</v>
      </c>
      <c r="O20" s="17" cm="1">
        <f t="array" ref="O20">griegas($E20,$C$6,$C$7,$C$8,O$5,$C$11,$C$13)</f>
        <v>2.1277322462256179E-2</v>
      </c>
      <c r="P20" s="17" cm="1">
        <f t="array" ref="P20">griegas($E20,$C$6,$C$7,$C$8,P$5,$C$11,$C$13)</f>
        <v>2.1019378101152609E-2</v>
      </c>
      <c r="Q20" s="17" cm="1">
        <f t="array" ref="Q20">griegas($E20,$C$6,$C$7,$C$8,Q$5,$C$11,$C$13)</f>
        <v>2.0711788184647105E-2</v>
      </c>
      <c r="R20" s="17" cm="1">
        <f t="array" ref="R20">griegas($E20,$C$6,$C$7,$C$8,R$5,$C$11,$C$13)</f>
        <v>2.0376103312021526E-2</v>
      </c>
      <c r="S20" s="17" cm="1">
        <f t="array" ref="S20">griegas($E20,$C$6,$C$7,$C$8,S$5,$C$11,$C$13)</f>
        <v>2.0026167593682507E-2</v>
      </c>
      <c r="T20" s="17" cm="1">
        <f t="array" ref="T20">griegas($E20,$C$6,$C$7,$C$8,T$5,$C$11,$C$13)</f>
        <v>1.9670962100042523E-2</v>
      </c>
      <c r="U20" s="17" cm="1">
        <f t="array" ref="U20">griegas($E20,$C$6,$C$7,$C$8,U$5,$C$11,$C$13)</f>
        <v>1.9316334570008972E-2</v>
      </c>
      <c r="V20" s="17" cm="1">
        <f t="array" ref="V20">griegas($E20,$C$6,$C$7,$C$8,V$5,$C$11,$C$13)</f>
        <v>1.8966078581821873E-2</v>
      </c>
      <c r="W20" s="17" cm="1">
        <f t="array" ref="W20">griegas($E20,$C$6,$C$7,$C$8,W$5,$C$11,$C$13)</f>
        <v>1.8622621975194785E-2</v>
      </c>
    </row>
    <row r="21" spans="5:23" x14ac:dyDescent="0.35">
      <c r="E21" s="11">
        <v>46</v>
      </c>
      <c r="F21" s="17" cm="1">
        <f t="array" ref="F21">griegas($E21,$C$6,$C$7,$C$8,F$5,$C$11,$C$13)</f>
        <v>4.2254030461349794E-8</v>
      </c>
      <c r="G21" s="17" cm="1">
        <f t="array" ref="G21">griegas($E21,$C$6,$C$7,$C$8,G$5,$C$11,$C$13)</f>
        <v>5.8409734919893485E-4</v>
      </c>
      <c r="H21" s="17" cm="1">
        <f t="array" ref="H21">griegas($E21,$C$6,$C$7,$C$8,H$5,$C$11,$C$13)</f>
        <v>3.1659056849768974E-3</v>
      </c>
      <c r="I21" s="17" cm="1">
        <f t="array" ref="I21">griegas($E21,$C$6,$C$7,$C$8,I$5,$C$11,$C$13)</f>
        <v>6.1078653283047268E-3</v>
      </c>
      <c r="J21" s="17" cm="1">
        <f t="array" ref="J21">griegas($E21,$C$6,$C$7,$C$8,J$5,$C$11,$C$13)</f>
        <v>8.4946033724469273E-3</v>
      </c>
      <c r="K21" s="17" cm="1">
        <f t="array" ref="K21">griegas($E21,$C$6,$C$7,$C$8,K$5,$C$11,$C$13)</f>
        <v>1.0249874426063061E-2</v>
      </c>
      <c r="L21" s="17" cm="1">
        <f t="array" ref="L21">griegas($E21,$C$6,$C$7,$C$8,L$5,$C$11,$C$13)</f>
        <v>1.1496623509212912E-2</v>
      </c>
      <c r="M21" s="17" cm="1">
        <f t="array" ref="M21">griegas($E21,$C$6,$C$7,$C$8,M$5,$C$11,$C$13)</f>
        <v>1.2366691400933518E-2</v>
      </c>
      <c r="N21" s="17" cm="1">
        <f t="array" ref="N21">griegas($E21,$C$6,$C$7,$C$8,N$5,$C$11,$C$13)</f>
        <v>1.2963751789884653E-2</v>
      </c>
      <c r="O21" s="17" cm="1">
        <f t="array" ref="O21">griegas($E21,$C$6,$C$7,$C$8,O$5,$C$11,$C$13)</f>
        <v>1.3363267171022066E-2</v>
      </c>
      <c r="P21" s="17" cm="1">
        <f t="array" ref="P21">griegas($E21,$C$6,$C$7,$C$8,P$5,$C$11,$C$13)</f>
        <v>1.3619067531393095E-2</v>
      </c>
      <c r="Q21" s="17" cm="1">
        <f t="array" ref="Q21">griegas($E21,$C$6,$C$7,$C$8,Q$5,$C$11,$C$13)</f>
        <v>1.3769534167780401E-2</v>
      </c>
      <c r="R21" s="17" cm="1">
        <f t="array" ref="R21">griegas($E21,$C$6,$C$7,$C$8,R$5,$C$11,$C$13)</f>
        <v>1.3842229251969457E-2</v>
      </c>
      <c r="S21" s="17" cm="1">
        <f t="array" ref="S21">griegas($E21,$C$6,$C$7,$C$8,S$5,$C$11,$C$13)</f>
        <v>1.3857143407657889E-2</v>
      </c>
      <c r="T21" s="17" cm="1">
        <f t="array" ref="T21">griegas($E21,$C$6,$C$7,$C$8,T$5,$C$11,$C$13)</f>
        <v>1.382893127713121E-2</v>
      </c>
      <c r="U21" s="17" cm="1">
        <f t="array" ref="U21">griegas($E21,$C$6,$C$7,$C$8,U$5,$C$11,$C$13)</f>
        <v>1.3768448667783038E-2</v>
      </c>
      <c r="V21" s="17" cm="1">
        <f t="array" ref="V21">griegas($E21,$C$6,$C$7,$C$8,V$5,$C$11,$C$13)</f>
        <v>1.3683816323276581E-2</v>
      </c>
      <c r="W21" s="17" cm="1">
        <f t="array" ref="W21">griegas($E21,$C$6,$C$7,$C$8,W$5,$C$11,$C$13)</f>
        <v>1.358116334408745E-2</v>
      </c>
    </row>
    <row r="22" spans="5:23" x14ac:dyDescent="0.35">
      <c r="E22" s="11">
        <v>49</v>
      </c>
      <c r="F22" s="17" cm="1">
        <f t="array" ref="F22">griegas($E22,$C$6,$C$7,$C$8,F$5,$C$11,$C$13)</f>
        <v>1.6721970761504363E-11</v>
      </c>
      <c r="G22" s="17" cm="1">
        <f t="array" ref="G22">griegas($E22,$C$6,$C$7,$C$8,G$5,$C$11,$C$13)</f>
        <v>4.2321347952034051E-5</v>
      </c>
      <c r="H22" s="17" cm="1">
        <f t="array" ref="H22">griegas($E22,$C$6,$C$7,$C$8,H$5,$C$11,$C$13)</f>
        <v>6.2759001298317814E-4</v>
      </c>
      <c r="I22" s="17" cm="1">
        <f t="array" ref="I22">griegas($E22,$C$6,$C$7,$C$8,I$5,$C$11,$C$13)</f>
        <v>1.857294865131514E-3</v>
      </c>
      <c r="J22" s="17" cm="1">
        <f t="array" ref="J22">griegas($E22,$C$6,$C$7,$C$8,J$5,$C$11,$C$13)</f>
        <v>3.2732155546465044E-3</v>
      </c>
      <c r="K22" s="17" cm="1">
        <f t="array" ref="K22">griegas($E22,$C$6,$C$7,$C$8,K$5,$C$11,$C$13)</f>
        <v>4.5903895299624509E-3</v>
      </c>
      <c r="L22" s="17" cm="1">
        <f t="array" ref="L22">griegas($E22,$C$6,$C$7,$C$8,L$5,$C$11,$C$13)</f>
        <v>5.7127225174423311E-3</v>
      </c>
      <c r="M22" s="17" cm="1">
        <f t="array" ref="M22">griegas($E22,$C$6,$C$7,$C$8,M$5,$C$11,$C$13)</f>
        <v>6.6312643885429803E-3</v>
      </c>
      <c r="N22" s="17" cm="1">
        <f t="array" ref="N22">griegas($E22,$C$6,$C$7,$C$8,N$5,$C$11,$C$13)</f>
        <v>7.3678870974716835E-3</v>
      </c>
      <c r="O22" s="17" cm="1">
        <f t="array" ref="O22">griegas($E22,$C$6,$C$7,$C$8,O$5,$C$11,$C$13)</f>
        <v>7.9517479067027601E-3</v>
      </c>
      <c r="P22" s="17" cm="1">
        <f t="array" ref="P22">griegas($E22,$C$6,$C$7,$C$8,P$5,$C$11,$C$13)</f>
        <v>8.4106528731217028E-3</v>
      </c>
      <c r="Q22" s="17" cm="1">
        <f t="array" ref="Q22">griegas($E22,$C$6,$C$7,$C$8,Q$5,$C$11,$C$13)</f>
        <v>8.7684569024515293E-3</v>
      </c>
      <c r="R22" s="17" cm="1">
        <f t="array" ref="R22">griegas($E22,$C$6,$C$7,$C$8,R$5,$C$11,$C$13)</f>
        <v>9.0447483221174994E-3</v>
      </c>
      <c r="S22" s="17" cm="1">
        <f t="array" ref="S22">griegas($E22,$C$6,$C$7,$C$8,S$5,$C$11,$C$13)</f>
        <v>9.2553069241903766E-3</v>
      </c>
      <c r="T22" s="17" cm="1">
        <f t="array" ref="T22">griegas($E22,$C$6,$C$7,$C$8,T$5,$C$11,$C$13)</f>
        <v>9.4127485456015139E-3</v>
      </c>
      <c r="U22" s="17" cm="1">
        <f t="array" ref="U22">griegas($E22,$C$6,$C$7,$C$8,U$5,$C$11,$C$13)</f>
        <v>9.5271428854467616E-3</v>
      </c>
      <c r="V22" s="17" cm="1">
        <f t="array" ref="V22">griegas($E22,$C$6,$C$7,$C$8,V$5,$C$11,$C$13)</f>
        <v>9.606539617881835E-3</v>
      </c>
      <c r="W22" s="17" cm="1">
        <f t="array" ref="W22">griegas($E22,$C$6,$C$7,$C$8,W$5,$C$11,$C$13)</f>
        <v>9.6573944192349104E-3</v>
      </c>
    </row>
    <row r="23" spans="5:23" x14ac:dyDescent="0.35">
      <c r="E23" s="11">
        <v>52</v>
      </c>
      <c r="F23" s="17" cm="1">
        <f t="array" ref="F23">griegas($E23,$C$6,$C$7,$C$8,F$5,$C$11,$C$13)</f>
        <v>2.4555961154072615E-15</v>
      </c>
      <c r="G23" s="17" cm="1">
        <f t="array" ref="G23">griegas($E23,$C$6,$C$7,$C$8,G$5,$C$11,$C$13)</f>
        <v>2.2360658641569335E-6</v>
      </c>
      <c r="H23" s="17" cm="1">
        <f t="array" ref="H23">griegas($E23,$C$6,$C$7,$C$8,H$5,$C$11,$C$13)</f>
        <v>1.0336763890888131E-4</v>
      </c>
      <c r="I23" s="17" cm="1">
        <f t="array" ref="I23">griegas($E23,$C$6,$C$7,$C$8,I$5,$C$11,$C$13)</f>
        <v>4.9601794000379319E-4</v>
      </c>
      <c r="J23" s="17" cm="1">
        <f t="array" ref="J23">griegas($E23,$C$6,$C$7,$C$8,J$5,$C$11,$C$13)</f>
        <v>1.1422643007231957E-3</v>
      </c>
      <c r="K23" s="17" cm="1">
        <f t="array" ref="K23">griegas($E23,$C$6,$C$7,$C$8,K$5,$C$11,$C$13)</f>
        <v>1.8984907370218449E-3</v>
      </c>
      <c r="L23" s="17" cm="1">
        <f t="array" ref="L23">griegas($E23,$C$6,$C$7,$C$8,L$5,$C$11,$C$13)</f>
        <v>2.6570362610043295E-3</v>
      </c>
      <c r="M23" s="17" cm="1">
        <f t="array" ref="M23">griegas($E23,$C$6,$C$7,$C$8,M$5,$C$11,$C$13)</f>
        <v>3.3613126831267526E-3</v>
      </c>
      <c r="N23" s="17" cm="1">
        <f t="array" ref="N23">griegas($E23,$C$6,$C$7,$C$8,N$5,$C$11,$C$13)</f>
        <v>3.9884273005579857E-3</v>
      </c>
      <c r="O23" s="17" cm="1">
        <f t="array" ref="O23">griegas($E23,$C$6,$C$7,$C$8,O$5,$C$11,$C$13)</f>
        <v>4.5336121005521415E-3</v>
      </c>
      <c r="P23" s="17" cm="1">
        <f t="array" ref="P23">griegas($E23,$C$6,$C$7,$C$8,P$5,$C$11,$C$13)</f>
        <v>5.0007569863113862E-3</v>
      </c>
      <c r="Q23" s="17" cm="1">
        <f t="array" ref="Q23">griegas($E23,$C$6,$C$7,$C$8,Q$5,$C$11,$C$13)</f>
        <v>5.3973207074251746E-3</v>
      </c>
      <c r="R23" s="17" cm="1">
        <f t="array" ref="R23">griegas($E23,$C$6,$C$7,$C$8,R$5,$C$11,$C$13)</f>
        <v>5.7317683844271211E-3</v>
      </c>
      <c r="S23" s="17" cm="1">
        <f t="array" ref="S23">griegas($E23,$C$6,$C$7,$C$8,S$5,$C$11,$C$13)</f>
        <v>6.0123598786142067E-3</v>
      </c>
      <c r="T23" s="17" cm="1">
        <f t="array" ref="T23">griegas($E23,$C$6,$C$7,$C$8,T$5,$C$11,$C$13)</f>
        <v>6.2466333724228865E-3</v>
      </c>
      <c r="U23" s="17" cm="1">
        <f t="array" ref="U23">griegas($E23,$C$6,$C$7,$C$8,U$5,$C$11,$C$13)</f>
        <v>6.4412357492060245E-3</v>
      </c>
      <c r="V23" s="17" cm="1">
        <f t="array" ref="V23">griegas($E23,$C$6,$C$7,$C$8,V$5,$C$11,$C$13)</f>
        <v>6.6019186689287397E-3</v>
      </c>
      <c r="W23" s="17" cm="1">
        <f t="array" ref="W23">griegas($E23,$C$6,$C$7,$C$8,W$5,$C$11,$C$13)</f>
        <v>6.7336076458912606E-3</v>
      </c>
    </row>
    <row r="24" spans="5:23" x14ac:dyDescent="0.35">
      <c r="E24" s="11">
        <v>55</v>
      </c>
      <c r="F24" s="17" cm="1">
        <f t="array" ref="F24">griegas($E24,$C$6,$C$7,$C$8,F$5,$C$11,$C$13)</f>
        <v>1.6192753748315346E-19</v>
      </c>
      <c r="G24" s="17" cm="1">
        <f t="array" ref="G24">griegas($E24,$C$6,$C$7,$C$8,G$5,$C$11,$C$13)</f>
        <v>9.1586571614210183E-8</v>
      </c>
      <c r="H24" s="17" cm="1">
        <f t="array" ref="H24">griegas($E24,$C$6,$C$7,$C$8,H$5,$C$11,$C$13)</f>
        <v>1.4666418112170622E-5</v>
      </c>
      <c r="I24" s="17" cm="1">
        <f t="array" ref="I24">griegas($E24,$C$6,$C$7,$C$8,I$5,$C$11,$C$13)</f>
        <v>1.1934883186107969E-4</v>
      </c>
      <c r="J24" s="17" cm="1">
        <f t="array" ref="J24">griegas($E24,$C$6,$C$7,$C$8,J$5,$C$11,$C$13)</f>
        <v>3.6816337050674791E-4</v>
      </c>
      <c r="K24" s="17" cm="1">
        <f t="array" ref="K24">griegas($E24,$C$6,$C$7,$C$8,K$5,$C$11,$C$13)</f>
        <v>7.3670366925276563E-4</v>
      </c>
      <c r="L24" s="17" cm="1">
        <f t="array" ref="L24">griegas($E24,$C$6,$C$7,$C$8,L$5,$C$11,$C$13)</f>
        <v>1.1722173252912769E-3</v>
      </c>
      <c r="M24" s="17" cm="1">
        <f t="array" ref="M24">griegas($E24,$C$6,$C$7,$C$8,M$5,$C$11,$C$13)</f>
        <v>1.6290842570558866E-3</v>
      </c>
      <c r="N24" s="17" cm="1">
        <f t="array" ref="N24">griegas($E24,$C$6,$C$7,$C$8,N$5,$C$11,$C$13)</f>
        <v>2.0769723488799135E-3</v>
      </c>
      <c r="O24" s="17" cm="1">
        <f t="array" ref="O24">griegas($E24,$C$6,$C$7,$C$8,O$5,$C$11,$C$13)</f>
        <v>2.498537748730914E-3</v>
      </c>
      <c r="P24" s="17" cm="1">
        <f t="array" ref="P24">griegas($E24,$C$6,$C$7,$C$8,P$5,$C$11,$C$13)</f>
        <v>2.8853086495082554E-3</v>
      </c>
      <c r="Q24" s="17" cm="1">
        <f t="array" ref="Q24">griegas($E24,$C$6,$C$7,$C$8,Q$5,$C$11,$C$13)</f>
        <v>3.2342968289409842E-3</v>
      </c>
      <c r="R24" s="17" cm="1">
        <f t="array" ref="R24">griegas($E24,$C$6,$C$7,$C$8,R$5,$C$11,$C$13)</f>
        <v>3.5456815855342957E-3</v>
      </c>
      <c r="S24" s="17" cm="1">
        <f t="array" ref="S24">griegas($E24,$C$6,$C$7,$C$8,S$5,$C$11,$C$13)</f>
        <v>3.8213469053518766E-3</v>
      </c>
      <c r="T24" s="17" cm="1">
        <f t="array" ref="T24">griegas($E24,$C$6,$C$7,$C$8,T$5,$C$11,$C$13)</f>
        <v>4.0639973985931409E-3</v>
      </c>
      <c r="U24" s="17" cm="1">
        <f t="array" ref="U24">griegas($E24,$C$6,$C$7,$C$8,U$5,$C$11,$C$13)</f>
        <v>4.2766416567056398E-3</v>
      </c>
      <c r="V24" s="17" cm="1">
        <f t="array" ref="V24">griegas($E24,$C$6,$C$7,$C$8,V$5,$C$11,$C$13)</f>
        <v>4.4623011710447445E-3</v>
      </c>
      <c r="W24" s="17" cm="1">
        <f t="array" ref="W24">griegas($E24,$C$6,$C$7,$C$8,W$5,$C$11,$C$13)</f>
        <v>4.6238548840305468E-3</v>
      </c>
    </row>
    <row r="25" spans="5:23" x14ac:dyDescent="0.35">
      <c r="E25" s="11">
        <v>58</v>
      </c>
      <c r="F25" s="17" cm="1">
        <f t="array" ref="F25">griegas($E25,$C$6,$C$7,$C$8,F$5,$C$11,$C$13)</f>
        <v>5.5826463632015279E-24</v>
      </c>
      <c r="G25" s="17" cm="1">
        <f t="array" ref="G25">griegas($E25,$C$6,$C$7,$C$8,G$5,$C$11,$C$13)</f>
        <v>3.0533636709981079E-9</v>
      </c>
      <c r="H25" s="17" cm="1">
        <f t="array" ref="H25">griegas($E25,$C$6,$C$7,$C$8,H$5,$C$11,$C$13)</f>
        <v>1.8450199745010434E-6</v>
      </c>
      <c r="I25" s="17" cm="1">
        <f t="array" ref="I25">griegas($E25,$C$6,$C$7,$C$8,I$5,$C$11,$C$13)</f>
        <v>2.6403647441282821E-5</v>
      </c>
      <c r="J25" s="17" cm="1">
        <f t="array" ref="J25">griegas($E25,$C$6,$C$7,$C$8,J$5,$C$11,$C$13)</f>
        <v>1.1132102738708327E-4</v>
      </c>
      <c r="K25" s="17" cm="1">
        <f t="array" ref="K25">griegas($E25,$C$6,$C$7,$C$8,K$5,$C$11,$C$13)</f>
        <v>2.7163638081695193E-4</v>
      </c>
      <c r="L25" s="17" cm="1">
        <f t="array" ref="L25">griegas($E25,$C$6,$C$7,$C$8,L$5,$C$11,$C$13)</f>
        <v>4.9575256071091272E-4</v>
      </c>
      <c r="M25" s="17" cm="1">
        <f t="array" ref="M25">griegas($E25,$C$6,$C$7,$C$8,M$5,$C$11,$C$13)</f>
        <v>7.6178796937531254E-4</v>
      </c>
      <c r="N25" s="17" cm="1">
        <f t="array" ref="N25">griegas($E25,$C$6,$C$7,$C$8,N$5,$C$11,$C$13)</f>
        <v>1.0487275283756162E-3</v>
      </c>
      <c r="O25" s="17" cm="1">
        <f t="array" ref="O25">griegas($E25,$C$6,$C$7,$C$8,O$5,$C$11,$C$13)</f>
        <v>1.3403689981306306E-3</v>
      </c>
      <c r="P25" s="17" cm="1">
        <f t="array" ref="P25">griegas($E25,$C$6,$C$7,$C$8,P$5,$C$11,$C$13)</f>
        <v>1.6256100556351989E-3</v>
      </c>
      <c r="Q25" s="17" cm="1">
        <f t="array" ref="Q25">griegas($E25,$C$6,$C$7,$C$8,Q$5,$C$11,$C$13)</f>
        <v>1.8974963579087064E-3</v>
      </c>
      <c r="R25" s="17" cm="1">
        <f t="array" ref="R25">griegas($E25,$C$6,$C$7,$C$8,R$5,$C$11,$C$13)</f>
        <v>2.1520913751839378E-3</v>
      </c>
      <c r="S25" s="17" cm="1">
        <f t="array" ref="S25">griegas($E25,$C$6,$C$7,$C$8,S$5,$C$11,$C$13)</f>
        <v>2.3875213303210137E-3</v>
      </c>
      <c r="T25" s="17" cm="1">
        <f t="array" ref="T25">griegas($E25,$C$6,$C$7,$C$8,T$5,$C$11,$C$13)</f>
        <v>2.6032611572019532E-3</v>
      </c>
      <c r="U25" s="17" cm="1">
        <f t="array" ref="U25">griegas($E25,$C$6,$C$7,$C$8,U$5,$C$11,$C$13)</f>
        <v>2.7996318087432472E-3</v>
      </c>
      <c r="V25" s="17" cm="1">
        <f t="array" ref="V25">griegas($E25,$C$6,$C$7,$C$8,V$5,$C$11,$C$13)</f>
        <v>2.9774585643011003E-3</v>
      </c>
      <c r="W25" s="17" cm="1">
        <f t="array" ref="W25">griegas($E25,$C$6,$C$7,$C$8,W$5,$C$11,$C$13)</f>
        <v>3.1378443625352456E-3</v>
      </c>
    </row>
    <row r="26" spans="5:23" x14ac:dyDescent="0.35">
      <c r="E26" s="11">
        <v>61</v>
      </c>
      <c r="F26" s="17" cm="1">
        <f t="array" ref="F26">griegas($E26,$C$6,$C$7,$C$8,F$5,$C$11,$C$13)</f>
        <v>1.1373919704506163E-28</v>
      </c>
      <c r="G26" s="17" cm="1">
        <f t="array" ref="G26">griegas($E26,$C$6,$C$7,$C$8,G$5,$C$11,$C$13)</f>
        <v>8.6172429357427235E-11</v>
      </c>
      <c r="H26" s="17" cm="1">
        <f t="array" ref="H26">griegas($E26,$C$6,$C$7,$C$8,H$5,$C$11,$C$13)</f>
        <v>2.106082475880364E-7</v>
      </c>
      <c r="I26" s="17" cm="1">
        <f t="array" ref="I26">griegas($E26,$C$6,$C$7,$C$8,I$5,$C$11,$C$13)</f>
        <v>5.4591567598162218E-6</v>
      </c>
      <c r="J26" s="17" cm="1">
        <f t="array" ref="J26">griegas($E26,$C$6,$C$7,$C$8,J$5,$C$11,$C$13)</f>
        <v>3.197601145268777E-5</v>
      </c>
      <c r="K26" s="17" cm="1">
        <f t="array" ref="K26">griegas($E26,$C$6,$C$7,$C$8,K$5,$C$11,$C$13)</f>
        <v>9.613870593945245E-5</v>
      </c>
      <c r="L26" s="17" cm="1">
        <f t="array" ref="L26">griegas($E26,$C$6,$C$7,$C$8,L$5,$C$11,$C$13)</f>
        <v>2.0269881175115256E-4</v>
      </c>
      <c r="M26" s="17" cm="1">
        <f t="array" ref="M26">griegas($E26,$C$6,$C$7,$C$8,M$5,$C$11,$C$13)</f>
        <v>3.4620669302945072E-4</v>
      </c>
      <c r="N26" s="17" cm="1">
        <f t="array" ref="N26">griegas($E26,$C$6,$C$7,$C$8,N$5,$C$11,$C$13)</f>
        <v>5.1671212890005991E-4</v>
      </c>
      <c r="O26" s="17" cm="1">
        <f t="array" ref="O26">griegas($E26,$C$6,$C$7,$C$8,O$5,$C$11,$C$13)</f>
        <v>7.0386974500618411E-4</v>
      </c>
      <c r="P26" s="17" cm="1">
        <f t="array" ref="P26">griegas($E26,$C$6,$C$7,$C$8,P$5,$C$11,$C$13)</f>
        <v>8.9884096280925618E-4</v>
      </c>
      <c r="Q26" s="17" cm="1">
        <f t="array" ref="Q26">griegas($E26,$C$6,$C$7,$C$8,Q$5,$C$11,$C$13)</f>
        <v>1.0948217467421648E-3</v>
      </c>
      <c r="R26" s="17" cm="1">
        <f t="array" ref="R26">griegas($E26,$C$6,$C$7,$C$8,R$5,$C$11,$C$13)</f>
        <v>1.286929596169916E-3</v>
      </c>
      <c r="S26" s="17" cm="1">
        <f t="array" ref="S26">griegas($E26,$C$6,$C$7,$C$8,S$5,$C$11,$C$13)</f>
        <v>1.4718663360723727E-3</v>
      </c>
      <c r="T26" s="17" cm="1">
        <f t="array" ref="T26">griegas($E26,$C$6,$C$7,$C$8,T$5,$C$11,$C$13)</f>
        <v>1.6475507487526263E-3</v>
      </c>
      <c r="U26" s="17" cm="1">
        <f t="array" ref="U26">griegas($E26,$C$6,$C$7,$C$8,U$5,$C$11,$C$13)</f>
        <v>1.8127961200987326E-3</v>
      </c>
      <c r="V26" s="17" cm="1">
        <f t="array" ref="V26">griegas($E26,$C$6,$C$7,$C$8,V$5,$C$11,$C$13)</f>
        <v>1.9670524415638757E-3</v>
      </c>
      <c r="W26" s="17" cm="1">
        <f t="array" ref="W26">griegas($E26,$C$6,$C$7,$C$8,W$5,$C$11,$C$13)</f>
        <v>2.1102103794216074E-3</v>
      </c>
    </row>
  </sheetData>
  <dataValidations count="2">
    <dataValidation type="list" allowBlank="1" showInputMessage="1" showErrorMessage="1" sqref="C10" xr:uid="{6FF8605A-22F8-444D-B95C-EA1158441E4A}">
      <formula1>"Call,Put"</formula1>
    </dataValidation>
    <dataValidation type="list" allowBlank="1" showInputMessage="1" showErrorMessage="1" sqref="C12" xr:uid="{535AD325-A0C9-418C-8C68-8E2EC3EA150E}">
      <formula1>"Delta,Gamma,Theta,Vega,Rho"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33B336-6767-4345-8626-E677F9411649}">
  <sheetPr codeName="Hoja3">
    <tabColor rgb="FF002060"/>
  </sheetPr>
  <dimension ref="B2:B10"/>
  <sheetViews>
    <sheetView zoomScale="115" zoomScaleNormal="115" workbookViewId="0">
      <selection activeCell="D8" sqref="D8"/>
    </sheetView>
  </sheetViews>
  <sheetFormatPr defaultColWidth="11.453125" defaultRowHeight="14.5" x14ac:dyDescent="0.35"/>
  <cols>
    <col min="1" max="1" width="3.7265625" style="8" customWidth="1"/>
    <col min="2" max="2" width="80" style="8" customWidth="1"/>
    <col min="3" max="16384" width="11.453125" style="8"/>
  </cols>
  <sheetData>
    <row r="2" spans="2:2" ht="21" x14ac:dyDescent="0.5">
      <c r="B2" s="7" t="s">
        <v>7</v>
      </c>
    </row>
    <row r="4" spans="2:2" x14ac:dyDescent="0.35">
      <c r="B4" s="9"/>
    </row>
    <row r="5" spans="2:2" x14ac:dyDescent="0.35">
      <c r="B5" s="9"/>
    </row>
    <row r="6" spans="2:2" x14ac:dyDescent="0.35">
      <c r="B6" s="9"/>
    </row>
    <row r="7" spans="2:2" x14ac:dyDescent="0.35">
      <c r="B7" s="9"/>
    </row>
    <row r="8" spans="2:2" x14ac:dyDescent="0.35">
      <c r="B8" s="9"/>
    </row>
    <row r="9" spans="2:2" x14ac:dyDescent="0.35">
      <c r="B9" s="9"/>
    </row>
    <row r="10" spans="2:2" x14ac:dyDescent="0.35">
      <c r="B10" s="9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AP</vt:lpstr>
      <vt:lpstr>Letras Griegas</vt:lpstr>
      <vt:lpstr>Conclusiones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 Reyes García</dc:creator>
  <cp:lastModifiedBy>Enrique Garcia</cp:lastModifiedBy>
  <dcterms:created xsi:type="dcterms:W3CDTF">2022-04-17T02:40:33Z</dcterms:created>
  <dcterms:modified xsi:type="dcterms:W3CDTF">2025-07-28T03:12:53Z</dcterms:modified>
</cp:coreProperties>
</file>