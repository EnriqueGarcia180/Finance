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egarcia\Desktop\AXM_Courses\Finance\6 Opciones financieras\02 Modelos de Valuacion\"/>
    </mc:Choice>
  </mc:AlternateContent>
  <xr:revisionPtr revIDLastSave="0" documentId="13_ncr:1_{99A9914D-E72F-411D-A261-42DBEC89C13F}" xr6:coauthVersionLast="47" xr6:coauthVersionMax="47" xr10:uidLastSave="{00000000-0000-0000-0000-000000000000}"/>
  <bookViews>
    <workbookView xWindow="-110" yWindow="-110" windowWidth="19420" windowHeight="11620" activeTab="2" xr2:uid="{00000000-000D-0000-FFFF-FFFF00000000}"/>
  </bookViews>
  <sheets>
    <sheet name="AP" sheetId="1" r:id="rId1"/>
    <sheet name="Asset" sheetId="4" r:id="rId2"/>
    <sheet name="CR" sheetId="2" r:id="rId3"/>
  </sheets>
  <definedNames>
    <definedName name="BLA">#REF!</definedName>
    <definedName name="BLACK76">#REF!</definedName>
    <definedName name="cete">#REF!</definedName>
    <definedName name="cete2">#REF!</definedName>
    <definedName name="cetes">#REF!</definedName>
    <definedName name="confidence">#REF!</definedName>
    <definedName name="fecha">#REF!</definedName>
    <definedName name="flujoscaja">#REF!</definedName>
    <definedName name="ggg">#REF!</definedName>
    <definedName name="GGGGG">#REF!</definedName>
    <definedName name="Index_Sheet_Kutools">#REF!</definedName>
    <definedName name="JJJ">#REF!</definedName>
    <definedName name="KILLA">#REF!</definedName>
    <definedName name="LOJ">#REF!</definedName>
    <definedName name="n">#REF!</definedName>
    <definedName name="Nominal">#REF!</definedName>
    <definedName name="residual_risk">#REF!</definedName>
    <definedName name="sigma">#REF!</definedName>
    <definedName name="significance">#REF!</definedName>
    <definedName name="ST">#REF!</definedName>
    <definedName name="STRANGL">#REF!</definedName>
    <definedName name="STRAP1">#REF!</definedName>
    <definedName name="STRAP2">#REF!</definedName>
    <definedName name="STRIP">#REF!</definedName>
    <definedName name="STRIP2">#REF!</definedName>
    <definedName name="VAR">#REF!</definedName>
    <definedName name="windo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M5" i="4" a="1"/>
  <c r="M5" i="4" s="1"/>
  <c r="D5" i="4" a="1"/>
  <c r="D5" i="4" s="1"/>
  <c r="C5" i="4" a="1"/>
  <c r="C5" i="4" s="1"/>
  <c r="B5" i="4" a="1"/>
  <c r="B5" i="4" s="1"/>
  <c r="C6" i="2" s="1"/>
  <c r="L5" i="4" a="1"/>
  <c r="L5" i="4" s="1"/>
  <c r="K5" i="4" a="1"/>
  <c r="K5" i="4" s="1"/>
  <c r="C9" i="2" s="1"/>
  <c r="J5" i="4" a="1"/>
  <c r="J5" i="4" s="1"/>
  <c r="A7" i="4" a="1"/>
  <c r="A7" i="4" l="1"/>
  <c r="C22" i="4"/>
  <c r="C34" i="4"/>
  <c r="C46" i="4"/>
  <c r="C58" i="4"/>
  <c r="C70" i="4"/>
  <c r="C82" i="4"/>
  <c r="C94" i="4"/>
  <c r="C106" i="4"/>
  <c r="C118" i="4"/>
  <c r="C130" i="4"/>
  <c r="C142" i="4"/>
  <c r="C154" i="4"/>
  <c r="C166" i="4"/>
  <c r="C178" i="4"/>
  <c r="C190" i="4"/>
  <c r="C202" i="4"/>
  <c r="C214" i="4"/>
  <c r="C226" i="4"/>
  <c r="C238" i="4"/>
  <c r="C250" i="4"/>
  <c r="C262" i="4"/>
  <c r="C274" i="4"/>
  <c r="C286" i="4"/>
  <c r="C298" i="4"/>
  <c r="C310" i="4"/>
  <c r="C322" i="4"/>
  <c r="C334" i="4"/>
  <c r="C346" i="4"/>
  <c r="C358" i="4"/>
  <c r="C370" i="4"/>
  <c r="C382" i="4"/>
  <c r="C11" i="4"/>
  <c r="C23" i="4"/>
  <c r="C35" i="4"/>
  <c r="C47" i="4"/>
  <c r="C59" i="4"/>
  <c r="C71" i="4"/>
  <c r="C83" i="4"/>
  <c r="C95" i="4"/>
  <c r="C107" i="4"/>
  <c r="C119" i="4"/>
  <c r="C131" i="4"/>
  <c r="C143" i="4"/>
  <c r="C155" i="4"/>
  <c r="C167" i="4"/>
  <c r="C179" i="4"/>
  <c r="C191" i="4"/>
  <c r="C203" i="4"/>
  <c r="C215" i="4"/>
  <c r="C227" i="4"/>
  <c r="C239" i="4"/>
  <c r="C251" i="4"/>
  <c r="C263" i="4"/>
  <c r="C275" i="4"/>
  <c r="C287" i="4"/>
  <c r="C299" i="4"/>
  <c r="C311" i="4"/>
  <c r="C323" i="4"/>
  <c r="C335" i="4"/>
  <c r="C347" i="4"/>
  <c r="C359" i="4"/>
  <c r="C371" i="4"/>
  <c r="C383" i="4"/>
  <c r="C12" i="4"/>
  <c r="C24" i="4"/>
  <c r="C36" i="4"/>
  <c r="C48" i="4"/>
  <c r="C60" i="4"/>
  <c r="C72" i="4"/>
  <c r="C84" i="4"/>
  <c r="C96" i="4"/>
  <c r="C108" i="4"/>
  <c r="C120" i="4"/>
  <c r="C132" i="4"/>
  <c r="C144" i="4"/>
  <c r="C156" i="4"/>
  <c r="C168" i="4"/>
  <c r="C180" i="4"/>
  <c r="C192" i="4"/>
  <c r="C204" i="4"/>
  <c r="C216" i="4"/>
  <c r="C228" i="4"/>
  <c r="C240" i="4"/>
  <c r="C252" i="4"/>
  <c r="C264" i="4"/>
  <c r="C276" i="4"/>
  <c r="C288" i="4"/>
  <c r="C300" i="4"/>
  <c r="C312" i="4"/>
  <c r="C324" i="4"/>
  <c r="C336" i="4"/>
  <c r="C348" i="4"/>
  <c r="C360" i="4"/>
  <c r="C372" i="4"/>
  <c r="C384" i="4"/>
  <c r="C13" i="4"/>
  <c r="C25" i="4"/>
  <c r="C37" i="4"/>
  <c r="C49" i="4"/>
  <c r="C61" i="4"/>
  <c r="C73" i="4"/>
  <c r="C85" i="4"/>
  <c r="C97" i="4"/>
  <c r="C109" i="4"/>
  <c r="C121" i="4"/>
  <c r="C133" i="4"/>
  <c r="C145" i="4"/>
  <c r="C157" i="4"/>
  <c r="C169" i="4"/>
  <c r="C181" i="4"/>
  <c r="C193" i="4"/>
  <c r="C205" i="4"/>
  <c r="C217" i="4"/>
  <c r="C229" i="4"/>
  <c r="C241" i="4"/>
  <c r="C253" i="4"/>
  <c r="C265" i="4"/>
  <c r="C277" i="4"/>
  <c r="C289" i="4"/>
  <c r="C301" i="4"/>
  <c r="C313" i="4"/>
  <c r="C325" i="4"/>
  <c r="C337" i="4"/>
  <c r="C349" i="4"/>
  <c r="C361" i="4"/>
  <c r="C373" i="4"/>
  <c r="C385" i="4"/>
  <c r="C14" i="4"/>
  <c r="C26" i="4"/>
  <c r="C38" i="4"/>
  <c r="C50" i="4"/>
  <c r="C62" i="4"/>
  <c r="C74" i="4"/>
  <c r="C98" i="4"/>
  <c r="C110" i="4"/>
  <c r="C122" i="4"/>
  <c r="C146" i="4"/>
  <c r="C182" i="4"/>
  <c r="C194" i="4"/>
  <c r="C206" i="4"/>
  <c r="C15" i="4"/>
  <c r="C27" i="4"/>
  <c r="C39" i="4"/>
  <c r="C51" i="4"/>
  <c r="C63" i="4"/>
  <c r="C75" i="4"/>
  <c r="C87" i="4"/>
  <c r="C99" i="4"/>
  <c r="C111" i="4"/>
  <c r="C123" i="4"/>
  <c r="C135" i="4"/>
  <c r="C147" i="4"/>
  <c r="C159" i="4"/>
  <c r="C171" i="4"/>
  <c r="C183" i="4"/>
  <c r="C195" i="4"/>
  <c r="C207" i="4"/>
  <c r="C219" i="4"/>
  <c r="C16" i="4"/>
  <c r="C28" i="4"/>
  <c r="C40" i="4"/>
  <c r="C52" i="4"/>
  <c r="C64" i="4"/>
  <c r="C76" i="4"/>
  <c r="C88" i="4"/>
  <c r="C100" i="4"/>
  <c r="C112" i="4"/>
  <c r="C124" i="4"/>
  <c r="C136" i="4"/>
  <c r="C148" i="4"/>
  <c r="C160" i="4"/>
  <c r="C172" i="4"/>
  <c r="C184" i="4"/>
  <c r="C196" i="4"/>
  <c r="C208" i="4"/>
  <c r="C220" i="4"/>
  <c r="C232" i="4"/>
  <c r="C244" i="4"/>
  <c r="C256" i="4"/>
  <c r="C268" i="4"/>
  <c r="C280" i="4"/>
  <c r="C292" i="4"/>
  <c r="C304" i="4"/>
  <c r="C316" i="4"/>
  <c r="C328" i="4"/>
  <c r="C340" i="4"/>
  <c r="C352" i="4"/>
  <c r="C364" i="4"/>
  <c r="C376" i="4"/>
  <c r="C17" i="4"/>
  <c r="C29" i="4"/>
  <c r="C41" i="4"/>
  <c r="C53" i="4"/>
  <c r="C65" i="4"/>
  <c r="C77" i="4"/>
  <c r="C89" i="4"/>
  <c r="C101" i="4"/>
  <c r="C113" i="4"/>
  <c r="C125" i="4"/>
  <c r="C137" i="4"/>
  <c r="C149" i="4"/>
  <c r="C161" i="4"/>
  <c r="C173" i="4"/>
  <c r="C185" i="4"/>
  <c r="C197" i="4"/>
  <c r="C209" i="4"/>
  <c r="C221" i="4"/>
  <c r="C233" i="4"/>
  <c r="C245" i="4"/>
  <c r="C257" i="4"/>
  <c r="C269" i="4"/>
  <c r="C281" i="4"/>
  <c r="C293" i="4"/>
  <c r="C305" i="4"/>
  <c r="C317" i="4"/>
  <c r="C329" i="4"/>
  <c r="C341" i="4"/>
  <c r="C353" i="4"/>
  <c r="C365" i="4"/>
  <c r="C377" i="4"/>
  <c r="C18" i="4"/>
  <c r="C30" i="4"/>
  <c r="C42" i="4"/>
  <c r="C54" i="4"/>
  <c r="C66" i="4"/>
  <c r="C78" i="4"/>
  <c r="C90" i="4"/>
  <c r="C102" i="4"/>
  <c r="C114" i="4"/>
  <c r="C126" i="4"/>
  <c r="C138" i="4"/>
  <c r="C150" i="4"/>
  <c r="C162" i="4"/>
  <c r="C174" i="4"/>
  <c r="C186" i="4"/>
  <c r="C198" i="4"/>
  <c r="C210" i="4"/>
  <c r="C222" i="4"/>
  <c r="C234" i="4"/>
  <c r="C246" i="4"/>
  <c r="C258" i="4"/>
  <c r="C270" i="4"/>
  <c r="C282" i="4"/>
  <c r="C19" i="4"/>
  <c r="C31" i="4"/>
  <c r="C43" i="4"/>
  <c r="C55" i="4"/>
  <c r="C67" i="4"/>
  <c r="C79" i="4"/>
  <c r="C91" i="4"/>
  <c r="C103" i="4"/>
  <c r="C115" i="4"/>
  <c r="C127" i="4"/>
  <c r="C139" i="4"/>
  <c r="C151" i="4"/>
  <c r="C163" i="4"/>
  <c r="C175" i="4"/>
  <c r="C187" i="4"/>
  <c r="C199" i="4"/>
  <c r="C211" i="4"/>
  <c r="C223" i="4"/>
  <c r="C235" i="4"/>
  <c r="C247" i="4"/>
  <c r="C259" i="4"/>
  <c r="C271" i="4"/>
  <c r="C283" i="4"/>
  <c r="C295" i="4"/>
  <c r="C307" i="4"/>
  <c r="C319" i="4"/>
  <c r="C331" i="4"/>
  <c r="C343" i="4"/>
  <c r="C355" i="4"/>
  <c r="C367" i="4"/>
  <c r="C379" i="4"/>
  <c r="C20" i="4"/>
  <c r="C32" i="4"/>
  <c r="C44" i="4"/>
  <c r="C56" i="4"/>
  <c r="C68" i="4"/>
  <c r="C80" i="4"/>
  <c r="C92" i="4"/>
  <c r="C104" i="4"/>
  <c r="C116" i="4"/>
  <c r="C128" i="4"/>
  <c r="C140" i="4"/>
  <c r="C152" i="4"/>
  <c r="C164" i="4"/>
  <c r="C176" i="4"/>
  <c r="C188" i="4"/>
  <c r="C200" i="4"/>
  <c r="C212" i="4"/>
  <c r="C224" i="4"/>
  <c r="C134" i="4"/>
  <c r="C230" i="4"/>
  <c r="C266" i="4"/>
  <c r="C297" i="4"/>
  <c r="C327" i="4"/>
  <c r="C356" i="4"/>
  <c r="C10" i="4"/>
  <c r="C141" i="4"/>
  <c r="C267" i="4"/>
  <c r="C330" i="4"/>
  <c r="C284" i="4"/>
  <c r="C315" i="4"/>
  <c r="C231" i="4"/>
  <c r="C314" i="4"/>
  <c r="C344" i="4"/>
  <c r="C345" i="4"/>
  <c r="C33" i="4"/>
  <c r="C153" i="4"/>
  <c r="C236" i="4"/>
  <c r="C272" i="4"/>
  <c r="C303" i="4"/>
  <c r="C332" i="4"/>
  <c r="C362" i="4"/>
  <c r="C342" i="4"/>
  <c r="C374" i="4"/>
  <c r="C375" i="4"/>
  <c r="C45" i="4"/>
  <c r="C158" i="4"/>
  <c r="C237" i="4"/>
  <c r="C273" i="4"/>
  <c r="C306" i="4"/>
  <c r="C333" i="4"/>
  <c r="C363" i="4"/>
  <c r="C249" i="4"/>
  <c r="C254" i="4"/>
  <c r="C57" i="4"/>
  <c r="C165" i="4"/>
  <c r="C242" i="4"/>
  <c r="C278" i="4"/>
  <c r="C308" i="4"/>
  <c r="C338" i="4"/>
  <c r="C366" i="4"/>
  <c r="C177" i="4"/>
  <c r="C189" i="4"/>
  <c r="C290" i="4"/>
  <c r="C69" i="4"/>
  <c r="C170" i="4"/>
  <c r="C243" i="4"/>
  <c r="C279" i="4"/>
  <c r="C309" i="4"/>
  <c r="C339" i="4"/>
  <c r="C368" i="4"/>
  <c r="C81" i="4"/>
  <c r="C86" i="4"/>
  <c r="C318" i="4"/>
  <c r="C105" i="4"/>
  <c r="C213" i="4"/>
  <c r="C255" i="4"/>
  <c r="C291" i="4"/>
  <c r="C320" i="4"/>
  <c r="C350" i="4"/>
  <c r="C378" i="4"/>
  <c r="C117" i="4"/>
  <c r="C218" i="4"/>
  <c r="C260" i="4"/>
  <c r="C294" i="4"/>
  <c r="C321" i="4"/>
  <c r="C351" i="4"/>
  <c r="C380" i="4"/>
  <c r="C129" i="4"/>
  <c r="C225" i="4"/>
  <c r="C261" i="4"/>
  <c r="C296" i="4"/>
  <c r="C326" i="4"/>
  <c r="C354" i="4"/>
  <c r="C381" i="4"/>
  <c r="C21" i="4"/>
  <c r="C302" i="4"/>
  <c r="C357" i="4"/>
  <c r="C369" i="4"/>
  <c r="C285" i="4"/>
  <c r="C201" i="4"/>
  <c r="C248" i="4"/>
  <c r="C93" i="4"/>
  <c r="F10" i="2"/>
  <c r="K10" i="2" s="1"/>
  <c r="F8" i="4" l="1"/>
  <c r="F9" i="4" s="1"/>
  <c r="C8" i="2" s="1"/>
  <c r="C13" i="2" l="1"/>
  <c r="G12" i="2" s="1"/>
  <c r="C12" i="2"/>
  <c r="G8" i="2" s="1"/>
  <c r="H10" i="2" l="1"/>
  <c r="H11" i="2" s="1"/>
  <c r="H6" i="2"/>
  <c r="H7" i="2" s="1"/>
  <c r="C14" i="2"/>
  <c r="C15" i="2" s="1"/>
  <c r="H14" i="2"/>
  <c r="H15" i="2" s="1"/>
  <c r="G26" i="2" s="1"/>
  <c r="L12" i="2"/>
  <c r="G9" i="2" l="1"/>
  <c r="F26" i="2"/>
  <c r="M14" i="2"/>
  <c r="K26" i="2" s="1"/>
  <c r="L8" i="2"/>
  <c r="H24" i="2"/>
  <c r="H28" i="2" s="1"/>
  <c r="M24" i="2"/>
  <c r="M29" i="2" s="1"/>
  <c r="M15" i="2" l="1"/>
  <c r="L26" i="2" s="1"/>
  <c r="H26" i="2"/>
  <c r="M26" i="2"/>
  <c r="F24" i="2"/>
  <c r="M6" i="2"/>
  <c r="M10" i="2"/>
  <c r="F25" i="2"/>
  <c r="H25" i="2"/>
  <c r="M25" i="2"/>
  <c r="M28" i="2" l="1"/>
  <c r="H29" i="2"/>
  <c r="G24" i="2"/>
  <c r="K25" i="2"/>
  <c r="M11" i="2"/>
  <c r="G13" i="2"/>
  <c r="G25" i="2"/>
  <c r="M7" i="2"/>
  <c r="K24" i="2"/>
  <c r="F11" i="2" l="1"/>
  <c r="F17" i="2" s="1"/>
  <c r="G32" i="2"/>
  <c r="G33" i="2" s="1"/>
  <c r="L13" i="2"/>
  <c r="L25" i="2"/>
  <c r="L9" i="2"/>
  <c r="L24" i="2"/>
  <c r="L32" i="2" l="1"/>
  <c r="L33" i="2" s="1"/>
  <c r="K11" i="2"/>
  <c r="K1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Enrique Garcia</author>
  </authors>
  <commentList>
    <comment ref="G9" authorId="0" shapeId="0" xr:uid="{D554F242-9053-48E7-8566-F2B9FD255380}">
      <text>
        <r>
          <rPr>
            <b/>
            <sz val="9"/>
            <color indexed="81"/>
            <rFont val="Tahoma"/>
            <family val="2"/>
          </rPr>
          <t xml:space="preserve">Valor * probabilidad
luego traerlo a valor presente
</t>
        </r>
      </text>
    </comment>
    <comment ref="G23" authorId="0" shapeId="0" xr:uid="{AE6D8DFD-52A2-4469-8FF2-7C90810021FC}">
      <text>
        <r>
          <rPr>
            <b/>
            <sz val="9"/>
            <color indexed="81"/>
            <rFont val="Tahoma"/>
            <family val="2"/>
          </rPr>
          <t xml:space="preserve">Valor Intrinseco
</t>
        </r>
        <r>
          <rPr>
            <sz val="9"/>
            <color indexed="81"/>
            <rFont val="Tahoma"/>
            <family val="2"/>
          </rPr>
          <t xml:space="preserve">
</t>
        </r>
      </text>
    </comment>
    <comment ref="L23" authorId="0" shapeId="0" xr:uid="{61B3DAC8-73BC-4B91-B916-26637749FBF2}">
      <text>
        <r>
          <rPr>
            <b/>
            <sz val="9"/>
            <color indexed="81"/>
            <rFont val="Tahoma"/>
            <family val="2"/>
          </rPr>
          <t xml:space="preserve">Valor Intrinseco
</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54">
    <bk>
      <extLst>
        <ext uri="{3e2802c4-a4d2-4d8b-9148-e3be6c30e623}">
          <xlrd:rvb i="2"/>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futureMetadata>
  <cellMetadata count="1">
    <bk>
      <rc t="1" v="0"/>
    </bk>
  </cellMetadata>
  <valueMetadata count="75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valueMetadata>
</metadata>
</file>

<file path=xl/sharedStrings.xml><?xml version="1.0" encoding="utf-8"?>
<sst xmlns="http://schemas.openxmlformats.org/spreadsheetml/2006/main" count="84" uniqueCount="71">
  <si>
    <t>Valuación de Opciones</t>
  </si>
  <si>
    <t xml:space="preserve"> </t>
  </si>
  <si>
    <t>Aplicación</t>
  </si>
  <si>
    <t>Precios de Opciones</t>
  </si>
  <si>
    <t>Descripción</t>
  </si>
  <si>
    <t>Determinar el precio de las opciones call y put mediante el modelo de Cox-Rubinstein o Modelo Binomial</t>
  </si>
  <si>
    <t>Ponente</t>
  </si>
  <si>
    <t>Jorge Luis Reyes García</t>
  </si>
  <si>
    <t>jorgeluis.reyes@ciencias.unam.mx</t>
  </si>
  <si>
    <t>Modelo Cox-Rubinstein o Modelo Binomial</t>
  </si>
  <si>
    <t>Spot</t>
  </si>
  <si>
    <t>Strike</t>
  </si>
  <si>
    <t>Tasa libre de riesgo</t>
  </si>
  <si>
    <t>Call</t>
  </si>
  <si>
    <t>Put</t>
  </si>
  <si>
    <t>u</t>
  </si>
  <si>
    <t>d</t>
  </si>
  <si>
    <t>proba alza (p)</t>
  </si>
  <si>
    <t>proba baja (1-p)</t>
  </si>
  <si>
    <t>t=0</t>
  </si>
  <si>
    <t>Proceso de cadenas de Markov</t>
  </si>
  <si>
    <t>precio</t>
  </si>
  <si>
    <t>payoff</t>
  </si>
  <si>
    <t>St</t>
  </si>
  <si>
    <t>Probabilidad de Ocurrencia</t>
  </si>
  <si>
    <t>VI</t>
  </si>
  <si>
    <t>=COMBIN(2,2)*$C$14*$C$14</t>
  </si>
  <si>
    <t>=COMBIN(2,1)*$C$14*$C$15</t>
  </si>
  <si>
    <t>=COMBIN(2,0)*$C$15*$C$15</t>
  </si>
  <si>
    <t>Probabilidad de NO ganar dinero</t>
  </si>
  <si>
    <t>Probabilidad de Ganar dinero</t>
  </si>
  <si>
    <t>E(x)</t>
  </si>
  <si>
    <t>Lo que espero cobrar</t>
  </si>
  <si>
    <t>Prima Call</t>
  </si>
  <si>
    <t>Valor de la prima en tiempo t=0</t>
  </si>
  <si>
    <t>=SUMPRODUCT(G24:G26,H24:H26)</t>
  </si>
  <si>
    <t>=H31*EXP(-$C$10*2*C11)</t>
  </si>
  <si>
    <t>Esperanza de la funcion de densidad:</t>
  </si>
  <si>
    <t>=MAX($C$8-M6,0)</t>
  </si>
  <si>
    <t>=MAX(H6-$C$8,0)</t>
  </si>
  <si>
    <t>=((M7*$C$14)+(M11*$C$15))*EXP(-$C$10*$C$11)</t>
  </si>
  <si>
    <t>=((H7*$C$14)+(H11*$C$15))*EXP(-$C$10*$C$11)</t>
  </si>
  <si>
    <t xml:space="preserve">0.38 serian el valor extrinseco y 10 el valor </t>
  </si>
  <si>
    <t>La prima corresponde a la gnancia potencial que tiene el contrato</t>
  </si>
  <si>
    <t>que corresponde al valor extrinseco (valor tiempo) porque de inicio el vendedor</t>
  </si>
  <si>
    <t>esta en una ventaja y el comprador en desventaja porque tendria en el tiempo 0</t>
  </si>
  <si>
    <t>comprar en 60 algo que esta en 50, por eso se dice que desde el inicio esta en desventaje</t>
  </si>
  <si>
    <t>Proceso de Martin-Gala: probabilidades condicionales</t>
  </si>
  <si>
    <t>Interday Return</t>
  </si>
  <si>
    <t>Volatility</t>
  </si>
  <si>
    <t>Anualized Volatility</t>
  </si>
  <si>
    <t>Annualized Volatility of Asset</t>
  </si>
  <si>
    <t>&lt;- input here</t>
  </si>
  <si>
    <t>US10Y</t>
  </si>
  <si>
    <t>Maturity</t>
  </si>
  <si>
    <t>Yield Yesterday</t>
  </si>
  <si>
    <t>Instrument</t>
  </si>
  <si>
    <t xml:space="preserve"> input here -&gt;</t>
  </si>
  <si>
    <t>Risk Free Rate</t>
  </si>
  <si>
    <r>
      <t>Volatilidad (anual)</t>
    </r>
    <r>
      <rPr>
        <b/>
        <sz val="12"/>
        <color theme="1"/>
        <rFont val="Calibri"/>
        <family val="2"/>
      </rPr>
      <t xml:space="preserve"> </t>
    </r>
    <r>
      <rPr>
        <b/>
        <sz val="12"/>
        <color theme="1"/>
        <rFont val="Aptos Narrow"/>
        <family val="2"/>
      </rPr>
      <t>σ</t>
    </r>
  </si>
  <si>
    <t>Last Trade Time</t>
  </si>
  <si>
    <t>[Previous Close]</t>
  </si>
  <si>
    <t>[Last Trade Time]</t>
  </si>
  <si>
    <t>[Price]</t>
  </si>
  <si>
    <t>(input here)</t>
  </si>
  <si>
    <t>Expiration Date</t>
  </si>
  <si>
    <t>Tiempo / step (nth of a year)</t>
  </si>
  <si>
    <t>t=n/360</t>
  </si>
  <si>
    <t>t=2n/360</t>
  </si>
  <si>
    <t>Si el Valor teorico es mayor al del Mercado, esta undervalued. Comprar!</t>
  </si>
  <si>
    <t>Si el Valor teorico es menor al del Mercado, esta overvalued. Vender a opcion!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</si>
</sst>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_-* #,##0.00_-;\-* #,##0.00_-;_-* &quot;-&quot;??_-;_-@"/>
    <numFmt numFmtId="165" formatCode="_-* #,##0.00000000_-;\-* #,##0.00000000_-;_-* &quot;-&quot;??_-;_-@"/>
    <numFmt numFmtId="166" formatCode="_-* #,##0.00000_-;\-* #,##0.00000_-;_-* &quot;-&quot;??_-;_-@"/>
    <numFmt numFmtId="167" formatCode="&quot;$&quot;#,##0.00"/>
    <numFmt numFmtId="168" formatCode="_(* #,##0.00000_);_(* \(#,##0.00000\);_(* &quot;-&quot;??_);_(@_)"/>
    <numFmt numFmtId="169" formatCode="_-* #,##0.0000_-;\-* #,##0.0000_-;_-* &quot;-&quot;??_-;_-@"/>
    <numFmt numFmtId="170" formatCode="_(&quot;$&quot;* #,##0.0000_);_(&quot;$&quot;* \(#,##0.0000\);_(&quot;$&quot;* &quot;-&quot;??_);_(@_)"/>
    <numFmt numFmtId="171" formatCode="_([$$-409]* #,##0.00_);_([$$-409]* \(#,##0.00\);_([$$-409]* &quot;-&quot;??_);_(@_)"/>
    <numFmt numFmtId="172" formatCode="0.0%"/>
    <numFmt numFmtId="173" formatCode="0.000%"/>
  </numFmts>
  <fonts count="25" x14ac:knownFonts="1">
    <font>
      <sz val="11"/>
      <color theme="1"/>
      <name val="Calibri"/>
      <scheme val="minor"/>
    </font>
    <font>
      <sz val="11"/>
      <color theme="1"/>
      <name val="Calibri"/>
      <family val="2"/>
      <scheme val="minor"/>
    </font>
    <font>
      <sz val="11"/>
      <color theme="1"/>
      <name val="Calibri"/>
      <family val="2"/>
    </font>
    <font>
      <b/>
      <sz val="20"/>
      <color theme="1"/>
      <name val="Calibri"/>
      <family val="2"/>
    </font>
    <font>
      <b/>
      <sz val="14"/>
      <color theme="1"/>
      <name val="Calibri"/>
      <family val="2"/>
    </font>
    <font>
      <sz val="12"/>
      <color theme="1"/>
      <name val="Calibri"/>
      <family val="2"/>
    </font>
    <font>
      <b/>
      <sz val="12"/>
      <color theme="1"/>
      <name val="Calibri"/>
      <family val="2"/>
    </font>
    <font>
      <u/>
      <sz val="11"/>
      <color theme="10"/>
      <name val="Calibri"/>
      <family val="2"/>
    </font>
    <font>
      <b/>
      <sz val="11"/>
      <color theme="1"/>
      <name val="Calibri"/>
      <family val="2"/>
    </font>
    <font>
      <sz val="11"/>
      <name val="Calibri"/>
      <family val="2"/>
    </font>
    <font>
      <sz val="11"/>
      <color theme="1"/>
      <name val="Calibri"/>
      <family val="2"/>
      <scheme val="minor"/>
    </font>
    <font>
      <sz val="9"/>
      <color indexed="81"/>
      <name val="Tahoma"/>
      <family val="2"/>
    </font>
    <font>
      <b/>
      <sz val="9"/>
      <color indexed="81"/>
      <name val="Tahoma"/>
      <family val="2"/>
    </font>
    <font>
      <sz val="8"/>
      <color rgb="FFFF0000"/>
      <name val="Calibri"/>
      <family val="2"/>
    </font>
    <font>
      <sz val="8"/>
      <color rgb="FFFF0000"/>
      <name val="Calibri"/>
      <family val="2"/>
      <scheme val="minor"/>
    </font>
    <font>
      <b/>
      <sz val="16"/>
      <color theme="0"/>
      <name val="Calibri"/>
      <family val="2"/>
      <scheme val="minor"/>
    </font>
    <font>
      <b/>
      <sz val="12"/>
      <color theme="0"/>
      <name val="Calibri"/>
      <family val="2"/>
      <scheme val="minor"/>
    </font>
    <font>
      <b/>
      <sz val="12"/>
      <name val="Calibri"/>
      <family val="2"/>
      <scheme val="minor"/>
    </font>
    <font>
      <sz val="12"/>
      <name val="Calibri"/>
      <family val="2"/>
      <scheme val="minor"/>
    </font>
    <font>
      <b/>
      <sz val="11"/>
      <color rgb="FF0070C0"/>
      <name val="Calibri"/>
      <family val="2"/>
      <scheme val="minor"/>
    </font>
    <font>
      <b/>
      <sz val="12"/>
      <color theme="1"/>
      <name val="Aptos Narrow"/>
      <family val="2"/>
    </font>
    <font>
      <sz val="10"/>
      <name val="Calibri"/>
      <family val="2"/>
      <scheme val="minor"/>
    </font>
    <font>
      <b/>
      <sz val="10"/>
      <color theme="0"/>
      <name val="Calibri"/>
      <family val="2"/>
      <scheme val="minor"/>
    </font>
    <font>
      <sz val="10"/>
      <color theme="1"/>
      <name val="Calibri"/>
      <family val="2"/>
      <scheme val="minor"/>
    </font>
    <font>
      <b/>
      <sz val="11"/>
      <color rgb="FF0070C0"/>
      <name val="Calibri"/>
      <family val="2"/>
    </font>
  </fonts>
  <fills count="15">
    <fill>
      <patternFill patternType="none"/>
    </fill>
    <fill>
      <patternFill patternType="gray125"/>
    </fill>
    <fill>
      <patternFill patternType="solid">
        <fgColor rgb="FF002060"/>
        <bgColor rgb="FF002060"/>
      </patternFill>
    </fill>
    <fill>
      <patternFill patternType="solid">
        <fgColor theme="0"/>
        <bgColor theme="0"/>
      </patternFill>
    </fill>
    <fill>
      <patternFill patternType="solid">
        <fgColor rgb="FFF7CAAC"/>
        <bgColor rgb="FFF7CAAC"/>
      </patternFill>
    </fill>
    <fill>
      <patternFill patternType="solid">
        <fgColor rgb="FFD8D8D8"/>
        <bgColor rgb="FFD8D8D8"/>
      </patternFill>
    </fill>
    <fill>
      <patternFill patternType="solid">
        <fgColor rgb="FFC5E0B3"/>
        <bgColor rgb="FFC5E0B3"/>
      </patternFill>
    </fill>
    <fill>
      <patternFill patternType="solid">
        <fgColor theme="7" tint="0.79998168889431442"/>
        <bgColor theme="0"/>
      </patternFill>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
      <patternFill patternType="solid">
        <fgColor theme="2"/>
        <bgColor indexed="64"/>
      </patternFill>
    </fill>
    <fill>
      <patternFill patternType="solid">
        <fgColor theme="2" tint="-0.14999847407452621"/>
        <bgColor theme="0"/>
      </patternFill>
    </fill>
    <fill>
      <patternFill patternType="solid">
        <fgColor theme="8" tint="0.79998168889431442"/>
        <bgColor indexed="64"/>
      </patternFill>
    </fill>
    <fill>
      <patternFill patternType="solid">
        <fgColor theme="8" tint="0.79998168889431442"/>
        <bgColor theme="0"/>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0" fillId="0" borderId="0" applyFont="0" applyFill="0" applyBorder="0" applyAlignment="0" applyProtection="0"/>
    <xf numFmtId="9" fontId="10" fillId="0" borderId="0" applyFont="0" applyFill="0" applyBorder="0" applyAlignment="0" applyProtection="0"/>
  </cellStyleXfs>
  <cellXfs count="84">
    <xf numFmtId="0" fontId="0" fillId="0" borderId="0" xfId="0" applyFont="1" applyAlignment="1"/>
    <xf numFmtId="0" fontId="2" fillId="2" borderId="1" xfId="0" applyFont="1" applyFill="1" applyBorder="1"/>
    <xf numFmtId="0" fontId="2" fillId="3" borderId="1" xfId="0" applyFont="1" applyFill="1" applyBorder="1"/>
    <xf numFmtId="0" fontId="3" fillId="3" borderId="1" xfId="0" applyFont="1" applyFill="1" applyBorder="1" applyAlignment="1">
      <alignment horizontal="left"/>
    </xf>
    <xf numFmtId="0" fontId="4" fillId="3" borderId="1" xfId="0" applyFont="1" applyFill="1" applyBorder="1" applyAlignment="1">
      <alignment horizontal="left"/>
    </xf>
    <xf numFmtId="0" fontId="5" fillId="3" borderId="1" xfId="0" applyFont="1" applyFill="1" applyBorder="1"/>
    <xf numFmtId="0" fontId="6" fillId="3" borderId="1" xfId="0" applyFont="1" applyFill="1" applyBorder="1"/>
    <xf numFmtId="0" fontId="7" fillId="3" borderId="1" xfId="0" applyFont="1" applyFill="1" applyBorder="1"/>
    <xf numFmtId="0" fontId="4" fillId="3" borderId="1" xfId="0" applyFont="1" applyFill="1" applyBorder="1"/>
    <xf numFmtId="0" fontId="8" fillId="3" borderId="1" xfId="0" applyFont="1" applyFill="1" applyBorder="1"/>
    <xf numFmtId="0" fontId="8" fillId="4" borderId="1" xfId="0" applyFont="1" applyFill="1" applyBorder="1" applyAlignment="1">
      <alignment horizontal="center"/>
    </xf>
    <xf numFmtId="164" fontId="8" fillId="5" borderId="2" xfId="0" applyNumberFormat="1" applyFont="1" applyFill="1" applyBorder="1"/>
    <xf numFmtId="164" fontId="2" fillId="3" borderId="2" xfId="0" applyNumberFormat="1" applyFont="1" applyFill="1" applyBorder="1"/>
    <xf numFmtId="164" fontId="2" fillId="3" borderId="1" xfId="0" applyNumberFormat="1" applyFont="1" applyFill="1" applyBorder="1"/>
    <xf numFmtId="166" fontId="2" fillId="3" borderId="1" xfId="0" applyNumberFormat="1" applyFont="1" applyFill="1" applyBorder="1"/>
    <xf numFmtId="0" fontId="2" fillId="7" borderId="1" xfId="0" applyFont="1" applyFill="1" applyBorder="1"/>
    <xf numFmtId="164" fontId="2" fillId="7" borderId="2" xfId="0" applyNumberFormat="1" applyFont="1" applyFill="1" applyBorder="1"/>
    <xf numFmtId="167" fontId="2" fillId="3" borderId="5" xfId="0" applyNumberFormat="1" applyFont="1" applyFill="1" applyBorder="1" applyAlignment="1">
      <alignment horizontal="center" vertical="center"/>
    </xf>
    <xf numFmtId="0" fontId="2" fillId="3" borderId="5" xfId="0" applyFont="1" applyFill="1" applyBorder="1" applyAlignment="1">
      <alignment horizontal="center" vertical="center"/>
    </xf>
    <xf numFmtId="170" fontId="2" fillId="3" borderId="1" xfId="1" applyNumberFormat="1" applyFont="1" applyFill="1" applyBorder="1"/>
    <xf numFmtId="44" fontId="2" fillId="7" borderId="1" xfId="1" applyNumberFormat="1" applyFont="1" applyFill="1" applyBorder="1"/>
    <xf numFmtId="0" fontId="0" fillId="8" borderId="0" xfId="0" applyFont="1" applyFill="1" applyAlignment="1"/>
    <xf numFmtId="0" fontId="2" fillId="3" borderId="5" xfId="0" applyFont="1" applyFill="1" applyBorder="1" applyAlignment="1">
      <alignment horizontal="center" vertical="center" wrapText="1"/>
    </xf>
    <xf numFmtId="0" fontId="2" fillId="3" borderId="1" xfId="0" applyFont="1" applyFill="1" applyBorder="1" applyAlignment="1">
      <alignment horizontal="right"/>
    </xf>
    <xf numFmtId="0" fontId="13" fillId="3" borderId="1" xfId="0" quotePrefix="1" applyFont="1" applyFill="1" applyBorder="1"/>
    <xf numFmtId="0" fontId="14" fillId="8" borderId="0" xfId="0" quotePrefix="1" applyFont="1" applyFill="1" applyAlignment="1"/>
    <xf numFmtId="43" fontId="14" fillId="8" borderId="0" xfId="0" quotePrefix="1" applyNumberFormat="1" applyFont="1" applyFill="1" applyAlignment="1"/>
    <xf numFmtId="164" fontId="2" fillId="7" borderId="1" xfId="0" applyNumberFormat="1" applyFont="1" applyFill="1" applyBorder="1"/>
    <xf numFmtId="14" fontId="0" fillId="8" borderId="0" xfId="0" applyNumberFormat="1" applyFont="1" applyFill="1" applyAlignment="1"/>
    <xf numFmtId="10" fontId="0" fillId="8" borderId="0" xfId="2" applyNumberFormat="1" applyFont="1" applyFill="1" applyAlignment="1"/>
    <xf numFmtId="0" fontId="0" fillId="8" borderId="0" xfId="0" applyFont="1" applyFill="1" applyAlignment="1">
      <alignment horizontal="center"/>
    </xf>
    <xf numFmtId="0" fontId="15" fillId="9" borderId="0" xfId="0" applyFont="1" applyFill="1" applyAlignment="1"/>
    <xf numFmtId="0" fontId="17" fillId="8" borderId="0" xfId="0" applyFont="1" applyFill="1" applyAlignment="1">
      <alignment horizontal="center" vertical="center" wrapText="1"/>
    </xf>
    <xf numFmtId="0" fontId="15" fillId="9" borderId="0" xfId="0" applyFont="1" applyFill="1" applyAlignment="1">
      <alignment horizontal="center"/>
    </xf>
    <xf numFmtId="0" fontId="17" fillId="8" borderId="1" xfId="0" applyFont="1" applyFill="1" applyBorder="1" applyAlignment="1">
      <alignment horizontal="center" vertical="center" wrapText="1"/>
    </xf>
    <xf numFmtId="0" fontId="16" fillId="9" borderId="5" xfId="0" applyFont="1" applyFill="1" applyBorder="1" applyAlignment="1">
      <alignment horizontal="center" vertical="center" wrapText="1"/>
    </xf>
    <xf numFmtId="0" fontId="0" fillId="8" borderId="5" xfId="0" applyFont="1" applyFill="1" applyBorder="1" applyAlignment="1">
      <alignment horizontal="center"/>
    </xf>
    <xf numFmtId="0" fontId="0" fillId="8" borderId="5" xfId="0" applyFont="1" applyFill="1" applyBorder="1" applyAlignment="1"/>
    <xf numFmtId="10" fontId="0" fillId="8" borderId="5" xfId="2" applyNumberFormat="1" applyFont="1" applyFill="1" applyBorder="1" applyAlignment="1">
      <alignment horizontal="center"/>
    </xf>
    <xf numFmtId="0" fontId="17" fillId="8" borderId="5" xfId="0" applyFont="1" applyFill="1" applyBorder="1" applyAlignment="1">
      <alignment horizontal="left" vertical="center" wrapText="1"/>
    </xf>
    <xf numFmtId="0" fontId="17" fillId="10" borderId="5" xfId="0" applyFont="1" applyFill="1" applyBorder="1" applyAlignment="1">
      <alignment horizontal="left" vertical="center" wrapText="1"/>
    </xf>
    <xf numFmtId="0" fontId="1" fillId="8" borderId="0" xfId="0" applyFont="1" applyFill="1" applyAlignment="1"/>
    <xf numFmtId="44" fontId="16" fillId="9" borderId="6" xfId="1" applyFont="1" applyFill="1" applyBorder="1" applyAlignment="1">
      <alignment horizontal="center" vertical="center" wrapText="1"/>
    </xf>
    <xf numFmtId="44" fontId="18" fillId="11" borderId="1" xfId="1" applyFont="1" applyFill="1" applyBorder="1" applyAlignment="1">
      <alignment horizontal="center" vertical="center" wrapText="1"/>
    </xf>
    <xf numFmtId="0" fontId="15" fillId="11" borderId="0" xfId="0" applyFont="1" applyFill="1" applyAlignment="1"/>
    <xf numFmtId="0" fontId="19" fillId="8" borderId="0" xfId="0" quotePrefix="1" applyFont="1" applyFill="1" applyAlignment="1"/>
    <xf numFmtId="10" fontId="0" fillId="8" borderId="0" xfId="0" applyNumberFormat="1" applyFont="1" applyFill="1" applyAlignment="1"/>
    <xf numFmtId="0" fontId="1" fillId="8" borderId="5" xfId="0" applyFont="1" applyFill="1" applyBorder="1" applyAlignment="1">
      <alignment horizontal="center"/>
    </xf>
    <xf numFmtId="14" fontId="0" fillId="8" borderId="5" xfId="0" applyNumberFormat="1" applyFont="1" applyFill="1" applyBorder="1" applyAlignment="1">
      <alignment horizontal="center"/>
    </xf>
    <xf numFmtId="0" fontId="19" fillId="8" borderId="0" xfId="0" quotePrefix="1" applyFont="1" applyFill="1" applyAlignment="1">
      <alignment horizontal="center"/>
    </xf>
    <xf numFmtId="173" fontId="0" fillId="8" borderId="1" xfId="2" applyNumberFormat="1" applyFont="1" applyFill="1" applyBorder="1" applyAlignment="1">
      <alignment horizontal="center" vertical="center"/>
    </xf>
    <xf numFmtId="0" fontId="15" fillId="8" borderId="0" xfId="0" applyFont="1" applyFill="1" applyAlignment="1">
      <alignment horizontal="center"/>
    </xf>
    <xf numFmtId="0" fontId="15" fillId="8" borderId="0" xfId="0" applyFont="1" applyFill="1" applyAlignment="1"/>
    <xf numFmtId="10" fontId="0" fillId="13" borderId="5" xfId="0" applyNumberFormat="1" applyFont="1" applyFill="1" applyBorder="1" applyAlignment="1">
      <alignment horizontal="center"/>
    </xf>
    <xf numFmtId="10" fontId="0" fillId="8" borderId="5" xfId="2" applyNumberFormat="1" applyFont="1" applyFill="1" applyBorder="1" applyAlignment="1">
      <alignment horizontal="center" vertical="center"/>
    </xf>
    <xf numFmtId="10" fontId="0" fillId="10" borderId="5" xfId="2" applyNumberFormat="1" applyFont="1" applyFill="1" applyBorder="1" applyAlignment="1">
      <alignment horizontal="center" vertical="center"/>
    </xf>
    <xf numFmtId="168" fontId="2" fillId="3" borderId="5" xfId="0" applyNumberFormat="1" applyFont="1" applyFill="1" applyBorder="1" applyAlignment="1">
      <alignment horizontal="center"/>
    </xf>
    <xf numFmtId="0" fontId="2" fillId="3" borderId="1" xfId="0" applyFont="1" applyFill="1" applyBorder="1" applyAlignment="1">
      <alignment horizontal="center"/>
    </xf>
    <xf numFmtId="172" fontId="2" fillId="3" borderId="1" xfId="2" applyNumberFormat="1" applyFont="1" applyFill="1" applyBorder="1" applyAlignment="1">
      <alignment horizontal="center"/>
    </xf>
    <xf numFmtId="0" fontId="0" fillId="10" borderId="5" xfId="0" applyFont="1" applyFill="1" applyBorder="1" applyAlignment="1"/>
    <xf numFmtId="171" fontId="0" fillId="8" borderId="5" xfId="0" applyNumberFormat="1" applyFont="1" applyFill="1" applyBorder="1" applyAlignment="1"/>
    <xf numFmtId="22" fontId="0" fillId="8" borderId="5" xfId="0" applyNumberFormat="1" applyFont="1" applyFill="1" applyBorder="1" applyAlignment="1">
      <alignment horizontal="center"/>
    </xf>
    <xf numFmtId="22" fontId="0" fillId="8" borderId="5" xfId="0" applyNumberFormat="1" applyFont="1" applyFill="1" applyBorder="1" applyAlignment="1"/>
    <xf numFmtId="0" fontId="21" fillId="8" borderId="5" xfId="0" applyFont="1" applyFill="1" applyBorder="1" applyAlignment="1">
      <alignment horizontal="center" vertical="center"/>
    </xf>
    <xf numFmtId="0" fontId="22" fillId="11" borderId="0" xfId="0" applyFont="1" applyFill="1" applyAlignment="1"/>
    <xf numFmtId="0" fontId="23" fillId="11" borderId="0" xfId="0" applyFont="1" applyFill="1" applyAlignment="1"/>
    <xf numFmtId="0" fontId="23" fillId="8" borderId="0" xfId="0" applyFont="1" applyFill="1" applyAlignment="1"/>
    <xf numFmtId="171" fontId="0" fillId="10" borderId="5" xfId="0" applyNumberFormat="1" applyFont="1" applyFill="1" applyBorder="1" applyAlignment="1"/>
    <xf numFmtId="0" fontId="8" fillId="5" borderId="5" xfId="0" applyFont="1" applyFill="1" applyBorder="1"/>
    <xf numFmtId="164" fontId="2" fillId="7" borderId="5" xfId="0" applyNumberFormat="1" applyFont="1" applyFill="1" applyBorder="1"/>
    <xf numFmtId="164" fontId="8" fillId="3" borderId="5" xfId="0" applyNumberFormat="1" applyFont="1" applyFill="1" applyBorder="1"/>
    <xf numFmtId="10" fontId="2" fillId="7" borderId="5" xfId="0" applyNumberFormat="1" applyFont="1" applyFill="1" applyBorder="1"/>
    <xf numFmtId="10" fontId="2" fillId="14" borderId="5" xfId="0" applyNumberFormat="1" applyFont="1" applyFill="1" applyBorder="1"/>
    <xf numFmtId="164" fontId="2" fillId="12" borderId="5" xfId="0" applyNumberFormat="1" applyFont="1" applyFill="1" applyBorder="1"/>
    <xf numFmtId="166" fontId="2" fillId="12" borderId="5" xfId="0" applyNumberFormat="1" applyFont="1" applyFill="1" applyBorder="1"/>
    <xf numFmtId="0" fontId="1" fillId="8" borderId="0" xfId="0" applyFont="1" applyFill="1" applyAlignment="1">
      <alignment horizontal="center"/>
    </xf>
    <xf numFmtId="165" fontId="2" fillId="3" borderId="1" xfId="0" applyNumberFormat="1" applyFont="1" applyFill="1" applyBorder="1"/>
    <xf numFmtId="14" fontId="8" fillId="3" borderId="5" xfId="0" applyNumberFormat="1" applyFont="1" applyFill="1" applyBorder="1"/>
    <xf numFmtId="169" fontId="2" fillId="12" borderId="5" xfId="0" applyNumberFormat="1" applyFont="1" applyFill="1" applyBorder="1"/>
    <xf numFmtId="0" fontId="24" fillId="3" borderId="1" xfId="0" applyFont="1" applyFill="1" applyBorder="1"/>
    <xf numFmtId="0" fontId="19" fillId="8" borderId="0" xfId="0" applyFont="1" applyFill="1" applyAlignment="1"/>
    <xf numFmtId="0" fontId="15" fillId="9" borderId="0" xfId="0" applyFont="1" applyFill="1" applyAlignment="1">
      <alignment horizontal="center"/>
    </xf>
    <xf numFmtId="0" fontId="8" fillId="6" borderId="3" xfId="0" applyFont="1" applyFill="1" applyBorder="1" applyAlignment="1">
      <alignment horizontal="center" vertical="center"/>
    </xf>
    <xf numFmtId="0" fontId="9" fillId="0" borderId="4" xfId="0" applyFont="1" applyBorder="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ichStyles" Target="richData/richStyles.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9525</xdr:colOff>
      <xdr:row>17</xdr:row>
      <xdr:rowOff>85725</xdr:rowOff>
    </xdr:from>
    <xdr:ext cx="8953500" cy="1495425"/>
    <xdr:pic>
      <xdr:nvPicPr>
        <xdr:cNvPr id="2" name="image1.jpg" descr="Resultado de imagen para risk management consulti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179021</xdr:colOff>
      <xdr:row>16</xdr:row>
      <xdr:rowOff>0</xdr:rowOff>
    </xdr:from>
    <xdr:to>
      <xdr:col>1</xdr:col>
      <xdr:colOff>1037000</xdr:colOff>
      <xdr:row>18</xdr:row>
      <xdr:rowOff>54713</xdr:rowOff>
    </xdr:to>
    <xdr:pic>
      <xdr:nvPicPr>
        <xdr:cNvPr id="2" name="Picture 1">
          <a:extLst>
            <a:ext uri="{FF2B5EF4-FFF2-40B4-BE49-F238E27FC236}">
              <a16:creationId xmlns:a16="http://schemas.microsoft.com/office/drawing/2014/main" id="{81E56B9E-2E0A-B2E9-5E14-1CD287EFAA27}"/>
            </a:ext>
          </a:extLst>
        </xdr:cNvPr>
        <xdr:cNvPicPr>
          <a:picLocks noChangeAspect="1"/>
        </xdr:cNvPicPr>
      </xdr:nvPicPr>
      <xdr:blipFill>
        <a:blip xmlns:r="http://schemas.openxmlformats.org/officeDocument/2006/relationships" r:embed="rId1"/>
        <a:stretch>
          <a:fillRect/>
        </a:stretch>
      </xdr:blipFill>
      <xdr:spPr>
        <a:xfrm>
          <a:off x="179021" y="2989385"/>
          <a:ext cx="1114421" cy="421059"/>
        </a:xfrm>
        <a:prstGeom prst="rect">
          <a:avLst/>
        </a:prstGeom>
      </xdr:spPr>
    </xdr:pic>
    <xdr:clientData/>
  </xdr:twoCellAnchor>
  <xdr:twoCellAnchor editAs="oneCell">
    <xdr:from>
      <xdr:col>0</xdr:col>
      <xdr:colOff>182196</xdr:colOff>
      <xdr:row>18</xdr:row>
      <xdr:rowOff>58776</xdr:rowOff>
    </xdr:from>
    <xdr:to>
      <xdr:col>1</xdr:col>
      <xdr:colOff>1226635</xdr:colOff>
      <xdr:row>20</xdr:row>
      <xdr:rowOff>114423</xdr:rowOff>
    </xdr:to>
    <xdr:pic>
      <xdr:nvPicPr>
        <xdr:cNvPr id="3" name="Picture 2">
          <a:extLst>
            <a:ext uri="{FF2B5EF4-FFF2-40B4-BE49-F238E27FC236}">
              <a16:creationId xmlns:a16="http://schemas.microsoft.com/office/drawing/2014/main" id="{787E18B4-2C32-9733-C70C-62EC38174BC5}"/>
            </a:ext>
          </a:extLst>
        </xdr:cNvPr>
        <xdr:cNvPicPr>
          <a:picLocks noChangeAspect="1"/>
        </xdr:cNvPicPr>
      </xdr:nvPicPr>
      <xdr:blipFill>
        <a:blip xmlns:r="http://schemas.openxmlformats.org/officeDocument/2006/relationships" r:embed="rId2"/>
        <a:stretch>
          <a:fillRect/>
        </a:stretch>
      </xdr:blipFill>
      <xdr:spPr>
        <a:xfrm>
          <a:off x="182196" y="3414507"/>
          <a:ext cx="1300881" cy="421993"/>
        </a:xfrm>
        <a:prstGeom prst="rect">
          <a:avLst/>
        </a:prstGeom>
      </xdr:spPr>
    </xdr:pic>
    <xdr:clientData/>
  </xdr:twoCellAnchor>
  <xdr:twoCellAnchor editAs="oneCell">
    <xdr:from>
      <xdr:col>0</xdr:col>
      <xdr:colOff>182196</xdr:colOff>
      <xdr:row>20</xdr:row>
      <xdr:rowOff>118486</xdr:rowOff>
    </xdr:from>
    <xdr:to>
      <xdr:col>1</xdr:col>
      <xdr:colOff>1457569</xdr:colOff>
      <xdr:row>23</xdr:row>
      <xdr:rowOff>110237</xdr:rowOff>
    </xdr:to>
    <xdr:pic>
      <xdr:nvPicPr>
        <xdr:cNvPr id="4" name="Picture 3">
          <a:extLst>
            <a:ext uri="{FF2B5EF4-FFF2-40B4-BE49-F238E27FC236}">
              <a16:creationId xmlns:a16="http://schemas.microsoft.com/office/drawing/2014/main" id="{9B2E67A7-FD15-83DA-3E34-88BFC4BCA8DF}"/>
            </a:ext>
          </a:extLst>
        </xdr:cNvPr>
        <xdr:cNvPicPr>
          <a:picLocks noChangeAspect="1"/>
        </xdr:cNvPicPr>
      </xdr:nvPicPr>
      <xdr:blipFill>
        <a:blip xmlns:r="http://schemas.openxmlformats.org/officeDocument/2006/relationships" r:embed="rId3"/>
        <a:stretch>
          <a:fillRect/>
        </a:stretch>
      </xdr:blipFill>
      <xdr:spPr>
        <a:xfrm>
          <a:off x="182196" y="3840563"/>
          <a:ext cx="1532304" cy="755705"/>
        </a:xfrm>
        <a:prstGeom prst="rect">
          <a:avLst/>
        </a:prstGeom>
      </xdr:spPr>
    </xdr:pic>
    <xdr:clientData/>
  </xdr:twoCellAnchor>
  <xdr:twoCellAnchor editAs="oneCell">
    <xdr:from>
      <xdr:col>1</xdr:col>
      <xdr:colOff>1221</xdr:colOff>
      <xdr:row>24</xdr:row>
      <xdr:rowOff>58371</xdr:rowOff>
    </xdr:from>
    <xdr:to>
      <xdr:col>1</xdr:col>
      <xdr:colOff>1073089</xdr:colOff>
      <xdr:row>27</xdr:row>
      <xdr:rowOff>22714</xdr:rowOff>
    </xdr:to>
    <xdr:pic>
      <xdr:nvPicPr>
        <xdr:cNvPr id="5" name="Picture 4">
          <a:extLst>
            <a:ext uri="{FF2B5EF4-FFF2-40B4-BE49-F238E27FC236}">
              <a16:creationId xmlns:a16="http://schemas.microsoft.com/office/drawing/2014/main" id="{C3E47DF1-23A5-DCB3-C0FB-C0737B3F8F31}"/>
            </a:ext>
          </a:extLst>
        </xdr:cNvPr>
        <xdr:cNvPicPr>
          <a:picLocks noChangeAspect="1"/>
        </xdr:cNvPicPr>
      </xdr:nvPicPr>
      <xdr:blipFill>
        <a:blip xmlns:r="http://schemas.openxmlformats.org/officeDocument/2006/relationships" r:embed="rId4"/>
        <a:stretch>
          <a:fillRect/>
        </a:stretch>
      </xdr:blipFill>
      <xdr:spPr>
        <a:xfrm>
          <a:off x="261571" y="4751021"/>
          <a:ext cx="1071868" cy="554893"/>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
  <a r="1" c="380">
    <v t="i">1</v>
    <v t="i">2</v>
    <v t="i">3</v>
    <v t="i">4</v>
    <v t="i">7</v>
    <v t="i">8</v>
    <v t="i">9</v>
    <v t="i">10</v>
    <v t="i">11</v>
    <v t="i">15</v>
    <v t="i">16</v>
    <v t="i">17</v>
    <v t="i">18</v>
    <v t="i">21</v>
    <v t="i">22</v>
    <v t="i">23</v>
    <v t="i">24</v>
    <v t="i">25</v>
    <v t="i">28</v>
    <v t="i">29</v>
    <v t="i">30</v>
    <v t="i">31</v>
    <v t="i">32</v>
    <v t="i">35</v>
    <v t="i">36</v>
    <v t="i">37</v>
    <v t="i">38</v>
    <v t="i">39</v>
    <v t="i">42</v>
    <v t="i">43</v>
    <v t="i">44</v>
    <v t="i">45</v>
    <v t="i">46</v>
    <v t="i">50</v>
    <v t="i">51</v>
    <v t="i">52</v>
    <v t="i">53</v>
    <v t="i">56</v>
    <v t="i">57</v>
    <v t="i">58</v>
    <v t="i">59</v>
    <v t="i">60</v>
    <v t="i">63</v>
    <v t="i">64</v>
    <v t="i">65</v>
    <v t="i">66</v>
    <v t="i">67</v>
    <v t="i">70</v>
    <v t="i">71</v>
    <v t="i">72</v>
    <v t="i">73</v>
    <v t="i">74</v>
    <v t="i">77</v>
    <v t="i">78</v>
    <v t="i">79</v>
    <v t="i">80</v>
    <v t="i">81</v>
    <v t="i">84</v>
    <v t="i">85</v>
    <v t="i">86</v>
    <v t="i">87</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148</v>
    <v t="i">149</v>
    <v t="i">150</v>
    <v t="i">151</v>
    <v t="i">154</v>
    <v t="i">155</v>
    <v t="i">156</v>
    <v t="i">157</v>
    <v t="i">158</v>
    <v t="i">161</v>
    <v t="i">162</v>
    <v t="i">163</v>
    <v t="i">164</v>
    <v t="i">165</v>
    <v t="i">168</v>
    <v t="i">169</v>
    <v t="i">171</v>
    <v t="i">172</v>
    <v t="i">175</v>
    <v t="i">176</v>
    <v t="i">177</v>
    <v t="i">178</v>
    <v t="i">179</v>
    <v t="i">182</v>
    <v t="i">183</v>
    <v t="i">184</v>
    <v t="i">186</v>
    <v t="i">189</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333</v>
    <v t="i">336</v>
    <v t="i">337</v>
    <v t="i">338</v>
    <v t="i">339</v>
    <v t="i">340</v>
    <v t="i">343</v>
    <v t="i">344</v>
    <v t="i">345</v>
    <v t="i">346</v>
    <v t="i">347</v>
    <v t="i">350</v>
    <v t="i">351</v>
    <v t="i">352</v>
    <v t="i">353</v>
    <v t="i">354</v>
    <v t="i">357</v>
    <v t="i">358</v>
    <v t="i">360</v>
    <v t="i">361</v>
    <v t="i">364</v>
    <v t="i">365</v>
    <v t="i">367</v>
    <v t="i">368</v>
    <v t="i">371</v>
    <v t="i">372</v>
    <v t="i">373</v>
    <v t="i">375</v>
    <v t="i">378</v>
    <v t="i">379</v>
    <v t="i">380</v>
    <v t="i">381</v>
    <v t="i">382</v>
    <v t="i">386</v>
    <v t="i">387</v>
    <v t="i">388</v>
    <v t="i">389</v>
    <v t="i">392</v>
    <v t="i">393</v>
    <v t="i">394</v>
    <v t="i">395</v>
    <v t="i">396</v>
    <v t="i">399</v>
    <v t="i">400</v>
    <v t="i">401</v>
    <v t="i">402</v>
    <v t="i">403</v>
    <v t="i">406</v>
    <v t="i">407</v>
    <v t="i">408</v>
    <v t="i">409</v>
    <v t="i">410</v>
    <v t="i">414</v>
    <v t="i">415</v>
    <v t="i">416</v>
    <v t="i">417</v>
    <v t="i">420</v>
    <v t="i">421</v>
    <v t="i">422</v>
    <v t="i">423</v>
    <v t="i">424</v>
    <v t="i">427</v>
    <v t="i">428</v>
    <v t="i">429</v>
    <v t="i">430</v>
    <v t="i">431</v>
    <v t="i">434</v>
    <v t="i">435</v>
    <v t="i">436</v>
    <v t="i">437</v>
    <v t="i">438</v>
    <v t="i">441</v>
    <v t="i">442</v>
    <v t="i">443</v>
    <v t="i">444</v>
    <v t="i">445</v>
    <v t="i">448</v>
    <v t="i">449</v>
    <v t="i">450</v>
    <v t="i">451</v>
    <v t="i">452</v>
    <v t="i">455</v>
    <v t="i">456</v>
    <v t="i">457</v>
    <v t="i">458</v>
    <v t="i">459</v>
    <v t="i">462</v>
    <v t="i">463</v>
    <v t="i">464</v>
    <v t="i">465</v>
    <v t="i">466</v>
    <v t="i">469</v>
    <v t="i">470</v>
    <v t="i">471</v>
    <v t="i">472</v>
    <v t="i">476</v>
    <v t="i">477</v>
    <v t="i">478</v>
    <v t="i">479</v>
    <v t="i">480</v>
    <v t="i">483</v>
    <v t="i">484</v>
    <v t="i">485</v>
    <v t="i">486</v>
    <v t="i">487</v>
    <v t="i">490</v>
    <v t="i">491</v>
    <v t="i">492</v>
    <v t="i">493</v>
    <v t="i">494</v>
    <v t="i">497</v>
    <v t="i">498</v>
    <v t="i">499</v>
    <v t="i">500</v>
    <v t="i">501</v>
    <v t="i">504</v>
    <v t="i">505</v>
    <v t="i">506</v>
    <v t="i">507</v>
    <v t="i">508</v>
    <v t="i">512</v>
    <v t="i">513</v>
    <v t="i">514</v>
    <v t="i">515</v>
    <v t="i">518</v>
    <v t="i">519</v>
    <v t="i">520</v>
    <v t="i">521</v>
    <v t="i">522</v>
    <v t="i">525</v>
    <v t="i">526</v>
    <v t="i">527</v>
    <v t="i">528</v>
    <v t="i">529</v>
    <v t="i">532</v>
    <v t="i">533</v>
    <v t="i">534</v>
    <v t="i">536</v>
    <v t="i">539</v>
    <v t="i">540</v>
    <v t="i">541</v>
    <v t="i">542</v>
    <v t="i">543</v>
    <v t="i">546</v>
    <v t="i">547</v>
    <v t="i">548</v>
    <v t="i">549</v>
    <v t="i">553</v>
    <v t="i">554</v>
    <v t="i">555</v>
  </a>
  <a r="1" c="380">
    <v>48.167999999999999</v>
    <v>47.569000000000003</v>
    <v>47.997999999999998</v>
    <v>49.097000000000001</v>
    <v>52.253</v>
    <v>53.14</v>
    <v>54.35</v>
    <v>54.822000000000003</v>
    <v>54.71</v>
    <v>56.381999999999998</v>
    <v>56.052999999999997</v>
    <v>57.106999999999999</v>
    <v>59.491</v>
    <v>59.654000000000003</v>
    <v>59.872999999999998</v>
    <v>61.362000000000002</v>
    <v>61.616999999999997</v>
    <v>61.030999999999999</v>
    <v>62.465000000000003</v>
    <v>62.774000000000001</v>
    <v>61.527000000000001</v>
    <v>63.027000000000001</v>
    <v>66.16</v>
    <v>69.331999999999994</v>
    <v>68.222999999999999</v>
    <v>70.099000000000004</v>
    <v>69.641000000000005</v>
    <v>72.132999999999996</v>
    <v>72.248000000000005</v>
    <v>72.128</v>
    <v>73.900000000000006</v>
    <v>72.658000000000001</v>
    <v>72.613</v>
    <v>69.451999999999998</v>
    <v>67.471999999999994</v>
    <v>78.537999999999997</v>
    <v>78.816999999999993</v>
    <v>79.091999999999999</v>
    <v>78.700999999999993</v>
    <v>77.662999999999997</v>
    <v>79.111999999999995</v>
    <v>82.278999999999996</v>
    <v>85.236999999999995</v>
    <v>85.963999999999999</v>
    <v>88.7</v>
    <v>92.668999999999997</v>
    <v>87.528000000000006</v>
    <v>85.774000000000001</v>
    <v>91.912999999999997</v>
    <v>90.888000000000005</v>
    <v>87.944000000000003</v>
    <v>87.836500000000001</v>
    <v>88.454999999999998</v>
    <v>89.397999999999996</v>
    <v>90.372</v>
    <v>91.435000000000002</v>
    <v>94.289000000000001</v>
    <v>95.001999999999995</v>
    <v>92.561000000000007</v>
    <v>90.25</v>
    <v>90.355999999999995</v>
    <v>90.363</v>
    <v>89.451999999999998</v>
    <v>88.963999999999999</v>
    <v>85.905000000000001</v>
    <v>88.007999999999996</v>
    <v>87.132999999999996</v>
    <v>85.353999999999999</v>
    <v>87.039000000000001</v>
    <v>90.616</v>
    <v>88.186000000000007</v>
    <v>86.001000000000005</v>
    <v>87.415000000000006</v>
    <v>84.034999999999997</v>
    <v>84.671000000000006</v>
    <v>76.2</v>
    <v>79.518000000000001</v>
    <v>82.423000000000002</v>
    <v>79.677000000000007</v>
    <v>82.632000000000005</v>
    <v>87.734999999999999</v>
    <v>87.757000000000005</v>
    <v>86.402000000000001</v>
    <v>83.040999999999997</v>
    <v>85.816999999999993</v>
    <v>88.789000000000001</v>
    <v>92.14</v>
    <v>90.554000000000002</v>
    <v>90.412000000000006</v>
    <v>88.747</v>
    <v>89.878</v>
    <v>90.399000000000001</v>
    <v>91.355999999999995</v>
    <v>94.63</v>
    <v>94.358999999999995</v>
    <v>92.478999999999999</v>
    <v>94.78</v>
    <v>95.385999999999996</v>
    <v>94.95</v>
    <v>103.79900000000001</v>
    <v>106.46899999999999</v>
    <v>113.901</v>
    <v>114.825</v>
    <v>110.5</v>
    <v>109.633</v>
    <v>115</v>
    <v>116.437</v>
    <v>122.44</v>
    <v>120.998</v>
    <v>120.88800000000001</v>
    <v>121.79</v>
    <v>120.91</v>
    <v>125.2</v>
    <v>129.61000000000001</v>
    <v>131.88</v>
    <v>130.97999999999999</v>
    <v>135.58000000000001</v>
    <v>130.78</v>
    <v>126.57</v>
    <v>118.11</v>
    <v>126.09</v>
    <v>126.4</v>
    <v>123.99</v>
    <v>123.54</v>
    <v>124.3</v>
    <v>122.67</v>
    <v>128.28</v>
    <v>125.83</v>
    <v>128.19999999999999</v>
    <v>131.38</v>
    <v>134.91</v>
    <v>127.4</v>
    <v>129.24</v>
    <v>128.44</v>
    <v>126.36</v>
    <v>117.99</v>
    <v>121.09</v>
    <v>117.93</v>
    <v>123.54</v>
    <v>122.59</v>
    <v>114.25</v>
    <v>112.28</v>
    <v>113.06</v>
    <v>111.59</v>
    <v>103.73</v>
    <v>117.02</v>
    <v>109.21</v>
    <v>107.27</v>
    <v>100.45</v>
    <v>104.25</v>
    <v>98.91</v>
    <v>104.97</v>
    <v>104.75</v>
    <v>109.02</v>
    <v>116.14</v>
    <v>118.08</v>
    <v>122.86</v>
    <v>124.58</v>
    <v>130</v>
    <v>127.25</v>
    <v>128.5</v>
    <v>123.74</v>
    <v>129.37</v>
    <v>126.46</v>
    <v>128.30000000000001</v>
    <v>125.61</v>
    <v>117.59</v>
    <v>119.37</v>
    <v>108</v>
    <v>106.21</v>
    <v>107.21</v>
    <v>102.83</v>
    <v>106.47</v>
    <v>108.1</v>
    <v>116.91</v>
    <v>119.14</v>
    <v>119.1</v>
    <v>116.78</v>
    <v>115.59</v>
    <v>113.37</v>
    <v>117.87</v>
    <v>116</v>
    <v>116.26</v>
    <v>120.87</v>
    <v>123.51</v>
    <v>124.04</v>
    <v>121.4</v>
    <v>121.44</v>
    <v>117</v>
    <v>118.85</v>
    <v>122.85</v>
    <v>124.92</v>
    <v>127.72</v>
    <v>132.88999999999999</v>
    <v>132.65</v>
    <v>134.81</v>
    <v>134.80000000000001</v>
    <v>138.07</v>
    <v>131.6</v>
    <v>135.72</v>
    <v>136.93</v>
    <v>138</v>
    <v>143.71</v>
    <v>143.59</v>
    <v>139.56</v>
    <v>140.41</v>
    <v>141.54</v>
    <v>140.52000000000001</v>
    <v>141.25</v>
    <v>139.33500000000001</v>
    <v>132.76</v>
    <v>135.4</v>
    <v>136.05000000000001</v>
    <v>139.91</v>
    <v>145.61000000000001</v>
    <v>148.88</v>
    <v>147.63</v>
    <v>145.26</v>
    <v>148.29</v>
    <v>146.27000000000001</v>
    <v>146.76</v>
    <v>141.97999999999999</v>
    <v>140.15</v>
    <v>147.01</v>
    <v>145.88999999999999</v>
    <v>146.66999999999999</v>
    <v>141.94999999999999</v>
    <v>136.02000000000001</v>
    <v>136.91999999999999</v>
    <v>135.34</v>
    <v>138.25</v>
    <v>138.63</v>
    <v>140.26</v>
    <v>145.13999999999999</v>
    <v>145.06</v>
    <v>142.44</v>
    <v>138.81</v>
    <v>135.07</v>
    <v>139.31</v>
    <v>137.34</v>
    <v>134.25</v>
    <v>132</v>
    <v>130.38999999999999</v>
    <v>128.91</v>
    <v>130.68</v>
    <v>134.69999999999999</v>
    <v>139.66999999999999</v>
    <v>140.22</v>
    <v>139.93</v>
    <v>137.01</v>
    <v>137.49</v>
    <v>134.29</v>
    <v>138.31</v>
    <v>144.47</v>
    <v>149.43</v>
    <v>140.13999999999999</v>
    <v>140.11000000000001</v>
    <v>135.91</v>
    <v>133.22999999999999</v>
    <v>131.76</v>
    <v>136.24</v>
    <v>133.57</v>
    <v>137.71</v>
    <v>140.83000000000001</v>
    <v>147.07</v>
    <v>147.22</v>
    <v>142.62</v>
    <v>118.42</v>
    <v>128.99</v>
    <v>123.7</v>
    <v>124.65</v>
    <v>120.07</v>
    <v>116.66</v>
    <v>118.65</v>
    <v>124.83</v>
    <v>128.68</v>
    <v>129.84</v>
    <v>133.57</v>
    <v>132.80000000000001</v>
    <v>131.13999999999999</v>
    <v>135.29</v>
    <v>138.85</v>
    <v>139.4</v>
    <v>139.22999999999999</v>
    <v>140.11000000000001</v>
    <v>134.43</v>
    <v>130.28</v>
    <v>126.63</v>
    <v>131.28</v>
    <v>120.15</v>
    <v>124.92</v>
    <v>114.06</v>
    <v>115.99</v>
    <v>117.3</v>
    <v>110.57</v>
    <v>112.69</v>
    <v>106.98</v>
    <v>108.76</v>
    <v>115.74</v>
    <v>115.58</v>
    <v>121.67</v>
    <v>119.53</v>
    <v>115.43</v>
    <v>117.52</v>
    <v>118.53</v>
    <v>117.7</v>
    <v>121.41</v>
    <v>120.69</v>
    <v>113.76</v>
    <v>111.43</v>
    <v>109.67</v>
    <v>108.38</v>
    <v>110.15</v>
    <v>110.42</v>
    <v>101.8</v>
    <v>94.31</v>
    <v>97.64</v>
    <v>96.3</v>
    <v>114.33</v>
    <v>107.57</v>
    <v>110.93</v>
    <v>110.71</v>
    <v>112.2</v>
    <v>104.49</v>
    <v>101.49</v>
    <v>96.91</v>
    <v>98.89</v>
    <v>102.71</v>
    <v>106.43</v>
    <v>111.01</v>
    <v>108.73</v>
    <v>109.02</v>
    <v>108.92</v>
    <v>111.61</v>
    <v>114.5</v>
    <v>113.82</v>
    <v>113.54</v>
    <v>117.06</v>
    <v>117.37</v>
    <v>116.65</v>
    <v>123</v>
    <v>129.93</v>
    <v>135.34</v>
    <v>134.83000000000001</v>
    <v>135.4</v>
    <v>135.57</v>
    <v>134.38</v>
    <v>131.80000000000001</v>
    <v>132.83000000000001</v>
    <v>131.29</v>
    <v>135.5</v>
    <v>134.81</v>
    <v>139.19</v>
    <v>135.13</v>
    <v>137.38</v>
    <v>141.22</v>
    <v>141.91999999999999</v>
    <v>139.99</v>
    <v>141.72</v>
    <v>142.63</v>
    <v>143.96</v>
    <v>142.83000000000001</v>
    <v>145</v>
    <v>141.97</v>
    <v>144.69</v>
    <v>144.12</v>
    <v>145.47999999999999</v>
    <v>143.85</v>
    <v>144.16999999999999</v>
    <v>147.9</v>
    <v>154.31</v>
    <v>155.02000000000001</v>
    <v>157.75</v>
    <v>157.99</v>
    <v>153.30000000000001</v>
    <v>157.25</v>
    <v>159.34</v>
    <v>158.24</v>
    <v>160</v>
    <v>162.88</v>
  </a>
</arrayData>
</file>

<file path=xl/richData/rdrichvalue.xml><?xml version="1.0" encoding="utf-8"?>
<rvData xmlns="http://schemas.microsoft.com/office/spreadsheetml/2017/richdata" count="759">
  <rv s="0">
    <v>https://www.bing.com/financeapi/forcetrigger?t=a1yv52&amp;q=XNAS%3aNVDA&amp;form=skydnc</v>
    <v>Learn more on Bing</v>
  </rv>
  <rv s="1">
    <v>en-US</v>
    <v>a1yv52</v>
    <v>268435456</v>
    <v>1</v>
    <v>Powered by Refinitiv</v>
    <v>0</v>
    <v>NVIDIA CORPORATION (XNAS:NVDA)</v>
    <v>2</v>
    <v>3</v>
    <v>Finance</v>
    <v>4</v>
    <v>164.5</v>
    <v>86.62</v>
    <v>2.1412</v>
    <v>1.22</v>
    <v>-3.656E-4</v>
    <v>7.4900000000000001E-3</v>
    <v>-0.06</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164.5</v>
    <v>Semiconductors &amp; Semiconductor Equipment</v>
    <v>Stock</v>
    <v>45848.999994872654</v>
    <v>0</v>
    <v>161.61000000000001</v>
    <v>4004040000000</v>
    <v>NVIDIA CORPORATION</v>
    <v>NVIDIA CORPORATION</v>
    <v>164.32</v>
    <v>52.858800000000002</v>
    <v>162.88</v>
    <v>164.1</v>
    <v>164.04</v>
    <v>24400000000</v>
    <v>NVDA</v>
    <v>NVIDIA CORPORATION (XNAS:NVDA)</v>
    <v>167704075</v>
    <v>184586353</v>
    <v>1998</v>
  </rv>
  <rv s="2">
    <v>1</v>
  </rv>
  <rv s="0">
    <v>https://www.bing.com/financeapi/forcetrigger?t=r6dwra&amp;q=US10Y&amp;form=skydnc</v>
    <v>Learn more on Bing</v>
  </rv>
  <rv s="3">
    <v>en-US</v>
    <v>r6dwra</v>
    <v>268435456</v>
    <v>1</v>
    <v>Powered by Refinitiv</v>
    <v>5</v>
    <v>US Treasury 10Y</v>
    <v>6</v>
    <v>7</v>
    <v>Finance</v>
    <v>8</v>
    <v>-4.1000000000000003E-3</v>
    <v>-9.4339999999999995E-4</v>
    <v>US</v>
    <v>USD</v>
    <v>Bond</v>
    <v>45849.02076388889</v>
    <v>3</v>
    <v>49444</v>
    <v>US Treasury 10Y</v>
    <v>4.3460000000000001</v>
    <v>4.3418999999999999</v>
    <v>US10Y</v>
    <v>US Treasury 10Y</v>
    <v>4.4740000000000002E-2</v>
    <v>4.3400000000000001E-2</v>
    <v>4.2861000000000003E-2</v>
    <v>4.4170000000000001E-2</v>
  </rv>
  <rv s="2">
    <v>4</v>
  </rv>
  <rv s="4">
    <fb>45293</fb>
    <v>9</v>
  </rv>
  <rv s="4">
    <fb>48.167999999999999</fb>
    <v>10</v>
  </rv>
  <rv s="4">
    <fb>45294</fb>
    <v>9</v>
  </rv>
  <rv s="4">
    <fb>47.569000000000003</fb>
    <v>10</v>
  </rv>
  <rv s="4">
    <fb>45295</fb>
    <v>9</v>
  </rv>
  <rv s="4">
    <fb>47.997999999999998</fb>
    <v>10</v>
  </rv>
  <rv s="4">
    <fb>45296</fb>
    <v>9</v>
  </rv>
  <rv s="4">
    <fb>49.097000000000001</fb>
    <v>10</v>
  </rv>
  <rv s="4">
    <fb>45299</fb>
    <v>9</v>
  </rv>
  <rv s="4">
    <fb>52.253</fb>
    <v>10</v>
  </rv>
  <rv s="4">
    <fb>45300</fb>
    <v>9</v>
  </rv>
  <rv s="4">
    <fb>53.14</fb>
    <v>10</v>
  </rv>
  <rv s="4">
    <fb>45301</fb>
    <v>9</v>
  </rv>
  <rv s="4">
    <fb>54.35</fb>
    <v>10</v>
  </rv>
  <rv s="4">
    <fb>45302</fb>
    <v>9</v>
  </rv>
  <rv s="4">
    <fb>54.822000000000003</fb>
    <v>10</v>
  </rv>
  <rv s="4">
    <fb>45303</fb>
    <v>9</v>
  </rv>
  <rv s="4">
    <fb>54.71</fb>
    <v>10</v>
  </rv>
  <rv s="4">
    <fb>45307</fb>
    <v>9</v>
  </rv>
  <rv s="4">
    <fb>56.381999999999998</fb>
    <v>10</v>
  </rv>
  <rv s="4">
    <fb>45308</fb>
    <v>9</v>
  </rv>
  <rv s="4">
    <fb>56.052999999999997</fb>
    <v>10</v>
  </rv>
  <rv s="4">
    <fb>45309</fb>
    <v>9</v>
  </rv>
  <rv s="4">
    <fb>57.106999999999999</fb>
    <v>10</v>
  </rv>
  <rv s="4">
    <fb>45310</fb>
    <v>9</v>
  </rv>
  <rv s="4">
    <fb>59.491</fb>
    <v>10</v>
  </rv>
  <rv s="4">
    <fb>45313</fb>
    <v>9</v>
  </rv>
  <rv s="4">
    <fb>59.654000000000003</fb>
    <v>10</v>
  </rv>
  <rv s="4">
    <fb>45314</fb>
    <v>9</v>
  </rv>
  <rv s="4">
    <fb>59.872999999999998</fb>
    <v>10</v>
  </rv>
  <rv s="4">
    <fb>45315</fb>
    <v>9</v>
  </rv>
  <rv s="4">
    <fb>61.362000000000002</fb>
    <v>10</v>
  </rv>
  <rv s="4">
    <fb>45316</fb>
    <v>9</v>
  </rv>
  <rv s="4">
    <fb>61.616999999999997</fb>
    <v>10</v>
  </rv>
  <rv s="4">
    <fb>45317</fb>
    <v>9</v>
  </rv>
  <rv s="4">
    <fb>61.030999999999999</fb>
    <v>10</v>
  </rv>
  <rv s="4">
    <fb>45320</fb>
    <v>9</v>
  </rv>
  <rv s="4">
    <fb>62.465000000000003</fb>
    <v>10</v>
  </rv>
  <rv s="4">
    <fb>45321</fb>
    <v>9</v>
  </rv>
  <rv s="4">
    <fb>62.774000000000001</fb>
    <v>10</v>
  </rv>
  <rv s="4">
    <fb>45322</fb>
    <v>9</v>
  </rv>
  <rv s="4">
    <fb>61.527000000000001</fb>
    <v>10</v>
  </rv>
  <rv s="4">
    <fb>45323</fb>
    <v>9</v>
  </rv>
  <rv s="4">
    <fb>63.027000000000001</fb>
    <v>10</v>
  </rv>
  <rv s="4">
    <fb>45324</fb>
    <v>9</v>
  </rv>
  <rv s="4">
    <fb>66.16</fb>
    <v>10</v>
  </rv>
  <rv s="4">
    <fb>45327</fb>
    <v>9</v>
  </rv>
  <rv s="4">
    <fb>69.331999999999994</fb>
    <v>10</v>
  </rv>
  <rv s="4">
    <fb>45328</fb>
    <v>9</v>
  </rv>
  <rv s="4">
    <fb>68.222999999999999</fb>
    <v>10</v>
  </rv>
  <rv s="4">
    <fb>45329</fb>
    <v>9</v>
  </rv>
  <rv s="4">
    <fb>70.099000000000004</fb>
    <v>10</v>
  </rv>
  <rv s="4">
    <fb>45330</fb>
    <v>9</v>
  </rv>
  <rv s="4">
    <fb>69.641000000000005</fb>
    <v>10</v>
  </rv>
  <rv s="4">
    <fb>45331</fb>
    <v>9</v>
  </rv>
  <rv s="4">
    <fb>72.132999999999996</fb>
    <v>10</v>
  </rv>
  <rv s="4">
    <fb>45334</fb>
    <v>9</v>
  </rv>
  <rv s="4">
    <fb>72.248000000000005</fb>
    <v>10</v>
  </rv>
  <rv s="4">
    <fb>45335</fb>
    <v>9</v>
  </rv>
  <rv s="4">
    <fb>72.128</fb>
    <v>10</v>
  </rv>
  <rv s="4">
    <fb>45336</fb>
    <v>9</v>
  </rv>
  <rv s="4">
    <fb>73.900000000000006</fb>
    <v>10</v>
  </rv>
  <rv s="4">
    <fb>45337</fb>
    <v>9</v>
  </rv>
  <rv s="4">
    <fb>72.658000000000001</fb>
    <v>10</v>
  </rv>
  <rv s="4">
    <fb>45338</fb>
    <v>9</v>
  </rv>
  <rv s="4">
    <fb>72.613</fb>
    <v>10</v>
  </rv>
  <rv s="4">
    <fb>45342</fb>
    <v>9</v>
  </rv>
  <rv s="4">
    <fb>69.451999999999998</fb>
    <v>10</v>
  </rv>
  <rv s="4">
    <fb>45343</fb>
    <v>9</v>
  </rv>
  <rv s="4">
    <fb>67.471999999999994</fb>
    <v>10</v>
  </rv>
  <rv s="4">
    <fb>45344</fb>
    <v>9</v>
  </rv>
  <rv s="4">
    <fb>78.537999999999997</fb>
    <v>10</v>
  </rv>
  <rv s="4">
    <fb>45345</fb>
    <v>9</v>
  </rv>
  <rv s="4">
    <fb>78.816999999999993</fb>
    <v>10</v>
  </rv>
  <rv s="4">
    <fb>45348</fb>
    <v>9</v>
  </rv>
  <rv s="4">
    <fb>79.091999999999999</fb>
    <v>10</v>
  </rv>
  <rv s="4">
    <fb>45349</fb>
    <v>9</v>
  </rv>
  <rv s="4">
    <fb>78.700999999999993</fb>
    <v>10</v>
  </rv>
  <rv s="4">
    <fb>45350</fb>
    <v>9</v>
  </rv>
  <rv s="4">
    <fb>77.662999999999997</fb>
    <v>10</v>
  </rv>
  <rv s="4">
    <fb>45351</fb>
    <v>9</v>
  </rv>
  <rv s="4">
    <fb>79.111999999999995</fb>
    <v>10</v>
  </rv>
  <rv s="4">
    <fb>45352</fb>
    <v>9</v>
  </rv>
  <rv s="4">
    <fb>82.278999999999996</fb>
    <v>10</v>
  </rv>
  <rv s="4">
    <fb>45355</fb>
    <v>9</v>
  </rv>
  <rv s="4">
    <fb>85.236999999999995</fb>
    <v>10</v>
  </rv>
  <rv s="4">
    <fb>45356</fb>
    <v>9</v>
  </rv>
  <rv s="4">
    <fb>85.963999999999999</fb>
    <v>10</v>
  </rv>
  <rv s="4">
    <fb>45357</fb>
    <v>9</v>
  </rv>
  <rv s="4">
    <fb>88.7</fb>
    <v>10</v>
  </rv>
  <rv s="4">
    <fb>45358</fb>
    <v>9</v>
  </rv>
  <rv s="4">
    <fb>92.668999999999997</fb>
    <v>10</v>
  </rv>
  <rv s="4">
    <fb>45359</fb>
    <v>9</v>
  </rv>
  <rv s="4">
    <fb>87.528000000000006</fb>
    <v>10</v>
  </rv>
  <rv s="4">
    <fb>45362</fb>
    <v>9</v>
  </rv>
  <rv s="4">
    <fb>85.774000000000001</fb>
    <v>10</v>
  </rv>
  <rv s="4">
    <fb>45363</fb>
    <v>9</v>
  </rv>
  <rv s="4">
    <fb>91.912999999999997</fb>
    <v>10</v>
  </rv>
  <rv s="4">
    <fb>45364</fb>
    <v>9</v>
  </rv>
  <rv s="4">
    <fb>90.888000000000005</fb>
    <v>10</v>
  </rv>
  <rv s="4">
    <fb>45365</fb>
    <v>9</v>
  </rv>
  <rv s="4">
    <fb>87.944000000000003</fb>
    <v>10</v>
  </rv>
  <rv s="4">
    <fb>45366</fb>
    <v>9</v>
  </rv>
  <rv s="4">
    <fb>87.836500000000001</fb>
    <v>10</v>
  </rv>
  <rv s="4">
    <fb>45369</fb>
    <v>9</v>
  </rv>
  <rv s="4">
    <fb>88.454999999999998</fb>
    <v>10</v>
  </rv>
  <rv s="4">
    <fb>45370</fb>
    <v>9</v>
  </rv>
  <rv s="4">
    <fb>89.397999999999996</fb>
    <v>10</v>
  </rv>
  <rv s="4">
    <fb>45371</fb>
    <v>9</v>
  </rv>
  <rv s="4">
    <fb>90.372</fb>
    <v>10</v>
  </rv>
  <rv s="4">
    <fb>45372</fb>
    <v>9</v>
  </rv>
  <rv s="4">
    <fb>91.435000000000002</fb>
    <v>10</v>
  </rv>
  <rv s="4">
    <fb>45373</fb>
    <v>9</v>
  </rv>
  <rv s="4">
    <fb>94.289000000000001</fb>
    <v>10</v>
  </rv>
  <rv s="4">
    <fb>45376</fb>
    <v>9</v>
  </rv>
  <rv s="4">
    <fb>95.001999999999995</fb>
    <v>10</v>
  </rv>
  <rv s="4">
    <fb>45377</fb>
    <v>9</v>
  </rv>
  <rv s="4">
    <fb>92.561000000000007</fb>
    <v>10</v>
  </rv>
  <rv s="4">
    <fb>45378</fb>
    <v>9</v>
  </rv>
  <rv s="4">
    <fb>90.25</fb>
    <v>10</v>
  </rv>
  <rv s="4">
    <fb>45379</fb>
    <v>9</v>
  </rv>
  <rv s="4">
    <fb>90.355999999999995</fb>
    <v>10</v>
  </rv>
  <rv s="4">
    <fb>45383</fb>
    <v>9</v>
  </rv>
  <rv s="4">
    <fb>90.363</fb>
    <v>10</v>
  </rv>
  <rv s="4">
    <fb>45384</fb>
    <v>9</v>
  </rv>
  <rv s="4">
    <fb>89.451999999999998</fb>
    <v>10</v>
  </rv>
  <rv s="4">
    <fb>45385</fb>
    <v>9</v>
  </rv>
  <rv s="4">
    <fb>88.963999999999999</fb>
    <v>10</v>
  </rv>
  <rv s="4">
    <fb>45386</fb>
    <v>9</v>
  </rv>
  <rv s="4">
    <fb>85.905000000000001</fb>
    <v>10</v>
  </rv>
  <rv s="4">
    <fb>45387</fb>
    <v>9</v>
  </rv>
  <rv s="4">
    <fb>88.007999999999996</fb>
    <v>10</v>
  </rv>
  <rv s="4">
    <fb>45390</fb>
    <v>9</v>
  </rv>
  <rv s="4">
    <fb>87.132999999999996</fb>
    <v>10</v>
  </rv>
  <rv s="4">
    <fb>45391</fb>
    <v>9</v>
  </rv>
  <rv s="4">
    <fb>85.353999999999999</fb>
    <v>10</v>
  </rv>
  <rv s="4">
    <fb>45392</fb>
    <v>9</v>
  </rv>
  <rv s="4">
    <fb>87.039000000000001</fb>
    <v>10</v>
  </rv>
  <rv s="4">
    <fb>45393</fb>
    <v>9</v>
  </rv>
  <rv s="4">
    <fb>90.616</fb>
    <v>10</v>
  </rv>
  <rv s="4">
    <fb>45394</fb>
    <v>9</v>
  </rv>
  <rv s="4">
    <fb>88.186000000000007</fb>
    <v>10</v>
  </rv>
  <rv s="4">
    <fb>45397</fb>
    <v>9</v>
  </rv>
  <rv s="4">
    <fb>86.001000000000005</fb>
    <v>10</v>
  </rv>
  <rv s="4">
    <fb>45398</fb>
    <v>9</v>
  </rv>
  <rv s="4">
    <fb>87.415000000000006</fb>
    <v>10</v>
  </rv>
  <rv s="4">
    <fb>45399</fb>
    <v>9</v>
  </rv>
  <rv s="4">
    <fb>84.034999999999997</fb>
    <v>10</v>
  </rv>
  <rv s="4">
    <fb>45400</fb>
    <v>9</v>
  </rv>
  <rv s="4">
    <fb>84.671000000000006</fb>
    <v>10</v>
  </rv>
  <rv s="4">
    <fb>45401</fb>
    <v>9</v>
  </rv>
  <rv s="4">
    <fb>76.2</fb>
    <v>10</v>
  </rv>
  <rv s="4">
    <fb>45404</fb>
    <v>9</v>
  </rv>
  <rv s="4">
    <fb>79.518000000000001</fb>
    <v>10</v>
  </rv>
  <rv s="4">
    <fb>45405</fb>
    <v>9</v>
  </rv>
  <rv s="4">
    <fb>82.423000000000002</fb>
    <v>10</v>
  </rv>
  <rv s="4">
    <fb>45406</fb>
    <v>9</v>
  </rv>
  <rv s="4">
    <fb>79.677000000000007</fb>
    <v>10</v>
  </rv>
  <rv s="4">
    <fb>45407</fb>
    <v>9</v>
  </rv>
  <rv s="4">
    <fb>82.632000000000005</fb>
    <v>10</v>
  </rv>
  <rv s="4">
    <fb>45408</fb>
    <v>9</v>
  </rv>
  <rv s="4">
    <fb>87.734999999999999</fb>
    <v>10</v>
  </rv>
  <rv s="4">
    <fb>45411</fb>
    <v>9</v>
  </rv>
  <rv s="4">
    <fb>87.757000000000005</fb>
    <v>10</v>
  </rv>
  <rv s="4">
    <fb>45412</fb>
    <v>9</v>
  </rv>
  <rv s="4">
    <fb>86.402000000000001</fb>
    <v>10</v>
  </rv>
  <rv s="4">
    <fb>45413</fb>
    <v>9</v>
  </rv>
  <rv s="4">
    <fb>83.040999999999997</fb>
    <v>10</v>
  </rv>
  <rv s="4">
    <fb>45414</fb>
    <v>9</v>
  </rv>
  <rv s="4">
    <fb>85.816999999999993</fb>
    <v>10</v>
  </rv>
  <rv s="4">
    <fb>45415</fb>
    <v>9</v>
  </rv>
  <rv s="4">
    <fb>88.789000000000001</fb>
    <v>10</v>
  </rv>
  <rv s="4">
    <fb>45418</fb>
    <v>9</v>
  </rv>
  <rv s="4">
    <fb>92.14</fb>
    <v>10</v>
  </rv>
  <rv s="4">
    <fb>45419</fb>
    <v>9</v>
  </rv>
  <rv s="4">
    <fb>90.554000000000002</fb>
    <v>10</v>
  </rv>
  <rv s="4">
    <fb>45420</fb>
    <v>9</v>
  </rv>
  <rv s="4">
    <fb>90.412000000000006</fb>
    <v>10</v>
  </rv>
  <rv s="4">
    <fb>45421</fb>
    <v>9</v>
  </rv>
  <rv s="4">
    <fb>88.747</fb>
    <v>10</v>
  </rv>
  <rv s="4">
    <fb>45422</fb>
    <v>9</v>
  </rv>
  <rv s="4">
    <fb>89.878</fb>
    <v>10</v>
  </rv>
  <rv s="4">
    <fb>45425</fb>
    <v>9</v>
  </rv>
  <rv s="4">
    <fb>90.399000000000001</fb>
    <v>10</v>
  </rv>
  <rv s="4">
    <fb>45426</fb>
    <v>9</v>
  </rv>
  <rv s="4">
    <fb>91.355999999999995</fb>
    <v>10</v>
  </rv>
  <rv s="4">
    <fb>45427</fb>
    <v>9</v>
  </rv>
  <rv s="4">
    <fb>94.63</fb>
    <v>10</v>
  </rv>
  <rv s="4">
    <fb>45428</fb>
    <v>9</v>
  </rv>
  <rv s="4">
    <fb>94.358999999999995</fb>
    <v>10</v>
  </rv>
  <rv s="4">
    <fb>45429</fb>
    <v>9</v>
  </rv>
  <rv s="4">
    <fb>92.478999999999999</fb>
    <v>10</v>
  </rv>
  <rv s="4">
    <fb>45432</fb>
    <v>9</v>
  </rv>
  <rv s="4">
    <fb>94.78</fb>
    <v>10</v>
  </rv>
  <rv s="4">
    <fb>45433</fb>
    <v>9</v>
  </rv>
  <rv s="4">
    <fb>95.385999999999996</fb>
    <v>10</v>
  </rv>
  <rv s="4">
    <fb>45434</fb>
    <v>9</v>
  </rv>
  <rv s="4">
    <fb>94.95</fb>
    <v>10</v>
  </rv>
  <rv s="4">
    <fb>45435</fb>
    <v>9</v>
  </rv>
  <rv s="4">
    <fb>103.79900000000001</fb>
    <v>10</v>
  </rv>
  <rv s="4">
    <fb>45436</fb>
    <v>9</v>
  </rv>
  <rv s="4">
    <fb>106.46899999999999</fb>
    <v>10</v>
  </rv>
  <rv s="4">
    <fb>45440</fb>
    <v>9</v>
  </rv>
  <rv s="4">
    <fb>113.901</fb>
    <v>10</v>
  </rv>
  <rv s="4">
    <fb>45441</fb>
    <v>9</v>
  </rv>
  <rv s="4">
    <fb>114.825</fb>
    <v>10</v>
  </rv>
  <rv s="4">
    <fb>45442</fb>
    <v>9</v>
  </rv>
  <rv s="4">
    <fb>110.5</fb>
    <v>10</v>
  </rv>
  <rv s="4">
    <fb>45443</fb>
    <v>9</v>
  </rv>
  <rv s="4">
    <fb>109.633</fb>
    <v>10</v>
  </rv>
  <rv s="4">
    <fb>45446</fb>
    <v>9</v>
  </rv>
  <rv s="4">
    <fb>115</fb>
    <v>10</v>
  </rv>
  <rv s="4">
    <fb>45447</fb>
    <v>9</v>
  </rv>
  <rv s="4">
    <fb>116.437</fb>
    <v>10</v>
  </rv>
  <rv s="4">
    <fb>45448</fb>
    <v>9</v>
  </rv>
  <rv s="4">
    <fb>122.44</fb>
    <v>10</v>
  </rv>
  <rv s="4">
    <fb>45449</fb>
    <v>9</v>
  </rv>
  <rv s="4">
    <fb>120.998</fb>
    <v>10</v>
  </rv>
  <rv s="4">
    <fb>45450</fb>
    <v>9</v>
  </rv>
  <rv s="4">
    <fb>120.88800000000001</fb>
    <v>10</v>
  </rv>
  <rv s="4">
    <fb>45453</fb>
    <v>9</v>
  </rv>
  <rv s="4">
    <fb>121.79</fb>
    <v>10</v>
  </rv>
  <rv s="4">
    <fb>45454</fb>
    <v>9</v>
  </rv>
  <rv s="4">
    <fb>120.91</fb>
    <v>10</v>
  </rv>
  <rv s="4">
    <fb>45455</fb>
    <v>9</v>
  </rv>
  <rv s="4">
    <fb>125.2</fb>
    <v>10</v>
  </rv>
  <rv s="4">
    <fb>45456</fb>
    <v>9</v>
  </rv>
  <rv s="4">
    <fb>129.61000000000001</fb>
    <v>10</v>
  </rv>
  <rv s="4">
    <fb>45457</fb>
    <v>9</v>
  </rv>
  <rv s="4">
    <fb>131.88</fb>
    <v>10</v>
  </rv>
  <rv s="4">
    <fb>45460</fb>
    <v>9</v>
  </rv>
  <rv s="4">
    <fb>130.97999999999999</fb>
    <v>10</v>
  </rv>
  <rv s="4">
    <fb>45461</fb>
    <v>9</v>
  </rv>
  <rv s="4">
    <fb>135.58000000000001</fb>
    <v>10</v>
  </rv>
  <rv s="4">
    <fb>45463</fb>
    <v>9</v>
  </rv>
  <rv s="4">
    <fb>130.78</fb>
    <v>10</v>
  </rv>
  <rv s="4">
    <fb>45464</fb>
    <v>9</v>
  </rv>
  <rv s="4">
    <fb>126.57</fb>
    <v>10</v>
  </rv>
  <rv s="4">
    <fb>45467</fb>
    <v>9</v>
  </rv>
  <rv s="4">
    <fb>118.11</fb>
    <v>10</v>
  </rv>
  <rv s="4">
    <fb>45468</fb>
    <v>9</v>
  </rv>
  <rv s="4">
    <fb>126.09</fb>
    <v>10</v>
  </rv>
  <rv s="4">
    <fb>45469</fb>
    <v>9</v>
  </rv>
  <rv s="4">
    <fb>126.4</fb>
    <v>10</v>
  </rv>
  <rv s="4">
    <fb>45470</fb>
    <v>9</v>
  </rv>
  <rv s="4">
    <fb>123.99</fb>
    <v>10</v>
  </rv>
  <rv s="4">
    <fb>45471</fb>
    <v>9</v>
  </rv>
  <rv s="4">
    <fb>123.54</fb>
    <v>10</v>
  </rv>
  <rv s="4">
    <fb>45474</fb>
    <v>9</v>
  </rv>
  <rv s="4">
    <fb>124.3</fb>
    <v>10</v>
  </rv>
  <rv s="4">
    <fb>45475</fb>
    <v>9</v>
  </rv>
  <rv s="4">
    <fb>122.67</fb>
    <v>10</v>
  </rv>
  <rv s="4">
    <fb>45476</fb>
    <v>9</v>
  </rv>
  <rv s="4">
    <fb>128.28</fb>
    <v>10</v>
  </rv>
  <rv s="4">
    <fb>45478</fb>
    <v>9</v>
  </rv>
  <rv s="4">
    <fb>125.83</fb>
    <v>10</v>
  </rv>
  <rv s="4">
    <fb>45481</fb>
    <v>9</v>
  </rv>
  <rv s="4">
    <fb>128.19999999999999</fb>
    <v>10</v>
  </rv>
  <rv s="4">
    <fb>45482</fb>
    <v>9</v>
  </rv>
  <rv s="4">
    <fb>131.38</fb>
    <v>10</v>
  </rv>
  <rv s="4">
    <fb>45483</fb>
    <v>9</v>
  </rv>
  <rv s="4">
    <fb>134.91</fb>
    <v>10</v>
  </rv>
  <rv s="4">
    <fb>45484</fb>
    <v>9</v>
  </rv>
  <rv s="4">
    <fb>127.4</fb>
    <v>10</v>
  </rv>
  <rv s="4">
    <fb>45485</fb>
    <v>9</v>
  </rv>
  <rv s="4">
    <fb>129.24</fb>
    <v>10</v>
  </rv>
  <rv s="4">
    <fb>45488</fb>
    <v>9</v>
  </rv>
  <rv s="4">
    <fb>128.44</fb>
    <v>10</v>
  </rv>
  <rv s="4">
    <fb>45489</fb>
    <v>9</v>
  </rv>
  <rv s="4">
    <fb>126.36</fb>
    <v>10</v>
  </rv>
  <rv s="4">
    <fb>45490</fb>
    <v>9</v>
  </rv>
  <rv s="4">
    <fb>117.99</fb>
    <v>10</v>
  </rv>
  <rv s="4">
    <fb>45491</fb>
    <v>9</v>
  </rv>
  <rv s="4">
    <fb>121.09</fb>
    <v>10</v>
  </rv>
  <rv s="4">
    <fb>45492</fb>
    <v>9</v>
  </rv>
  <rv s="4">
    <fb>117.93</fb>
    <v>10</v>
  </rv>
  <rv s="4">
    <fb>45495</fb>
    <v>9</v>
  </rv>
  <rv s="4">
    <fb>45496</fb>
    <v>9</v>
  </rv>
  <rv s="4">
    <fb>122.59</fb>
    <v>10</v>
  </rv>
  <rv s="4">
    <fb>45497</fb>
    <v>9</v>
  </rv>
  <rv s="4">
    <fb>114.25</fb>
    <v>10</v>
  </rv>
  <rv s="4">
    <fb>45498</fb>
    <v>9</v>
  </rv>
  <rv s="4">
    <fb>112.28</fb>
    <v>10</v>
  </rv>
  <rv s="4">
    <fb>45499</fb>
    <v>9</v>
  </rv>
  <rv s="4">
    <fb>113.06</fb>
    <v>10</v>
  </rv>
  <rv s="4">
    <fb>45502</fb>
    <v>9</v>
  </rv>
  <rv s="4">
    <fb>111.59</fb>
    <v>10</v>
  </rv>
  <rv s="4">
    <fb>45503</fb>
    <v>9</v>
  </rv>
  <rv s="4">
    <fb>103.73</fb>
    <v>10</v>
  </rv>
  <rv s="4">
    <fb>45504</fb>
    <v>9</v>
  </rv>
  <rv s="4">
    <fb>117.02</fb>
    <v>10</v>
  </rv>
  <rv s="4">
    <fb>45505</fb>
    <v>9</v>
  </rv>
  <rv s="4">
    <fb>109.21</fb>
    <v>10</v>
  </rv>
  <rv s="4">
    <fb>45506</fb>
    <v>9</v>
  </rv>
  <rv s="4">
    <fb>107.27</fb>
    <v>10</v>
  </rv>
  <rv s="4">
    <fb>45509</fb>
    <v>9</v>
  </rv>
  <rv s="4">
    <fb>100.45</fb>
    <v>10</v>
  </rv>
  <rv s="4">
    <fb>45510</fb>
    <v>9</v>
  </rv>
  <rv s="4">
    <fb>104.25</fb>
    <v>10</v>
  </rv>
  <rv s="4">
    <fb>45511</fb>
    <v>9</v>
  </rv>
  <rv s="4">
    <fb>98.91</fb>
    <v>10</v>
  </rv>
  <rv s="4">
    <fb>45512</fb>
    <v>9</v>
  </rv>
  <rv s="4">
    <fb>104.97</fb>
    <v>10</v>
  </rv>
  <rv s="4">
    <fb>45513</fb>
    <v>9</v>
  </rv>
  <rv s="4">
    <fb>104.75</fb>
    <v>10</v>
  </rv>
  <rv s="4">
    <fb>45516</fb>
    <v>9</v>
  </rv>
  <rv s="4">
    <fb>109.02</fb>
    <v>10</v>
  </rv>
  <rv s="4">
    <fb>45517</fb>
    <v>9</v>
  </rv>
  <rv s="4">
    <fb>116.14</fb>
    <v>10</v>
  </rv>
  <rv s="4">
    <fb>45518</fb>
    <v>9</v>
  </rv>
  <rv s="4">
    <fb>118.08</fb>
    <v>10</v>
  </rv>
  <rv s="4">
    <fb>45519</fb>
    <v>9</v>
  </rv>
  <rv s="4">
    <fb>122.86</fb>
    <v>10</v>
  </rv>
  <rv s="4">
    <fb>45520</fb>
    <v>9</v>
  </rv>
  <rv s="4">
    <fb>124.58</fb>
    <v>10</v>
  </rv>
  <rv s="4">
    <fb>45523</fb>
    <v>9</v>
  </rv>
  <rv s="4">
    <fb>130</fb>
    <v>10</v>
  </rv>
  <rv s="4">
    <fb>45524</fb>
    <v>9</v>
  </rv>
  <rv s="4">
    <fb>127.25</fb>
    <v>10</v>
  </rv>
  <rv s="4">
    <fb>45525</fb>
    <v>9</v>
  </rv>
  <rv s="4">
    <fb>128.5</fb>
    <v>10</v>
  </rv>
  <rv s="4">
    <fb>45526</fb>
    <v>9</v>
  </rv>
  <rv s="4">
    <fb>123.74</fb>
    <v>10</v>
  </rv>
  <rv s="4">
    <fb>45527</fb>
    <v>9</v>
  </rv>
  <rv s="4">
    <fb>129.37</fb>
    <v>10</v>
  </rv>
  <rv s="4">
    <fb>45530</fb>
    <v>9</v>
  </rv>
  <rv s="4">
    <fb>126.46</fb>
    <v>10</v>
  </rv>
  <rv s="4">
    <fb>45531</fb>
    <v>9</v>
  </rv>
  <rv s="4">
    <fb>128.30000000000001</fb>
    <v>10</v>
  </rv>
  <rv s="4">
    <fb>45532</fb>
    <v>9</v>
  </rv>
  <rv s="4">
    <fb>125.61</fb>
    <v>10</v>
  </rv>
  <rv s="4">
    <fb>45533</fb>
    <v>9</v>
  </rv>
  <rv s="4">
    <fb>117.59</fb>
    <v>10</v>
  </rv>
  <rv s="4">
    <fb>45534</fb>
    <v>9</v>
  </rv>
  <rv s="4">
    <fb>119.37</fb>
    <v>10</v>
  </rv>
  <rv s="4">
    <fb>45538</fb>
    <v>9</v>
  </rv>
  <rv s="4">
    <fb>108</fb>
    <v>10</v>
  </rv>
  <rv s="4">
    <fb>45539</fb>
    <v>9</v>
  </rv>
  <rv s="4">
    <fb>106.21</fb>
    <v>10</v>
  </rv>
  <rv s="4">
    <fb>45540</fb>
    <v>9</v>
  </rv>
  <rv s="4">
    <fb>107.21</fb>
    <v>10</v>
  </rv>
  <rv s="4">
    <fb>45541</fb>
    <v>9</v>
  </rv>
  <rv s="4">
    <fb>102.83</fb>
    <v>10</v>
  </rv>
  <rv s="4">
    <fb>45544</fb>
    <v>9</v>
  </rv>
  <rv s="4">
    <fb>106.47</fb>
    <v>10</v>
  </rv>
  <rv s="4">
    <fb>45545</fb>
    <v>9</v>
  </rv>
  <rv s="4">
    <fb>108.1</fb>
    <v>10</v>
  </rv>
  <rv s="4">
    <fb>45546</fb>
    <v>9</v>
  </rv>
  <rv s="4">
    <fb>116.91</fb>
    <v>10</v>
  </rv>
  <rv s="4">
    <fb>45547</fb>
    <v>9</v>
  </rv>
  <rv s="4">
    <fb>119.14</fb>
    <v>10</v>
  </rv>
  <rv s="4">
    <fb>45548</fb>
    <v>9</v>
  </rv>
  <rv s="4">
    <fb>119.1</fb>
    <v>10</v>
  </rv>
  <rv s="4">
    <fb>45551</fb>
    <v>9</v>
  </rv>
  <rv s="4">
    <fb>116.78</fb>
    <v>10</v>
  </rv>
  <rv s="4">
    <fb>45552</fb>
    <v>9</v>
  </rv>
  <rv s="4">
    <fb>115.59</fb>
    <v>10</v>
  </rv>
  <rv s="4">
    <fb>45553</fb>
    <v>9</v>
  </rv>
  <rv s="4">
    <fb>113.37</fb>
    <v>10</v>
  </rv>
  <rv s="4">
    <fb>45554</fb>
    <v>9</v>
  </rv>
  <rv s="4">
    <fb>117.87</fb>
    <v>10</v>
  </rv>
  <rv s="4">
    <fb>45555</fb>
    <v>9</v>
  </rv>
  <rv s="4">
    <fb>116</fb>
    <v>10</v>
  </rv>
  <rv s="4">
    <fb>45558</fb>
    <v>9</v>
  </rv>
  <rv s="4">
    <fb>116.26</fb>
    <v>10</v>
  </rv>
  <rv s="4">
    <fb>45559</fb>
    <v>9</v>
  </rv>
  <rv s="4">
    <fb>120.87</fb>
    <v>10</v>
  </rv>
  <rv s="4">
    <fb>45560</fb>
    <v>9</v>
  </rv>
  <rv s="4">
    <fb>123.51</fb>
    <v>10</v>
  </rv>
  <rv s="4">
    <fb>45561</fb>
    <v>9</v>
  </rv>
  <rv s="4">
    <fb>124.04</fb>
    <v>10</v>
  </rv>
  <rv s="4">
    <fb>45562</fb>
    <v>9</v>
  </rv>
  <rv s="4">
    <fb>121.4</fb>
    <v>10</v>
  </rv>
  <rv s="4">
    <fb>45565</fb>
    <v>9</v>
  </rv>
  <rv s="4">
    <fb>121.44</fb>
    <v>10</v>
  </rv>
  <rv s="4">
    <fb>45566</fb>
    <v>9</v>
  </rv>
  <rv s="4">
    <fb>117</fb>
    <v>10</v>
  </rv>
  <rv s="4">
    <fb>45567</fb>
    <v>9</v>
  </rv>
  <rv s="4">
    <fb>118.85</fb>
    <v>10</v>
  </rv>
  <rv s="4">
    <fb>45568</fb>
    <v>9</v>
  </rv>
  <rv s="4">
    <fb>122.85</fb>
    <v>10</v>
  </rv>
  <rv s="4">
    <fb>45569</fb>
    <v>9</v>
  </rv>
  <rv s="4">
    <fb>124.92</fb>
    <v>10</v>
  </rv>
  <rv s="4">
    <fb>45572</fb>
    <v>9</v>
  </rv>
  <rv s="4">
    <fb>127.72</fb>
    <v>10</v>
  </rv>
  <rv s="4">
    <fb>45573</fb>
    <v>9</v>
  </rv>
  <rv s="4">
    <fb>132.88999999999999</fb>
    <v>10</v>
  </rv>
  <rv s="4">
    <fb>45574</fb>
    <v>9</v>
  </rv>
  <rv s="4">
    <fb>132.65</fb>
    <v>10</v>
  </rv>
  <rv s="4">
    <fb>45575</fb>
    <v>9</v>
  </rv>
  <rv s="4">
    <fb>134.81</fb>
    <v>10</v>
  </rv>
  <rv s="4">
    <fb>45576</fb>
    <v>9</v>
  </rv>
  <rv s="4">
    <fb>134.80000000000001</fb>
    <v>10</v>
  </rv>
  <rv s="4">
    <fb>45579</fb>
    <v>9</v>
  </rv>
  <rv s="4">
    <fb>138.07</fb>
    <v>10</v>
  </rv>
  <rv s="4">
    <fb>45580</fb>
    <v>9</v>
  </rv>
  <rv s="4">
    <fb>131.6</fb>
    <v>10</v>
  </rv>
  <rv s="4">
    <fb>45581</fb>
    <v>9</v>
  </rv>
  <rv s="4">
    <fb>135.72</fb>
    <v>10</v>
  </rv>
  <rv s="4">
    <fb>45582</fb>
    <v>9</v>
  </rv>
  <rv s="4">
    <fb>136.93</fb>
    <v>10</v>
  </rv>
  <rv s="4">
    <fb>45583</fb>
    <v>9</v>
  </rv>
  <rv s="4">
    <fb>138</fb>
    <v>10</v>
  </rv>
  <rv s="4">
    <fb>45586</fb>
    <v>9</v>
  </rv>
  <rv s="4">
    <fb>143.71</fb>
    <v>10</v>
  </rv>
  <rv s="4">
    <fb>45587</fb>
    <v>9</v>
  </rv>
  <rv s="4">
    <fb>143.59</fb>
    <v>10</v>
  </rv>
  <rv s="4">
    <fb>45588</fb>
    <v>9</v>
  </rv>
  <rv s="4">
    <fb>139.56</fb>
    <v>10</v>
  </rv>
  <rv s="4">
    <fb>45589</fb>
    <v>9</v>
  </rv>
  <rv s="4">
    <fb>140.41</fb>
    <v>10</v>
  </rv>
  <rv s="4">
    <fb>45590</fb>
    <v>9</v>
  </rv>
  <rv s="4">
    <fb>141.54</fb>
    <v>10</v>
  </rv>
  <rv s="4">
    <fb>45593</fb>
    <v>9</v>
  </rv>
  <rv s="4">
    <fb>140.52000000000001</fb>
    <v>10</v>
  </rv>
  <rv s="4">
    <fb>45594</fb>
    <v>9</v>
  </rv>
  <rv s="4">
    <fb>141.25</fb>
    <v>10</v>
  </rv>
  <rv s="4">
    <fb>45595</fb>
    <v>9</v>
  </rv>
  <rv s="4">
    <fb>139.33500000000001</fb>
    <v>10</v>
  </rv>
  <rv s="4">
    <fb>45596</fb>
    <v>9</v>
  </rv>
  <rv s="4">
    <fb>132.76</fb>
    <v>10</v>
  </rv>
  <rv s="4">
    <fb>45597</fb>
    <v>9</v>
  </rv>
  <rv s="4">
    <fb>135.4</fb>
    <v>10</v>
  </rv>
  <rv s="4">
    <fb>45600</fb>
    <v>9</v>
  </rv>
  <rv s="4">
    <fb>136.05000000000001</fb>
    <v>10</v>
  </rv>
  <rv s="4">
    <fb>45601</fb>
    <v>9</v>
  </rv>
  <rv s="4">
    <fb>139.91</fb>
    <v>10</v>
  </rv>
  <rv s="4">
    <fb>45602</fb>
    <v>9</v>
  </rv>
  <rv s="4">
    <fb>145.61000000000001</fb>
    <v>10</v>
  </rv>
  <rv s="4">
    <fb>45603</fb>
    <v>9</v>
  </rv>
  <rv s="4">
    <fb>148.88</fb>
    <v>10</v>
  </rv>
  <rv s="4">
    <fb>45604</fb>
    <v>9</v>
  </rv>
  <rv s="4">
    <fb>147.63</fb>
    <v>10</v>
  </rv>
  <rv s="4">
    <fb>45607</fb>
    <v>9</v>
  </rv>
  <rv s="4">
    <fb>145.26</fb>
    <v>10</v>
  </rv>
  <rv s="4">
    <fb>45608</fb>
    <v>9</v>
  </rv>
  <rv s="4">
    <fb>148.29</fb>
    <v>10</v>
  </rv>
  <rv s="4">
    <fb>45609</fb>
    <v>9</v>
  </rv>
  <rv s="4">
    <fb>146.27000000000001</fb>
    <v>10</v>
  </rv>
  <rv s="4">
    <fb>45610</fb>
    <v>9</v>
  </rv>
  <rv s="4">
    <fb>146.76</fb>
    <v>10</v>
  </rv>
  <rv s="4">
    <fb>45611</fb>
    <v>9</v>
  </rv>
  <rv s="4">
    <fb>141.97999999999999</fb>
    <v>10</v>
  </rv>
  <rv s="4">
    <fb>45614</fb>
    <v>9</v>
  </rv>
  <rv s="4">
    <fb>140.15</fb>
    <v>10</v>
  </rv>
  <rv s="4">
    <fb>45615</fb>
    <v>9</v>
  </rv>
  <rv s="4">
    <fb>147.01</fb>
    <v>10</v>
  </rv>
  <rv s="4">
    <fb>45616</fb>
    <v>9</v>
  </rv>
  <rv s="4">
    <fb>145.88999999999999</fb>
    <v>10</v>
  </rv>
  <rv s="4">
    <fb>45617</fb>
    <v>9</v>
  </rv>
  <rv s="4">
    <fb>146.66999999999999</fb>
    <v>10</v>
  </rv>
  <rv s="4">
    <fb>45618</fb>
    <v>9</v>
  </rv>
  <rv s="4">
    <fb>141.94999999999999</fb>
    <v>10</v>
  </rv>
  <rv s="4">
    <fb>45621</fb>
    <v>9</v>
  </rv>
  <rv s="4">
    <fb>136.02000000000001</fb>
    <v>10</v>
  </rv>
  <rv s="4">
    <fb>45622</fb>
    <v>9</v>
  </rv>
  <rv s="4">
    <fb>136.91999999999999</fb>
    <v>10</v>
  </rv>
  <rv s="4">
    <fb>45623</fb>
    <v>9</v>
  </rv>
  <rv s="4">
    <fb>135.34</fb>
    <v>10</v>
  </rv>
  <rv s="4">
    <fb>45625</fb>
    <v>9</v>
  </rv>
  <rv s="4">
    <fb>138.25</fb>
    <v>10</v>
  </rv>
  <rv s="4">
    <fb>45628</fb>
    <v>9</v>
  </rv>
  <rv s="4">
    <fb>138.63</fb>
    <v>10</v>
  </rv>
  <rv s="4">
    <fb>45629</fb>
    <v>9</v>
  </rv>
  <rv s="4">
    <fb>140.26</fb>
    <v>10</v>
  </rv>
  <rv s="4">
    <fb>45630</fb>
    <v>9</v>
  </rv>
  <rv s="4">
    <fb>145.13999999999999</fb>
    <v>10</v>
  </rv>
  <rv s="4">
    <fb>45631</fb>
    <v>9</v>
  </rv>
  <rv s="4">
    <fb>145.06</fb>
    <v>10</v>
  </rv>
  <rv s="4">
    <fb>45632</fb>
    <v>9</v>
  </rv>
  <rv s="4">
    <fb>142.44</fb>
    <v>10</v>
  </rv>
  <rv s="4">
    <fb>45635</fb>
    <v>9</v>
  </rv>
  <rv s="4">
    <fb>138.81</fb>
    <v>10</v>
  </rv>
  <rv s="4">
    <fb>45636</fb>
    <v>9</v>
  </rv>
  <rv s="4">
    <fb>135.07</fb>
    <v>10</v>
  </rv>
  <rv s="4">
    <fb>45637</fb>
    <v>9</v>
  </rv>
  <rv s="4">
    <fb>139.31</fb>
    <v>10</v>
  </rv>
  <rv s="4">
    <fb>45638</fb>
    <v>9</v>
  </rv>
  <rv s="4">
    <fb>137.34</fb>
    <v>10</v>
  </rv>
  <rv s="4">
    <fb>45639</fb>
    <v>9</v>
  </rv>
  <rv s="4">
    <fb>134.25</fb>
    <v>10</v>
  </rv>
  <rv s="4">
    <fb>45642</fb>
    <v>9</v>
  </rv>
  <rv s="4">
    <fb>132</fb>
    <v>10</v>
  </rv>
  <rv s="4">
    <fb>45643</fb>
    <v>9</v>
  </rv>
  <rv s="4">
    <fb>130.38999999999999</fb>
    <v>10</v>
  </rv>
  <rv s="4">
    <fb>45644</fb>
    <v>9</v>
  </rv>
  <rv s="4">
    <fb>128.91</fb>
    <v>10</v>
  </rv>
  <rv s="4">
    <fb>45645</fb>
    <v>9</v>
  </rv>
  <rv s="4">
    <fb>130.68</fb>
    <v>10</v>
  </rv>
  <rv s="4">
    <fb>45646</fb>
    <v>9</v>
  </rv>
  <rv s="4">
    <fb>134.69999999999999</fb>
    <v>10</v>
  </rv>
  <rv s="4">
    <fb>45649</fb>
    <v>9</v>
  </rv>
  <rv s="4">
    <fb>139.66999999999999</fb>
    <v>10</v>
  </rv>
  <rv s="4">
    <fb>45650</fb>
    <v>9</v>
  </rv>
  <rv s="4">
    <fb>140.22</fb>
    <v>10</v>
  </rv>
  <rv s="4">
    <fb>45652</fb>
    <v>9</v>
  </rv>
  <rv s="4">
    <fb>139.93</fb>
    <v>10</v>
  </rv>
  <rv s="4">
    <fb>45653</fb>
    <v>9</v>
  </rv>
  <rv s="4">
    <fb>137.01</fb>
    <v>10</v>
  </rv>
  <rv s="4">
    <fb>45656</fb>
    <v>9</v>
  </rv>
  <rv s="4">
    <fb>137.49</fb>
    <v>10</v>
  </rv>
  <rv s="4">
    <fb>45657</fb>
    <v>9</v>
  </rv>
  <rv s="4">
    <fb>134.29</fb>
    <v>10</v>
  </rv>
  <rv s="4">
    <fb>45659</fb>
    <v>9</v>
  </rv>
  <rv s="4">
    <fb>138.31</fb>
    <v>10</v>
  </rv>
  <rv s="4">
    <fb>45660</fb>
    <v>9</v>
  </rv>
  <rv s="4">
    <fb>144.47</fb>
    <v>10</v>
  </rv>
  <rv s="4">
    <fb>45663</fb>
    <v>9</v>
  </rv>
  <rv s="4">
    <fb>149.43</fb>
    <v>10</v>
  </rv>
  <rv s="4">
    <fb>45664</fb>
    <v>9</v>
  </rv>
  <rv s="4">
    <fb>140.13999999999999</fb>
    <v>10</v>
  </rv>
  <rv s="4">
    <fb>45665</fb>
    <v>9</v>
  </rv>
  <rv s="4">
    <fb>140.11000000000001</fb>
    <v>10</v>
  </rv>
  <rv s="4">
    <fb>45667</fb>
    <v>9</v>
  </rv>
  <rv s="4">
    <fb>135.91</fb>
    <v>10</v>
  </rv>
  <rv s="4">
    <fb>45670</fb>
    <v>9</v>
  </rv>
  <rv s="4">
    <fb>133.22999999999999</fb>
    <v>10</v>
  </rv>
  <rv s="4">
    <fb>45671</fb>
    <v>9</v>
  </rv>
  <rv s="4">
    <fb>131.76</fb>
    <v>10</v>
  </rv>
  <rv s="4">
    <fb>45672</fb>
    <v>9</v>
  </rv>
  <rv s="4">
    <fb>136.24</fb>
    <v>10</v>
  </rv>
  <rv s="4">
    <fb>45673</fb>
    <v>9</v>
  </rv>
  <rv s="4">
    <fb>133.57</fb>
    <v>10</v>
  </rv>
  <rv s="4">
    <fb>45674</fb>
    <v>9</v>
  </rv>
  <rv s="4">
    <fb>137.71</fb>
    <v>10</v>
  </rv>
  <rv s="4">
    <fb>45678</fb>
    <v>9</v>
  </rv>
  <rv s="4">
    <fb>140.83000000000001</fb>
    <v>10</v>
  </rv>
  <rv s="4">
    <fb>45679</fb>
    <v>9</v>
  </rv>
  <rv s="4">
    <fb>147.07</fb>
    <v>10</v>
  </rv>
  <rv s="4">
    <fb>45680</fb>
    <v>9</v>
  </rv>
  <rv s="4">
    <fb>147.22</fb>
    <v>10</v>
  </rv>
  <rv s="4">
    <fb>45681</fb>
    <v>9</v>
  </rv>
  <rv s="4">
    <fb>142.62</fb>
    <v>10</v>
  </rv>
  <rv s="4">
    <fb>45684</fb>
    <v>9</v>
  </rv>
  <rv s="4">
    <fb>118.42</fb>
    <v>10</v>
  </rv>
  <rv s="4">
    <fb>45685</fb>
    <v>9</v>
  </rv>
  <rv s="4">
    <fb>128.99</fb>
    <v>10</v>
  </rv>
  <rv s="4">
    <fb>45686</fb>
    <v>9</v>
  </rv>
  <rv s="4">
    <fb>123.7</fb>
    <v>10</v>
  </rv>
  <rv s="4">
    <fb>45687</fb>
    <v>9</v>
  </rv>
  <rv s="4">
    <fb>124.65</fb>
    <v>10</v>
  </rv>
  <rv s="4">
    <fb>45688</fb>
    <v>9</v>
  </rv>
  <rv s="4">
    <fb>120.07</fb>
    <v>10</v>
  </rv>
  <rv s="4">
    <fb>45691</fb>
    <v>9</v>
  </rv>
  <rv s="4">
    <fb>116.66</fb>
    <v>10</v>
  </rv>
  <rv s="4">
    <fb>45692</fb>
    <v>9</v>
  </rv>
  <rv s="4">
    <fb>118.65</fb>
    <v>10</v>
  </rv>
  <rv s="4">
    <fb>45693</fb>
    <v>9</v>
  </rv>
  <rv s="4">
    <fb>124.83</fb>
    <v>10</v>
  </rv>
  <rv s="4">
    <fb>45694</fb>
    <v>9</v>
  </rv>
  <rv s="4">
    <fb>128.68</fb>
    <v>10</v>
  </rv>
  <rv s="4">
    <fb>45695</fb>
    <v>9</v>
  </rv>
  <rv s="4">
    <fb>129.84</fb>
    <v>10</v>
  </rv>
  <rv s="4">
    <fb>45698</fb>
    <v>9</v>
  </rv>
  <rv s="4">
    <fb>45699</fb>
    <v>9</v>
  </rv>
  <rv s="4">
    <fb>132.80000000000001</fb>
    <v>10</v>
  </rv>
  <rv s="4">
    <fb>45700</fb>
    <v>9</v>
  </rv>
  <rv s="4">
    <fb>131.13999999999999</fb>
    <v>10</v>
  </rv>
  <rv s="4">
    <fb>45701</fb>
    <v>9</v>
  </rv>
  <rv s="4">
    <fb>135.29</fb>
    <v>10</v>
  </rv>
  <rv s="4">
    <fb>45702</fb>
    <v>9</v>
  </rv>
  <rv s="4">
    <fb>138.85</fb>
    <v>10</v>
  </rv>
  <rv s="4">
    <fb>45706</fb>
    <v>9</v>
  </rv>
  <rv s="4">
    <fb>139.4</fb>
    <v>10</v>
  </rv>
  <rv s="4">
    <fb>45707</fb>
    <v>9</v>
  </rv>
  <rv s="4">
    <fb>139.22999999999999</fb>
    <v>10</v>
  </rv>
  <rv s="4">
    <fb>45708</fb>
    <v>9</v>
  </rv>
  <rv s="4">
    <fb>45709</fb>
    <v>9</v>
  </rv>
  <rv s="4">
    <fb>134.43</fb>
    <v>10</v>
  </rv>
  <rv s="4">
    <fb>45712</fb>
    <v>9</v>
  </rv>
  <rv s="4">
    <fb>130.28</fb>
    <v>10</v>
  </rv>
  <rv s="4">
    <fb>45713</fb>
    <v>9</v>
  </rv>
  <rv s="4">
    <fb>126.63</fb>
    <v>10</v>
  </rv>
  <rv s="4">
    <fb>45714</fb>
    <v>9</v>
  </rv>
  <rv s="4">
    <fb>131.28</fb>
    <v>10</v>
  </rv>
  <rv s="4">
    <fb>45715</fb>
    <v>9</v>
  </rv>
  <rv s="4">
    <fb>120.15</fb>
    <v>10</v>
  </rv>
  <rv s="4">
    <fb>45716</fb>
    <v>9</v>
  </rv>
  <rv s="4">
    <fb>45719</fb>
    <v>9</v>
  </rv>
  <rv s="4">
    <fb>114.06</fb>
    <v>10</v>
  </rv>
  <rv s="4">
    <fb>45720</fb>
    <v>9</v>
  </rv>
  <rv s="4">
    <fb>115.99</fb>
    <v>10</v>
  </rv>
  <rv s="4">
    <fb>45721</fb>
    <v>9</v>
  </rv>
  <rv s="4">
    <fb>117.3</fb>
    <v>10</v>
  </rv>
  <rv s="4">
    <fb>45722</fb>
    <v>9</v>
  </rv>
  <rv s="4">
    <fb>110.57</fb>
    <v>10</v>
  </rv>
  <rv s="4">
    <fb>45723</fb>
    <v>9</v>
  </rv>
  <rv s="4">
    <fb>112.69</fb>
    <v>10</v>
  </rv>
  <rv s="4">
    <fb>45726</fb>
    <v>9</v>
  </rv>
  <rv s="4">
    <fb>106.98</fb>
    <v>10</v>
  </rv>
  <rv s="4">
    <fb>45727</fb>
    <v>9</v>
  </rv>
  <rv s="4">
    <fb>108.76</fb>
    <v>10</v>
  </rv>
  <rv s="4">
    <fb>45728</fb>
    <v>9</v>
  </rv>
  <rv s="4">
    <fb>115.74</fb>
    <v>10</v>
  </rv>
  <rv s="4">
    <fb>45729</fb>
    <v>9</v>
  </rv>
  <rv s="4">
    <fb>115.58</fb>
    <v>10</v>
  </rv>
  <rv s="4">
    <fb>45730</fb>
    <v>9</v>
  </rv>
  <rv s="4">
    <fb>121.67</fb>
    <v>10</v>
  </rv>
  <rv s="4">
    <fb>45733</fb>
    <v>9</v>
  </rv>
  <rv s="4">
    <fb>119.53</fb>
    <v>10</v>
  </rv>
  <rv s="4">
    <fb>45734</fb>
    <v>9</v>
  </rv>
  <rv s="4">
    <fb>115.43</fb>
    <v>10</v>
  </rv>
  <rv s="4">
    <fb>45735</fb>
    <v>9</v>
  </rv>
  <rv s="4">
    <fb>117.52</fb>
    <v>10</v>
  </rv>
  <rv s="4">
    <fb>45736</fb>
    <v>9</v>
  </rv>
  <rv s="4">
    <fb>118.53</fb>
    <v>10</v>
  </rv>
  <rv s="4">
    <fb>45737</fb>
    <v>9</v>
  </rv>
  <rv s="4">
    <fb>117.7</fb>
    <v>10</v>
  </rv>
  <rv s="4">
    <fb>45740</fb>
    <v>9</v>
  </rv>
  <rv s="4">
    <fb>121.41</fb>
    <v>10</v>
  </rv>
  <rv s="4">
    <fb>45741</fb>
    <v>9</v>
  </rv>
  <rv s="4">
    <fb>120.69</fb>
    <v>10</v>
  </rv>
  <rv s="4">
    <fb>45742</fb>
    <v>9</v>
  </rv>
  <rv s="4">
    <fb>113.76</fb>
    <v>10</v>
  </rv>
  <rv s="4">
    <fb>45743</fb>
    <v>9</v>
  </rv>
  <rv s="4">
    <fb>111.43</fb>
    <v>10</v>
  </rv>
  <rv s="4">
    <fb>45744</fb>
    <v>9</v>
  </rv>
  <rv s="4">
    <fb>109.67</fb>
    <v>10</v>
  </rv>
  <rv s="4">
    <fb>45747</fb>
    <v>9</v>
  </rv>
  <rv s="4">
    <fb>108.38</fb>
    <v>10</v>
  </rv>
  <rv s="4">
    <fb>45748</fb>
    <v>9</v>
  </rv>
  <rv s="4">
    <fb>110.15</fb>
    <v>10</v>
  </rv>
  <rv s="4">
    <fb>45749</fb>
    <v>9</v>
  </rv>
  <rv s="4">
    <fb>110.42</fb>
    <v>10</v>
  </rv>
  <rv s="4">
    <fb>45750</fb>
    <v>9</v>
  </rv>
  <rv s="4">
    <fb>101.8</fb>
    <v>10</v>
  </rv>
  <rv s="4">
    <fb>45751</fb>
    <v>9</v>
  </rv>
  <rv s="4">
    <fb>94.31</fb>
    <v>10</v>
  </rv>
  <rv s="4">
    <fb>45754</fb>
    <v>9</v>
  </rv>
  <rv s="4">
    <fb>97.64</fb>
    <v>10</v>
  </rv>
  <rv s="4">
    <fb>45755</fb>
    <v>9</v>
  </rv>
  <rv s="4">
    <fb>96.3</fb>
    <v>10</v>
  </rv>
  <rv s="4">
    <fb>45756</fb>
    <v>9</v>
  </rv>
  <rv s="4">
    <fb>114.33</fb>
    <v>10</v>
  </rv>
  <rv s="4">
    <fb>45757</fb>
    <v>9</v>
  </rv>
  <rv s="4">
    <fb>107.57</fb>
    <v>10</v>
  </rv>
  <rv s="4">
    <fb>45758</fb>
    <v>9</v>
  </rv>
  <rv s="4">
    <fb>110.93</fb>
    <v>10</v>
  </rv>
  <rv s="4">
    <fb>45761</fb>
    <v>9</v>
  </rv>
  <rv s="4">
    <fb>110.71</fb>
    <v>10</v>
  </rv>
  <rv s="4">
    <fb>45762</fb>
    <v>9</v>
  </rv>
  <rv s="4">
    <fb>112.2</fb>
    <v>10</v>
  </rv>
  <rv s="4">
    <fb>45763</fb>
    <v>9</v>
  </rv>
  <rv s="4">
    <fb>104.49</fb>
    <v>10</v>
  </rv>
  <rv s="4">
    <fb>45764</fb>
    <v>9</v>
  </rv>
  <rv s="4">
    <fb>101.49</fb>
    <v>10</v>
  </rv>
  <rv s="4">
    <fb>45768</fb>
    <v>9</v>
  </rv>
  <rv s="4">
    <fb>96.91</fb>
    <v>10</v>
  </rv>
  <rv s="4">
    <fb>45769</fb>
    <v>9</v>
  </rv>
  <rv s="4">
    <fb>98.89</fb>
    <v>10</v>
  </rv>
  <rv s="4">
    <fb>45770</fb>
    <v>9</v>
  </rv>
  <rv s="4">
    <fb>102.71</fb>
    <v>10</v>
  </rv>
  <rv s="4">
    <fb>45771</fb>
    <v>9</v>
  </rv>
  <rv s="4">
    <fb>106.43</fb>
    <v>10</v>
  </rv>
  <rv s="4">
    <fb>45772</fb>
    <v>9</v>
  </rv>
  <rv s="4">
    <fb>111.01</fb>
    <v>10</v>
  </rv>
  <rv s="4">
    <fb>45775</fb>
    <v>9</v>
  </rv>
  <rv s="4">
    <fb>108.73</fb>
    <v>10</v>
  </rv>
  <rv s="4">
    <fb>45776</fb>
    <v>9</v>
  </rv>
  <rv s="4">
    <fb>45777</fb>
    <v>9</v>
  </rv>
  <rv s="4">
    <fb>108.92</fb>
    <v>10</v>
  </rv>
  <rv s="4">
    <fb>45778</fb>
    <v>9</v>
  </rv>
  <rv s="4">
    <fb>111.61</fb>
    <v>10</v>
  </rv>
  <rv s="4">
    <fb>45779</fb>
    <v>9</v>
  </rv>
  <rv s="4">
    <fb>114.5</fb>
    <v>10</v>
  </rv>
  <rv s="4">
    <fb>45782</fb>
    <v>9</v>
  </rv>
  <rv s="4">
    <fb>113.82</fb>
    <v>10</v>
  </rv>
  <rv s="4">
    <fb>45783</fb>
    <v>9</v>
  </rv>
  <rv s="4">
    <fb>113.54</fb>
    <v>10</v>
  </rv>
  <rv s="4">
    <fb>45784</fb>
    <v>9</v>
  </rv>
  <rv s="4">
    <fb>117.06</fb>
    <v>10</v>
  </rv>
  <rv s="4">
    <fb>45785</fb>
    <v>9</v>
  </rv>
  <rv s="4">
    <fb>117.37</fb>
    <v>10</v>
  </rv>
  <rv s="4">
    <fb>45786</fb>
    <v>9</v>
  </rv>
  <rv s="4">
    <fb>116.65</fb>
    <v>10</v>
  </rv>
  <rv s="4">
    <fb>45789</fb>
    <v>9</v>
  </rv>
  <rv s="4">
    <fb>123</fb>
    <v>10</v>
  </rv>
  <rv s="4">
    <fb>45790</fb>
    <v>9</v>
  </rv>
  <rv s="4">
    <fb>129.93</fb>
    <v>10</v>
  </rv>
  <rv s="4">
    <fb>45791</fb>
    <v>9</v>
  </rv>
  <rv s="4">
    <fb>45792</fb>
    <v>9</v>
  </rv>
  <rv s="4">
    <fb>134.83000000000001</fb>
    <v>10</v>
  </rv>
  <rv s="4">
    <fb>45793</fb>
    <v>9</v>
  </rv>
  <rv s="4">
    <fb>45796</fb>
    <v>9</v>
  </rv>
  <rv s="4">
    <fb>135.57</fb>
    <v>10</v>
  </rv>
  <rv s="4">
    <fb>45797</fb>
    <v>9</v>
  </rv>
  <rv s="4">
    <fb>134.38</fb>
    <v>10</v>
  </rv>
  <rv s="4">
    <fb>45798</fb>
    <v>9</v>
  </rv>
  <rv s="4">
    <fb>131.80000000000001</fb>
    <v>10</v>
  </rv>
  <rv s="4">
    <fb>45799</fb>
    <v>9</v>
  </rv>
  <rv s="4">
    <fb>132.83000000000001</fb>
    <v>10</v>
  </rv>
  <rv s="4">
    <fb>45800</fb>
    <v>9</v>
  </rv>
  <rv s="4">
    <fb>131.29</fb>
    <v>10</v>
  </rv>
  <rv s="4">
    <fb>45804</fb>
    <v>9</v>
  </rv>
  <rv s="4">
    <fb>135.5</fb>
    <v>10</v>
  </rv>
  <rv s="4">
    <fb>45805</fb>
    <v>9</v>
  </rv>
  <rv s="4">
    <fb>45806</fb>
    <v>9</v>
  </rv>
  <rv s="4">
    <fb>139.19</fb>
    <v>10</v>
  </rv>
  <rv s="4">
    <fb>45807</fb>
    <v>9</v>
  </rv>
  <rv s="4">
    <fb>135.13</fb>
    <v>10</v>
  </rv>
  <rv s="4">
    <fb>45810</fb>
    <v>9</v>
  </rv>
  <rv s="4">
    <fb>137.38</fb>
    <v>10</v>
  </rv>
  <rv s="4">
    <fb>45811</fb>
    <v>9</v>
  </rv>
  <rv s="4">
    <fb>141.22</fb>
    <v>10</v>
  </rv>
  <rv s="4">
    <fb>45812</fb>
    <v>9</v>
  </rv>
  <rv s="4">
    <fb>141.91999999999999</fb>
    <v>10</v>
  </rv>
  <rv s="4">
    <fb>45813</fb>
    <v>9</v>
  </rv>
  <rv s="4">
    <fb>139.99</fb>
    <v>10</v>
  </rv>
  <rv s="4">
    <fb>45814</fb>
    <v>9</v>
  </rv>
  <rv s="4">
    <fb>141.72</fb>
    <v>10</v>
  </rv>
  <rv s="4">
    <fb>45817</fb>
    <v>9</v>
  </rv>
  <rv s="4">
    <fb>142.63</fb>
    <v>10</v>
  </rv>
  <rv s="4">
    <fb>45818</fb>
    <v>9</v>
  </rv>
  <rv s="4">
    <fb>143.96</fb>
    <v>10</v>
  </rv>
  <rv s="4">
    <fb>45819</fb>
    <v>9</v>
  </rv>
  <rv s="4">
    <fb>142.83000000000001</fb>
    <v>10</v>
  </rv>
  <rv s="4">
    <fb>45820</fb>
    <v>9</v>
  </rv>
  <rv s="4">
    <fb>145</fb>
    <v>10</v>
  </rv>
  <rv s="4">
    <fb>45821</fb>
    <v>9</v>
  </rv>
  <rv s="4">
    <fb>141.97</fb>
    <v>10</v>
  </rv>
  <rv s="4">
    <fb>45824</fb>
    <v>9</v>
  </rv>
  <rv s="4">
    <fb>144.69</fb>
    <v>10</v>
  </rv>
  <rv s="4">
    <fb>45825</fb>
    <v>9</v>
  </rv>
  <rv s="4">
    <fb>144.12</fb>
    <v>10</v>
  </rv>
  <rv s="4">
    <fb>45826</fb>
    <v>9</v>
  </rv>
  <rv s="4">
    <fb>145.47999999999999</fb>
    <v>10</v>
  </rv>
  <rv s="4">
    <fb>45828</fb>
    <v>9</v>
  </rv>
  <rv s="4">
    <fb>143.85</fb>
    <v>10</v>
  </rv>
  <rv s="4">
    <fb>45831</fb>
    <v>9</v>
  </rv>
  <rv s="4">
    <fb>144.16999999999999</fb>
    <v>10</v>
  </rv>
  <rv s="4">
    <fb>45832</fb>
    <v>9</v>
  </rv>
  <rv s="4">
    <fb>147.9</fb>
    <v>10</v>
  </rv>
  <rv s="4">
    <fb>45833</fb>
    <v>9</v>
  </rv>
  <rv s="4">
    <fb>154.31</fb>
    <v>10</v>
  </rv>
  <rv s="4">
    <fb>45834</fb>
    <v>9</v>
  </rv>
  <rv s="4">
    <fb>155.02000000000001</fb>
    <v>10</v>
  </rv>
  <rv s="4">
    <fb>45835</fb>
    <v>9</v>
  </rv>
  <rv s="4">
    <fb>157.75</fb>
    <v>10</v>
  </rv>
  <rv s="4">
    <fb>45838</fb>
    <v>9</v>
  </rv>
  <rv s="4">
    <fb>157.99</fb>
    <v>10</v>
  </rv>
  <rv s="4">
    <fb>45839</fb>
    <v>9</v>
  </rv>
  <rv s="4">
    <fb>153.30000000000001</fb>
    <v>10</v>
  </rv>
  <rv s="4">
    <fb>45840</fb>
    <v>9</v>
  </rv>
  <rv s="4">
    <fb>157.25</fb>
    <v>10</v>
  </rv>
  <rv s="4">
    <fb>45841</fb>
    <v>9</v>
  </rv>
  <rv s="4">
    <fb>159.34</fb>
    <v>10</v>
  </rv>
  <rv s="4">
    <fb>45845</fb>
    <v>9</v>
  </rv>
  <rv s="4">
    <fb>158.24</fb>
    <v>10</v>
  </rv>
  <rv s="4">
    <fb>45846</fb>
    <v>9</v>
  </rv>
  <rv s="4">
    <fb>160</fb>
    <v>10</v>
  </rv>
  <rv s="4">
    <fb>45847</fb>
    <v>9</v>
  </rv>
  <rv s="4">
    <fb>162.88</fb>
    <v>10</v>
  </rv>
  <rv s="5">
    <v>11</v>
    <v>a1yv52</v>
    <v>Daily</v>
    <v>45292</v>
    <v>45848</v>
    <v>0</v>
    <v>1</v>
    <v>638876160000000000,638877743538420060,0</v>
    <v>0</v>
    <v>a1yv52</v>
    <v>XNAS:NVDA</v>
    <v>1</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earnMoreOnLink" t="r"/>
    <k n="Maturity"/>
    <k n="Name" t="s"/>
    <k n="Previous close"/>
    <k n="Price"/>
    <k n="Ticker symbol" t="s"/>
    <k n="UniqueName" t="s"/>
    <k n="Yield last month"/>
    <k n="Yield last week"/>
    <k n="Yield last year"/>
    <k n="Yield yesterday"/>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8">
      <v t="s">%EntityServiceId</v>
      <v t="s">_Format</v>
      <v t="s">%IsRefreshable</v>
      <v t="s">%EntityCulture</v>
      <v t="s">%EntityId</v>
      <v t="s">_Icon</v>
      <v t="s">_Display</v>
      <v t="s">Name</v>
      <v t="s">Price</v>
      <v t="s">_SubLabel</v>
      <v t="s">Last trade time</v>
      <v t="s">Ticker symbol</v>
      <v t="s">Change</v>
      <v t="s">Change (%)</v>
      <v t="s">Currency</v>
      <v t="s">Previous close</v>
      <v t="s">Yield yesterday</v>
      <v t="s">Yield last week</v>
      <v t="s">Yield last month</v>
      <v t="s">Yield last year</v>
      <v t="s">Maturity</v>
      <v t="s">Country/region</v>
      <v t="s">Instrument type</v>
      <v t="s">_Flags</v>
      <v t="s">UniqueName</v>
      <v t="s">_DisplayString</v>
      <v t="s">LearnMoreOnLink</v>
      <v t="s">%ProviderInfo</v>
    </a>
  </spbArrays>
  <spbData count="12">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1</v>
      <v>1</v>
      <v>1</v>
    </spb>
    <spb s="6">
      <v>3</v>
      <v>1</v>
      <v>1</v>
      <v>10</v>
      <v>5</v>
      <v>1</v>
      <v>7</v>
      <v>5</v>
      <v>5</v>
      <v>5</v>
      <v>5</v>
      <v>9</v>
    </spb>
    <spb s="7">
      <v>GMT</v>
    </spb>
    <spb s="8">
      <v>10</v>
    </spb>
    <spb s="8">
      <v>1</v>
    </spb>
    <spb s="9">
      <v>10</v>
      <v>1</v>
    </spb>
  </spbData>
</supportingPropertyBags>
</file>

<file path=xl/richData/rdsupportingpropertybagstructure.xml><?xml version="1.0" encoding="utf-8"?>
<spbStructures xmlns="http://schemas.microsoft.com/office/spreadsheetml/2017/richdata2" count="1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Name" t="i"/>
    <k n="Price" t="i"/>
    <k n="Change" t="i"/>
    <k n="Maturity" t="i"/>
    <k n="Change (%)" t="i"/>
    <k n="Previous close" t="i"/>
    <k n="Last trade time" t="i"/>
    <k n="Yield last week" t="i"/>
    <k n="Yield last year" t="i"/>
    <k n="Yield yesterday" t="i"/>
    <k n="Yield last month" t="i"/>
    <k n="`%EntityServiceId" t="i"/>
  </s>
  <s>
    <k n="Last trade time"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7"/>
  </richStyles>
</rich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jorgeluis.reyes@ciencias.unam.m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Z1000"/>
  <sheetViews>
    <sheetView zoomScale="85" zoomScaleNormal="85" workbookViewId="0"/>
  </sheetViews>
  <sheetFormatPr defaultColWidth="14.453125" defaultRowHeight="15" customHeight="1" x14ac:dyDescent="0.35"/>
  <cols>
    <col min="1" max="1" width="5.7265625" customWidth="1"/>
    <col min="2" max="2" width="14.453125" customWidth="1"/>
    <col min="3" max="12" width="11.453125" customWidth="1"/>
    <col min="13" max="26" width="10.7265625" customWidth="1"/>
  </cols>
  <sheetData>
    <row r="1" spans="1:26" ht="14.5" x14ac:dyDescent="0.35">
      <c r="A1" s="1"/>
      <c r="B1" s="1"/>
      <c r="C1" s="1"/>
      <c r="D1" s="1"/>
      <c r="E1" s="1"/>
      <c r="F1" s="1"/>
      <c r="G1" s="1"/>
      <c r="H1" s="1"/>
      <c r="I1" s="1"/>
      <c r="J1" s="1"/>
      <c r="K1" s="1"/>
      <c r="L1" s="1"/>
      <c r="M1" s="2"/>
      <c r="N1" s="2"/>
      <c r="O1" s="2"/>
      <c r="P1" s="2"/>
      <c r="Q1" s="2"/>
      <c r="R1" s="2"/>
      <c r="S1" s="2"/>
      <c r="T1" s="2"/>
      <c r="U1" s="2"/>
      <c r="V1" s="2"/>
      <c r="W1" s="2"/>
      <c r="X1" s="2"/>
      <c r="Y1" s="2"/>
      <c r="Z1" s="2"/>
    </row>
    <row r="2" spans="1:26" ht="14.5" x14ac:dyDescent="0.35">
      <c r="A2" s="1"/>
      <c r="B2" s="1"/>
      <c r="C2" s="1"/>
      <c r="D2" s="1"/>
      <c r="E2" s="1"/>
      <c r="F2" s="1"/>
      <c r="G2" s="1"/>
      <c r="H2" s="1"/>
      <c r="I2" s="1"/>
      <c r="J2" s="1"/>
      <c r="K2" s="1"/>
      <c r="L2" s="1"/>
      <c r="M2" s="2"/>
      <c r="N2" s="2"/>
      <c r="O2" s="2"/>
      <c r="P2" s="2"/>
      <c r="Q2" s="2"/>
      <c r="R2" s="2"/>
      <c r="S2" s="2"/>
      <c r="T2" s="2"/>
      <c r="U2" s="2"/>
      <c r="V2" s="2"/>
      <c r="W2" s="2"/>
      <c r="X2" s="2"/>
      <c r="Y2" s="2"/>
      <c r="Z2" s="2"/>
    </row>
    <row r="3" spans="1:26" ht="14.5" x14ac:dyDescent="0.35">
      <c r="A3" s="1"/>
      <c r="B3" s="1"/>
      <c r="C3" s="1"/>
      <c r="D3" s="1"/>
      <c r="E3" s="1"/>
      <c r="F3" s="1"/>
      <c r="G3" s="1"/>
      <c r="H3" s="1"/>
      <c r="I3" s="1"/>
      <c r="J3" s="1"/>
      <c r="K3" s="1"/>
      <c r="L3" s="1"/>
      <c r="M3" s="2"/>
      <c r="N3" s="2"/>
      <c r="O3" s="2"/>
      <c r="P3" s="2"/>
      <c r="Q3" s="2"/>
      <c r="R3" s="2"/>
      <c r="S3" s="2"/>
      <c r="T3" s="2"/>
      <c r="U3" s="2"/>
      <c r="V3" s="2"/>
      <c r="W3" s="2"/>
      <c r="X3" s="2"/>
      <c r="Y3" s="2"/>
      <c r="Z3" s="2"/>
    </row>
    <row r="4" spans="1:26" ht="14.5" x14ac:dyDescent="0.35">
      <c r="A4" s="1"/>
      <c r="B4" s="1"/>
      <c r="C4" s="1"/>
      <c r="D4" s="1"/>
      <c r="E4" s="1"/>
      <c r="F4" s="1"/>
      <c r="G4" s="1"/>
      <c r="H4" s="1"/>
      <c r="I4" s="1"/>
      <c r="J4" s="1"/>
      <c r="K4" s="1"/>
      <c r="L4" s="1"/>
      <c r="M4" s="2"/>
      <c r="N4" s="2"/>
      <c r="O4" s="2"/>
      <c r="P4" s="2"/>
      <c r="Q4" s="2"/>
      <c r="R4" s="2"/>
      <c r="S4" s="2"/>
      <c r="T4" s="2"/>
      <c r="U4" s="2"/>
      <c r="V4" s="2"/>
      <c r="W4" s="2"/>
      <c r="X4" s="2"/>
      <c r="Y4" s="2"/>
      <c r="Z4" s="2"/>
    </row>
    <row r="5" spans="1:26" ht="14.5" x14ac:dyDescent="0.35">
      <c r="A5" s="2"/>
      <c r="B5" s="2"/>
      <c r="C5" s="2"/>
      <c r="D5" s="2"/>
      <c r="E5" s="2"/>
      <c r="F5" s="2"/>
      <c r="G5" s="2"/>
      <c r="H5" s="2"/>
      <c r="I5" s="2"/>
      <c r="J5" s="2"/>
      <c r="K5" s="2"/>
      <c r="L5" s="2"/>
      <c r="M5" s="2"/>
      <c r="N5" s="2"/>
      <c r="O5" s="2"/>
      <c r="P5" s="2"/>
      <c r="Q5" s="2"/>
      <c r="R5" s="2"/>
      <c r="S5" s="2"/>
      <c r="T5" s="2"/>
      <c r="U5" s="2"/>
      <c r="V5" s="2"/>
      <c r="W5" s="2"/>
      <c r="X5" s="2"/>
      <c r="Y5" s="2"/>
      <c r="Z5" s="2"/>
    </row>
    <row r="6" spans="1:26" ht="26" x14ac:dyDescent="0.6">
      <c r="A6" s="2"/>
      <c r="B6" s="3" t="s">
        <v>0</v>
      </c>
      <c r="C6" s="2"/>
      <c r="D6" s="2"/>
      <c r="E6" s="2"/>
      <c r="F6" s="2"/>
      <c r="G6" s="2"/>
      <c r="H6" s="2"/>
      <c r="I6" s="2"/>
      <c r="J6" s="2"/>
      <c r="K6" s="2"/>
      <c r="L6" s="2"/>
      <c r="M6" s="2"/>
      <c r="N6" s="2"/>
      <c r="O6" s="2"/>
      <c r="P6" s="2"/>
      <c r="Q6" s="2"/>
      <c r="R6" s="2"/>
      <c r="S6" s="2"/>
      <c r="T6" s="2"/>
      <c r="U6" s="2"/>
      <c r="V6" s="2"/>
      <c r="W6" s="2"/>
      <c r="X6" s="2"/>
      <c r="Y6" s="2"/>
      <c r="Z6" s="2"/>
    </row>
    <row r="7" spans="1:26" ht="18.5" x14ac:dyDescent="0.45">
      <c r="A7" s="2"/>
      <c r="B7" s="4"/>
      <c r="C7" s="2"/>
      <c r="D7" s="2"/>
      <c r="E7" s="2"/>
      <c r="F7" s="2"/>
      <c r="G7" s="2"/>
      <c r="H7" s="2"/>
      <c r="I7" s="2"/>
      <c r="J7" s="2"/>
      <c r="K7" s="2"/>
      <c r="L7" s="2"/>
      <c r="M7" s="2"/>
      <c r="N7" s="2"/>
      <c r="O7" s="2"/>
      <c r="P7" s="2"/>
      <c r="Q7" s="2"/>
      <c r="R7" s="2"/>
      <c r="S7" s="2"/>
      <c r="T7" s="2"/>
      <c r="U7" s="2"/>
      <c r="V7" s="2"/>
      <c r="W7" s="2"/>
      <c r="X7" s="2"/>
      <c r="Y7" s="2"/>
      <c r="Z7" s="2"/>
    </row>
    <row r="8" spans="1:26" ht="15.5" x14ac:dyDescent="0.35">
      <c r="A8" s="5"/>
      <c r="B8" s="5" t="s">
        <v>1</v>
      </c>
      <c r="C8" s="5" t="s">
        <v>1</v>
      </c>
      <c r="D8" s="5"/>
      <c r="E8" s="5"/>
      <c r="F8" s="5"/>
      <c r="G8" s="5"/>
      <c r="H8" s="5"/>
      <c r="I8" s="5"/>
      <c r="J8" s="5"/>
      <c r="K8" s="5"/>
      <c r="L8" s="5"/>
      <c r="M8" s="5"/>
      <c r="N8" s="5"/>
      <c r="O8" s="5"/>
      <c r="P8" s="5"/>
      <c r="Q8" s="5"/>
      <c r="R8" s="5"/>
      <c r="S8" s="5"/>
      <c r="T8" s="5"/>
      <c r="U8" s="5"/>
      <c r="V8" s="5"/>
      <c r="W8" s="5"/>
      <c r="X8" s="5"/>
      <c r="Y8" s="5"/>
      <c r="Z8" s="5"/>
    </row>
    <row r="9" spans="1:26" ht="15.5" x14ac:dyDescent="0.35">
      <c r="A9" s="5"/>
      <c r="B9" s="6" t="s">
        <v>2</v>
      </c>
      <c r="C9" s="5" t="s">
        <v>3</v>
      </c>
      <c r="D9" s="5"/>
      <c r="E9" s="5"/>
      <c r="F9" s="5"/>
      <c r="G9" s="5"/>
      <c r="H9" s="5"/>
      <c r="I9" s="5"/>
      <c r="J9" s="5"/>
      <c r="K9" s="5"/>
      <c r="L9" s="5"/>
      <c r="M9" s="5"/>
      <c r="N9" s="5"/>
      <c r="O9" s="5"/>
      <c r="P9" s="5"/>
      <c r="Q9" s="5"/>
      <c r="R9" s="5"/>
      <c r="S9" s="5"/>
      <c r="T9" s="5"/>
      <c r="U9" s="5"/>
      <c r="V9" s="5"/>
      <c r="W9" s="5"/>
      <c r="X9" s="5"/>
      <c r="Y9" s="5"/>
      <c r="Z9" s="5"/>
    </row>
    <row r="10" spans="1:26" ht="15.5" x14ac:dyDescent="0.35">
      <c r="A10" s="5"/>
      <c r="B10" s="6"/>
      <c r="C10" s="5"/>
      <c r="D10" s="5"/>
      <c r="E10" s="5"/>
      <c r="F10" s="5"/>
      <c r="G10" s="5"/>
      <c r="H10" s="5"/>
      <c r="I10" s="5"/>
      <c r="J10" s="5"/>
      <c r="K10" s="5"/>
      <c r="L10" s="5"/>
      <c r="M10" s="5"/>
      <c r="N10" s="5"/>
      <c r="O10" s="5"/>
      <c r="P10" s="5"/>
      <c r="Q10" s="5"/>
      <c r="R10" s="5"/>
      <c r="S10" s="5"/>
      <c r="T10" s="5"/>
      <c r="U10" s="5"/>
      <c r="V10" s="5"/>
      <c r="W10" s="5"/>
      <c r="X10" s="5"/>
      <c r="Y10" s="5"/>
      <c r="Z10" s="5"/>
    </row>
    <row r="11" spans="1:26" ht="15.5" x14ac:dyDescent="0.35">
      <c r="A11" s="5"/>
      <c r="B11" s="6" t="s">
        <v>4</v>
      </c>
      <c r="C11" s="5" t="s">
        <v>5</v>
      </c>
      <c r="D11" s="5"/>
      <c r="E11" s="5"/>
      <c r="F11" s="5"/>
      <c r="G11" s="5"/>
      <c r="H11" s="5"/>
      <c r="I11" s="5"/>
      <c r="J11" s="5"/>
      <c r="K11" s="5"/>
      <c r="L11" s="5"/>
      <c r="M11" s="5"/>
      <c r="N11" s="5"/>
      <c r="O11" s="5"/>
      <c r="P11" s="5"/>
      <c r="Q11" s="5"/>
      <c r="R11" s="5"/>
      <c r="S11" s="5"/>
      <c r="T11" s="5"/>
      <c r="U11" s="5"/>
      <c r="V11" s="5"/>
      <c r="W11" s="5"/>
      <c r="X11" s="5"/>
      <c r="Y11" s="5"/>
      <c r="Z11" s="5"/>
    </row>
    <row r="12" spans="1:26" ht="15.5" x14ac:dyDescent="0.35">
      <c r="A12" s="5"/>
      <c r="B12" s="6"/>
      <c r="C12" s="5"/>
      <c r="D12" s="5"/>
      <c r="E12" s="5"/>
      <c r="F12" s="5"/>
      <c r="G12" s="5"/>
      <c r="H12" s="5"/>
      <c r="I12" s="5"/>
      <c r="J12" s="5"/>
      <c r="K12" s="5"/>
      <c r="L12" s="5"/>
      <c r="M12" s="5"/>
      <c r="N12" s="5"/>
      <c r="O12" s="5"/>
      <c r="P12" s="5"/>
      <c r="Q12" s="5"/>
      <c r="R12" s="5"/>
      <c r="S12" s="5"/>
      <c r="T12" s="5"/>
      <c r="U12" s="5"/>
      <c r="V12" s="5"/>
      <c r="W12" s="5"/>
      <c r="X12" s="5"/>
      <c r="Y12" s="5"/>
      <c r="Z12" s="5"/>
    </row>
    <row r="13" spans="1:26" ht="15.5" x14ac:dyDescent="0.3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5" x14ac:dyDescent="0.35">
      <c r="A14" s="5"/>
      <c r="B14" s="6" t="s">
        <v>6</v>
      </c>
      <c r="C14" s="5" t="s">
        <v>7</v>
      </c>
      <c r="D14" s="5"/>
      <c r="E14" s="5"/>
      <c r="F14" s="5"/>
      <c r="G14" s="5"/>
      <c r="H14" s="5"/>
      <c r="I14" s="5"/>
      <c r="J14" s="5"/>
      <c r="K14" s="5"/>
      <c r="L14" s="5"/>
      <c r="M14" s="5"/>
      <c r="N14" s="5"/>
      <c r="O14" s="5"/>
      <c r="P14" s="5"/>
      <c r="Q14" s="5"/>
      <c r="R14" s="5"/>
      <c r="S14" s="5"/>
      <c r="T14" s="5"/>
      <c r="U14" s="5"/>
      <c r="V14" s="5"/>
      <c r="W14" s="5"/>
      <c r="X14" s="5"/>
      <c r="Y14" s="5"/>
      <c r="Z14" s="5"/>
    </row>
    <row r="15" spans="1:26" ht="15.5" x14ac:dyDescent="0.35">
      <c r="A15" s="5"/>
      <c r="B15" s="5"/>
      <c r="C15" s="7" t="s">
        <v>8</v>
      </c>
      <c r="D15" s="5"/>
      <c r="E15" s="5"/>
      <c r="F15" s="5"/>
      <c r="G15" s="5"/>
      <c r="H15" s="5"/>
      <c r="I15" s="5"/>
      <c r="J15" s="5"/>
      <c r="K15" s="5"/>
      <c r="L15" s="5"/>
      <c r="M15" s="5"/>
      <c r="N15" s="5"/>
      <c r="O15" s="5"/>
      <c r="P15" s="5"/>
      <c r="Q15" s="5"/>
      <c r="R15" s="5"/>
      <c r="S15" s="5"/>
      <c r="T15" s="5"/>
      <c r="U15" s="5"/>
      <c r="V15" s="5"/>
      <c r="W15" s="5"/>
      <c r="X15" s="5"/>
      <c r="Y15" s="5"/>
      <c r="Z15" s="5"/>
    </row>
    <row r="16" spans="1:26" ht="15.5" x14ac:dyDescent="0.35">
      <c r="A16" s="5"/>
      <c r="B16" s="5" t="s">
        <v>1</v>
      </c>
      <c r="C16" s="5"/>
      <c r="D16" s="5"/>
      <c r="E16" s="5"/>
      <c r="F16" s="5"/>
      <c r="G16" s="5"/>
      <c r="H16" s="5"/>
      <c r="I16" s="5"/>
      <c r="J16" s="5"/>
      <c r="K16" s="5"/>
      <c r="L16" s="5"/>
      <c r="M16" s="5"/>
      <c r="N16" s="5"/>
      <c r="O16" s="5"/>
      <c r="P16" s="5"/>
      <c r="Q16" s="5"/>
      <c r="R16" s="5"/>
      <c r="S16" s="5"/>
      <c r="T16" s="5"/>
      <c r="U16" s="5"/>
      <c r="V16" s="5"/>
      <c r="W16" s="5"/>
      <c r="X16" s="5"/>
      <c r="Y16" s="5"/>
      <c r="Z16" s="5"/>
    </row>
    <row r="17" spans="1:26" ht="15.5" x14ac:dyDescent="0.35">
      <c r="A17" s="5"/>
      <c r="B17" s="5"/>
      <c r="C17" s="5"/>
      <c r="D17" s="5" t="s">
        <v>1</v>
      </c>
      <c r="E17" s="5"/>
      <c r="F17" s="5"/>
      <c r="G17" s="5"/>
      <c r="H17" s="5"/>
      <c r="I17" s="5"/>
      <c r="J17" s="5"/>
      <c r="K17" s="5"/>
      <c r="L17" s="5"/>
      <c r="M17" s="5"/>
      <c r="N17" s="5"/>
      <c r="O17" s="5"/>
      <c r="P17" s="5"/>
      <c r="Q17" s="5"/>
      <c r="R17" s="5"/>
      <c r="S17" s="5"/>
      <c r="T17" s="5"/>
      <c r="U17" s="5"/>
      <c r="V17" s="5"/>
      <c r="W17" s="5"/>
      <c r="X17" s="5"/>
      <c r="Y17" s="5"/>
      <c r="Z17" s="5"/>
    </row>
    <row r="18" spans="1:26" ht="15.5" x14ac:dyDescent="0.3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5" x14ac:dyDescent="0.3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5" x14ac:dyDescent="0.3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3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x14ac:dyDescent="0.3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x14ac:dyDescent="0.3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3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3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hidden="1" customHeight="1" x14ac:dyDescent="0.3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hidden="1" customHeight="1" x14ac:dyDescent="0.3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hidden="1" customHeight="1" x14ac:dyDescent="0.3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hidden="1" customHeight="1" x14ac:dyDescent="0.3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hidden="1"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hidden="1"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hidden="1"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hidden="1"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hidden="1"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C15" r:id="rId1" xr:uid="{00000000-0004-0000-0000-000000000000}"/>
  </hyperlinks>
  <pageMargins left="0.7" right="0.7" top="0.75" bottom="0.75" header="0" footer="0"/>
  <pageSetup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0F11C-D913-447B-8270-2993D5F353ED}">
  <dimension ref="A1:M388"/>
  <sheetViews>
    <sheetView workbookViewId="0">
      <selection activeCell="C5" sqref="C5"/>
    </sheetView>
  </sheetViews>
  <sheetFormatPr defaultRowHeight="14.5" x14ac:dyDescent="0.35"/>
  <cols>
    <col min="1" max="1" width="15.54296875" style="21" customWidth="1"/>
    <col min="2" max="2" width="13" style="21" bestFit="1" customWidth="1"/>
    <col min="3" max="3" width="15.26953125" style="30" bestFit="1" customWidth="1"/>
    <col min="4" max="4" width="8.6328125" style="21" bestFit="1" customWidth="1"/>
    <col min="5" max="5" width="18.7265625" style="21" bestFit="1" customWidth="1"/>
    <col min="6" max="7" width="8.7265625" style="21"/>
    <col min="8" max="8" width="12.08984375" style="21" bestFit="1" customWidth="1"/>
    <col min="9" max="9" width="18.54296875" style="21" customWidth="1"/>
    <col min="10" max="10" width="9.453125" style="21" bestFit="1" customWidth="1"/>
    <col min="11" max="11" width="14.81640625" style="21" bestFit="1" customWidth="1"/>
    <col min="12" max="12" width="11" style="21" bestFit="1" customWidth="1"/>
    <col min="13" max="13" width="14.54296875" style="21" bestFit="1" customWidth="1"/>
    <col min="14" max="16384" width="8.7265625" style="21"/>
  </cols>
  <sheetData>
    <row r="1" spans="1:13" ht="12.5" customHeight="1" x14ac:dyDescent="0.5">
      <c r="A1" s="31"/>
      <c r="B1" s="31"/>
      <c r="C1" s="33"/>
      <c r="D1" s="31"/>
      <c r="E1" s="31"/>
      <c r="F1" s="31"/>
      <c r="G1" s="44"/>
      <c r="H1" s="31"/>
      <c r="I1" s="31"/>
      <c r="J1" s="33"/>
      <c r="K1" s="31"/>
      <c r="L1" s="31"/>
      <c r="M1" s="31"/>
    </row>
    <row r="2" spans="1:13" ht="21" x14ac:dyDescent="0.5">
      <c r="A2" s="81" t="s">
        <v>51</v>
      </c>
      <c r="B2" s="81"/>
      <c r="C2" s="81"/>
      <c r="D2" s="81"/>
      <c r="E2" s="81"/>
      <c r="F2" s="81"/>
      <c r="G2" s="44"/>
      <c r="H2" s="81" t="s">
        <v>58</v>
      </c>
      <c r="I2" s="81"/>
      <c r="J2" s="81"/>
      <c r="K2" s="81"/>
      <c r="L2" s="81"/>
      <c r="M2" s="81"/>
    </row>
    <row r="3" spans="1:13" ht="11.5" customHeight="1" x14ac:dyDescent="0.5">
      <c r="A3" s="51"/>
      <c r="B3" s="51"/>
      <c r="C3" s="51"/>
      <c r="D3" s="51"/>
      <c r="E3" s="51"/>
      <c r="F3" s="51"/>
      <c r="G3" s="52"/>
      <c r="H3" s="51"/>
      <c r="I3" s="51"/>
      <c r="J3" s="51"/>
      <c r="K3" s="51"/>
      <c r="L3" s="51"/>
      <c r="M3" s="51"/>
    </row>
    <row r="4" spans="1:13" s="65" customFormat="1" x14ac:dyDescent="0.35">
      <c r="A4" s="49" t="s">
        <v>64</v>
      </c>
      <c r="B4" s="63" t="s">
        <v>61</v>
      </c>
      <c r="C4" s="63" t="s">
        <v>62</v>
      </c>
      <c r="D4" s="63" t="s">
        <v>63</v>
      </c>
      <c r="E4" s="64"/>
      <c r="F4" s="64"/>
      <c r="G4" s="64"/>
      <c r="I4" s="66"/>
      <c r="J4" s="63" t="s">
        <v>54</v>
      </c>
      <c r="K4" s="63" t="s">
        <v>55</v>
      </c>
      <c r="L4" s="63" t="s">
        <v>56</v>
      </c>
      <c r="M4" s="63" t="s">
        <v>60</v>
      </c>
    </row>
    <row r="5" spans="1:13" x14ac:dyDescent="0.35">
      <c r="A5" s="41" t="e" vm="1">
        <v>#VALUE!</v>
      </c>
      <c r="B5" s="67" cm="1">
        <f t="array" ref="B5">_FV(A5,"Previous close",TRUE)</f>
        <v>162.88</v>
      </c>
      <c r="C5" s="61" cm="1">
        <f t="array" ref="C5">_FV(A5,"Last trade time",TRUE)</f>
        <v>45848.999994872654</v>
      </c>
      <c r="D5" s="60" cm="1">
        <f t="array" ref="D5">_FV(A5,"Price")</f>
        <v>164.1</v>
      </c>
      <c r="H5" s="49" t="s">
        <v>57</v>
      </c>
      <c r="I5" s="47" t="e" vm="2">
        <v>#VALUE!</v>
      </c>
      <c r="J5" s="48" cm="1">
        <f t="array" ref="J5">_FV(I5,"Maturity")</f>
        <v>49444</v>
      </c>
      <c r="K5" s="53" cm="1">
        <f t="array" ref="K5">_FV(I5,"Yield yesterday",TRUE)</f>
        <v>4.4170000000000001E-2</v>
      </c>
      <c r="L5" s="36" t="str" cm="1">
        <f t="array" ref="L5">_FV(I5,"Instrument type",TRUE)</f>
        <v>Bond</v>
      </c>
      <c r="M5" s="62" cm="1">
        <f t="array" ref="M5">_FV(I5,"Last trade time",TRUE)</f>
        <v>45849.02076388889</v>
      </c>
    </row>
    <row r="6" spans="1:13" x14ac:dyDescent="0.35">
      <c r="A6" s="41"/>
      <c r="I6" s="75" t="s">
        <v>53</v>
      </c>
      <c r="J6" s="28"/>
      <c r="K6" s="46"/>
    </row>
    <row r="7" spans="1:13" ht="15.5" x14ac:dyDescent="0.35">
      <c r="A7" s="43" t="str" cm="1">
        <f t="array" aca="1" ref="A7:B388" ca="1">_xlfn.STOCKHISTORY(A5,"1-1-2024",C5,0,2,0,1)</f>
        <v>XNAS:NVDA</v>
      </c>
      <c r="B7" s="34" t="str">
        <f ca="1"/>
        <v/>
      </c>
      <c r="C7" s="34"/>
      <c r="D7" s="32"/>
      <c r="E7" s="32"/>
    </row>
    <row r="8" spans="1:13" ht="15.5" x14ac:dyDescent="0.35">
      <c r="A8" s="42" t="str">
        <f ca="1"/>
        <v>Date</v>
      </c>
      <c r="B8" s="35" t="str">
        <f ca="1"/>
        <v>Close</v>
      </c>
      <c r="C8" s="35" t="s">
        <v>48</v>
      </c>
      <c r="E8" s="39" t="s">
        <v>49</v>
      </c>
      <c r="F8" s="54">
        <f ca="1">_xlfn.STDEV.S(C10:C385)</f>
        <v>3.5232659636387102E-2</v>
      </c>
      <c r="G8" s="50"/>
    </row>
    <row r="9" spans="1:13" ht="15.5" x14ac:dyDescent="0.35">
      <c r="A9" s="36" vm="3">
        <f ca="1"/>
        <v>45293</v>
      </c>
      <c r="B9" s="37" vm="4">
        <f ca="1"/>
        <v>48.167999999999999</v>
      </c>
      <c r="C9" s="36"/>
      <c r="E9" s="40" t="s">
        <v>50</v>
      </c>
      <c r="F9" s="55">
        <f ca="1">F8*SQRT(252)</f>
        <v>0.55930113255158198</v>
      </c>
      <c r="G9" s="50"/>
    </row>
    <row r="10" spans="1:13" x14ac:dyDescent="0.35">
      <c r="A10" s="36" vm="5">
        <f ca="1"/>
        <v>45294</v>
      </c>
      <c r="B10" s="37" vm="6">
        <f ca="1"/>
        <v>47.569000000000003</v>
      </c>
      <c r="C10" s="38">
        <f ca="1">(B10-B9)/B9</f>
        <v>-1.2435641919946783E-2</v>
      </c>
      <c r="D10" s="29"/>
      <c r="I10" s="41"/>
    </row>
    <row r="11" spans="1:13" x14ac:dyDescent="0.35">
      <c r="A11" s="36" vm="7">
        <f ca="1"/>
        <v>45295</v>
      </c>
      <c r="B11" s="37" vm="8">
        <f ca="1"/>
        <v>47.997999999999998</v>
      </c>
      <c r="C11" s="38">
        <f t="shared" ref="C11:C74" ca="1" si="0">(B11-B10)/B10</f>
        <v>9.0184784208201755E-3</v>
      </c>
      <c r="D11" s="29"/>
    </row>
    <row r="12" spans="1:13" x14ac:dyDescent="0.35">
      <c r="A12" s="36" vm="9">
        <f ca="1"/>
        <v>45296</v>
      </c>
      <c r="B12" s="37" vm="10">
        <f ca="1"/>
        <v>49.097000000000001</v>
      </c>
      <c r="C12" s="38">
        <f t="shared" ca="1" si="0"/>
        <v>2.2896787366140335E-2</v>
      </c>
      <c r="D12" s="29"/>
    </row>
    <row r="13" spans="1:13" x14ac:dyDescent="0.35">
      <c r="A13" s="36" vm="11">
        <f ca="1"/>
        <v>45299</v>
      </c>
      <c r="B13" s="37" vm="12">
        <f ca="1"/>
        <v>52.253</v>
      </c>
      <c r="C13" s="38">
        <f t="shared" ca="1" si="0"/>
        <v>6.428091329409126E-2</v>
      </c>
      <c r="D13" s="29"/>
    </row>
    <row r="14" spans="1:13" x14ac:dyDescent="0.35">
      <c r="A14" s="36" vm="13">
        <f ca="1"/>
        <v>45300</v>
      </c>
      <c r="B14" s="37" vm="14">
        <f ca="1"/>
        <v>53.14</v>
      </c>
      <c r="C14" s="38">
        <f t="shared" ca="1" si="0"/>
        <v>1.6975101908024429E-2</v>
      </c>
      <c r="D14" s="29"/>
    </row>
    <row r="15" spans="1:13" x14ac:dyDescent="0.35">
      <c r="A15" s="36" vm="15">
        <f ca="1"/>
        <v>45301</v>
      </c>
      <c r="B15" s="37" vm="16">
        <f ca="1"/>
        <v>54.35</v>
      </c>
      <c r="C15" s="38">
        <f t="shared" ca="1" si="0"/>
        <v>2.277004140007529E-2</v>
      </c>
      <c r="D15" s="29"/>
    </row>
    <row r="16" spans="1:13" x14ac:dyDescent="0.35">
      <c r="A16" s="36" vm="17">
        <f ca="1"/>
        <v>45302</v>
      </c>
      <c r="B16" s="37" vm="18">
        <f ca="1"/>
        <v>54.822000000000003</v>
      </c>
      <c r="C16" s="38">
        <f t="shared" ca="1" si="0"/>
        <v>8.6844526218951487E-3</v>
      </c>
      <c r="D16" s="29"/>
    </row>
    <row r="17" spans="1:4" x14ac:dyDescent="0.35">
      <c r="A17" s="36" vm="19">
        <f ca="1"/>
        <v>45303</v>
      </c>
      <c r="B17" s="37" vm="20">
        <f ca="1"/>
        <v>54.71</v>
      </c>
      <c r="C17" s="38">
        <f t="shared" ca="1" si="0"/>
        <v>-2.0429754478129558E-3</v>
      </c>
      <c r="D17" s="29"/>
    </row>
    <row r="18" spans="1:4" x14ac:dyDescent="0.35">
      <c r="A18" s="36" vm="21">
        <f ca="1"/>
        <v>45307</v>
      </c>
      <c r="B18" s="37" vm="22">
        <f ca="1"/>
        <v>56.381999999999998</v>
      </c>
      <c r="C18" s="38">
        <f t="shared" ca="1" si="0"/>
        <v>3.0561140559312687E-2</v>
      </c>
      <c r="D18" s="29"/>
    </row>
    <row r="19" spans="1:4" x14ac:dyDescent="0.35">
      <c r="A19" s="36" vm="23">
        <f ca="1"/>
        <v>45308</v>
      </c>
      <c r="B19" s="37" vm="24">
        <f ca="1"/>
        <v>56.052999999999997</v>
      </c>
      <c r="C19" s="38">
        <f t="shared" ca="1" si="0"/>
        <v>-5.8351956298109435E-3</v>
      </c>
      <c r="D19" s="29"/>
    </row>
    <row r="20" spans="1:4" x14ac:dyDescent="0.35">
      <c r="A20" s="36" vm="25">
        <f ca="1"/>
        <v>45309</v>
      </c>
      <c r="B20" s="37" vm="26">
        <f ca="1"/>
        <v>57.106999999999999</v>
      </c>
      <c r="C20" s="38">
        <f t="shared" ca="1" si="0"/>
        <v>1.8803632276595404E-2</v>
      </c>
      <c r="D20" s="29"/>
    </row>
    <row r="21" spans="1:4" x14ac:dyDescent="0.35">
      <c r="A21" s="36" vm="27">
        <f ca="1"/>
        <v>45310</v>
      </c>
      <c r="B21" s="37" vm="28">
        <f ca="1"/>
        <v>59.491</v>
      </c>
      <c r="C21" s="38">
        <f t="shared" ca="1" si="0"/>
        <v>4.1746195737825495E-2</v>
      </c>
      <c r="D21" s="29"/>
    </row>
    <row r="22" spans="1:4" x14ac:dyDescent="0.35">
      <c r="A22" s="36" vm="29">
        <f ca="1"/>
        <v>45313</v>
      </c>
      <c r="B22" s="37" vm="30">
        <f ca="1"/>
        <v>59.654000000000003</v>
      </c>
      <c r="C22" s="38">
        <f t="shared" ca="1" si="0"/>
        <v>2.7399102385235381E-3</v>
      </c>
      <c r="D22" s="29"/>
    </row>
    <row r="23" spans="1:4" x14ac:dyDescent="0.35">
      <c r="A23" s="36" vm="31">
        <f ca="1"/>
        <v>45314</v>
      </c>
      <c r="B23" s="37" vm="32">
        <f ca="1"/>
        <v>59.872999999999998</v>
      </c>
      <c r="C23" s="38">
        <f t="shared" ca="1" si="0"/>
        <v>3.671170416065881E-3</v>
      </c>
      <c r="D23" s="29"/>
    </row>
    <row r="24" spans="1:4" x14ac:dyDescent="0.35">
      <c r="A24" s="36" vm="33">
        <f ca="1"/>
        <v>45315</v>
      </c>
      <c r="B24" s="37" vm="34">
        <f ca="1"/>
        <v>61.362000000000002</v>
      </c>
      <c r="C24" s="38">
        <f t="shared" ca="1" si="0"/>
        <v>2.4869306699180003E-2</v>
      </c>
      <c r="D24" s="29"/>
    </row>
    <row r="25" spans="1:4" x14ac:dyDescent="0.35">
      <c r="A25" s="36" vm="35">
        <f ca="1"/>
        <v>45316</v>
      </c>
      <c r="B25" s="37" vm="36">
        <f ca="1"/>
        <v>61.616999999999997</v>
      </c>
      <c r="C25" s="38">
        <f t="shared" ca="1" si="0"/>
        <v>4.1556663733254362E-3</v>
      </c>
      <c r="D25" s="29"/>
    </row>
    <row r="26" spans="1:4" x14ac:dyDescent="0.35">
      <c r="A26" s="36" vm="37">
        <f ca="1"/>
        <v>45317</v>
      </c>
      <c r="B26" s="37" vm="38">
        <f ca="1"/>
        <v>61.030999999999999</v>
      </c>
      <c r="C26" s="38">
        <f t="shared" ca="1" si="0"/>
        <v>-9.5103623999869928E-3</v>
      </c>
      <c r="D26" s="29"/>
    </row>
    <row r="27" spans="1:4" x14ac:dyDescent="0.35">
      <c r="A27" s="36" vm="39">
        <f ca="1"/>
        <v>45320</v>
      </c>
      <c r="B27" s="37" vm="40">
        <f ca="1"/>
        <v>62.465000000000003</v>
      </c>
      <c r="C27" s="38">
        <f t="shared" ca="1" si="0"/>
        <v>2.3496256001048724E-2</v>
      </c>
      <c r="D27" s="29"/>
    </row>
    <row r="28" spans="1:4" x14ac:dyDescent="0.35">
      <c r="A28" s="36" vm="41">
        <f ca="1"/>
        <v>45321</v>
      </c>
      <c r="B28" s="37" vm="42">
        <f ca="1"/>
        <v>62.774000000000001</v>
      </c>
      <c r="C28" s="38">
        <f t="shared" ca="1" si="0"/>
        <v>4.9467701913070913E-3</v>
      </c>
      <c r="D28" s="29"/>
    </row>
    <row r="29" spans="1:4" x14ac:dyDescent="0.35">
      <c r="A29" s="36" vm="43">
        <f ca="1"/>
        <v>45322</v>
      </c>
      <c r="B29" s="37" vm="44">
        <f ca="1"/>
        <v>61.527000000000001</v>
      </c>
      <c r="C29" s="38">
        <f t="shared" ca="1" si="0"/>
        <v>-1.9864912224806446E-2</v>
      </c>
      <c r="D29" s="29"/>
    </row>
    <row r="30" spans="1:4" x14ac:dyDescent="0.35">
      <c r="A30" s="36" vm="45">
        <f ca="1"/>
        <v>45323</v>
      </c>
      <c r="B30" s="37" vm="46">
        <f ca="1"/>
        <v>63.027000000000001</v>
      </c>
      <c r="C30" s="38">
        <f t="shared" ca="1" si="0"/>
        <v>2.4379540689453409E-2</v>
      </c>
      <c r="D30" s="29"/>
    </row>
    <row r="31" spans="1:4" x14ac:dyDescent="0.35">
      <c r="A31" s="36" vm="47">
        <f ca="1"/>
        <v>45324</v>
      </c>
      <c r="B31" s="37" vm="48">
        <f ca="1"/>
        <v>66.16</v>
      </c>
      <c r="C31" s="38">
        <f t="shared" ca="1" si="0"/>
        <v>4.9708854935186439E-2</v>
      </c>
      <c r="D31" s="29"/>
    </row>
    <row r="32" spans="1:4" x14ac:dyDescent="0.35">
      <c r="A32" s="36" vm="49">
        <f ca="1"/>
        <v>45327</v>
      </c>
      <c r="B32" s="37" vm="50">
        <f ca="1"/>
        <v>69.331999999999994</v>
      </c>
      <c r="C32" s="38">
        <f t="shared" ca="1" si="0"/>
        <v>4.7944377267230914E-2</v>
      </c>
      <c r="D32" s="29"/>
    </row>
    <row r="33" spans="1:4" x14ac:dyDescent="0.35">
      <c r="A33" s="36" vm="51">
        <f ca="1"/>
        <v>45328</v>
      </c>
      <c r="B33" s="37" vm="52">
        <f ca="1"/>
        <v>68.222999999999999</v>
      </c>
      <c r="C33" s="38">
        <f t="shared" ca="1" si="0"/>
        <v>-1.5995499913459797E-2</v>
      </c>
      <c r="D33" s="29"/>
    </row>
    <row r="34" spans="1:4" x14ac:dyDescent="0.35">
      <c r="A34" s="36" vm="53">
        <f ca="1"/>
        <v>45329</v>
      </c>
      <c r="B34" s="37" vm="54">
        <f ca="1"/>
        <v>70.099000000000004</v>
      </c>
      <c r="C34" s="38">
        <f t="shared" ca="1" si="0"/>
        <v>2.7498057839731541E-2</v>
      </c>
      <c r="D34" s="29"/>
    </row>
    <row r="35" spans="1:4" x14ac:dyDescent="0.35">
      <c r="A35" s="36" vm="55">
        <f ca="1"/>
        <v>45330</v>
      </c>
      <c r="B35" s="37" vm="56">
        <f ca="1"/>
        <v>69.641000000000005</v>
      </c>
      <c r="C35" s="38">
        <f t="shared" ca="1" si="0"/>
        <v>-6.5336167420362396E-3</v>
      </c>
      <c r="D35" s="29"/>
    </row>
    <row r="36" spans="1:4" x14ac:dyDescent="0.35">
      <c r="A36" s="36" vm="57">
        <f ca="1"/>
        <v>45331</v>
      </c>
      <c r="B36" s="37" vm="58">
        <f ca="1"/>
        <v>72.132999999999996</v>
      </c>
      <c r="C36" s="38">
        <f t="shared" ca="1" si="0"/>
        <v>3.5783518329719419E-2</v>
      </c>
      <c r="D36" s="29"/>
    </row>
    <row r="37" spans="1:4" x14ac:dyDescent="0.35">
      <c r="A37" s="36" vm="59">
        <f ca="1"/>
        <v>45334</v>
      </c>
      <c r="B37" s="37" vm="60">
        <f ca="1"/>
        <v>72.248000000000005</v>
      </c>
      <c r="C37" s="38">
        <f t="shared" ca="1" si="0"/>
        <v>1.5942772378801534E-3</v>
      </c>
      <c r="D37" s="29"/>
    </row>
    <row r="38" spans="1:4" x14ac:dyDescent="0.35">
      <c r="A38" s="36" vm="61">
        <f ca="1"/>
        <v>45335</v>
      </c>
      <c r="B38" s="37" vm="62">
        <f ca="1"/>
        <v>72.128</v>
      </c>
      <c r="C38" s="38">
        <f t="shared" ca="1" si="0"/>
        <v>-1.6609456317130515E-3</v>
      </c>
      <c r="D38" s="29"/>
    </row>
    <row r="39" spans="1:4" x14ac:dyDescent="0.35">
      <c r="A39" s="36" vm="63">
        <f ca="1"/>
        <v>45336</v>
      </c>
      <c r="B39" s="37" vm="64">
        <f ca="1"/>
        <v>73.900000000000006</v>
      </c>
      <c r="C39" s="38">
        <f t="shared" ca="1" si="0"/>
        <v>2.4567435669920219E-2</v>
      </c>
      <c r="D39" s="29"/>
    </row>
    <row r="40" spans="1:4" x14ac:dyDescent="0.35">
      <c r="A40" s="36" vm="65">
        <f ca="1"/>
        <v>45337</v>
      </c>
      <c r="B40" s="37" vm="66">
        <f ca="1"/>
        <v>72.658000000000001</v>
      </c>
      <c r="C40" s="38">
        <f t="shared" ca="1" si="0"/>
        <v>-1.6806495263870153E-2</v>
      </c>
      <c r="D40" s="29"/>
    </row>
    <row r="41" spans="1:4" x14ac:dyDescent="0.35">
      <c r="A41" s="36" vm="67">
        <f ca="1"/>
        <v>45338</v>
      </c>
      <c r="B41" s="37" vm="68">
        <f ca="1"/>
        <v>72.613</v>
      </c>
      <c r="C41" s="38">
        <f t="shared" ca="1" si="0"/>
        <v>-6.1933992127503792E-4</v>
      </c>
      <c r="D41" s="29"/>
    </row>
    <row r="42" spans="1:4" x14ac:dyDescent="0.35">
      <c r="A42" s="36" vm="69">
        <f ca="1"/>
        <v>45342</v>
      </c>
      <c r="B42" s="37" vm="70">
        <f ca="1"/>
        <v>69.451999999999998</v>
      </c>
      <c r="C42" s="38">
        <f t="shared" ca="1" si="0"/>
        <v>-4.3532149890515494E-2</v>
      </c>
      <c r="D42" s="29"/>
    </row>
    <row r="43" spans="1:4" x14ac:dyDescent="0.35">
      <c r="A43" s="36" vm="71">
        <f ca="1"/>
        <v>45343</v>
      </c>
      <c r="B43" s="37" vm="72">
        <f ca="1"/>
        <v>67.471999999999994</v>
      </c>
      <c r="C43" s="38">
        <f t="shared" ca="1" si="0"/>
        <v>-2.8508898231872429E-2</v>
      </c>
      <c r="D43" s="29"/>
    </row>
    <row r="44" spans="1:4" x14ac:dyDescent="0.35">
      <c r="A44" s="36" vm="73">
        <f ca="1"/>
        <v>45344</v>
      </c>
      <c r="B44" s="37" vm="74">
        <f ca="1"/>
        <v>78.537999999999997</v>
      </c>
      <c r="C44" s="38">
        <f t="shared" ca="1" si="0"/>
        <v>0.16400877400995975</v>
      </c>
      <c r="D44" s="29"/>
    </row>
    <row r="45" spans="1:4" x14ac:dyDescent="0.35">
      <c r="A45" s="36" vm="75">
        <f ca="1"/>
        <v>45345</v>
      </c>
      <c r="B45" s="37" vm="76">
        <f ca="1"/>
        <v>78.816999999999993</v>
      </c>
      <c r="C45" s="38">
        <f t="shared" ca="1" si="0"/>
        <v>3.5524204843514779E-3</v>
      </c>
      <c r="D45" s="29"/>
    </row>
    <row r="46" spans="1:4" x14ac:dyDescent="0.35">
      <c r="A46" s="36" vm="77">
        <f ca="1"/>
        <v>45348</v>
      </c>
      <c r="B46" s="37" vm="78">
        <f ca="1"/>
        <v>79.091999999999999</v>
      </c>
      <c r="C46" s="38">
        <f t="shared" ca="1" si="0"/>
        <v>3.4890949921971871E-3</v>
      </c>
      <c r="D46" s="29"/>
    </row>
    <row r="47" spans="1:4" x14ac:dyDescent="0.35">
      <c r="A47" s="36" vm="79">
        <f ca="1"/>
        <v>45349</v>
      </c>
      <c r="B47" s="37" vm="80">
        <f ca="1"/>
        <v>78.700999999999993</v>
      </c>
      <c r="C47" s="38">
        <f t="shared" ca="1" si="0"/>
        <v>-4.9436099731958397E-3</v>
      </c>
      <c r="D47" s="29"/>
    </row>
    <row r="48" spans="1:4" x14ac:dyDescent="0.35">
      <c r="A48" s="36" vm="81">
        <f ca="1"/>
        <v>45350</v>
      </c>
      <c r="B48" s="37" vm="82">
        <f ca="1"/>
        <v>77.662999999999997</v>
      </c>
      <c r="C48" s="38">
        <f t="shared" ca="1" si="0"/>
        <v>-1.3189158968755121E-2</v>
      </c>
      <c r="D48" s="29"/>
    </row>
    <row r="49" spans="1:4" x14ac:dyDescent="0.35">
      <c r="A49" s="36" vm="83">
        <f ca="1"/>
        <v>45351</v>
      </c>
      <c r="B49" s="37" vm="84">
        <f ca="1"/>
        <v>79.111999999999995</v>
      </c>
      <c r="C49" s="38">
        <f t="shared" ca="1" si="0"/>
        <v>1.8657533188262083E-2</v>
      </c>
      <c r="D49" s="29"/>
    </row>
    <row r="50" spans="1:4" x14ac:dyDescent="0.35">
      <c r="A50" s="36" vm="85">
        <f ca="1"/>
        <v>45352</v>
      </c>
      <c r="B50" s="37" vm="86">
        <f ca="1"/>
        <v>82.278999999999996</v>
      </c>
      <c r="C50" s="38">
        <f t="shared" ca="1" si="0"/>
        <v>4.0031853574678956E-2</v>
      </c>
      <c r="D50" s="29"/>
    </row>
    <row r="51" spans="1:4" x14ac:dyDescent="0.35">
      <c r="A51" s="36" vm="87">
        <f ca="1"/>
        <v>45355</v>
      </c>
      <c r="B51" s="37" vm="88">
        <f ca="1"/>
        <v>85.236999999999995</v>
      </c>
      <c r="C51" s="38">
        <f t="shared" ca="1" si="0"/>
        <v>3.5950850156175919E-2</v>
      </c>
      <c r="D51" s="29"/>
    </row>
    <row r="52" spans="1:4" x14ac:dyDescent="0.35">
      <c r="A52" s="36" vm="89">
        <f ca="1"/>
        <v>45356</v>
      </c>
      <c r="B52" s="37" vm="90">
        <f ca="1"/>
        <v>85.963999999999999</v>
      </c>
      <c r="C52" s="38">
        <f t="shared" ca="1" si="0"/>
        <v>8.5291598718866685E-3</v>
      </c>
      <c r="D52" s="29"/>
    </row>
    <row r="53" spans="1:4" x14ac:dyDescent="0.35">
      <c r="A53" s="36" vm="91">
        <f ca="1"/>
        <v>45357</v>
      </c>
      <c r="B53" s="37" vm="92">
        <f ca="1"/>
        <v>88.7</v>
      </c>
      <c r="C53" s="38">
        <f t="shared" ca="1" si="0"/>
        <v>3.182727653436327E-2</v>
      </c>
      <c r="D53" s="29"/>
    </row>
    <row r="54" spans="1:4" x14ac:dyDescent="0.35">
      <c r="A54" s="36" vm="93">
        <f ca="1"/>
        <v>45358</v>
      </c>
      <c r="B54" s="37" vm="94">
        <f ca="1"/>
        <v>92.668999999999997</v>
      </c>
      <c r="C54" s="38">
        <f t="shared" ca="1" si="0"/>
        <v>4.4746335963923266E-2</v>
      </c>
      <c r="D54" s="29"/>
    </row>
    <row r="55" spans="1:4" x14ac:dyDescent="0.35">
      <c r="A55" s="36" vm="95">
        <f ca="1"/>
        <v>45359</v>
      </c>
      <c r="B55" s="37" vm="96">
        <f ca="1"/>
        <v>87.528000000000006</v>
      </c>
      <c r="C55" s="38">
        <f t="shared" ca="1" si="0"/>
        <v>-5.5477020362796524E-2</v>
      </c>
      <c r="D55" s="29"/>
    </row>
    <row r="56" spans="1:4" x14ac:dyDescent="0.35">
      <c r="A56" s="36" vm="97">
        <f ca="1"/>
        <v>45362</v>
      </c>
      <c r="B56" s="37" vm="98">
        <f ca="1"/>
        <v>85.774000000000001</v>
      </c>
      <c r="C56" s="38">
        <f t="shared" ca="1" si="0"/>
        <v>-2.0039301709167408E-2</v>
      </c>
      <c r="D56" s="29"/>
    </row>
    <row r="57" spans="1:4" x14ac:dyDescent="0.35">
      <c r="A57" s="36" vm="99">
        <f ca="1"/>
        <v>45363</v>
      </c>
      <c r="B57" s="37" vm="100">
        <f ca="1"/>
        <v>91.912999999999997</v>
      </c>
      <c r="C57" s="38">
        <f t="shared" ca="1" si="0"/>
        <v>7.1571804975866765E-2</v>
      </c>
      <c r="D57" s="29"/>
    </row>
    <row r="58" spans="1:4" x14ac:dyDescent="0.35">
      <c r="A58" s="36" vm="101">
        <f ca="1"/>
        <v>45364</v>
      </c>
      <c r="B58" s="37" vm="102">
        <f ca="1"/>
        <v>90.888000000000005</v>
      </c>
      <c r="C58" s="38">
        <f t="shared" ca="1" si="0"/>
        <v>-1.1151850119134306E-2</v>
      </c>
      <c r="D58" s="29"/>
    </row>
    <row r="59" spans="1:4" x14ac:dyDescent="0.35">
      <c r="A59" s="36" vm="103">
        <f ca="1"/>
        <v>45365</v>
      </c>
      <c r="B59" s="37" vm="104">
        <f ca="1"/>
        <v>87.944000000000003</v>
      </c>
      <c r="C59" s="38">
        <f t="shared" ca="1" si="0"/>
        <v>-3.2391514831440919E-2</v>
      </c>
      <c r="D59" s="29"/>
    </row>
    <row r="60" spans="1:4" x14ac:dyDescent="0.35">
      <c r="A60" s="36" vm="105">
        <f ca="1"/>
        <v>45366</v>
      </c>
      <c r="B60" s="37" vm="106">
        <f ca="1"/>
        <v>87.836500000000001</v>
      </c>
      <c r="C60" s="38">
        <f t="shared" ca="1" si="0"/>
        <v>-1.2223687801328311E-3</v>
      </c>
      <c r="D60" s="29"/>
    </row>
    <row r="61" spans="1:4" x14ac:dyDescent="0.35">
      <c r="A61" s="36" vm="107">
        <f ca="1"/>
        <v>45369</v>
      </c>
      <c r="B61" s="37" vm="108">
        <f ca="1"/>
        <v>88.454999999999998</v>
      </c>
      <c r="C61" s="38">
        <f t="shared" ca="1" si="0"/>
        <v>7.0414918627221866E-3</v>
      </c>
      <c r="D61" s="29"/>
    </row>
    <row r="62" spans="1:4" x14ac:dyDescent="0.35">
      <c r="A62" s="36" vm="109">
        <f ca="1"/>
        <v>45370</v>
      </c>
      <c r="B62" s="37" vm="110">
        <f ca="1"/>
        <v>89.397999999999996</v>
      </c>
      <c r="C62" s="38">
        <f t="shared" ca="1" si="0"/>
        <v>1.0660787971284809E-2</v>
      </c>
      <c r="D62" s="29"/>
    </row>
    <row r="63" spans="1:4" x14ac:dyDescent="0.35">
      <c r="A63" s="36" vm="111">
        <f ca="1"/>
        <v>45371</v>
      </c>
      <c r="B63" s="37" vm="112">
        <f ca="1"/>
        <v>90.372</v>
      </c>
      <c r="C63" s="38">
        <f t="shared" ca="1" si="0"/>
        <v>1.0895098324347343E-2</v>
      </c>
      <c r="D63" s="29"/>
    </row>
    <row r="64" spans="1:4" x14ac:dyDescent="0.35">
      <c r="A64" s="36" vm="113">
        <f ca="1"/>
        <v>45372</v>
      </c>
      <c r="B64" s="37" vm="114">
        <f ca="1"/>
        <v>91.435000000000002</v>
      </c>
      <c r="C64" s="38">
        <f t="shared" ca="1" si="0"/>
        <v>1.1762492807506776E-2</v>
      </c>
      <c r="D64" s="29"/>
    </row>
    <row r="65" spans="1:4" x14ac:dyDescent="0.35">
      <c r="A65" s="36" vm="115">
        <f ca="1"/>
        <v>45373</v>
      </c>
      <c r="B65" s="37" vm="116">
        <f ca="1"/>
        <v>94.289000000000001</v>
      </c>
      <c r="C65" s="38">
        <f t="shared" ca="1" si="0"/>
        <v>3.1213430305681623E-2</v>
      </c>
      <c r="D65" s="29"/>
    </row>
    <row r="66" spans="1:4" x14ac:dyDescent="0.35">
      <c r="A66" s="36" vm="117">
        <f ca="1"/>
        <v>45376</v>
      </c>
      <c r="B66" s="37" vm="118">
        <f ca="1"/>
        <v>95.001999999999995</v>
      </c>
      <c r="C66" s="38">
        <f t="shared" ca="1" si="0"/>
        <v>7.561857692837912E-3</v>
      </c>
      <c r="D66" s="29"/>
    </row>
    <row r="67" spans="1:4" x14ac:dyDescent="0.35">
      <c r="A67" s="36" vm="119">
        <f ca="1"/>
        <v>45377</v>
      </c>
      <c r="B67" s="37" vm="120">
        <f ca="1"/>
        <v>92.561000000000007</v>
      </c>
      <c r="C67" s="38">
        <f t="shared" ca="1" si="0"/>
        <v>-2.5694195911664896E-2</v>
      </c>
      <c r="D67" s="29"/>
    </row>
    <row r="68" spans="1:4" x14ac:dyDescent="0.35">
      <c r="A68" s="36" vm="121">
        <f ca="1"/>
        <v>45378</v>
      </c>
      <c r="B68" s="37" vm="122">
        <f ca="1"/>
        <v>90.25</v>
      </c>
      <c r="C68" s="38">
        <f t="shared" ca="1" si="0"/>
        <v>-2.4967318849191417E-2</v>
      </c>
      <c r="D68" s="29"/>
    </row>
    <row r="69" spans="1:4" x14ac:dyDescent="0.35">
      <c r="A69" s="36" vm="123">
        <f ca="1"/>
        <v>45379</v>
      </c>
      <c r="B69" s="37" vm="124">
        <f ca="1"/>
        <v>90.355999999999995</v>
      </c>
      <c r="C69" s="38">
        <f t="shared" ca="1" si="0"/>
        <v>1.1745152354570032E-3</v>
      </c>
      <c r="D69" s="29"/>
    </row>
    <row r="70" spans="1:4" x14ac:dyDescent="0.35">
      <c r="A70" s="36" vm="125">
        <f ca="1"/>
        <v>45383</v>
      </c>
      <c r="B70" s="37" vm="126">
        <f ca="1"/>
        <v>90.363</v>
      </c>
      <c r="C70" s="38">
        <f t="shared" ca="1" si="0"/>
        <v>7.7471335605881211E-5</v>
      </c>
      <c r="D70" s="29"/>
    </row>
    <row r="71" spans="1:4" x14ac:dyDescent="0.35">
      <c r="A71" s="36" vm="127">
        <f ca="1"/>
        <v>45384</v>
      </c>
      <c r="B71" s="37" vm="128">
        <f ca="1"/>
        <v>89.451999999999998</v>
      </c>
      <c r="C71" s="38">
        <f t="shared" ca="1" si="0"/>
        <v>-1.0081559930502543E-2</v>
      </c>
      <c r="D71" s="29"/>
    </row>
    <row r="72" spans="1:4" x14ac:dyDescent="0.35">
      <c r="A72" s="36" vm="129">
        <f ca="1"/>
        <v>45385</v>
      </c>
      <c r="B72" s="37" vm="130">
        <f ca="1"/>
        <v>88.963999999999999</v>
      </c>
      <c r="C72" s="38">
        <f t="shared" ca="1" si="0"/>
        <v>-5.4554397889370783E-3</v>
      </c>
      <c r="D72" s="29"/>
    </row>
    <row r="73" spans="1:4" x14ac:dyDescent="0.35">
      <c r="A73" s="36" vm="131">
        <f ca="1"/>
        <v>45386</v>
      </c>
      <c r="B73" s="37" vm="132">
        <f ca="1"/>
        <v>85.905000000000001</v>
      </c>
      <c r="C73" s="38">
        <f t="shared" ca="1" si="0"/>
        <v>-3.4384694932781769E-2</v>
      </c>
      <c r="D73" s="29"/>
    </row>
    <row r="74" spans="1:4" x14ac:dyDescent="0.35">
      <c r="A74" s="36" vm="133">
        <f ca="1"/>
        <v>45387</v>
      </c>
      <c r="B74" s="37" vm="134">
        <f ca="1"/>
        <v>88.007999999999996</v>
      </c>
      <c r="C74" s="38">
        <f t="shared" ca="1" si="0"/>
        <v>2.4480530818927822E-2</v>
      </c>
      <c r="D74" s="29"/>
    </row>
    <row r="75" spans="1:4" x14ac:dyDescent="0.35">
      <c r="A75" s="36" vm="135">
        <f ca="1"/>
        <v>45390</v>
      </c>
      <c r="B75" s="37" vm="136">
        <f ca="1"/>
        <v>87.132999999999996</v>
      </c>
      <c r="C75" s="38">
        <f t="shared" ref="C75:C138" ca="1" si="1">(B75-B74)/B74</f>
        <v>-9.9422779747295707E-3</v>
      </c>
      <c r="D75" s="29"/>
    </row>
    <row r="76" spans="1:4" x14ac:dyDescent="0.35">
      <c r="A76" s="36" vm="137">
        <f ca="1"/>
        <v>45391</v>
      </c>
      <c r="B76" s="37" vm="138">
        <f ca="1"/>
        <v>85.353999999999999</v>
      </c>
      <c r="C76" s="38">
        <f t="shared" ca="1" si="1"/>
        <v>-2.0417063569485687E-2</v>
      </c>
      <c r="D76" s="29"/>
    </row>
    <row r="77" spans="1:4" x14ac:dyDescent="0.35">
      <c r="A77" s="36" vm="139">
        <f ca="1"/>
        <v>45392</v>
      </c>
      <c r="B77" s="37" vm="140">
        <f ca="1"/>
        <v>87.039000000000001</v>
      </c>
      <c r="C77" s="38">
        <f t="shared" ca="1" si="1"/>
        <v>1.9741312650842401E-2</v>
      </c>
      <c r="D77" s="29"/>
    </row>
    <row r="78" spans="1:4" x14ac:dyDescent="0.35">
      <c r="A78" s="36" vm="141">
        <f ca="1"/>
        <v>45393</v>
      </c>
      <c r="B78" s="37" vm="142">
        <f ca="1"/>
        <v>90.616</v>
      </c>
      <c r="C78" s="38">
        <f t="shared" ca="1" si="1"/>
        <v>4.1096519950826617E-2</v>
      </c>
      <c r="D78" s="29"/>
    </row>
    <row r="79" spans="1:4" x14ac:dyDescent="0.35">
      <c r="A79" s="36" vm="143">
        <f ca="1"/>
        <v>45394</v>
      </c>
      <c r="B79" s="37" vm="144">
        <f ca="1"/>
        <v>88.186000000000007</v>
      </c>
      <c r="C79" s="38">
        <f t="shared" ca="1" si="1"/>
        <v>-2.6816456254965929E-2</v>
      </c>
      <c r="D79" s="29"/>
    </row>
    <row r="80" spans="1:4" x14ac:dyDescent="0.35">
      <c r="A80" s="36" vm="145">
        <f ca="1"/>
        <v>45397</v>
      </c>
      <c r="B80" s="37" vm="146">
        <f ca="1"/>
        <v>86.001000000000005</v>
      </c>
      <c r="C80" s="38">
        <f t="shared" ca="1" si="1"/>
        <v>-2.4777175515387953E-2</v>
      </c>
      <c r="D80" s="29"/>
    </row>
    <row r="81" spans="1:4" x14ac:dyDescent="0.35">
      <c r="A81" s="36" vm="147">
        <f ca="1"/>
        <v>45398</v>
      </c>
      <c r="B81" s="37" vm="148">
        <f ca="1"/>
        <v>87.415000000000006</v>
      </c>
      <c r="C81" s="38">
        <f t="shared" ca="1" si="1"/>
        <v>1.6441669282915333E-2</v>
      </c>
      <c r="D81" s="29"/>
    </row>
    <row r="82" spans="1:4" x14ac:dyDescent="0.35">
      <c r="A82" s="36" vm="149">
        <f ca="1"/>
        <v>45399</v>
      </c>
      <c r="B82" s="37" vm="150">
        <f ca="1"/>
        <v>84.034999999999997</v>
      </c>
      <c r="C82" s="38">
        <f t="shared" ca="1" si="1"/>
        <v>-3.8666132814734418E-2</v>
      </c>
      <c r="D82" s="29"/>
    </row>
    <row r="83" spans="1:4" x14ac:dyDescent="0.35">
      <c r="A83" s="36" vm="151">
        <f ca="1"/>
        <v>45400</v>
      </c>
      <c r="B83" s="37" vm="152">
        <f ca="1"/>
        <v>84.671000000000006</v>
      </c>
      <c r="C83" s="38">
        <f t="shared" ca="1" si="1"/>
        <v>7.5682751234605805E-3</v>
      </c>
      <c r="D83" s="29"/>
    </row>
    <row r="84" spans="1:4" x14ac:dyDescent="0.35">
      <c r="A84" s="36" vm="153">
        <f ca="1"/>
        <v>45401</v>
      </c>
      <c r="B84" s="37" vm="154">
        <f ca="1"/>
        <v>76.2</v>
      </c>
      <c r="C84" s="38">
        <f t="shared" ca="1" si="1"/>
        <v>-0.10004606063469196</v>
      </c>
      <c r="D84" s="29"/>
    </row>
    <row r="85" spans="1:4" x14ac:dyDescent="0.35">
      <c r="A85" s="36" vm="155">
        <f ca="1"/>
        <v>45404</v>
      </c>
      <c r="B85" s="37" vm="156">
        <f ca="1"/>
        <v>79.518000000000001</v>
      </c>
      <c r="C85" s="38">
        <f t="shared" ca="1" si="1"/>
        <v>4.3543307086614143E-2</v>
      </c>
      <c r="D85" s="29"/>
    </row>
    <row r="86" spans="1:4" x14ac:dyDescent="0.35">
      <c r="A86" s="36" vm="157">
        <f ca="1"/>
        <v>45405</v>
      </c>
      <c r="B86" s="37" vm="158">
        <f ca="1"/>
        <v>82.423000000000002</v>
      </c>
      <c r="C86" s="38">
        <f t="shared" ca="1" si="1"/>
        <v>3.6532608969038469E-2</v>
      </c>
      <c r="D86" s="29"/>
    </row>
    <row r="87" spans="1:4" x14ac:dyDescent="0.35">
      <c r="A87" s="36" vm="159">
        <f ca="1"/>
        <v>45406</v>
      </c>
      <c r="B87" s="37" vm="160">
        <f ca="1"/>
        <v>79.677000000000007</v>
      </c>
      <c r="C87" s="38">
        <f t="shared" ca="1" si="1"/>
        <v>-3.3315943365322724E-2</v>
      </c>
      <c r="D87" s="29"/>
    </row>
    <row r="88" spans="1:4" x14ac:dyDescent="0.35">
      <c r="A88" s="36" vm="161">
        <f ca="1"/>
        <v>45407</v>
      </c>
      <c r="B88" s="37" vm="162">
        <f ca="1"/>
        <v>82.632000000000005</v>
      </c>
      <c r="C88" s="38">
        <f t="shared" ca="1" si="1"/>
        <v>3.708723973041151E-2</v>
      </c>
      <c r="D88" s="29"/>
    </row>
    <row r="89" spans="1:4" x14ac:dyDescent="0.35">
      <c r="A89" s="36" vm="163">
        <f ca="1"/>
        <v>45408</v>
      </c>
      <c r="B89" s="37" vm="164">
        <f ca="1"/>
        <v>87.734999999999999</v>
      </c>
      <c r="C89" s="38">
        <f t="shared" ca="1" si="1"/>
        <v>6.1755736276502979E-2</v>
      </c>
      <c r="D89" s="29"/>
    </row>
    <row r="90" spans="1:4" x14ac:dyDescent="0.35">
      <c r="A90" s="36" vm="165">
        <f ca="1"/>
        <v>45411</v>
      </c>
      <c r="B90" s="37" vm="166">
        <f ca="1"/>
        <v>87.757000000000005</v>
      </c>
      <c r="C90" s="38">
        <f t="shared" ca="1" si="1"/>
        <v>2.5075511483450813E-4</v>
      </c>
      <c r="D90" s="29"/>
    </row>
    <row r="91" spans="1:4" x14ac:dyDescent="0.35">
      <c r="A91" s="36" vm="167">
        <f ca="1"/>
        <v>45412</v>
      </c>
      <c r="B91" s="37" vm="168">
        <f ca="1"/>
        <v>86.402000000000001</v>
      </c>
      <c r="C91" s="38">
        <f t="shared" ca="1" si="1"/>
        <v>-1.5440363731668174E-2</v>
      </c>
      <c r="D91" s="29"/>
    </row>
    <row r="92" spans="1:4" x14ac:dyDescent="0.35">
      <c r="A92" s="36" vm="169">
        <f ca="1"/>
        <v>45413</v>
      </c>
      <c r="B92" s="37" vm="170">
        <f ca="1"/>
        <v>83.040999999999997</v>
      </c>
      <c r="C92" s="38">
        <f t="shared" ca="1" si="1"/>
        <v>-3.8899562510127127E-2</v>
      </c>
      <c r="D92" s="29"/>
    </row>
    <row r="93" spans="1:4" x14ac:dyDescent="0.35">
      <c r="A93" s="36" vm="171">
        <f ca="1"/>
        <v>45414</v>
      </c>
      <c r="B93" s="37" vm="172">
        <f ca="1"/>
        <v>85.816999999999993</v>
      </c>
      <c r="C93" s="38">
        <f t="shared" ca="1" si="1"/>
        <v>3.3429269878734555E-2</v>
      </c>
      <c r="D93" s="29"/>
    </row>
    <row r="94" spans="1:4" x14ac:dyDescent="0.35">
      <c r="A94" s="36" vm="173">
        <f ca="1"/>
        <v>45415</v>
      </c>
      <c r="B94" s="37" vm="174">
        <f ca="1"/>
        <v>88.789000000000001</v>
      </c>
      <c r="C94" s="38">
        <f t="shared" ca="1" si="1"/>
        <v>3.4631832853630501E-2</v>
      </c>
      <c r="D94" s="29"/>
    </row>
    <row r="95" spans="1:4" x14ac:dyDescent="0.35">
      <c r="A95" s="36" vm="175">
        <f ca="1"/>
        <v>45418</v>
      </c>
      <c r="B95" s="37" vm="176">
        <f ca="1"/>
        <v>92.14</v>
      </c>
      <c r="C95" s="38">
        <f t="shared" ca="1" si="1"/>
        <v>3.7741161630382131E-2</v>
      </c>
      <c r="D95" s="29"/>
    </row>
    <row r="96" spans="1:4" x14ac:dyDescent="0.35">
      <c r="A96" s="36" vm="177">
        <f ca="1"/>
        <v>45419</v>
      </c>
      <c r="B96" s="37" vm="178">
        <f ca="1"/>
        <v>90.554000000000002</v>
      </c>
      <c r="C96" s="38">
        <f t="shared" ca="1" si="1"/>
        <v>-1.721293683525069E-2</v>
      </c>
      <c r="D96" s="29"/>
    </row>
    <row r="97" spans="1:4" x14ac:dyDescent="0.35">
      <c r="A97" s="36" vm="179">
        <f ca="1"/>
        <v>45420</v>
      </c>
      <c r="B97" s="37" vm="180">
        <f ca="1"/>
        <v>90.412000000000006</v>
      </c>
      <c r="C97" s="38">
        <f t="shared" ca="1" si="1"/>
        <v>-1.5681250966273815E-3</v>
      </c>
      <c r="D97" s="29"/>
    </row>
    <row r="98" spans="1:4" x14ac:dyDescent="0.35">
      <c r="A98" s="36" vm="181">
        <f ca="1"/>
        <v>45421</v>
      </c>
      <c r="B98" s="37" vm="182">
        <f ca="1"/>
        <v>88.747</v>
      </c>
      <c r="C98" s="38">
        <f t="shared" ca="1" si="1"/>
        <v>-1.8415697031367584E-2</v>
      </c>
      <c r="D98" s="29"/>
    </row>
    <row r="99" spans="1:4" x14ac:dyDescent="0.35">
      <c r="A99" s="36" vm="183">
        <f ca="1"/>
        <v>45422</v>
      </c>
      <c r="B99" s="37" vm="184">
        <f ca="1"/>
        <v>89.878</v>
      </c>
      <c r="C99" s="38">
        <f t="shared" ca="1" si="1"/>
        <v>1.2744092758065064E-2</v>
      </c>
      <c r="D99" s="29"/>
    </row>
    <row r="100" spans="1:4" x14ac:dyDescent="0.35">
      <c r="A100" s="36" vm="185">
        <f ca="1"/>
        <v>45425</v>
      </c>
      <c r="B100" s="37" vm="186">
        <f ca="1"/>
        <v>90.399000000000001</v>
      </c>
      <c r="C100" s="38">
        <f t="shared" ca="1" si="1"/>
        <v>5.7967467010837E-3</v>
      </c>
      <c r="D100" s="29"/>
    </row>
    <row r="101" spans="1:4" x14ac:dyDescent="0.35">
      <c r="A101" s="36" vm="187">
        <f ca="1"/>
        <v>45426</v>
      </c>
      <c r="B101" s="37" vm="188">
        <f ca="1"/>
        <v>91.355999999999995</v>
      </c>
      <c r="C101" s="38">
        <f t="shared" ca="1" si="1"/>
        <v>1.0586400292038558E-2</v>
      </c>
      <c r="D101" s="29"/>
    </row>
    <row r="102" spans="1:4" x14ac:dyDescent="0.35">
      <c r="A102" s="36" vm="189">
        <f ca="1"/>
        <v>45427</v>
      </c>
      <c r="B102" s="37" vm="190">
        <f ca="1"/>
        <v>94.63</v>
      </c>
      <c r="C102" s="38">
        <f t="shared" ca="1" si="1"/>
        <v>3.5837821270633577E-2</v>
      </c>
      <c r="D102" s="29"/>
    </row>
    <row r="103" spans="1:4" x14ac:dyDescent="0.35">
      <c r="A103" s="36" vm="191">
        <f ca="1"/>
        <v>45428</v>
      </c>
      <c r="B103" s="37" vm="192">
        <f ca="1"/>
        <v>94.358999999999995</v>
      </c>
      <c r="C103" s="38">
        <f t="shared" ca="1" si="1"/>
        <v>-2.8637852689422046E-3</v>
      </c>
      <c r="D103" s="29"/>
    </row>
    <row r="104" spans="1:4" x14ac:dyDescent="0.35">
      <c r="A104" s="36" vm="193">
        <f ca="1"/>
        <v>45429</v>
      </c>
      <c r="B104" s="37" vm="194">
        <f ca="1"/>
        <v>92.478999999999999</v>
      </c>
      <c r="C104" s="38">
        <f t="shared" ca="1" si="1"/>
        <v>-1.9923907629372881E-2</v>
      </c>
      <c r="D104" s="29"/>
    </row>
    <row r="105" spans="1:4" x14ac:dyDescent="0.35">
      <c r="A105" s="36" vm="195">
        <f ca="1"/>
        <v>45432</v>
      </c>
      <c r="B105" s="37" vm="196">
        <f ca="1"/>
        <v>94.78</v>
      </c>
      <c r="C105" s="38">
        <f t="shared" ca="1" si="1"/>
        <v>2.4881324408784718E-2</v>
      </c>
      <c r="D105" s="29"/>
    </row>
    <row r="106" spans="1:4" x14ac:dyDescent="0.35">
      <c r="A106" s="36" vm="197">
        <f ca="1"/>
        <v>45433</v>
      </c>
      <c r="B106" s="37" vm="198">
        <f ca="1"/>
        <v>95.385999999999996</v>
      </c>
      <c r="C106" s="38">
        <f t="shared" ca="1" si="1"/>
        <v>6.3937539565308557E-3</v>
      </c>
      <c r="D106" s="29"/>
    </row>
    <row r="107" spans="1:4" x14ac:dyDescent="0.35">
      <c r="A107" s="36" vm="199">
        <f ca="1"/>
        <v>45434</v>
      </c>
      <c r="B107" s="37" vm="200">
        <f ca="1"/>
        <v>94.95</v>
      </c>
      <c r="C107" s="38">
        <f t="shared" ca="1" si="1"/>
        <v>-4.5709013901410363E-3</v>
      </c>
      <c r="D107" s="29"/>
    </row>
    <row r="108" spans="1:4" x14ac:dyDescent="0.35">
      <c r="A108" s="36" vm="201">
        <f ca="1"/>
        <v>45435</v>
      </c>
      <c r="B108" s="37" vm="202">
        <f ca="1"/>
        <v>103.79900000000001</v>
      </c>
      <c r="C108" s="38">
        <f t="shared" ca="1" si="1"/>
        <v>9.3196419167983185E-2</v>
      </c>
      <c r="D108" s="29"/>
    </row>
    <row r="109" spans="1:4" x14ac:dyDescent="0.35">
      <c r="A109" s="36" vm="203">
        <f ca="1"/>
        <v>45436</v>
      </c>
      <c r="B109" s="37" vm="204">
        <f ca="1"/>
        <v>106.46899999999999</v>
      </c>
      <c r="C109" s="38">
        <f t="shared" ca="1" si="1"/>
        <v>2.5722791163691243E-2</v>
      </c>
      <c r="D109" s="29"/>
    </row>
    <row r="110" spans="1:4" x14ac:dyDescent="0.35">
      <c r="A110" s="36" vm="205">
        <f ca="1"/>
        <v>45440</v>
      </c>
      <c r="B110" s="37" vm="206">
        <f ca="1"/>
        <v>113.901</v>
      </c>
      <c r="C110" s="38">
        <f t="shared" ca="1" si="1"/>
        <v>6.980435619757866E-2</v>
      </c>
      <c r="D110" s="29"/>
    </row>
    <row r="111" spans="1:4" x14ac:dyDescent="0.35">
      <c r="A111" s="36" vm="207">
        <f ca="1"/>
        <v>45441</v>
      </c>
      <c r="B111" s="37" vm="208">
        <f ca="1"/>
        <v>114.825</v>
      </c>
      <c r="C111" s="38">
        <f t="shared" ca="1" si="1"/>
        <v>8.1123080569969232E-3</v>
      </c>
      <c r="D111" s="29"/>
    </row>
    <row r="112" spans="1:4" x14ac:dyDescent="0.35">
      <c r="A112" s="36" vm="209">
        <f ca="1"/>
        <v>45442</v>
      </c>
      <c r="B112" s="37" vm="210">
        <f ca="1"/>
        <v>110.5</v>
      </c>
      <c r="C112" s="38">
        <f t="shared" ca="1" si="1"/>
        <v>-3.7666013498802546E-2</v>
      </c>
      <c r="D112" s="29"/>
    </row>
    <row r="113" spans="1:4" x14ac:dyDescent="0.35">
      <c r="A113" s="36" vm="211">
        <f ca="1"/>
        <v>45443</v>
      </c>
      <c r="B113" s="37" vm="212">
        <f ca="1"/>
        <v>109.633</v>
      </c>
      <c r="C113" s="38">
        <f t="shared" ca="1" si="1"/>
        <v>-7.8461538461538863E-3</v>
      </c>
      <c r="D113" s="29"/>
    </row>
    <row r="114" spans="1:4" x14ac:dyDescent="0.35">
      <c r="A114" s="36" vm="213">
        <f ca="1"/>
        <v>45446</v>
      </c>
      <c r="B114" s="37" vm="214">
        <f ca="1"/>
        <v>115</v>
      </c>
      <c r="C114" s="38">
        <f t="shared" ca="1" si="1"/>
        <v>4.8954238231189558E-2</v>
      </c>
      <c r="D114" s="29"/>
    </row>
    <row r="115" spans="1:4" x14ac:dyDescent="0.35">
      <c r="A115" s="36" vm="215">
        <f ca="1"/>
        <v>45447</v>
      </c>
      <c r="B115" s="37" vm="216">
        <f ca="1"/>
        <v>116.437</v>
      </c>
      <c r="C115" s="38">
        <f t="shared" ca="1" si="1"/>
        <v>1.2495652173913022E-2</v>
      </c>
      <c r="D115" s="29"/>
    </row>
    <row r="116" spans="1:4" x14ac:dyDescent="0.35">
      <c r="A116" s="36" vm="217">
        <f ca="1"/>
        <v>45448</v>
      </c>
      <c r="B116" s="37" vm="218">
        <f ca="1"/>
        <v>122.44</v>
      </c>
      <c r="C116" s="38">
        <f t="shared" ca="1" si="1"/>
        <v>5.1555776943754995E-2</v>
      </c>
      <c r="D116" s="29"/>
    </row>
    <row r="117" spans="1:4" x14ac:dyDescent="0.35">
      <c r="A117" s="36" vm="219">
        <f ca="1"/>
        <v>45449</v>
      </c>
      <c r="B117" s="37" vm="220">
        <f ca="1"/>
        <v>120.998</v>
      </c>
      <c r="C117" s="38">
        <f t="shared" ca="1" si="1"/>
        <v>-1.1777196994446203E-2</v>
      </c>
      <c r="D117" s="29"/>
    </row>
    <row r="118" spans="1:4" x14ac:dyDescent="0.35">
      <c r="A118" s="36" vm="221">
        <f ca="1"/>
        <v>45450</v>
      </c>
      <c r="B118" s="37" vm="222">
        <f ca="1"/>
        <v>120.88800000000001</v>
      </c>
      <c r="C118" s="38">
        <f t="shared" ca="1" si="1"/>
        <v>-9.0910593563529505E-4</v>
      </c>
      <c r="D118" s="29"/>
    </row>
    <row r="119" spans="1:4" x14ac:dyDescent="0.35">
      <c r="A119" s="36" vm="223">
        <f ca="1"/>
        <v>45453</v>
      </c>
      <c r="B119" s="37" vm="224">
        <f ca="1"/>
        <v>121.79</v>
      </c>
      <c r="C119" s="38">
        <f t="shared" ca="1" si="1"/>
        <v>7.4614519224406144E-3</v>
      </c>
      <c r="D119" s="29"/>
    </row>
    <row r="120" spans="1:4" x14ac:dyDescent="0.35">
      <c r="A120" s="36" vm="225">
        <f ca="1"/>
        <v>45454</v>
      </c>
      <c r="B120" s="37" vm="226">
        <f ca="1"/>
        <v>120.91</v>
      </c>
      <c r="C120" s="38">
        <f t="shared" ca="1" si="1"/>
        <v>-7.2255521799820151E-3</v>
      </c>
      <c r="D120" s="29"/>
    </row>
    <row r="121" spans="1:4" x14ac:dyDescent="0.35">
      <c r="A121" s="36" vm="227">
        <f ca="1"/>
        <v>45455</v>
      </c>
      <c r="B121" s="37" vm="228">
        <f ca="1"/>
        <v>125.2</v>
      </c>
      <c r="C121" s="38">
        <f t="shared" ca="1" si="1"/>
        <v>3.5480936233562209E-2</v>
      </c>
      <c r="D121" s="29"/>
    </row>
    <row r="122" spans="1:4" x14ac:dyDescent="0.35">
      <c r="A122" s="36" vm="229">
        <f ca="1"/>
        <v>45456</v>
      </c>
      <c r="B122" s="37" vm="230">
        <f ca="1"/>
        <v>129.61000000000001</v>
      </c>
      <c r="C122" s="38">
        <f t="shared" ca="1" si="1"/>
        <v>3.522364217252405E-2</v>
      </c>
      <c r="D122" s="29"/>
    </row>
    <row r="123" spans="1:4" x14ac:dyDescent="0.35">
      <c r="A123" s="36" vm="231">
        <f ca="1"/>
        <v>45457</v>
      </c>
      <c r="B123" s="37" vm="232">
        <f ca="1"/>
        <v>131.88</v>
      </c>
      <c r="C123" s="38">
        <f t="shared" ca="1" si="1"/>
        <v>1.7514080703649269E-2</v>
      </c>
      <c r="D123" s="29"/>
    </row>
    <row r="124" spans="1:4" x14ac:dyDescent="0.35">
      <c r="A124" s="36" vm="233">
        <f ca="1"/>
        <v>45460</v>
      </c>
      <c r="B124" s="37" vm="234">
        <f ca="1"/>
        <v>130.97999999999999</v>
      </c>
      <c r="C124" s="38">
        <f t="shared" ca="1" si="1"/>
        <v>-6.8243858052775682E-3</v>
      </c>
      <c r="D124" s="29"/>
    </row>
    <row r="125" spans="1:4" x14ac:dyDescent="0.35">
      <c r="A125" s="36" vm="235">
        <f ca="1"/>
        <v>45461</v>
      </c>
      <c r="B125" s="37" vm="236">
        <f ca="1"/>
        <v>135.58000000000001</v>
      </c>
      <c r="C125" s="38">
        <f t="shared" ca="1" si="1"/>
        <v>3.511986562834038E-2</v>
      </c>
      <c r="D125" s="29"/>
    </row>
    <row r="126" spans="1:4" x14ac:dyDescent="0.35">
      <c r="A126" s="36" vm="237">
        <f ca="1"/>
        <v>45463</v>
      </c>
      <c r="B126" s="37" vm="238">
        <f ca="1"/>
        <v>130.78</v>
      </c>
      <c r="C126" s="38">
        <f t="shared" ca="1" si="1"/>
        <v>-3.5403451836554148E-2</v>
      </c>
      <c r="D126" s="29"/>
    </row>
    <row r="127" spans="1:4" x14ac:dyDescent="0.35">
      <c r="A127" s="36" vm="239">
        <f ca="1"/>
        <v>45464</v>
      </c>
      <c r="B127" s="37" vm="240">
        <f ca="1"/>
        <v>126.57</v>
      </c>
      <c r="C127" s="38">
        <f t="shared" ca="1" si="1"/>
        <v>-3.2191466585104814E-2</v>
      </c>
      <c r="D127" s="29"/>
    </row>
    <row r="128" spans="1:4" x14ac:dyDescent="0.35">
      <c r="A128" s="36" vm="241">
        <f ca="1"/>
        <v>45467</v>
      </c>
      <c r="B128" s="37" vm="242">
        <f ca="1"/>
        <v>118.11</v>
      </c>
      <c r="C128" s="38">
        <f t="shared" ca="1" si="1"/>
        <v>-6.684048352690207E-2</v>
      </c>
      <c r="D128" s="29"/>
    </row>
    <row r="129" spans="1:4" x14ac:dyDescent="0.35">
      <c r="A129" s="36" vm="243">
        <f ca="1"/>
        <v>45468</v>
      </c>
      <c r="B129" s="37" vm="244">
        <f ca="1"/>
        <v>126.09</v>
      </c>
      <c r="C129" s="38">
        <f t="shared" ca="1" si="1"/>
        <v>6.7564135128270295E-2</v>
      </c>
      <c r="D129" s="29"/>
    </row>
    <row r="130" spans="1:4" x14ac:dyDescent="0.35">
      <c r="A130" s="36" vm="245">
        <f ca="1"/>
        <v>45469</v>
      </c>
      <c r="B130" s="37" vm="246">
        <f ca="1"/>
        <v>126.4</v>
      </c>
      <c r="C130" s="38">
        <f t="shared" ca="1" si="1"/>
        <v>2.4585613450709989E-3</v>
      </c>
      <c r="D130" s="29"/>
    </row>
    <row r="131" spans="1:4" x14ac:dyDescent="0.35">
      <c r="A131" s="36" vm="247">
        <f ca="1"/>
        <v>45470</v>
      </c>
      <c r="B131" s="37" vm="248">
        <f ca="1"/>
        <v>123.99</v>
      </c>
      <c r="C131" s="38">
        <f t="shared" ca="1" si="1"/>
        <v>-1.9066455696202616E-2</v>
      </c>
      <c r="D131" s="29"/>
    </row>
    <row r="132" spans="1:4" x14ac:dyDescent="0.35">
      <c r="A132" s="36" vm="249">
        <f ca="1"/>
        <v>45471</v>
      </c>
      <c r="B132" s="37" vm="250">
        <f ca="1"/>
        <v>123.54</v>
      </c>
      <c r="C132" s="38">
        <f t="shared" ca="1" si="1"/>
        <v>-3.6293249455600341E-3</v>
      </c>
      <c r="D132" s="29"/>
    </row>
    <row r="133" spans="1:4" x14ac:dyDescent="0.35">
      <c r="A133" s="36" vm="251">
        <f ca="1"/>
        <v>45474</v>
      </c>
      <c r="B133" s="37" vm="252">
        <f ca="1"/>
        <v>124.3</v>
      </c>
      <c r="C133" s="38">
        <f t="shared" ca="1" si="1"/>
        <v>6.1518536506393953E-3</v>
      </c>
      <c r="D133" s="29"/>
    </row>
    <row r="134" spans="1:4" x14ac:dyDescent="0.35">
      <c r="A134" s="36" vm="253">
        <f ca="1"/>
        <v>45475</v>
      </c>
      <c r="B134" s="37" vm="254">
        <f ca="1"/>
        <v>122.67</v>
      </c>
      <c r="C134" s="38">
        <f t="shared" ca="1" si="1"/>
        <v>-1.3113435237329007E-2</v>
      </c>
      <c r="D134" s="29"/>
    </row>
    <row r="135" spans="1:4" x14ac:dyDescent="0.35">
      <c r="A135" s="36" vm="255">
        <f ca="1"/>
        <v>45476</v>
      </c>
      <c r="B135" s="37" vm="256">
        <f ca="1"/>
        <v>128.28</v>
      </c>
      <c r="C135" s="38">
        <f t="shared" ca="1" si="1"/>
        <v>4.573245292247493E-2</v>
      </c>
      <c r="D135" s="29"/>
    </row>
    <row r="136" spans="1:4" x14ac:dyDescent="0.35">
      <c r="A136" s="36" vm="257">
        <f ca="1"/>
        <v>45478</v>
      </c>
      <c r="B136" s="37" vm="258">
        <f ca="1"/>
        <v>125.83</v>
      </c>
      <c r="C136" s="38">
        <f t="shared" ca="1" si="1"/>
        <v>-1.9098846273776136E-2</v>
      </c>
      <c r="D136" s="29"/>
    </row>
    <row r="137" spans="1:4" x14ac:dyDescent="0.35">
      <c r="A137" s="36" vm="259">
        <f ca="1"/>
        <v>45481</v>
      </c>
      <c r="B137" s="37" vm="260">
        <f ca="1"/>
        <v>128.19999999999999</v>
      </c>
      <c r="C137" s="38">
        <f t="shared" ca="1" si="1"/>
        <v>1.8834936024795284E-2</v>
      </c>
      <c r="D137" s="29"/>
    </row>
    <row r="138" spans="1:4" x14ac:dyDescent="0.35">
      <c r="A138" s="36" vm="261">
        <f ca="1"/>
        <v>45482</v>
      </c>
      <c r="B138" s="37" vm="262">
        <f ca="1"/>
        <v>131.38</v>
      </c>
      <c r="C138" s="38">
        <f t="shared" ca="1" si="1"/>
        <v>2.4804992199688042E-2</v>
      </c>
      <c r="D138" s="29"/>
    </row>
    <row r="139" spans="1:4" x14ac:dyDescent="0.35">
      <c r="A139" s="36" vm="263">
        <f ca="1"/>
        <v>45483</v>
      </c>
      <c r="B139" s="37" vm="264">
        <f ca="1"/>
        <v>134.91</v>
      </c>
      <c r="C139" s="38">
        <f t="shared" ref="C139:C202" ca="1" si="2">(B139-B138)/B138</f>
        <v>2.6868625361546668E-2</v>
      </c>
      <c r="D139" s="29"/>
    </row>
    <row r="140" spans="1:4" x14ac:dyDescent="0.35">
      <c r="A140" s="36" vm="265">
        <f ca="1"/>
        <v>45484</v>
      </c>
      <c r="B140" s="37" vm="266">
        <f ca="1"/>
        <v>127.4</v>
      </c>
      <c r="C140" s="38">
        <f t="shared" ca="1" si="2"/>
        <v>-5.5666740790156335E-2</v>
      </c>
      <c r="D140" s="29"/>
    </row>
    <row r="141" spans="1:4" x14ac:dyDescent="0.35">
      <c r="A141" s="36" vm="267">
        <f ca="1"/>
        <v>45485</v>
      </c>
      <c r="B141" s="37" vm="268">
        <f ca="1"/>
        <v>129.24</v>
      </c>
      <c r="C141" s="38">
        <f t="shared" ca="1" si="2"/>
        <v>1.4442700156985898E-2</v>
      </c>
      <c r="D141" s="29"/>
    </row>
    <row r="142" spans="1:4" x14ac:dyDescent="0.35">
      <c r="A142" s="36" vm="269">
        <f ca="1"/>
        <v>45488</v>
      </c>
      <c r="B142" s="37" vm="270">
        <f ca="1"/>
        <v>128.44</v>
      </c>
      <c r="C142" s="38">
        <f t="shared" ca="1" si="2"/>
        <v>-6.1900340451873362E-3</v>
      </c>
      <c r="D142" s="29"/>
    </row>
    <row r="143" spans="1:4" x14ac:dyDescent="0.35">
      <c r="A143" s="36" vm="271">
        <f ca="1"/>
        <v>45489</v>
      </c>
      <c r="B143" s="37" vm="272">
        <f ca="1"/>
        <v>126.36</v>
      </c>
      <c r="C143" s="38">
        <f t="shared" ca="1" si="2"/>
        <v>-1.6194331983805654E-2</v>
      </c>
      <c r="D143" s="29"/>
    </row>
    <row r="144" spans="1:4" x14ac:dyDescent="0.35">
      <c r="A144" s="36" vm="273">
        <f ca="1"/>
        <v>45490</v>
      </c>
      <c r="B144" s="37" vm="274">
        <f ca="1"/>
        <v>117.99</v>
      </c>
      <c r="C144" s="38">
        <f t="shared" ca="1" si="2"/>
        <v>-6.6239316239316282E-2</v>
      </c>
      <c r="D144" s="29"/>
    </row>
    <row r="145" spans="1:4" x14ac:dyDescent="0.35">
      <c r="A145" s="36" vm="275">
        <f ca="1"/>
        <v>45491</v>
      </c>
      <c r="B145" s="37" vm="276">
        <f ca="1"/>
        <v>121.09</v>
      </c>
      <c r="C145" s="38">
        <f t="shared" ca="1" si="2"/>
        <v>2.6273413001101861E-2</v>
      </c>
      <c r="D145" s="29"/>
    </row>
    <row r="146" spans="1:4" x14ac:dyDescent="0.35">
      <c r="A146" s="36" vm="277">
        <f ca="1"/>
        <v>45492</v>
      </c>
      <c r="B146" s="37" vm="278">
        <f ca="1"/>
        <v>117.93</v>
      </c>
      <c r="C146" s="38">
        <f t="shared" ca="1" si="2"/>
        <v>-2.609629201420428E-2</v>
      </c>
      <c r="D146" s="29"/>
    </row>
    <row r="147" spans="1:4" x14ac:dyDescent="0.35">
      <c r="A147" s="36" vm="279">
        <f ca="1"/>
        <v>45495</v>
      </c>
      <c r="B147" s="37" vm="250">
        <f ca="1"/>
        <v>123.54</v>
      </c>
      <c r="C147" s="38">
        <f t="shared" ca="1" si="2"/>
        <v>4.7570592724497575E-2</v>
      </c>
      <c r="D147" s="29"/>
    </row>
    <row r="148" spans="1:4" x14ac:dyDescent="0.35">
      <c r="A148" s="36" vm="280">
        <f ca="1"/>
        <v>45496</v>
      </c>
      <c r="B148" s="37" vm="281">
        <f ca="1"/>
        <v>122.59</v>
      </c>
      <c r="C148" s="38">
        <f t="shared" ca="1" si="2"/>
        <v>-7.6898170632993586E-3</v>
      </c>
      <c r="D148" s="29"/>
    </row>
    <row r="149" spans="1:4" x14ac:dyDescent="0.35">
      <c r="A149" s="36" vm="282">
        <f ca="1"/>
        <v>45497</v>
      </c>
      <c r="B149" s="37" vm="283">
        <f ca="1"/>
        <v>114.25</v>
      </c>
      <c r="C149" s="38">
        <f t="shared" ca="1" si="2"/>
        <v>-6.8031650216167736E-2</v>
      </c>
      <c r="D149" s="29"/>
    </row>
    <row r="150" spans="1:4" x14ac:dyDescent="0.35">
      <c r="A150" s="36" vm="284">
        <f ca="1"/>
        <v>45498</v>
      </c>
      <c r="B150" s="37" vm="285">
        <f ca="1"/>
        <v>112.28</v>
      </c>
      <c r="C150" s="38">
        <f t="shared" ca="1" si="2"/>
        <v>-1.7242888402625809E-2</v>
      </c>
      <c r="D150" s="29"/>
    </row>
    <row r="151" spans="1:4" x14ac:dyDescent="0.35">
      <c r="A151" s="36" vm="286">
        <f ca="1"/>
        <v>45499</v>
      </c>
      <c r="B151" s="37" vm="287">
        <f ca="1"/>
        <v>113.06</v>
      </c>
      <c r="C151" s="38">
        <f t="shared" ca="1" si="2"/>
        <v>6.9469184182401238E-3</v>
      </c>
      <c r="D151" s="29"/>
    </row>
    <row r="152" spans="1:4" x14ac:dyDescent="0.35">
      <c r="A152" s="36" vm="288">
        <f ca="1"/>
        <v>45502</v>
      </c>
      <c r="B152" s="37" vm="289">
        <f ca="1"/>
        <v>111.59</v>
      </c>
      <c r="C152" s="38">
        <f t="shared" ca="1" si="2"/>
        <v>-1.3001945869449839E-2</v>
      </c>
      <c r="D152" s="29"/>
    </row>
    <row r="153" spans="1:4" x14ac:dyDescent="0.35">
      <c r="A153" s="36" vm="290">
        <f ca="1"/>
        <v>45503</v>
      </c>
      <c r="B153" s="37" vm="291">
        <f ca="1"/>
        <v>103.73</v>
      </c>
      <c r="C153" s="38">
        <f t="shared" ca="1" si="2"/>
        <v>-7.043641903396361E-2</v>
      </c>
      <c r="D153" s="29"/>
    </row>
    <row r="154" spans="1:4" x14ac:dyDescent="0.35">
      <c r="A154" s="36" vm="292">
        <f ca="1"/>
        <v>45504</v>
      </c>
      <c r="B154" s="37" vm="293">
        <f ca="1"/>
        <v>117.02</v>
      </c>
      <c r="C154" s="38">
        <f t="shared" ca="1" si="2"/>
        <v>0.12812108358237725</v>
      </c>
      <c r="D154" s="29"/>
    </row>
    <row r="155" spans="1:4" x14ac:dyDescent="0.35">
      <c r="A155" s="36" vm="294">
        <f ca="1"/>
        <v>45505</v>
      </c>
      <c r="B155" s="37" vm="295">
        <f ca="1"/>
        <v>109.21</v>
      </c>
      <c r="C155" s="38">
        <f t="shared" ca="1" si="2"/>
        <v>-6.6740728080669998E-2</v>
      </c>
      <c r="D155" s="29"/>
    </row>
    <row r="156" spans="1:4" x14ac:dyDescent="0.35">
      <c r="A156" s="36" vm="296">
        <f ca="1"/>
        <v>45506</v>
      </c>
      <c r="B156" s="37" vm="297">
        <f ca="1"/>
        <v>107.27</v>
      </c>
      <c r="C156" s="38">
        <f t="shared" ca="1" si="2"/>
        <v>-1.7763941031041095E-2</v>
      </c>
      <c r="D156" s="29"/>
    </row>
    <row r="157" spans="1:4" x14ac:dyDescent="0.35">
      <c r="A157" s="36" vm="298">
        <f ca="1"/>
        <v>45509</v>
      </c>
      <c r="B157" s="37" vm="299">
        <f ca="1"/>
        <v>100.45</v>
      </c>
      <c r="C157" s="38">
        <f t="shared" ca="1" si="2"/>
        <v>-6.3577887573412817E-2</v>
      </c>
      <c r="D157" s="29"/>
    </row>
    <row r="158" spans="1:4" x14ac:dyDescent="0.35">
      <c r="A158" s="36" vm="300">
        <f ca="1"/>
        <v>45510</v>
      </c>
      <c r="B158" s="37" vm="301">
        <f ca="1"/>
        <v>104.25</v>
      </c>
      <c r="C158" s="38">
        <f t="shared" ca="1" si="2"/>
        <v>3.7829766052762538E-2</v>
      </c>
      <c r="D158" s="29"/>
    </row>
    <row r="159" spans="1:4" x14ac:dyDescent="0.35">
      <c r="A159" s="36" vm="302">
        <f ca="1"/>
        <v>45511</v>
      </c>
      <c r="B159" s="37" vm="303">
        <f ca="1"/>
        <v>98.91</v>
      </c>
      <c r="C159" s="38">
        <f t="shared" ca="1" si="2"/>
        <v>-5.1223021582733848E-2</v>
      </c>
      <c r="D159" s="29"/>
    </row>
    <row r="160" spans="1:4" x14ac:dyDescent="0.35">
      <c r="A160" s="36" vm="304">
        <f ca="1"/>
        <v>45512</v>
      </c>
      <c r="B160" s="37" vm="305">
        <f ca="1"/>
        <v>104.97</v>
      </c>
      <c r="C160" s="38">
        <f t="shared" ca="1" si="2"/>
        <v>6.1267819229602692E-2</v>
      </c>
      <c r="D160" s="29"/>
    </row>
    <row r="161" spans="1:4" x14ac:dyDescent="0.35">
      <c r="A161" s="36" vm="306">
        <f ca="1"/>
        <v>45513</v>
      </c>
      <c r="B161" s="37" vm="307">
        <f ca="1"/>
        <v>104.75</v>
      </c>
      <c r="C161" s="38">
        <f t="shared" ca="1" si="2"/>
        <v>-2.0958369057825937E-3</v>
      </c>
      <c r="D161" s="29"/>
    </row>
    <row r="162" spans="1:4" x14ac:dyDescent="0.35">
      <c r="A162" s="36" vm="308">
        <f ca="1"/>
        <v>45516</v>
      </c>
      <c r="B162" s="37" vm="309">
        <f ca="1"/>
        <v>109.02</v>
      </c>
      <c r="C162" s="38">
        <f t="shared" ca="1" si="2"/>
        <v>4.0763723150357957E-2</v>
      </c>
      <c r="D162" s="29"/>
    </row>
    <row r="163" spans="1:4" x14ac:dyDescent="0.35">
      <c r="A163" s="36" vm="310">
        <f ca="1"/>
        <v>45517</v>
      </c>
      <c r="B163" s="37" vm="311">
        <f ca="1"/>
        <v>116.14</v>
      </c>
      <c r="C163" s="38">
        <f t="shared" ca="1" si="2"/>
        <v>6.5309117593102234E-2</v>
      </c>
      <c r="D163" s="29"/>
    </row>
    <row r="164" spans="1:4" x14ac:dyDescent="0.35">
      <c r="A164" s="36" vm="312">
        <f ca="1"/>
        <v>45518</v>
      </c>
      <c r="B164" s="37" vm="313">
        <f ca="1"/>
        <v>118.08</v>
      </c>
      <c r="C164" s="38">
        <f t="shared" ca="1" si="2"/>
        <v>1.6703977957637315E-2</v>
      </c>
      <c r="D164" s="29"/>
    </row>
    <row r="165" spans="1:4" x14ac:dyDescent="0.35">
      <c r="A165" s="36" vm="314">
        <f ca="1"/>
        <v>45519</v>
      </c>
      <c r="B165" s="37" vm="315">
        <f ca="1"/>
        <v>122.86</v>
      </c>
      <c r="C165" s="38">
        <f t="shared" ca="1" si="2"/>
        <v>4.0481029810298115E-2</v>
      </c>
      <c r="D165" s="29"/>
    </row>
    <row r="166" spans="1:4" x14ac:dyDescent="0.35">
      <c r="A166" s="36" vm="316">
        <f ca="1"/>
        <v>45520</v>
      </c>
      <c r="B166" s="37" vm="317">
        <f ca="1"/>
        <v>124.58</v>
      </c>
      <c r="C166" s="38">
        <f t="shared" ca="1" si="2"/>
        <v>1.3999674426176126E-2</v>
      </c>
      <c r="D166" s="29"/>
    </row>
    <row r="167" spans="1:4" x14ac:dyDescent="0.35">
      <c r="A167" s="36" vm="318">
        <f ca="1"/>
        <v>45523</v>
      </c>
      <c r="B167" s="37" vm="319">
        <f ca="1"/>
        <v>130</v>
      </c>
      <c r="C167" s="38">
        <f t="shared" ca="1" si="2"/>
        <v>4.3506180767378402E-2</v>
      </c>
      <c r="D167" s="29"/>
    </row>
    <row r="168" spans="1:4" x14ac:dyDescent="0.35">
      <c r="A168" s="36" vm="320">
        <f ca="1"/>
        <v>45524</v>
      </c>
      <c r="B168" s="37" vm="321">
        <f ca="1"/>
        <v>127.25</v>
      </c>
      <c r="C168" s="38">
        <f t="shared" ca="1" si="2"/>
        <v>-2.1153846153846155E-2</v>
      </c>
      <c r="D168" s="29"/>
    </row>
    <row r="169" spans="1:4" x14ac:dyDescent="0.35">
      <c r="A169" s="36" vm="322">
        <f ca="1"/>
        <v>45525</v>
      </c>
      <c r="B169" s="37" vm="323">
        <f ca="1"/>
        <v>128.5</v>
      </c>
      <c r="C169" s="38">
        <f t="shared" ca="1" si="2"/>
        <v>9.823182711198428E-3</v>
      </c>
      <c r="D169" s="29"/>
    </row>
    <row r="170" spans="1:4" x14ac:dyDescent="0.35">
      <c r="A170" s="36" vm="324">
        <f ca="1"/>
        <v>45526</v>
      </c>
      <c r="B170" s="37" vm="325">
        <f ca="1"/>
        <v>123.74</v>
      </c>
      <c r="C170" s="38">
        <f t="shared" ca="1" si="2"/>
        <v>-3.7042801556420271E-2</v>
      </c>
      <c r="D170" s="29"/>
    </row>
    <row r="171" spans="1:4" x14ac:dyDescent="0.35">
      <c r="A171" s="36" vm="326">
        <f ca="1"/>
        <v>45527</v>
      </c>
      <c r="B171" s="37" vm="327">
        <f ca="1"/>
        <v>129.37</v>
      </c>
      <c r="C171" s="38">
        <f t="shared" ca="1" si="2"/>
        <v>4.5498626151608289E-2</v>
      </c>
      <c r="D171" s="29"/>
    </row>
    <row r="172" spans="1:4" x14ac:dyDescent="0.35">
      <c r="A172" s="36" vm="328">
        <f ca="1"/>
        <v>45530</v>
      </c>
      <c r="B172" s="37" vm="329">
        <f ca="1"/>
        <v>126.46</v>
      </c>
      <c r="C172" s="38">
        <f t="shared" ca="1" si="2"/>
        <v>-2.249362294194953E-2</v>
      </c>
      <c r="D172" s="29"/>
    </row>
    <row r="173" spans="1:4" x14ac:dyDescent="0.35">
      <c r="A173" s="36" vm="330">
        <f ca="1"/>
        <v>45531</v>
      </c>
      <c r="B173" s="37" vm="331">
        <f ca="1"/>
        <v>128.30000000000001</v>
      </c>
      <c r="C173" s="38">
        <f t="shared" ca="1" si="2"/>
        <v>1.4550055353471593E-2</v>
      </c>
      <c r="D173" s="29"/>
    </row>
    <row r="174" spans="1:4" x14ac:dyDescent="0.35">
      <c r="A174" s="36" vm="332">
        <f ca="1"/>
        <v>45532</v>
      </c>
      <c r="B174" s="37" vm="333">
        <f ca="1"/>
        <v>125.61</v>
      </c>
      <c r="C174" s="38">
        <f t="shared" ca="1" si="2"/>
        <v>-2.096648480124717E-2</v>
      </c>
      <c r="D174" s="29"/>
    </row>
    <row r="175" spans="1:4" x14ac:dyDescent="0.35">
      <c r="A175" s="36" vm="334">
        <f ca="1"/>
        <v>45533</v>
      </c>
      <c r="B175" s="37" vm="335">
        <f ca="1"/>
        <v>117.59</v>
      </c>
      <c r="C175" s="38">
        <f t="shared" ca="1" si="2"/>
        <v>-6.3848419711806353E-2</v>
      </c>
      <c r="D175" s="29"/>
    </row>
    <row r="176" spans="1:4" x14ac:dyDescent="0.35">
      <c r="A176" s="36" vm="336">
        <f ca="1"/>
        <v>45534</v>
      </c>
      <c r="B176" s="37" vm="337">
        <f ca="1"/>
        <v>119.37</v>
      </c>
      <c r="C176" s="38">
        <f t="shared" ca="1" si="2"/>
        <v>1.513734161068119E-2</v>
      </c>
      <c r="D176" s="29"/>
    </row>
    <row r="177" spans="1:4" x14ac:dyDescent="0.35">
      <c r="A177" s="36" vm="338">
        <f ca="1"/>
        <v>45538</v>
      </c>
      <c r="B177" s="37" vm="339">
        <f ca="1"/>
        <v>108</v>
      </c>
      <c r="C177" s="38">
        <f t="shared" ca="1" si="2"/>
        <v>-9.5250062829856777E-2</v>
      </c>
      <c r="D177" s="29"/>
    </row>
    <row r="178" spans="1:4" x14ac:dyDescent="0.35">
      <c r="A178" s="36" vm="340">
        <f ca="1"/>
        <v>45539</v>
      </c>
      <c r="B178" s="37" vm="341">
        <f ca="1"/>
        <v>106.21</v>
      </c>
      <c r="C178" s="38">
        <f t="shared" ca="1" si="2"/>
        <v>-1.6574074074074133E-2</v>
      </c>
      <c r="D178" s="29"/>
    </row>
    <row r="179" spans="1:4" x14ac:dyDescent="0.35">
      <c r="A179" s="36" vm="342">
        <f ca="1"/>
        <v>45540</v>
      </c>
      <c r="B179" s="37" vm="343">
        <f ca="1"/>
        <v>107.21</v>
      </c>
      <c r="C179" s="38">
        <f t="shared" ca="1" si="2"/>
        <v>9.4153092929102726E-3</v>
      </c>
      <c r="D179" s="29"/>
    </row>
    <row r="180" spans="1:4" x14ac:dyDescent="0.35">
      <c r="A180" s="36" vm="344">
        <f ca="1"/>
        <v>45541</v>
      </c>
      <c r="B180" s="37" vm="345">
        <f ca="1"/>
        <v>102.83</v>
      </c>
      <c r="C180" s="38">
        <f t="shared" ca="1" si="2"/>
        <v>-4.0854397910642624E-2</v>
      </c>
      <c r="D180" s="29"/>
    </row>
    <row r="181" spans="1:4" x14ac:dyDescent="0.35">
      <c r="A181" s="36" vm="346">
        <f ca="1"/>
        <v>45544</v>
      </c>
      <c r="B181" s="37" vm="347">
        <f ca="1"/>
        <v>106.47</v>
      </c>
      <c r="C181" s="38">
        <f t="shared" ca="1" si="2"/>
        <v>3.5398230088495582E-2</v>
      </c>
      <c r="D181" s="29"/>
    </row>
    <row r="182" spans="1:4" x14ac:dyDescent="0.35">
      <c r="A182" s="36" vm="348">
        <f ca="1"/>
        <v>45545</v>
      </c>
      <c r="B182" s="37" vm="349">
        <f ca="1"/>
        <v>108.1</v>
      </c>
      <c r="C182" s="38">
        <f t="shared" ca="1" si="2"/>
        <v>1.5309476847938343E-2</v>
      </c>
      <c r="D182" s="29"/>
    </row>
    <row r="183" spans="1:4" x14ac:dyDescent="0.35">
      <c r="A183" s="36" vm="350">
        <f ca="1"/>
        <v>45546</v>
      </c>
      <c r="B183" s="37" vm="351">
        <f ca="1"/>
        <v>116.91</v>
      </c>
      <c r="C183" s="38">
        <f t="shared" ca="1" si="2"/>
        <v>8.1498612395929718E-2</v>
      </c>
      <c r="D183" s="29"/>
    </row>
    <row r="184" spans="1:4" x14ac:dyDescent="0.35">
      <c r="A184" s="36" vm="352">
        <f ca="1"/>
        <v>45547</v>
      </c>
      <c r="B184" s="37" vm="353">
        <f ca="1"/>
        <v>119.14</v>
      </c>
      <c r="C184" s="38">
        <f t="shared" ca="1" si="2"/>
        <v>1.9074501753485622E-2</v>
      </c>
      <c r="D184" s="29"/>
    </row>
    <row r="185" spans="1:4" x14ac:dyDescent="0.35">
      <c r="A185" s="36" vm="354">
        <f ca="1"/>
        <v>45548</v>
      </c>
      <c r="B185" s="37" vm="355">
        <f ca="1"/>
        <v>119.1</v>
      </c>
      <c r="C185" s="38">
        <f t="shared" ca="1" si="2"/>
        <v>-3.3573946617430125E-4</v>
      </c>
      <c r="D185" s="29"/>
    </row>
    <row r="186" spans="1:4" x14ac:dyDescent="0.35">
      <c r="A186" s="36" vm="356">
        <f ca="1"/>
        <v>45551</v>
      </c>
      <c r="B186" s="37" vm="357">
        <f ca="1"/>
        <v>116.78</v>
      </c>
      <c r="C186" s="38">
        <f t="shared" ca="1" si="2"/>
        <v>-1.9479429051217408E-2</v>
      </c>
      <c r="D186" s="29"/>
    </row>
    <row r="187" spans="1:4" x14ac:dyDescent="0.35">
      <c r="A187" s="36" vm="358">
        <f ca="1"/>
        <v>45552</v>
      </c>
      <c r="B187" s="37" vm="359">
        <f ca="1"/>
        <v>115.59</v>
      </c>
      <c r="C187" s="38">
        <f t="shared" ca="1" si="2"/>
        <v>-1.0190101044699416E-2</v>
      </c>
      <c r="D187" s="29"/>
    </row>
    <row r="188" spans="1:4" x14ac:dyDescent="0.35">
      <c r="A188" s="36" vm="360">
        <f ca="1"/>
        <v>45553</v>
      </c>
      <c r="B188" s="37" vm="361">
        <f ca="1"/>
        <v>113.37</v>
      </c>
      <c r="C188" s="38">
        <f t="shared" ca="1" si="2"/>
        <v>-1.9205813651699963E-2</v>
      </c>
      <c r="D188" s="29"/>
    </row>
    <row r="189" spans="1:4" x14ac:dyDescent="0.35">
      <c r="A189" s="36" vm="362">
        <f ca="1"/>
        <v>45554</v>
      </c>
      <c r="B189" s="37" vm="363">
        <f ca="1"/>
        <v>117.87</v>
      </c>
      <c r="C189" s="38">
        <f t="shared" ca="1" si="2"/>
        <v>3.9693040486901296E-2</v>
      </c>
      <c r="D189" s="29"/>
    </row>
    <row r="190" spans="1:4" x14ac:dyDescent="0.35">
      <c r="A190" s="36" vm="364">
        <f ca="1"/>
        <v>45555</v>
      </c>
      <c r="B190" s="37" vm="365">
        <f ca="1"/>
        <v>116</v>
      </c>
      <c r="C190" s="38">
        <f t="shared" ca="1" si="2"/>
        <v>-1.5864935946381643E-2</v>
      </c>
      <c r="D190" s="29"/>
    </row>
    <row r="191" spans="1:4" x14ac:dyDescent="0.35">
      <c r="A191" s="36" vm="366">
        <f ca="1"/>
        <v>45558</v>
      </c>
      <c r="B191" s="37" vm="367">
        <f ca="1"/>
        <v>116.26</v>
      </c>
      <c r="C191" s="38">
        <f t="shared" ca="1" si="2"/>
        <v>2.2413793103448717E-3</v>
      </c>
      <c r="D191" s="29"/>
    </row>
    <row r="192" spans="1:4" x14ac:dyDescent="0.35">
      <c r="A192" s="36" vm="368">
        <f ca="1"/>
        <v>45559</v>
      </c>
      <c r="B192" s="37" vm="369">
        <f ca="1"/>
        <v>120.87</v>
      </c>
      <c r="C192" s="38">
        <f t="shared" ca="1" si="2"/>
        <v>3.9652503010493716E-2</v>
      </c>
      <c r="D192" s="29"/>
    </row>
    <row r="193" spans="1:4" x14ac:dyDescent="0.35">
      <c r="A193" s="36" vm="370">
        <f ca="1"/>
        <v>45560</v>
      </c>
      <c r="B193" s="37" vm="371">
        <f ca="1"/>
        <v>123.51</v>
      </c>
      <c r="C193" s="38">
        <f t="shared" ca="1" si="2"/>
        <v>2.1841648051625716E-2</v>
      </c>
      <c r="D193" s="29"/>
    </row>
    <row r="194" spans="1:4" x14ac:dyDescent="0.35">
      <c r="A194" s="36" vm="372">
        <f ca="1"/>
        <v>45561</v>
      </c>
      <c r="B194" s="37" vm="373">
        <f ca="1"/>
        <v>124.04</v>
      </c>
      <c r="C194" s="38">
        <f t="shared" ca="1" si="2"/>
        <v>4.29115051412842E-3</v>
      </c>
      <c r="D194" s="29"/>
    </row>
    <row r="195" spans="1:4" x14ac:dyDescent="0.35">
      <c r="A195" s="36" vm="374">
        <f ca="1"/>
        <v>45562</v>
      </c>
      <c r="B195" s="37" vm="375">
        <f ca="1"/>
        <v>121.4</v>
      </c>
      <c r="C195" s="38">
        <f t="shared" ca="1" si="2"/>
        <v>-2.1283456949371175E-2</v>
      </c>
      <c r="D195" s="29"/>
    </row>
    <row r="196" spans="1:4" x14ac:dyDescent="0.35">
      <c r="A196" s="36" vm="376">
        <f ca="1"/>
        <v>45565</v>
      </c>
      <c r="B196" s="37" vm="377">
        <f ca="1"/>
        <v>121.44</v>
      </c>
      <c r="C196" s="38">
        <f t="shared" ca="1" si="2"/>
        <v>3.2948929159795751E-4</v>
      </c>
      <c r="D196" s="29"/>
    </row>
    <row r="197" spans="1:4" x14ac:dyDescent="0.35">
      <c r="A197" s="36" vm="378">
        <f ca="1"/>
        <v>45566</v>
      </c>
      <c r="B197" s="37" vm="379">
        <f ca="1"/>
        <v>117</v>
      </c>
      <c r="C197" s="38">
        <f t="shared" ca="1" si="2"/>
        <v>-3.6561264822134371E-2</v>
      </c>
      <c r="D197" s="29"/>
    </row>
    <row r="198" spans="1:4" x14ac:dyDescent="0.35">
      <c r="A198" s="36" vm="380">
        <f ca="1"/>
        <v>45567</v>
      </c>
      <c r="B198" s="37" vm="381">
        <f ca="1"/>
        <v>118.85</v>
      </c>
      <c r="C198" s="38">
        <f t="shared" ca="1" si="2"/>
        <v>1.5811965811965763E-2</v>
      </c>
      <c r="D198" s="29"/>
    </row>
    <row r="199" spans="1:4" x14ac:dyDescent="0.35">
      <c r="A199" s="36" vm="382">
        <f ca="1"/>
        <v>45568</v>
      </c>
      <c r="B199" s="37" vm="383">
        <f ca="1"/>
        <v>122.85</v>
      </c>
      <c r="C199" s="38">
        <f t="shared" ca="1" si="2"/>
        <v>3.3655868742111905E-2</v>
      </c>
      <c r="D199" s="29"/>
    </row>
    <row r="200" spans="1:4" x14ac:dyDescent="0.35">
      <c r="A200" s="36" vm="384">
        <f ca="1"/>
        <v>45569</v>
      </c>
      <c r="B200" s="37" vm="385">
        <f ca="1"/>
        <v>124.92</v>
      </c>
      <c r="C200" s="38">
        <f t="shared" ca="1" si="2"/>
        <v>1.6849816849816911E-2</v>
      </c>
      <c r="D200" s="29"/>
    </row>
    <row r="201" spans="1:4" x14ac:dyDescent="0.35">
      <c r="A201" s="36" vm="386">
        <f ca="1"/>
        <v>45572</v>
      </c>
      <c r="B201" s="37" vm="387">
        <f ca="1"/>
        <v>127.72</v>
      </c>
      <c r="C201" s="38">
        <f t="shared" ca="1" si="2"/>
        <v>2.2414345180915764E-2</v>
      </c>
      <c r="D201" s="29"/>
    </row>
    <row r="202" spans="1:4" x14ac:dyDescent="0.35">
      <c r="A202" s="36" vm="388">
        <f ca="1"/>
        <v>45573</v>
      </c>
      <c r="B202" s="37" vm="389">
        <f ca="1"/>
        <v>132.88999999999999</v>
      </c>
      <c r="C202" s="38">
        <f t="shared" ca="1" si="2"/>
        <v>4.0479173191355994E-2</v>
      </c>
      <c r="D202" s="29"/>
    </row>
    <row r="203" spans="1:4" x14ac:dyDescent="0.35">
      <c r="A203" s="36" vm="390">
        <f ca="1"/>
        <v>45574</v>
      </c>
      <c r="B203" s="37" vm="391">
        <f ca="1"/>
        <v>132.65</v>
      </c>
      <c r="C203" s="38">
        <f t="shared" ref="C203:C266" ca="1" si="3">(B203-B202)/B202</f>
        <v>-1.8060049665135126E-3</v>
      </c>
      <c r="D203" s="29"/>
    </row>
    <row r="204" spans="1:4" x14ac:dyDescent="0.35">
      <c r="A204" s="36" vm="392">
        <f ca="1"/>
        <v>45575</v>
      </c>
      <c r="B204" s="37" vm="393">
        <f ca="1"/>
        <v>134.81</v>
      </c>
      <c r="C204" s="38">
        <f t="shared" ca="1" si="3"/>
        <v>1.6283452695062168E-2</v>
      </c>
      <c r="D204" s="29"/>
    </row>
    <row r="205" spans="1:4" x14ac:dyDescent="0.35">
      <c r="A205" s="36" vm="394">
        <f ca="1"/>
        <v>45576</v>
      </c>
      <c r="B205" s="37" vm="395">
        <f ca="1"/>
        <v>134.80000000000001</v>
      </c>
      <c r="C205" s="38">
        <f t="shared" ca="1" si="3"/>
        <v>-7.4178473406949811E-5</v>
      </c>
      <c r="D205" s="29"/>
    </row>
    <row r="206" spans="1:4" x14ac:dyDescent="0.35">
      <c r="A206" s="36" vm="396">
        <f ca="1"/>
        <v>45579</v>
      </c>
      <c r="B206" s="37" vm="397">
        <f ca="1"/>
        <v>138.07</v>
      </c>
      <c r="C206" s="38">
        <f t="shared" ca="1" si="3"/>
        <v>2.4258160237388585E-2</v>
      </c>
      <c r="D206" s="29"/>
    </row>
    <row r="207" spans="1:4" x14ac:dyDescent="0.35">
      <c r="A207" s="36" vm="398">
        <f ca="1"/>
        <v>45580</v>
      </c>
      <c r="B207" s="37" vm="399">
        <f ca="1"/>
        <v>131.6</v>
      </c>
      <c r="C207" s="38">
        <f t="shared" ca="1" si="3"/>
        <v>-4.686028825957847E-2</v>
      </c>
      <c r="D207" s="29"/>
    </row>
    <row r="208" spans="1:4" x14ac:dyDescent="0.35">
      <c r="A208" s="36" vm="400">
        <f ca="1"/>
        <v>45581</v>
      </c>
      <c r="B208" s="37" vm="401">
        <f ca="1"/>
        <v>135.72</v>
      </c>
      <c r="C208" s="38">
        <f t="shared" ca="1" si="3"/>
        <v>3.1306990881459003E-2</v>
      </c>
      <c r="D208" s="29"/>
    </row>
    <row r="209" spans="1:4" x14ac:dyDescent="0.35">
      <c r="A209" s="36" vm="402">
        <f ca="1"/>
        <v>45582</v>
      </c>
      <c r="B209" s="37" vm="403">
        <f ca="1"/>
        <v>136.93</v>
      </c>
      <c r="C209" s="38">
        <f t="shared" ca="1" si="3"/>
        <v>8.9154140878279393E-3</v>
      </c>
      <c r="D209" s="29"/>
    </row>
    <row r="210" spans="1:4" x14ac:dyDescent="0.35">
      <c r="A210" s="36" vm="404">
        <f ca="1"/>
        <v>45583</v>
      </c>
      <c r="B210" s="37" vm="405">
        <f ca="1"/>
        <v>138</v>
      </c>
      <c r="C210" s="38">
        <f t="shared" ca="1" si="3"/>
        <v>7.8142116409843938E-3</v>
      </c>
      <c r="D210" s="29"/>
    </row>
    <row r="211" spans="1:4" x14ac:dyDescent="0.35">
      <c r="A211" s="36" vm="406">
        <f ca="1"/>
        <v>45586</v>
      </c>
      <c r="B211" s="37" vm="407">
        <f ca="1"/>
        <v>143.71</v>
      </c>
      <c r="C211" s="38">
        <f t="shared" ca="1" si="3"/>
        <v>4.1376811594202957E-2</v>
      </c>
      <c r="D211" s="29"/>
    </row>
    <row r="212" spans="1:4" x14ac:dyDescent="0.35">
      <c r="A212" s="36" vm="408">
        <f ca="1"/>
        <v>45587</v>
      </c>
      <c r="B212" s="37" vm="409">
        <f ca="1"/>
        <v>143.59</v>
      </c>
      <c r="C212" s="38">
        <f t="shared" ca="1" si="3"/>
        <v>-8.3501496068474391E-4</v>
      </c>
      <c r="D212" s="29"/>
    </row>
    <row r="213" spans="1:4" x14ac:dyDescent="0.35">
      <c r="A213" s="36" vm="410">
        <f ca="1"/>
        <v>45588</v>
      </c>
      <c r="B213" s="37" vm="411">
        <f ca="1"/>
        <v>139.56</v>
      </c>
      <c r="C213" s="38">
        <f t="shared" ca="1" si="3"/>
        <v>-2.8066021310676238E-2</v>
      </c>
      <c r="D213" s="29"/>
    </row>
    <row r="214" spans="1:4" x14ac:dyDescent="0.35">
      <c r="A214" s="36" vm="412">
        <f ca="1"/>
        <v>45589</v>
      </c>
      <c r="B214" s="37" vm="413">
        <f ca="1"/>
        <v>140.41</v>
      </c>
      <c r="C214" s="38">
        <f t="shared" ca="1" si="3"/>
        <v>6.0905703640011053E-3</v>
      </c>
      <c r="D214" s="29"/>
    </row>
    <row r="215" spans="1:4" x14ac:dyDescent="0.35">
      <c r="A215" s="36" vm="414">
        <f ca="1"/>
        <v>45590</v>
      </c>
      <c r="B215" s="37" vm="415">
        <f ca="1"/>
        <v>141.54</v>
      </c>
      <c r="C215" s="38">
        <f t="shared" ca="1" si="3"/>
        <v>8.0478598390427702E-3</v>
      </c>
      <c r="D215" s="29"/>
    </row>
    <row r="216" spans="1:4" x14ac:dyDescent="0.35">
      <c r="A216" s="36" vm="416">
        <f ca="1"/>
        <v>45593</v>
      </c>
      <c r="B216" s="37" vm="417">
        <f ca="1"/>
        <v>140.52000000000001</v>
      </c>
      <c r="C216" s="38">
        <f t="shared" ca="1" si="3"/>
        <v>-7.2064434082236952E-3</v>
      </c>
      <c r="D216" s="29"/>
    </row>
    <row r="217" spans="1:4" x14ac:dyDescent="0.35">
      <c r="A217" s="36" vm="418">
        <f ca="1"/>
        <v>45594</v>
      </c>
      <c r="B217" s="37" vm="419">
        <f ca="1"/>
        <v>141.25</v>
      </c>
      <c r="C217" s="38">
        <f t="shared" ca="1" si="3"/>
        <v>5.1949900370053355E-3</v>
      </c>
      <c r="D217" s="29"/>
    </row>
    <row r="218" spans="1:4" x14ac:dyDescent="0.35">
      <c r="A218" s="36" vm="420">
        <f ca="1"/>
        <v>45595</v>
      </c>
      <c r="B218" s="37" vm="421">
        <f ca="1"/>
        <v>139.33500000000001</v>
      </c>
      <c r="C218" s="38">
        <f t="shared" ca="1" si="3"/>
        <v>-1.3557522123893748E-2</v>
      </c>
      <c r="D218" s="29"/>
    </row>
    <row r="219" spans="1:4" x14ac:dyDescent="0.35">
      <c r="A219" s="36" vm="422">
        <f ca="1"/>
        <v>45596</v>
      </c>
      <c r="B219" s="37" vm="423">
        <f ca="1"/>
        <v>132.76</v>
      </c>
      <c r="C219" s="38">
        <f t="shared" ca="1" si="3"/>
        <v>-4.718843076039772E-2</v>
      </c>
      <c r="D219" s="29"/>
    </row>
    <row r="220" spans="1:4" x14ac:dyDescent="0.35">
      <c r="A220" s="36" vm="424">
        <f ca="1"/>
        <v>45597</v>
      </c>
      <c r="B220" s="37" vm="425">
        <f ca="1"/>
        <v>135.4</v>
      </c>
      <c r="C220" s="38">
        <f t="shared" ca="1" si="3"/>
        <v>1.9885507683037172E-2</v>
      </c>
      <c r="D220" s="29"/>
    </row>
    <row r="221" spans="1:4" x14ac:dyDescent="0.35">
      <c r="A221" s="36" vm="426">
        <f ca="1"/>
        <v>45600</v>
      </c>
      <c r="B221" s="37" vm="427">
        <f ca="1"/>
        <v>136.05000000000001</v>
      </c>
      <c r="C221" s="38">
        <f t="shared" ca="1" si="3"/>
        <v>4.8005908419498202E-3</v>
      </c>
      <c r="D221" s="29"/>
    </row>
    <row r="222" spans="1:4" x14ac:dyDescent="0.35">
      <c r="A222" s="36" vm="428">
        <f ca="1"/>
        <v>45601</v>
      </c>
      <c r="B222" s="37" vm="429">
        <f ca="1"/>
        <v>139.91</v>
      </c>
      <c r="C222" s="38">
        <f t="shared" ca="1" si="3"/>
        <v>2.8371922087467732E-2</v>
      </c>
      <c r="D222" s="29"/>
    </row>
    <row r="223" spans="1:4" x14ac:dyDescent="0.35">
      <c r="A223" s="36" vm="430">
        <f ca="1"/>
        <v>45602</v>
      </c>
      <c r="B223" s="37" vm="431">
        <f ca="1"/>
        <v>145.61000000000001</v>
      </c>
      <c r="C223" s="38">
        <f t="shared" ca="1" si="3"/>
        <v>4.0740476020298885E-2</v>
      </c>
      <c r="D223" s="29"/>
    </row>
    <row r="224" spans="1:4" x14ac:dyDescent="0.35">
      <c r="A224" s="36" vm="432">
        <f ca="1"/>
        <v>45603</v>
      </c>
      <c r="B224" s="37" vm="433">
        <f ca="1"/>
        <v>148.88</v>
      </c>
      <c r="C224" s="38">
        <f t="shared" ca="1" si="3"/>
        <v>2.2457248815328491E-2</v>
      </c>
      <c r="D224" s="29"/>
    </row>
    <row r="225" spans="1:4" x14ac:dyDescent="0.35">
      <c r="A225" s="36" vm="434">
        <f ca="1"/>
        <v>45604</v>
      </c>
      <c r="B225" s="37" vm="435">
        <f ca="1"/>
        <v>147.63</v>
      </c>
      <c r="C225" s="38">
        <f t="shared" ca="1" si="3"/>
        <v>-8.3960236432025787E-3</v>
      </c>
      <c r="D225" s="29"/>
    </row>
    <row r="226" spans="1:4" x14ac:dyDescent="0.35">
      <c r="A226" s="36" vm="436">
        <f ca="1"/>
        <v>45607</v>
      </c>
      <c r="B226" s="37" vm="437">
        <f ca="1"/>
        <v>145.26</v>
      </c>
      <c r="C226" s="38">
        <f t="shared" ca="1" si="3"/>
        <v>-1.6053647632595033E-2</v>
      </c>
      <c r="D226" s="29"/>
    </row>
    <row r="227" spans="1:4" x14ac:dyDescent="0.35">
      <c r="A227" s="36" vm="438">
        <f ca="1"/>
        <v>45608</v>
      </c>
      <c r="B227" s="37" vm="439">
        <f ca="1"/>
        <v>148.29</v>
      </c>
      <c r="C227" s="38">
        <f t="shared" ca="1" si="3"/>
        <v>2.0859149111937224E-2</v>
      </c>
      <c r="D227" s="29"/>
    </row>
    <row r="228" spans="1:4" x14ac:dyDescent="0.35">
      <c r="A228" s="36" vm="440">
        <f ca="1"/>
        <v>45609</v>
      </c>
      <c r="B228" s="37" vm="441">
        <f ca="1"/>
        <v>146.27000000000001</v>
      </c>
      <c r="C228" s="38">
        <f t="shared" ca="1" si="3"/>
        <v>-1.3621956976195171E-2</v>
      </c>
      <c r="D228" s="29"/>
    </row>
    <row r="229" spans="1:4" x14ac:dyDescent="0.35">
      <c r="A229" s="36" vm="442">
        <f ca="1"/>
        <v>45610</v>
      </c>
      <c r="B229" s="37" vm="443">
        <f ca="1"/>
        <v>146.76</v>
      </c>
      <c r="C229" s="38">
        <f t="shared" ca="1" si="3"/>
        <v>3.349969234976281E-3</v>
      </c>
      <c r="D229" s="29"/>
    </row>
    <row r="230" spans="1:4" x14ac:dyDescent="0.35">
      <c r="A230" s="36" vm="444">
        <f ca="1"/>
        <v>45611</v>
      </c>
      <c r="B230" s="37" vm="445">
        <f ca="1"/>
        <v>141.97999999999999</v>
      </c>
      <c r="C230" s="38">
        <f t="shared" ca="1" si="3"/>
        <v>-3.2570182611065694E-2</v>
      </c>
      <c r="D230" s="29"/>
    </row>
    <row r="231" spans="1:4" x14ac:dyDescent="0.35">
      <c r="A231" s="36" vm="446">
        <f ca="1"/>
        <v>45614</v>
      </c>
      <c r="B231" s="37" vm="447">
        <f ca="1"/>
        <v>140.15</v>
      </c>
      <c r="C231" s="38">
        <f t="shared" ca="1" si="3"/>
        <v>-1.2889139315396423E-2</v>
      </c>
      <c r="D231" s="29"/>
    </row>
    <row r="232" spans="1:4" x14ac:dyDescent="0.35">
      <c r="A232" s="36" vm="448">
        <f ca="1"/>
        <v>45615</v>
      </c>
      <c r="B232" s="37" vm="449">
        <f ca="1"/>
        <v>147.01</v>
      </c>
      <c r="C232" s="38">
        <f t="shared" ca="1" si="3"/>
        <v>4.8947556189796536E-2</v>
      </c>
      <c r="D232" s="29"/>
    </row>
    <row r="233" spans="1:4" x14ac:dyDescent="0.35">
      <c r="A233" s="36" vm="450">
        <f ca="1"/>
        <v>45616</v>
      </c>
      <c r="B233" s="37" vm="451">
        <f ca="1"/>
        <v>145.88999999999999</v>
      </c>
      <c r="C233" s="38">
        <f t="shared" ca="1" si="3"/>
        <v>-7.618529351744811E-3</v>
      </c>
      <c r="D233" s="29"/>
    </row>
    <row r="234" spans="1:4" x14ac:dyDescent="0.35">
      <c r="A234" s="36" vm="452">
        <f ca="1"/>
        <v>45617</v>
      </c>
      <c r="B234" s="37" vm="453">
        <f ca="1"/>
        <v>146.66999999999999</v>
      </c>
      <c r="C234" s="38">
        <f t="shared" ca="1" si="3"/>
        <v>5.346493933785737E-3</v>
      </c>
      <c r="D234" s="29"/>
    </row>
    <row r="235" spans="1:4" x14ac:dyDescent="0.35">
      <c r="A235" s="36" vm="454">
        <f ca="1"/>
        <v>45618</v>
      </c>
      <c r="B235" s="37" vm="455">
        <f ca="1"/>
        <v>141.94999999999999</v>
      </c>
      <c r="C235" s="38">
        <f t="shared" ca="1" si="3"/>
        <v>-3.2181086793481958E-2</v>
      </c>
      <c r="D235" s="29"/>
    </row>
    <row r="236" spans="1:4" x14ac:dyDescent="0.35">
      <c r="A236" s="36" vm="456">
        <f ca="1"/>
        <v>45621</v>
      </c>
      <c r="B236" s="37" vm="457">
        <f ca="1"/>
        <v>136.02000000000001</v>
      </c>
      <c r="C236" s="38">
        <f t="shared" ca="1" si="3"/>
        <v>-4.1775272983444724E-2</v>
      </c>
      <c r="D236" s="29"/>
    </row>
    <row r="237" spans="1:4" x14ac:dyDescent="0.35">
      <c r="A237" s="36" vm="458">
        <f ca="1"/>
        <v>45622</v>
      </c>
      <c r="B237" s="37" vm="459">
        <f ca="1"/>
        <v>136.91999999999999</v>
      </c>
      <c r="C237" s="38">
        <f t="shared" ca="1" si="3"/>
        <v>6.6166740185265192E-3</v>
      </c>
      <c r="D237" s="29"/>
    </row>
    <row r="238" spans="1:4" x14ac:dyDescent="0.35">
      <c r="A238" s="36" vm="460">
        <f ca="1"/>
        <v>45623</v>
      </c>
      <c r="B238" s="37" vm="461">
        <f ca="1"/>
        <v>135.34</v>
      </c>
      <c r="C238" s="38">
        <f t="shared" ca="1" si="3"/>
        <v>-1.1539585159216947E-2</v>
      </c>
      <c r="D238" s="29"/>
    </row>
    <row r="239" spans="1:4" x14ac:dyDescent="0.35">
      <c r="A239" s="36" vm="462">
        <f ca="1"/>
        <v>45625</v>
      </c>
      <c r="B239" s="37" vm="463">
        <f ca="1"/>
        <v>138.25</v>
      </c>
      <c r="C239" s="38">
        <f t="shared" ca="1" si="3"/>
        <v>2.150140387173043E-2</v>
      </c>
      <c r="D239" s="29"/>
    </row>
    <row r="240" spans="1:4" x14ac:dyDescent="0.35">
      <c r="A240" s="36" vm="464">
        <f ca="1"/>
        <v>45628</v>
      </c>
      <c r="B240" s="37" vm="465">
        <f ca="1"/>
        <v>138.63</v>
      </c>
      <c r="C240" s="38">
        <f t="shared" ca="1" si="3"/>
        <v>2.7486437613019562E-3</v>
      </c>
      <c r="D240" s="29"/>
    </row>
    <row r="241" spans="1:4" x14ac:dyDescent="0.35">
      <c r="A241" s="36" vm="466">
        <f ca="1"/>
        <v>45629</v>
      </c>
      <c r="B241" s="37" vm="467">
        <f ca="1"/>
        <v>140.26</v>
      </c>
      <c r="C241" s="38">
        <f t="shared" ca="1" si="3"/>
        <v>1.1757916756834708E-2</v>
      </c>
      <c r="D241" s="29"/>
    </row>
    <row r="242" spans="1:4" x14ac:dyDescent="0.35">
      <c r="A242" s="36" vm="468">
        <f ca="1"/>
        <v>45630</v>
      </c>
      <c r="B242" s="37" vm="469">
        <f ca="1"/>
        <v>145.13999999999999</v>
      </c>
      <c r="C242" s="38">
        <f t="shared" ca="1" si="3"/>
        <v>3.4792528161984852E-2</v>
      </c>
      <c r="D242" s="29"/>
    </row>
    <row r="243" spans="1:4" x14ac:dyDescent="0.35">
      <c r="A243" s="36" vm="470">
        <f ca="1"/>
        <v>45631</v>
      </c>
      <c r="B243" s="37" vm="471">
        <f ca="1"/>
        <v>145.06</v>
      </c>
      <c r="C243" s="38">
        <f t="shared" ca="1" si="3"/>
        <v>-5.5119195259738251E-4</v>
      </c>
      <c r="D243" s="29"/>
    </row>
    <row r="244" spans="1:4" x14ac:dyDescent="0.35">
      <c r="A244" s="36" vm="472">
        <f ca="1"/>
        <v>45632</v>
      </c>
      <c r="B244" s="37" vm="473">
        <f ca="1"/>
        <v>142.44</v>
      </c>
      <c r="C244" s="38">
        <f t="shared" ca="1" si="3"/>
        <v>-1.8061491796498033E-2</v>
      </c>
      <c r="D244" s="29"/>
    </row>
    <row r="245" spans="1:4" x14ac:dyDescent="0.35">
      <c r="A245" s="36" vm="474">
        <f ca="1"/>
        <v>45635</v>
      </c>
      <c r="B245" s="37" vm="475">
        <f ca="1"/>
        <v>138.81</v>
      </c>
      <c r="C245" s="38">
        <f t="shared" ca="1" si="3"/>
        <v>-2.5484414490311677E-2</v>
      </c>
      <c r="D245" s="29"/>
    </row>
    <row r="246" spans="1:4" x14ac:dyDescent="0.35">
      <c r="A246" s="36" vm="476">
        <f ca="1"/>
        <v>45636</v>
      </c>
      <c r="B246" s="37" vm="477">
        <f ca="1"/>
        <v>135.07</v>
      </c>
      <c r="C246" s="38">
        <f t="shared" ca="1" si="3"/>
        <v>-2.694330379655651E-2</v>
      </c>
      <c r="D246" s="29"/>
    </row>
    <row r="247" spans="1:4" x14ac:dyDescent="0.35">
      <c r="A247" s="36" vm="478">
        <f ca="1"/>
        <v>45637</v>
      </c>
      <c r="B247" s="37" vm="479">
        <f ca="1"/>
        <v>139.31</v>
      </c>
      <c r="C247" s="38">
        <f t="shared" ca="1" si="3"/>
        <v>3.1391130524913075E-2</v>
      </c>
      <c r="D247" s="29"/>
    </row>
    <row r="248" spans="1:4" x14ac:dyDescent="0.35">
      <c r="A248" s="36" vm="480">
        <f ca="1"/>
        <v>45638</v>
      </c>
      <c r="B248" s="37" vm="481">
        <f ca="1"/>
        <v>137.34</v>
      </c>
      <c r="C248" s="38">
        <f t="shared" ca="1" si="3"/>
        <v>-1.4141124111693337E-2</v>
      </c>
      <c r="D248" s="29"/>
    </row>
    <row r="249" spans="1:4" x14ac:dyDescent="0.35">
      <c r="A249" s="36" vm="482">
        <f ca="1"/>
        <v>45639</v>
      </c>
      <c r="B249" s="37" vm="483">
        <f ca="1"/>
        <v>134.25</v>
      </c>
      <c r="C249" s="38">
        <f t="shared" ca="1" si="3"/>
        <v>-2.2498907820008761E-2</v>
      </c>
      <c r="D249" s="29"/>
    </row>
    <row r="250" spans="1:4" x14ac:dyDescent="0.35">
      <c r="A250" s="36" vm="484">
        <f ca="1"/>
        <v>45642</v>
      </c>
      <c r="B250" s="37" vm="485">
        <f ca="1"/>
        <v>132</v>
      </c>
      <c r="C250" s="38">
        <f t="shared" ca="1" si="3"/>
        <v>-1.6759776536312849E-2</v>
      </c>
      <c r="D250" s="29"/>
    </row>
    <row r="251" spans="1:4" x14ac:dyDescent="0.35">
      <c r="A251" s="36" vm="486">
        <f ca="1"/>
        <v>45643</v>
      </c>
      <c r="B251" s="37" vm="487">
        <f ca="1"/>
        <v>130.38999999999999</v>
      </c>
      <c r="C251" s="38">
        <f t="shared" ca="1" si="3"/>
        <v>-1.21969696969698E-2</v>
      </c>
      <c r="D251" s="29"/>
    </row>
    <row r="252" spans="1:4" x14ac:dyDescent="0.35">
      <c r="A252" s="36" vm="488">
        <f ca="1"/>
        <v>45644</v>
      </c>
      <c r="B252" s="37" vm="489">
        <f ca="1"/>
        <v>128.91</v>
      </c>
      <c r="C252" s="38">
        <f t="shared" ca="1" si="3"/>
        <v>-1.1350563693534703E-2</v>
      </c>
      <c r="D252" s="29"/>
    </row>
    <row r="253" spans="1:4" x14ac:dyDescent="0.35">
      <c r="A253" s="36" vm="490">
        <f ca="1"/>
        <v>45645</v>
      </c>
      <c r="B253" s="37" vm="491">
        <f ca="1"/>
        <v>130.68</v>
      </c>
      <c r="C253" s="38">
        <f t="shared" ca="1" si="3"/>
        <v>1.373050965790094E-2</v>
      </c>
      <c r="D253" s="29"/>
    </row>
    <row r="254" spans="1:4" x14ac:dyDescent="0.35">
      <c r="A254" s="36" vm="492">
        <f ca="1"/>
        <v>45646</v>
      </c>
      <c r="B254" s="37" vm="493">
        <f ca="1"/>
        <v>134.69999999999999</v>
      </c>
      <c r="C254" s="38">
        <f t="shared" ca="1" si="3"/>
        <v>3.076216712580335E-2</v>
      </c>
      <c r="D254" s="29"/>
    </row>
    <row r="255" spans="1:4" x14ac:dyDescent="0.35">
      <c r="A255" s="36" vm="494">
        <f ca="1"/>
        <v>45649</v>
      </c>
      <c r="B255" s="37" vm="495">
        <f ca="1"/>
        <v>139.66999999999999</v>
      </c>
      <c r="C255" s="38">
        <f t="shared" ca="1" si="3"/>
        <v>3.6896807720861166E-2</v>
      </c>
      <c r="D255" s="29"/>
    </row>
    <row r="256" spans="1:4" x14ac:dyDescent="0.35">
      <c r="A256" s="36" vm="496">
        <f ca="1"/>
        <v>45650</v>
      </c>
      <c r="B256" s="37" vm="497">
        <f ca="1"/>
        <v>140.22</v>
      </c>
      <c r="C256" s="38">
        <f t="shared" ca="1" si="3"/>
        <v>3.9378535118494411E-3</v>
      </c>
      <c r="D256" s="29"/>
    </row>
    <row r="257" spans="1:4" x14ac:dyDescent="0.35">
      <c r="A257" s="36" vm="498">
        <f ca="1"/>
        <v>45652</v>
      </c>
      <c r="B257" s="37" vm="499">
        <f ca="1"/>
        <v>139.93</v>
      </c>
      <c r="C257" s="38">
        <f t="shared" ca="1" si="3"/>
        <v>-2.0681785765225506E-3</v>
      </c>
      <c r="D257" s="29"/>
    </row>
    <row r="258" spans="1:4" x14ac:dyDescent="0.35">
      <c r="A258" s="36" vm="500">
        <f ca="1"/>
        <v>45653</v>
      </c>
      <c r="B258" s="37" vm="501">
        <f ca="1"/>
        <v>137.01</v>
      </c>
      <c r="C258" s="38">
        <f t="shared" ca="1" si="3"/>
        <v>-2.0867576645465704E-2</v>
      </c>
      <c r="D258" s="29"/>
    </row>
    <row r="259" spans="1:4" x14ac:dyDescent="0.35">
      <c r="A259" s="36" vm="502">
        <f ca="1"/>
        <v>45656</v>
      </c>
      <c r="B259" s="37" vm="503">
        <f ca="1"/>
        <v>137.49</v>
      </c>
      <c r="C259" s="38">
        <f t="shared" ca="1" si="3"/>
        <v>3.5033939128532093E-3</v>
      </c>
      <c r="D259" s="29"/>
    </row>
    <row r="260" spans="1:4" x14ac:dyDescent="0.35">
      <c r="A260" s="36" vm="504">
        <f ca="1"/>
        <v>45657</v>
      </c>
      <c r="B260" s="37" vm="505">
        <f ca="1"/>
        <v>134.29</v>
      </c>
      <c r="C260" s="38">
        <f t="shared" ca="1" si="3"/>
        <v>-2.3274419957815238E-2</v>
      </c>
      <c r="D260" s="29"/>
    </row>
    <row r="261" spans="1:4" x14ac:dyDescent="0.35">
      <c r="A261" s="36" vm="506">
        <f ca="1"/>
        <v>45659</v>
      </c>
      <c r="B261" s="37" vm="507">
        <f ca="1"/>
        <v>138.31</v>
      </c>
      <c r="C261" s="38">
        <f t="shared" ca="1" si="3"/>
        <v>2.9935214833569219E-2</v>
      </c>
      <c r="D261" s="29"/>
    </row>
    <row r="262" spans="1:4" x14ac:dyDescent="0.35">
      <c r="A262" s="36" vm="508">
        <f ca="1"/>
        <v>45660</v>
      </c>
      <c r="B262" s="37" vm="509">
        <f ca="1"/>
        <v>144.47</v>
      </c>
      <c r="C262" s="38">
        <f t="shared" ca="1" si="3"/>
        <v>4.4537632853734341E-2</v>
      </c>
      <c r="D262" s="29"/>
    </row>
    <row r="263" spans="1:4" x14ac:dyDescent="0.35">
      <c r="A263" s="36" vm="510">
        <f ca="1"/>
        <v>45663</v>
      </c>
      <c r="B263" s="37" vm="511">
        <f ca="1"/>
        <v>149.43</v>
      </c>
      <c r="C263" s="38">
        <f t="shared" ca="1" si="3"/>
        <v>3.4332387346854072E-2</v>
      </c>
      <c r="D263" s="29"/>
    </row>
    <row r="264" spans="1:4" x14ac:dyDescent="0.35">
      <c r="A264" s="36" vm="512">
        <f ca="1"/>
        <v>45664</v>
      </c>
      <c r="B264" s="37" vm="513">
        <f ca="1"/>
        <v>140.13999999999999</v>
      </c>
      <c r="C264" s="38">
        <f t="shared" ca="1" si="3"/>
        <v>-6.2169577728702539E-2</v>
      </c>
      <c r="D264" s="29"/>
    </row>
    <row r="265" spans="1:4" x14ac:dyDescent="0.35">
      <c r="A265" s="36" vm="514">
        <f ca="1"/>
        <v>45665</v>
      </c>
      <c r="B265" s="37" vm="515">
        <f ca="1"/>
        <v>140.11000000000001</v>
      </c>
      <c r="C265" s="38">
        <f t="shared" ca="1" si="3"/>
        <v>-2.1407164264287653E-4</v>
      </c>
      <c r="D265" s="29"/>
    </row>
    <row r="266" spans="1:4" x14ac:dyDescent="0.35">
      <c r="A266" s="36" vm="516">
        <f ca="1"/>
        <v>45667</v>
      </c>
      <c r="B266" s="37" vm="517">
        <f ca="1"/>
        <v>135.91</v>
      </c>
      <c r="C266" s="38">
        <f t="shared" ca="1" si="3"/>
        <v>-2.997644707729653E-2</v>
      </c>
      <c r="D266" s="29"/>
    </row>
    <row r="267" spans="1:4" x14ac:dyDescent="0.35">
      <c r="A267" s="36" vm="518">
        <f ca="1"/>
        <v>45670</v>
      </c>
      <c r="B267" s="37" vm="519">
        <f ca="1"/>
        <v>133.22999999999999</v>
      </c>
      <c r="C267" s="38">
        <f t="shared" ref="C267:C330" ca="1" si="4">(B267-B266)/B266</f>
        <v>-1.9718931645942218E-2</v>
      </c>
      <c r="D267" s="29"/>
    </row>
    <row r="268" spans="1:4" x14ac:dyDescent="0.35">
      <c r="A268" s="36" vm="520">
        <f ca="1"/>
        <v>45671</v>
      </c>
      <c r="B268" s="37" vm="521">
        <f ca="1"/>
        <v>131.76</v>
      </c>
      <c r="C268" s="38">
        <f t="shared" ca="1" si="4"/>
        <v>-1.1033551002026564E-2</v>
      </c>
      <c r="D268" s="29"/>
    </row>
    <row r="269" spans="1:4" x14ac:dyDescent="0.35">
      <c r="A269" s="36" vm="522">
        <f ca="1"/>
        <v>45672</v>
      </c>
      <c r="B269" s="37" vm="523">
        <f ca="1"/>
        <v>136.24</v>
      </c>
      <c r="C269" s="38">
        <f t="shared" ca="1" si="4"/>
        <v>3.4001214329083325E-2</v>
      </c>
      <c r="D269" s="29"/>
    </row>
    <row r="270" spans="1:4" x14ac:dyDescent="0.35">
      <c r="A270" s="36" vm="524">
        <f ca="1"/>
        <v>45673</v>
      </c>
      <c r="B270" s="37" vm="525">
        <f ca="1"/>
        <v>133.57</v>
      </c>
      <c r="C270" s="38">
        <f t="shared" ca="1" si="4"/>
        <v>-1.9597768643570285E-2</v>
      </c>
      <c r="D270" s="29"/>
    </row>
    <row r="271" spans="1:4" x14ac:dyDescent="0.35">
      <c r="A271" s="36" vm="526">
        <f ca="1"/>
        <v>45674</v>
      </c>
      <c r="B271" s="37" vm="527">
        <f ca="1"/>
        <v>137.71</v>
      </c>
      <c r="C271" s="38">
        <f t="shared" ca="1" si="4"/>
        <v>3.0994983903571274E-2</v>
      </c>
      <c r="D271" s="29"/>
    </row>
    <row r="272" spans="1:4" x14ac:dyDescent="0.35">
      <c r="A272" s="36" vm="528">
        <f ca="1"/>
        <v>45678</v>
      </c>
      <c r="B272" s="37" vm="529">
        <f ca="1"/>
        <v>140.83000000000001</v>
      </c>
      <c r="C272" s="38">
        <f t="shared" ca="1" si="4"/>
        <v>2.2656306731537321E-2</v>
      </c>
      <c r="D272" s="29"/>
    </row>
    <row r="273" spans="1:4" x14ac:dyDescent="0.35">
      <c r="A273" s="36" vm="530">
        <f ca="1"/>
        <v>45679</v>
      </c>
      <c r="B273" s="37" vm="531">
        <f ca="1"/>
        <v>147.07</v>
      </c>
      <c r="C273" s="38">
        <f t="shared" ca="1" si="4"/>
        <v>4.4308741035290637E-2</v>
      </c>
      <c r="D273" s="29"/>
    </row>
    <row r="274" spans="1:4" x14ac:dyDescent="0.35">
      <c r="A274" s="36" vm="532">
        <f ca="1"/>
        <v>45680</v>
      </c>
      <c r="B274" s="37" vm="533">
        <f ca="1"/>
        <v>147.22</v>
      </c>
      <c r="C274" s="38">
        <f t="shared" ca="1" si="4"/>
        <v>1.0199224858911109E-3</v>
      </c>
      <c r="D274" s="29"/>
    </row>
    <row r="275" spans="1:4" x14ac:dyDescent="0.35">
      <c r="A275" s="36" vm="534">
        <f ca="1"/>
        <v>45681</v>
      </c>
      <c r="B275" s="37" vm="535">
        <f ca="1"/>
        <v>142.62</v>
      </c>
      <c r="C275" s="38">
        <f t="shared" ca="1" si="4"/>
        <v>-3.1245754652900384E-2</v>
      </c>
      <c r="D275" s="29"/>
    </row>
    <row r="276" spans="1:4" x14ac:dyDescent="0.35">
      <c r="A276" s="36" vm="536">
        <f ca="1"/>
        <v>45684</v>
      </c>
      <c r="B276" s="37" vm="537">
        <f ca="1"/>
        <v>118.42</v>
      </c>
      <c r="C276" s="38">
        <f t="shared" ca="1" si="4"/>
        <v>-0.1696816715748142</v>
      </c>
      <c r="D276" s="29"/>
    </row>
    <row r="277" spans="1:4" x14ac:dyDescent="0.35">
      <c r="A277" s="36" vm="538">
        <f ca="1"/>
        <v>45685</v>
      </c>
      <c r="B277" s="37" vm="539">
        <f ca="1"/>
        <v>128.99</v>
      </c>
      <c r="C277" s="38">
        <f t="shared" ca="1" si="4"/>
        <v>8.9258571187299504E-2</v>
      </c>
      <c r="D277" s="29"/>
    </row>
    <row r="278" spans="1:4" x14ac:dyDescent="0.35">
      <c r="A278" s="36" vm="540">
        <f ca="1"/>
        <v>45686</v>
      </c>
      <c r="B278" s="37" vm="541">
        <f ca="1"/>
        <v>123.7</v>
      </c>
      <c r="C278" s="38">
        <f t="shared" ca="1" si="4"/>
        <v>-4.1010931079928724E-2</v>
      </c>
      <c r="D278" s="29"/>
    </row>
    <row r="279" spans="1:4" x14ac:dyDescent="0.35">
      <c r="A279" s="36" vm="542">
        <f ca="1"/>
        <v>45687</v>
      </c>
      <c r="B279" s="37" vm="543">
        <f ca="1"/>
        <v>124.65</v>
      </c>
      <c r="C279" s="38">
        <f t="shared" ca="1" si="4"/>
        <v>7.6798706548100474E-3</v>
      </c>
      <c r="D279" s="29"/>
    </row>
    <row r="280" spans="1:4" x14ac:dyDescent="0.35">
      <c r="A280" s="36" vm="544">
        <f ca="1"/>
        <v>45688</v>
      </c>
      <c r="B280" s="37" vm="545">
        <f ca="1"/>
        <v>120.07</v>
      </c>
      <c r="C280" s="38">
        <f t="shared" ca="1" si="4"/>
        <v>-3.6742880064179799E-2</v>
      </c>
      <c r="D280" s="29"/>
    </row>
    <row r="281" spans="1:4" x14ac:dyDescent="0.35">
      <c r="A281" s="36" vm="546">
        <f ca="1"/>
        <v>45691</v>
      </c>
      <c r="B281" s="37" vm="547">
        <f ca="1"/>
        <v>116.66</v>
      </c>
      <c r="C281" s="38">
        <f t="shared" ca="1" si="4"/>
        <v>-2.8400099941700646E-2</v>
      </c>
      <c r="D281" s="29"/>
    </row>
    <row r="282" spans="1:4" x14ac:dyDescent="0.35">
      <c r="A282" s="36" vm="548">
        <f ca="1"/>
        <v>45692</v>
      </c>
      <c r="B282" s="37" vm="549">
        <f ca="1"/>
        <v>118.65</v>
      </c>
      <c r="C282" s="38">
        <f t="shared" ca="1" si="4"/>
        <v>1.7058117606720463E-2</v>
      </c>
      <c r="D282" s="29"/>
    </row>
    <row r="283" spans="1:4" x14ac:dyDescent="0.35">
      <c r="A283" s="36" vm="550">
        <f ca="1"/>
        <v>45693</v>
      </c>
      <c r="B283" s="37" vm="551">
        <f ca="1"/>
        <v>124.83</v>
      </c>
      <c r="C283" s="38">
        <f t="shared" ca="1" si="4"/>
        <v>5.208596713021485E-2</v>
      </c>
      <c r="D283" s="29"/>
    </row>
    <row r="284" spans="1:4" x14ac:dyDescent="0.35">
      <c r="A284" s="36" vm="552">
        <f ca="1"/>
        <v>45694</v>
      </c>
      <c r="B284" s="37" vm="553">
        <f ca="1"/>
        <v>128.68</v>
      </c>
      <c r="C284" s="38">
        <f t="shared" ca="1" si="4"/>
        <v>3.0841945045261623E-2</v>
      </c>
      <c r="D284" s="29"/>
    </row>
    <row r="285" spans="1:4" x14ac:dyDescent="0.35">
      <c r="A285" s="36" vm="554">
        <f ca="1"/>
        <v>45695</v>
      </c>
      <c r="B285" s="37" vm="555">
        <f ca="1"/>
        <v>129.84</v>
      </c>
      <c r="C285" s="38">
        <f t="shared" ca="1" si="4"/>
        <v>9.0146098849859854E-3</v>
      </c>
      <c r="D285" s="29"/>
    </row>
    <row r="286" spans="1:4" x14ac:dyDescent="0.35">
      <c r="A286" s="36" vm="556">
        <f ca="1"/>
        <v>45698</v>
      </c>
      <c r="B286" s="37" vm="525">
        <f ca="1"/>
        <v>133.57</v>
      </c>
      <c r="C286" s="38">
        <f t="shared" ca="1" si="4"/>
        <v>2.8727664818237752E-2</v>
      </c>
      <c r="D286" s="29"/>
    </row>
    <row r="287" spans="1:4" x14ac:dyDescent="0.35">
      <c r="A287" s="36" vm="557">
        <f ca="1"/>
        <v>45699</v>
      </c>
      <c r="B287" s="37" vm="558">
        <f ca="1"/>
        <v>132.80000000000001</v>
      </c>
      <c r="C287" s="38">
        <f t="shared" ca="1" si="4"/>
        <v>-5.7647675376205874E-3</v>
      </c>
      <c r="D287" s="29"/>
    </row>
    <row r="288" spans="1:4" x14ac:dyDescent="0.35">
      <c r="A288" s="36" vm="559">
        <f ca="1"/>
        <v>45700</v>
      </c>
      <c r="B288" s="37" vm="560">
        <f ca="1"/>
        <v>131.13999999999999</v>
      </c>
      <c r="C288" s="38">
        <f t="shared" ca="1" si="4"/>
        <v>-1.2500000000000188E-2</v>
      </c>
      <c r="D288" s="29"/>
    </row>
    <row r="289" spans="1:4" x14ac:dyDescent="0.35">
      <c r="A289" s="36" vm="561">
        <f ca="1"/>
        <v>45701</v>
      </c>
      <c r="B289" s="37" vm="562">
        <f ca="1"/>
        <v>135.29</v>
      </c>
      <c r="C289" s="38">
        <f t="shared" ca="1" si="4"/>
        <v>3.1645569620253208E-2</v>
      </c>
      <c r="D289" s="29"/>
    </row>
    <row r="290" spans="1:4" x14ac:dyDescent="0.35">
      <c r="A290" s="36" vm="563">
        <f ca="1"/>
        <v>45702</v>
      </c>
      <c r="B290" s="37" vm="564">
        <f ca="1"/>
        <v>138.85</v>
      </c>
      <c r="C290" s="38">
        <f t="shared" ca="1" si="4"/>
        <v>2.6313844334392805E-2</v>
      </c>
      <c r="D290" s="29"/>
    </row>
    <row r="291" spans="1:4" x14ac:dyDescent="0.35">
      <c r="A291" s="36" vm="565">
        <f ca="1"/>
        <v>45706</v>
      </c>
      <c r="B291" s="37" vm="566">
        <f ca="1"/>
        <v>139.4</v>
      </c>
      <c r="C291" s="38">
        <f t="shared" ca="1" si="4"/>
        <v>3.9611091105510362E-3</v>
      </c>
      <c r="D291" s="29"/>
    </row>
    <row r="292" spans="1:4" x14ac:dyDescent="0.35">
      <c r="A292" s="36" vm="567">
        <f ca="1"/>
        <v>45707</v>
      </c>
      <c r="B292" s="37" vm="568">
        <f ca="1"/>
        <v>139.22999999999999</v>
      </c>
      <c r="C292" s="38">
        <f t="shared" ca="1" si="4"/>
        <v>-1.2195121951220653E-3</v>
      </c>
      <c r="D292" s="29"/>
    </row>
    <row r="293" spans="1:4" x14ac:dyDescent="0.35">
      <c r="A293" s="36" vm="569">
        <f ca="1"/>
        <v>45708</v>
      </c>
      <c r="B293" s="37" vm="515">
        <f ca="1"/>
        <v>140.11000000000001</v>
      </c>
      <c r="C293" s="38">
        <f t="shared" ca="1" si="4"/>
        <v>6.3204769087123747E-3</v>
      </c>
      <c r="D293" s="29"/>
    </row>
    <row r="294" spans="1:4" x14ac:dyDescent="0.35">
      <c r="A294" s="36" vm="570">
        <f ca="1"/>
        <v>45709</v>
      </c>
      <c r="B294" s="37" vm="571">
        <f ca="1"/>
        <v>134.43</v>
      </c>
      <c r="C294" s="38">
        <f t="shared" ca="1" si="4"/>
        <v>-4.0539576047391383E-2</v>
      </c>
      <c r="D294" s="29"/>
    </row>
    <row r="295" spans="1:4" x14ac:dyDescent="0.35">
      <c r="A295" s="36" vm="572">
        <f ca="1"/>
        <v>45712</v>
      </c>
      <c r="B295" s="37" vm="573">
        <f ca="1"/>
        <v>130.28</v>
      </c>
      <c r="C295" s="38">
        <f t="shared" ca="1" si="4"/>
        <v>-3.0871085323216585E-2</v>
      </c>
      <c r="D295" s="29"/>
    </row>
    <row r="296" spans="1:4" x14ac:dyDescent="0.35">
      <c r="A296" s="36" vm="574">
        <f ca="1"/>
        <v>45713</v>
      </c>
      <c r="B296" s="37" vm="575">
        <f ca="1"/>
        <v>126.63</v>
      </c>
      <c r="C296" s="38">
        <f t="shared" ca="1" si="4"/>
        <v>-2.8016579674547171E-2</v>
      </c>
      <c r="D296" s="29"/>
    </row>
    <row r="297" spans="1:4" x14ac:dyDescent="0.35">
      <c r="A297" s="36" vm="576">
        <f ca="1"/>
        <v>45714</v>
      </c>
      <c r="B297" s="37" vm="577">
        <f ca="1"/>
        <v>131.28</v>
      </c>
      <c r="C297" s="38">
        <f t="shared" ca="1" si="4"/>
        <v>3.6721156124141244E-2</v>
      </c>
      <c r="D297" s="29"/>
    </row>
    <row r="298" spans="1:4" x14ac:dyDescent="0.35">
      <c r="A298" s="36" vm="578">
        <f ca="1"/>
        <v>45715</v>
      </c>
      <c r="B298" s="37" vm="579">
        <f ca="1"/>
        <v>120.15</v>
      </c>
      <c r="C298" s="38">
        <f t="shared" ca="1" si="4"/>
        <v>-8.4780621572212028E-2</v>
      </c>
      <c r="D298" s="29"/>
    </row>
    <row r="299" spans="1:4" x14ac:dyDescent="0.35">
      <c r="A299" s="36" vm="580">
        <f ca="1"/>
        <v>45716</v>
      </c>
      <c r="B299" s="37" vm="385">
        <f ca="1"/>
        <v>124.92</v>
      </c>
      <c r="C299" s="38">
        <f t="shared" ca="1" si="4"/>
        <v>3.970037453183517E-2</v>
      </c>
      <c r="D299" s="29"/>
    </row>
    <row r="300" spans="1:4" x14ac:dyDescent="0.35">
      <c r="A300" s="36" vm="581">
        <f ca="1"/>
        <v>45719</v>
      </c>
      <c r="B300" s="37" vm="582">
        <f ca="1"/>
        <v>114.06</v>
      </c>
      <c r="C300" s="38">
        <f t="shared" ca="1" si="4"/>
        <v>-8.6935638808837645E-2</v>
      </c>
      <c r="D300" s="29"/>
    </row>
    <row r="301" spans="1:4" x14ac:dyDescent="0.35">
      <c r="A301" s="36" vm="583">
        <f ca="1"/>
        <v>45720</v>
      </c>
      <c r="B301" s="37" vm="584">
        <f ca="1"/>
        <v>115.99</v>
      </c>
      <c r="C301" s="38">
        <f t="shared" ca="1" si="4"/>
        <v>1.6920918814658886E-2</v>
      </c>
      <c r="D301" s="29"/>
    </row>
    <row r="302" spans="1:4" x14ac:dyDescent="0.35">
      <c r="A302" s="36" vm="585">
        <f ca="1"/>
        <v>45721</v>
      </c>
      <c r="B302" s="37" vm="586">
        <f ca="1"/>
        <v>117.3</v>
      </c>
      <c r="C302" s="38">
        <f t="shared" ca="1" si="4"/>
        <v>1.1294077075609987E-2</v>
      </c>
      <c r="D302" s="29"/>
    </row>
    <row r="303" spans="1:4" x14ac:dyDescent="0.35">
      <c r="A303" s="36" vm="587">
        <f ca="1"/>
        <v>45722</v>
      </c>
      <c r="B303" s="37" vm="588">
        <f ca="1"/>
        <v>110.57</v>
      </c>
      <c r="C303" s="38">
        <f t="shared" ca="1" si="4"/>
        <v>-5.7374254049445898E-2</v>
      </c>
      <c r="D303" s="29"/>
    </row>
    <row r="304" spans="1:4" x14ac:dyDescent="0.35">
      <c r="A304" s="36" vm="589">
        <f ca="1"/>
        <v>45723</v>
      </c>
      <c r="B304" s="37" vm="590">
        <f ca="1"/>
        <v>112.69</v>
      </c>
      <c r="C304" s="38">
        <f t="shared" ca="1" si="4"/>
        <v>1.9173374333001762E-2</v>
      </c>
      <c r="D304" s="29"/>
    </row>
    <row r="305" spans="1:4" x14ac:dyDescent="0.35">
      <c r="A305" s="36" vm="591">
        <f ca="1"/>
        <v>45726</v>
      </c>
      <c r="B305" s="37" vm="592">
        <f ca="1"/>
        <v>106.98</v>
      </c>
      <c r="C305" s="38">
        <f t="shared" ca="1" si="4"/>
        <v>-5.0669979590025678E-2</v>
      </c>
      <c r="D305" s="29"/>
    </row>
    <row r="306" spans="1:4" x14ac:dyDescent="0.35">
      <c r="A306" s="36" vm="593">
        <f ca="1"/>
        <v>45727</v>
      </c>
      <c r="B306" s="37" vm="594">
        <f ca="1"/>
        <v>108.76</v>
      </c>
      <c r="C306" s="38">
        <f t="shared" ca="1" si="4"/>
        <v>1.6638624041876996E-2</v>
      </c>
      <c r="D306" s="29"/>
    </row>
    <row r="307" spans="1:4" x14ac:dyDescent="0.35">
      <c r="A307" s="36" vm="595">
        <f ca="1"/>
        <v>45728</v>
      </c>
      <c r="B307" s="37" vm="596">
        <f ca="1"/>
        <v>115.74</v>
      </c>
      <c r="C307" s="38">
        <f t="shared" ca="1" si="4"/>
        <v>6.4178006620080816E-2</v>
      </c>
      <c r="D307" s="29"/>
    </row>
    <row r="308" spans="1:4" x14ac:dyDescent="0.35">
      <c r="A308" s="36" vm="597">
        <f ca="1"/>
        <v>45729</v>
      </c>
      <c r="B308" s="37" vm="598">
        <f ca="1"/>
        <v>115.58</v>
      </c>
      <c r="C308" s="38">
        <f t="shared" ca="1" si="4"/>
        <v>-1.382408847416594E-3</v>
      </c>
      <c r="D308" s="29"/>
    </row>
    <row r="309" spans="1:4" x14ac:dyDescent="0.35">
      <c r="A309" s="36" vm="599">
        <f ca="1"/>
        <v>45730</v>
      </c>
      <c r="B309" s="37" vm="600">
        <f ca="1"/>
        <v>121.67</v>
      </c>
      <c r="C309" s="38">
        <f t="shared" ca="1" si="4"/>
        <v>5.2690776951029618E-2</v>
      </c>
      <c r="D309" s="29"/>
    </row>
    <row r="310" spans="1:4" x14ac:dyDescent="0.35">
      <c r="A310" s="36" vm="601">
        <f ca="1"/>
        <v>45733</v>
      </c>
      <c r="B310" s="37" vm="602">
        <f ca="1"/>
        <v>119.53</v>
      </c>
      <c r="C310" s="38">
        <f t="shared" ca="1" si="4"/>
        <v>-1.7588559217555689E-2</v>
      </c>
      <c r="D310" s="29"/>
    </row>
    <row r="311" spans="1:4" x14ac:dyDescent="0.35">
      <c r="A311" s="36" vm="603">
        <f ca="1"/>
        <v>45734</v>
      </c>
      <c r="B311" s="37" vm="604">
        <f ca="1"/>
        <v>115.43</v>
      </c>
      <c r="C311" s="38">
        <f t="shared" ca="1" si="4"/>
        <v>-3.4301012298167774E-2</v>
      </c>
      <c r="D311" s="29"/>
    </row>
    <row r="312" spans="1:4" x14ac:dyDescent="0.35">
      <c r="A312" s="36" vm="605">
        <f ca="1"/>
        <v>45735</v>
      </c>
      <c r="B312" s="37" vm="606">
        <f ca="1"/>
        <v>117.52</v>
      </c>
      <c r="C312" s="38">
        <f t="shared" ca="1" si="4"/>
        <v>1.8106211556787568E-2</v>
      </c>
      <c r="D312" s="29"/>
    </row>
    <row r="313" spans="1:4" x14ac:dyDescent="0.35">
      <c r="A313" s="36" vm="607">
        <f ca="1"/>
        <v>45736</v>
      </c>
      <c r="B313" s="37" vm="608">
        <f ca="1"/>
        <v>118.53</v>
      </c>
      <c r="C313" s="38">
        <f t="shared" ca="1" si="4"/>
        <v>8.5942818243703641E-3</v>
      </c>
      <c r="D313" s="29"/>
    </row>
    <row r="314" spans="1:4" x14ac:dyDescent="0.35">
      <c r="A314" s="36" vm="609">
        <f ca="1"/>
        <v>45737</v>
      </c>
      <c r="B314" s="37" vm="610">
        <f ca="1"/>
        <v>117.7</v>
      </c>
      <c r="C314" s="38">
        <f t="shared" ca="1" si="4"/>
        <v>-7.002446637981931E-3</v>
      </c>
      <c r="D314" s="29"/>
    </row>
    <row r="315" spans="1:4" x14ac:dyDescent="0.35">
      <c r="A315" s="36" vm="611">
        <f ca="1"/>
        <v>45740</v>
      </c>
      <c r="B315" s="37" vm="612">
        <f ca="1"/>
        <v>121.41</v>
      </c>
      <c r="C315" s="38">
        <f t="shared" ca="1" si="4"/>
        <v>3.1520815632965112E-2</v>
      </c>
      <c r="D315" s="29"/>
    </row>
    <row r="316" spans="1:4" x14ac:dyDescent="0.35">
      <c r="A316" s="36" vm="613">
        <f ca="1"/>
        <v>45741</v>
      </c>
      <c r="B316" s="37" vm="614">
        <f ca="1"/>
        <v>120.69</v>
      </c>
      <c r="C316" s="38">
        <f t="shared" ca="1" si="4"/>
        <v>-5.9303187546330526E-3</v>
      </c>
      <c r="D316" s="29"/>
    </row>
    <row r="317" spans="1:4" x14ac:dyDescent="0.35">
      <c r="A317" s="36" vm="615">
        <f ca="1"/>
        <v>45742</v>
      </c>
      <c r="B317" s="37" vm="616">
        <f ca="1"/>
        <v>113.76</v>
      </c>
      <c r="C317" s="38">
        <f t="shared" ca="1" si="4"/>
        <v>-5.7419835943325816E-2</v>
      </c>
      <c r="D317" s="29"/>
    </row>
    <row r="318" spans="1:4" x14ac:dyDescent="0.35">
      <c r="A318" s="36" vm="617">
        <f ca="1"/>
        <v>45743</v>
      </c>
      <c r="B318" s="37" vm="618">
        <f ca="1"/>
        <v>111.43</v>
      </c>
      <c r="C318" s="38">
        <f t="shared" ca="1" si="4"/>
        <v>-2.0481715893108283E-2</v>
      </c>
      <c r="D318" s="29"/>
    </row>
    <row r="319" spans="1:4" x14ac:dyDescent="0.35">
      <c r="A319" s="36" vm="619">
        <f ca="1"/>
        <v>45744</v>
      </c>
      <c r="B319" s="37" vm="620">
        <f ca="1"/>
        <v>109.67</v>
      </c>
      <c r="C319" s="38">
        <f t="shared" ca="1" si="4"/>
        <v>-1.5794669299111594E-2</v>
      </c>
      <c r="D319" s="29"/>
    </row>
    <row r="320" spans="1:4" x14ac:dyDescent="0.35">
      <c r="A320" s="36" vm="621">
        <f ca="1"/>
        <v>45747</v>
      </c>
      <c r="B320" s="37" vm="622">
        <f ca="1"/>
        <v>108.38</v>
      </c>
      <c r="C320" s="38">
        <f t="shared" ca="1" si="4"/>
        <v>-1.1762560408498279E-2</v>
      </c>
      <c r="D320" s="29"/>
    </row>
    <row r="321" spans="1:4" x14ac:dyDescent="0.35">
      <c r="A321" s="36" vm="623">
        <f ca="1"/>
        <v>45748</v>
      </c>
      <c r="B321" s="37" vm="624">
        <f ca="1"/>
        <v>110.15</v>
      </c>
      <c r="C321" s="38">
        <f t="shared" ca="1" si="4"/>
        <v>1.6331426462447042E-2</v>
      </c>
      <c r="D321" s="29"/>
    </row>
    <row r="322" spans="1:4" x14ac:dyDescent="0.35">
      <c r="A322" s="36" vm="625">
        <f ca="1"/>
        <v>45749</v>
      </c>
      <c r="B322" s="37" vm="626">
        <f ca="1"/>
        <v>110.42</v>
      </c>
      <c r="C322" s="38">
        <f t="shared" ca="1" si="4"/>
        <v>2.4512029051293326E-3</v>
      </c>
      <c r="D322" s="29"/>
    </row>
    <row r="323" spans="1:4" x14ac:dyDescent="0.35">
      <c r="A323" s="36" vm="627">
        <f ca="1"/>
        <v>45750</v>
      </c>
      <c r="B323" s="37" vm="628">
        <f ca="1"/>
        <v>101.8</v>
      </c>
      <c r="C323" s="38">
        <f t="shared" ca="1" si="4"/>
        <v>-7.8065567831914554E-2</v>
      </c>
      <c r="D323" s="29"/>
    </row>
    <row r="324" spans="1:4" x14ac:dyDescent="0.35">
      <c r="A324" s="36" vm="629">
        <f ca="1"/>
        <v>45751</v>
      </c>
      <c r="B324" s="37" vm="630">
        <f ca="1"/>
        <v>94.31</v>
      </c>
      <c r="C324" s="38">
        <f t="shared" ca="1" si="4"/>
        <v>-7.3575638506876179E-2</v>
      </c>
      <c r="D324" s="29"/>
    </row>
    <row r="325" spans="1:4" x14ac:dyDescent="0.35">
      <c r="A325" s="36" vm="631">
        <f ca="1"/>
        <v>45754</v>
      </c>
      <c r="B325" s="37" vm="632">
        <f ca="1"/>
        <v>97.64</v>
      </c>
      <c r="C325" s="38">
        <f t="shared" ca="1" si="4"/>
        <v>3.5309087053334728E-2</v>
      </c>
      <c r="D325" s="29"/>
    </row>
    <row r="326" spans="1:4" x14ac:dyDescent="0.35">
      <c r="A326" s="36" vm="633">
        <f ca="1"/>
        <v>45755</v>
      </c>
      <c r="B326" s="37" vm="634">
        <f ca="1"/>
        <v>96.3</v>
      </c>
      <c r="C326" s="38">
        <f t="shared" ca="1" si="4"/>
        <v>-1.3723883654240101E-2</v>
      </c>
      <c r="D326" s="29"/>
    </row>
    <row r="327" spans="1:4" x14ac:dyDescent="0.35">
      <c r="A327" s="36" vm="635">
        <f ca="1"/>
        <v>45756</v>
      </c>
      <c r="B327" s="37" vm="636">
        <f ca="1"/>
        <v>114.33</v>
      </c>
      <c r="C327" s="38">
        <f t="shared" ca="1" si="4"/>
        <v>0.18722741433021808</v>
      </c>
      <c r="D327" s="29"/>
    </row>
    <row r="328" spans="1:4" x14ac:dyDescent="0.35">
      <c r="A328" s="36" vm="637">
        <f ca="1"/>
        <v>45757</v>
      </c>
      <c r="B328" s="37" vm="638">
        <f ca="1"/>
        <v>107.57</v>
      </c>
      <c r="C328" s="38">
        <f t="shared" ca="1" si="4"/>
        <v>-5.9127088253301895E-2</v>
      </c>
      <c r="D328" s="29"/>
    </row>
    <row r="329" spans="1:4" x14ac:dyDescent="0.35">
      <c r="A329" s="36" vm="639">
        <f ca="1"/>
        <v>45758</v>
      </c>
      <c r="B329" s="37" vm="640">
        <f ca="1"/>
        <v>110.93</v>
      </c>
      <c r="C329" s="38">
        <f t="shared" ca="1" si="4"/>
        <v>3.1235474574695676E-2</v>
      </c>
      <c r="D329" s="29"/>
    </row>
    <row r="330" spans="1:4" x14ac:dyDescent="0.35">
      <c r="A330" s="36" vm="641">
        <f ca="1"/>
        <v>45761</v>
      </c>
      <c r="B330" s="37" vm="642">
        <f ca="1"/>
        <v>110.71</v>
      </c>
      <c r="C330" s="38">
        <f t="shared" ca="1" si="4"/>
        <v>-1.9832326692509968E-3</v>
      </c>
      <c r="D330" s="29"/>
    </row>
    <row r="331" spans="1:4" x14ac:dyDescent="0.35">
      <c r="A331" s="36" vm="643">
        <f ca="1"/>
        <v>45762</v>
      </c>
      <c r="B331" s="37" vm="644">
        <f ca="1"/>
        <v>112.2</v>
      </c>
      <c r="C331" s="38">
        <f t="shared" ref="C331:C385" ca="1" si="5">(B331-B330)/B330</f>
        <v>1.3458585493632094E-2</v>
      </c>
      <c r="D331" s="29"/>
    </row>
    <row r="332" spans="1:4" x14ac:dyDescent="0.35">
      <c r="A332" s="36" vm="645">
        <f ca="1"/>
        <v>45763</v>
      </c>
      <c r="B332" s="37" vm="646">
        <f ca="1"/>
        <v>104.49</v>
      </c>
      <c r="C332" s="38">
        <f t="shared" ca="1" si="5"/>
        <v>-6.8716577540107016E-2</v>
      </c>
      <c r="D332" s="29"/>
    </row>
    <row r="333" spans="1:4" x14ac:dyDescent="0.35">
      <c r="A333" s="36" vm="647">
        <f ca="1"/>
        <v>45764</v>
      </c>
      <c r="B333" s="37" vm="648">
        <f ca="1"/>
        <v>101.49</v>
      </c>
      <c r="C333" s="38">
        <f t="shared" ca="1" si="5"/>
        <v>-2.8710881424059718E-2</v>
      </c>
      <c r="D333" s="29"/>
    </row>
    <row r="334" spans="1:4" x14ac:dyDescent="0.35">
      <c r="A334" s="36" vm="649">
        <f ca="1"/>
        <v>45768</v>
      </c>
      <c r="B334" s="37" vm="650">
        <f ca="1"/>
        <v>96.91</v>
      </c>
      <c r="C334" s="38">
        <f t="shared" ca="1" si="5"/>
        <v>-4.5127598778204735E-2</v>
      </c>
      <c r="D334" s="29"/>
    </row>
    <row r="335" spans="1:4" x14ac:dyDescent="0.35">
      <c r="A335" s="36" vm="651">
        <f ca="1"/>
        <v>45769</v>
      </c>
      <c r="B335" s="37" vm="652">
        <f ca="1"/>
        <v>98.89</v>
      </c>
      <c r="C335" s="38">
        <f t="shared" ca="1" si="5"/>
        <v>2.0431328036322402E-2</v>
      </c>
      <c r="D335" s="29"/>
    </row>
    <row r="336" spans="1:4" x14ac:dyDescent="0.35">
      <c r="A336" s="36" vm="653">
        <f ca="1"/>
        <v>45770</v>
      </c>
      <c r="B336" s="37" vm="654">
        <f ca="1"/>
        <v>102.71</v>
      </c>
      <c r="C336" s="38">
        <f t="shared" ca="1" si="5"/>
        <v>3.8628779451916201E-2</v>
      </c>
      <c r="D336" s="29"/>
    </row>
    <row r="337" spans="1:4" x14ac:dyDescent="0.35">
      <c r="A337" s="36" vm="655">
        <f ca="1"/>
        <v>45771</v>
      </c>
      <c r="B337" s="37" vm="656">
        <f ca="1"/>
        <v>106.43</v>
      </c>
      <c r="C337" s="38">
        <f t="shared" ca="1" si="5"/>
        <v>3.6218479213319187E-2</v>
      </c>
      <c r="D337" s="29"/>
    </row>
    <row r="338" spans="1:4" x14ac:dyDescent="0.35">
      <c r="A338" s="36" vm="657">
        <f ca="1"/>
        <v>45772</v>
      </c>
      <c r="B338" s="37" vm="658">
        <f ca="1"/>
        <v>111.01</v>
      </c>
      <c r="C338" s="38">
        <f t="shared" ca="1" si="5"/>
        <v>4.3032979423094975E-2</v>
      </c>
      <c r="D338" s="29"/>
    </row>
    <row r="339" spans="1:4" x14ac:dyDescent="0.35">
      <c r="A339" s="36" vm="659">
        <f ca="1"/>
        <v>45775</v>
      </c>
      <c r="B339" s="37" vm="660">
        <f ca="1"/>
        <v>108.73</v>
      </c>
      <c r="C339" s="38">
        <f t="shared" ca="1" si="5"/>
        <v>-2.053869020808937E-2</v>
      </c>
      <c r="D339" s="29"/>
    </row>
    <row r="340" spans="1:4" x14ac:dyDescent="0.35">
      <c r="A340" s="36" vm="661">
        <f ca="1"/>
        <v>45776</v>
      </c>
      <c r="B340" s="37" vm="309">
        <f ca="1"/>
        <v>109.02</v>
      </c>
      <c r="C340" s="38">
        <f t="shared" ca="1" si="5"/>
        <v>2.6671571783315738E-3</v>
      </c>
      <c r="D340" s="29"/>
    </row>
    <row r="341" spans="1:4" x14ac:dyDescent="0.35">
      <c r="A341" s="36" vm="662">
        <f ca="1"/>
        <v>45777</v>
      </c>
      <c r="B341" s="37" vm="663">
        <f ca="1"/>
        <v>108.92</v>
      </c>
      <c r="C341" s="38">
        <f t="shared" ca="1" si="5"/>
        <v>-9.1726288754351792E-4</v>
      </c>
      <c r="D341" s="29"/>
    </row>
    <row r="342" spans="1:4" x14ac:dyDescent="0.35">
      <c r="A342" s="36" vm="664">
        <f ca="1"/>
        <v>45778</v>
      </c>
      <c r="B342" s="37" vm="665">
        <f ca="1"/>
        <v>111.61</v>
      </c>
      <c r="C342" s="38">
        <f t="shared" ca="1" si="5"/>
        <v>2.4697025339698839E-2</v>
      </c>
      <c r="D342" s="29"/>
    </row>
    <row r="343" spans="1:4" x14ac:dyDescent="0.35">
      <c r="A343" s="36" vm="666">
        <f ca="1"/>
        <v>45779</v>
      </c>
      <c r="B343" s="37" vm="667">
        <f ca="1"/>
        <v>114.5</v>
      </c>
      <c r="C343" s="38">
        <f t="shared" ca="1" si="5"/>
        <v>2.5893737120329725E-2</v>
      </c>
      <c r="D343" s="29"/>
    </row>
    <row r="344" spans="1:4" x14ac:dyDescent="0.35">
      <c r="A344" s="36" vm="668">
        <f ca="1"/>
        <v>45782</v>
      </c>
      <c r="B344" s="37" vm="669">
        <f ca="1"/>
        <v>113.82</v>
      </c>
      <c r="C344" s="38">
        <f t="shared" ca="1" si="5"/>
        <v>-5.9388646288210199E-3</v>
      </c>
      <c r="D344" s="29"/>
    </row>
    <row r="345" spans="1:4" x14ac:dyDescent="0.35">
      <c r="A345" s="36" vm="670">
        <f ca="1"/>
        <v>45783</v>
      </c>
      <c r="B345" s="37" vm="671">
        <f ca="1"/>
        <v>113.54</v>
      </c>
      <c r="C345" s="38">
        <f t="shared" ca="1" si="5"/>
        <v>-2.4600246002458876E-3</v>
      </c>
      <c r="D345" s="29"/>
    </row>
    <row r="346" spans="1:4" x14ac:dyDescent="0.35">
      <c r="A346" s="36" vm="672">
        <f ca="1"/>
        <v>45784</v>
      </c>
      <c r="B346" s="37" vm="673">
        <f ca="1"/>
        <v>117.06</v>
      </c>
      <c r="C346" s="38">
        <f t="shared" ca="1" si="5"/>
        <v>3.1002289941870671E-2</v>
      </c>
      <c r="D346" s="29"/>
    </row>
    <row r="347" spans="1:4" x14ac:dyDescent="0.35">
      <c r="A347" s="36" vm="674">
        <f ca="1"/>
        <v>45785</v>
      </c>
      <c r="B347" s="37" vm="675">
        <f ca="1"/>
        <v>117.37</v>
      </c>
      <c r="C347" s="38">
        <f t="shared" ca="1" si="5"/>
        <v>2.6482145908081518E-3</v>
      </c>
      <c r="D347" s="29"/>
    </row>
    <row r="348" spans="1:4" x14ac:dyDescent="0.35">
      <c r="A348" s="36" vm="676">
        <f ca="1"/>
        <v>45786</v>
      </c>
      <c r="B348" s="37" vm="677">
        <f ca="1"/>
        <v>116.65</v>
      </c>
      <c r="C348" s="38">
        <f t="shared" ca="1" si="5"/>
        <v>-6.1344466217943157E-3</v>
      </c>
      <c r="D348" s="29"/>
    </row>
    <row r="349" spans="1:4" x14ac:dyDescent="0.35">
      <c r="A349" s="36" vm="678">
        <f ca="1"/>
        <v>45789</v>
      </c>
      <c r="B349" s="37" vm="679">
        <f ca="1"/>
        <v>123</v>
      </c>
      <c r="C349" s="38">
        <f t="shared" ca="1" si="5"/>
        <v>5.4436348049721341E-2</v>
      </c>
      <c r="D349" s="29"/>
    </row>
    <row r="350" spans="1:4" x14ac:dyDescent="0.35">
      <c r="A350" s="36" vm="680">
        <f ca="1"/>
        <v>45790</v>
      </c>
      <c r="B350" s="37" vm="681">
        <f ca="1"/>
        <v>129.93</v>
      </c>
      <c r="C350" s="38">
        <f t="shared" ca="1" si="5"/>
        <v>5.6341463414634203E-2</v>
      </c>
      <c r="D350" s="29"/>
    </row>
    <row r="351" spans="1:4" x14ac:dyDescent="0.35">
      <c r="A351" s="36" vm="682">
        <f ca="1"/>
        <v>45791</v>
      </c>
      <c r="B351" s="37" vm="461">
        <f ca="1"/>
        <v>135.34</v>
      </c>
      <c r="C351" s="38">
        <f t="shared" ca="1" si="5"/>
        <v>4.1637804971907923E-2</v>
      </c>
      <c r="D351" s="29"/>
    </row>
    <row r="352" spans="1:4" x14ac:dyDescent="0.35">
      <c r="A352" s="36" vm="683">
        <f ca="1"/>
        <v>45792</v>
      </c>
      <c r="B352" s="37" vm="684">
        <f ca="1"/>
        <v>134.83000000000001</v>
      </c>
      <c r="C352" s="38">
        <f t="shared" ca="1" si="5"/>
        <v>-3.7682872764887758E-3</v>
      </c>
      <c r="D352" s="29"/>
    </row>
    <row r="353" spans="1:4" x14ac:dyDescent="0.35">
      <c r="A353" s="36" vm="685">
        <f ca="1"/>
        <v>45793</v>
      </c>
      <c r="B353" s="37" vm="425">
        <f ca="1"/>
        <v>135.4</v>
      </c>
      <c r="C353" s="38">
        <f t="shared" ca="1" si="5"/>
        <v>4.2275457984127648E-3</v>
      </c>
      <c r="D353" s="29"/>
    </row>
    <row r="354" spans="1:4" x14ac:dyDescent="0.35">
      <c r="A354" s="36" vm="686">
        <f ca="1"/>
        <v>45796</v>
      </c>
      <c r="B354" s="37" vm="687">
        <f ca="1"/>
        <v>135.57</v>
      </c>
      <c r="C354" s="38">
        <f t="shared" ca="1" si="5"/>
        <v>1.2555391432790804E-3</v>
      </c>
      <c r="D354" s="29"/>
    </row>
    <row r="355" spans="1:4" x14ac:dyDescent="0.35">
      <c r="A355" s="36" vm="688">
        <f ca="1"/>
        <v>45797</v>
      </c>
      <c r="B355" s="37" vm="689">
        <f ca="1"/>
        <v>134.38</v>
      </c>
      <c r="C355" s="38">
        <f t="shared" ca="1" si="5"/>
        <v>-8.7777531902338106E-3</v>
      </c>
      <c r="D355" s="29"/>
    </row>
    <row r="356" spans="1:4" x14ac:dyDescent="0.35">
      <c r="A356" s="36" vm="690">
        <f ca="1"/>
        <v>45798</v>
      </c>
      <c r="B356" s="37" vm="691">
        <f ca="1"/>
        <v>131.80000000000001</v>
      </c>
      <c r="C356" s="38">
        <f t="shared" ca="1" si="5"/>
        <v>-1.9199285607977259E-2</v>
      </c>
      <c r="D356" s="29"/>
    </row>
    <row r="357" spans="1:4" x14ac:dyDescent="0.35">
      <c r="A357" s="36" vm="692">
        <f ca="1"/>
        <v>45799</v>
      </c>
      <c r="B357" s="37" vm="693">
        <f ca="1"/>
        <v>132.83000000000001</v>
      </c>
      <c r="C357" s="38">
        <f t="shared" ca="1" si="5"/>
        <v>7.8148710166919648E-3</v>
      </c>
      <c r="D357" s="29"/>
    </row>
    <row r="358" spans="1:4" x14ac:dyDescent="0.35">
      <c r="A358" s="36" vm="694">
        <f ca="1"/>
        <v>45800</v>
      </c>
      <c r="B358" s="37" vm="695">
        <f ca="1"/>
        <v>131.29</v>
      </c>
      <c r="C358" s="38">
        <f t="shared" ca="1" si="5"/>
        <v>-1.1593766468418433E-2</v>
      </c>
      <c r="D358" s="29"/>
    </row>
    <row r="359" spans="1:4" x14ac:dyDescent="0.35">
      <c r="A359" s="36" vm="696">
        <f ca="1"/>
        <v>45804</v>
      </c>
      <c r="B359" s="37" vm="697">
        <f ca="1"/>
        <v>135.5</v>
      </c>
      <c r="C359" s="38">
        <f t="shared" ca="1" si="5"/>
        <v>3.2066417853606581E-2</v>
      </c>
      <c r="D359" s="29"/>
    </row>
    <row r="360" spans="1:4" x14ac:dyDescent="0.35">
      <c r="A360" s="36" vm="698">
        <f ca="1"/>
        <v>45805</v>
      </c>
      <c r="B360" s="37" vm="393">
        <f ca="1"/>
        <v>134.81</v>
      </c>
      <c r="C360" s="38">
        <f t="shared" ca="1" si="5"/>
        <v>-5.0922509225092083E-3</v>
      </c>
      <c r="D360" s="29"/>
    </row>
    <row r="361" spans="1:4" x14ac:dyDescent="0.35">
      <c r="A361" s="36" vm="699">
        <f ca="1"/>
        <v>45806</v>
      </c>
      <c r="B361" s="37" vm="700">
        <f ca="1"/>
        <v>139.19</v>
      </c>
      <c r="C361" s="38">
        <f t="shared" ca="1" si="5"/>
        <v>3.2490171352273535E-2</v>
      </c>
      <c r="D361" s="29"/>
    </row>
    <row r="362" spans="1:4" x14ac:dyDescent="0.35">
      <c r="A362" s="36" vm="701">
        <f ca="1"/>
        <v>45807</v>
      </c>
      <c r="B362" s="37" vm="702">
        <f ca="1"/>
        <v>135.13</v>
      </c>
      <c r="C362" s="38">
        <f t="shared" ca="1" si="5"/>
        <v>-2.9168762123715802E-2</v>
      </c>
      <c r="D362" s="29"/>
    </row>
    <row r="363" spans="1:4" x14ac:dyDescent="0.35">
      <c r="A363" s="36" vm="703">
        <f ca="1"/>
        <v>45810</v>
      </c>
      <c r="B363" s="37" vm="704">
        <f ca="1"/>
        <v>137.38</v>
      </c>
      <c r="C363" s="38">
        <f t="shared" ca="1" si="5"/>
        <v>1.6650632724043515E-2</v>
      </c>
      <c r="D363" s="29"/>
    </row>
    <row r="364" spans="1:4" x14ac:dyDescent="0.35">
      <c r="A364" s="36" vm="705">
        <f ca="1"/>
        <v>45811</v>
      </c>
      <c r="B364" s="37" vm="706">
        <f ca="1"/>
        <v>141.22</v>
      </c>
      <c r="C364" s="38">
        <f t="shared" ca="1" si="5"/>
        <v>2.7951666909302689E-2</v>
      </c>
      <c r="D364" s="29"/>
    </row>
    <row r="365" spans="1:4" x14ac:dyDescent="0.35">
      <c r="A365" s="36" vm="707">
        <f ca="1"/>
        <v>45812</v>
      </c>
      <c r="B365" s="37" vm="708">
        <f ca="1"/>
        <v>141.91999999999999</v>
      </c>
      <c r="C365" s="38">
        <f t="shared" ca="1" si="5"/>
        <v>4.9568049851295044E-3</v>
      </c>
      <c r="D365" s="29"/>
    </row>
    <row r="366" spans="1:4" x14ac:dyDescent="0.35">
      <c r="A366" s="36" vm="709">
        <f ca="1"/>
        <v>45813</v>
      </c>
      <c r="B366" s="37" vm="710">
        <f ca="1"/>
        <v>139.99</v>
      </c>
      <c r="C366" s="38">
        <f t="shared" ca="1" si="5"/>
        <v>-1.3599210822998722E-2</v>
      </c>
      <c r="D366" s="29"/>
    </row>
    <row r="367" spans="1:4" x14ac:dyDescent="0.35">
      <c r="A367" s="36" vm="711">
        <f ca="1"/>
        <v>45814</v>
      </c>
      <c r="B367" s="37" vm="712">
        <f ca="1"/>
        <v>141.72</v>
      </c>
      <c r="C367" s="38">
        <f t="shared" ca="1" si="5"/>
        <v>1.2358025573255159E-2</v>
      </c>
      <c r="D367" s="29"/>
    </row>
    <row r="368" spans="1:4" x14ac:dyDescent="0.35">
      <c r="A368" s="36" vm="713">
        <f ca="1"/>
        <v>45817</v>
      </c>
      <c r="B368" s="37" vm="714">
        <f ca="1"/>
        <v>142.63</v>
      </c>
      <c r="C368" s="38">
        <f t="shared" ca="1" si="5"/>
        <v>6.4211120519333661E-3</v>
      </c>
      <c r="D368" s="29"/>
    </row>
    <row r="369" spans="1:4" x14ac:dyDescent="0.35">
      <c r="A369" s="36" vm="715">
        <f ca="1"/>
        <v>45818</v>
      </c>
      <c r="B369" s="37" vm="716">
        <f ca="1"/>
        <v>143.96</v>
      </c>
      <c r="C369" s="38">
        <f t="shared" ca="1" si="5"/>
        <v>9.3248264740938974E-3</v>
      </c>
      <c r="D369" s="29"/>
    </row>
    <row r="370" spans="1:4" x14ac:dyDescent="0.35">
      <c r="A370" s="36" vm="717">
        <f ca="1"/>
        <v>45819</v>
      </c>
      <c r="B370" s="37" vm="718">
        <f ca="1"/>
        <v>142.83000000000001</v>
      </c>
      <c r="C370" s="38">
        <f t="shared" ca="1" si="5"/>
        <v>-7.8494026118365885E-3</v>
      </c>
      <c r="D370" s="29"/>
    </row>
    <row r="371" spans="1:4" x14ac:dyDescent="0.35">
      <c r="A371" s="36" vm="719">
        <f ca="1"/>
        <v>45820</v>
      </c>
      <c r="B371" s="37" vm="720">
        <f ca="1"/>
        <v>145</v>
      </c>
      <c r="C371" s="38">
        <f t="shared" ca="1" si="5"/>
        <v>1.5192886648463119E-2</v>
      </c>
      <c r="D371" s="29"/>
    </row>
    <row r="372" spans="1:4" x14ac:dyDescent="0.35">
      <c r="A372" s="36" vm="721">
        <f ca="1"/>
        <v>45821</v>
      </c>
      <c r="B372" s="37" vm="722">
        <f ca="1"/>
        <v>141.97</v>
      </c>
      <c r="C372" s="38">
        <f t="shared" ca="1" si="5"/>
        <v>-2.089655172413794E-2</v>
      </c>
      <c r="D372" s="29"/>
    </row>
    <row r="373" spans="1:4" x14ac:dyDescent="0.35">
      <c r="A373" s="36" vm="723">
        <f ca="1"/>
        <v>45824</v>
      </c>
      <c r="B373" s="37" vm="724">
        <f ca="1"/>
        <v>144.69</v>
      </c>
      <c r="C373" s="38">
        <f t="shared" ca="1" si="5"/>
        <v>1.9158977248714508E-2</v>
      </c>
      <c r="D373" s="29"/>
    </row>
    <row r="374" spans="1:4" x14ac:dyDescent="0.35">
      <c r="A374" s="36" vm="725">
        <f ca="1"/>
        <v>45825</v>
      </c>
      <c r="B374" s="37" vm="726">
        <f ca="1"/>
        <v>144.12</v>
      </c>
      <c r="C374" s="38">
        <f t="shared" ca="1" si="5"/>
        <v>-3.9394567696454021E-3</v>
      </c>
      <c r="D374" s="29"/>
    </row>
    <row r="375" spans="1:4" x14ac:dyDescent="0.35">
      <c r="A375" s="36" vm="727">
        <f ca="1"/>
        <v>45826</v>
      </c>
      <c r="B375" s="37" vm="728">
        <f ca="1"/>
        <v>145.47999999999999</v>
      </c>
      <c r="C375" s="38">
        <f t="shared" ca="1" si="5"/>
        <v>9.4365806272549632E-3</v>
      </c>
      <c r="D375" s="29"/>
    </row>
    <row r="376" spans="1:4" x14ac:dyDescent="0.35">
      <c r="A376" s="36" vm="729">
        <f ca="1"/>
        <v>45828</v>
      </c>
      <c r="B376" s="37" vm="730">
        <f ca="1"/>
        <v>143.85</v>
      </c>
      <c r="C376" s="38">
        <f t="shared" ca="1" si="5"/>
        <v>-1.1204289249381327E-2</v>
      </c>
      <c r="D376" s="29"/>
    </row>
    <row r="377" spans="1:4" x14ac:dyDescent="0.35">
      <c r="A377" s="36" vm="731">
        <f ca="1"/>
        <v>45831</v>
      </c>
      <c r="B377" s="37" vm="732">
        <f ca="1"/>
        <v>144.16999999999999</v>
      </c>
      <c r="C377" s="38">
        <f t="shared" ca="1" si="5"/>
        <v>2.2245394508167756E-3</v>
      </c>
      <c r="D377" s="29"/>
    </row>
    <row r="378" spans="1:4" x14ac:dyDescent="0.35">
      <c r="A378" s="36" vm="733">
        <f ca="1"/>
        <v>45832</v>
      </c>
      <c r="B378" s="37" vm="734">
        <f ca="1"/>
        <v>147.9</v>
      </c>
      <c r="C378" s="38">
        <f t="shared" ca="1" si="5"/>
        <v>2.5872234167996243E-2</v>
      </c>
      <c r="D378" s="29"/>
    </row>
    <row r="379" spans="1:4" x14ac:dyDescent="0.35">
      <c r="A379" s="36" vm="735">
        <f ca="1"/>
        <v>45833</v>
      </c>
      <c r="B379" s="37" vm="736">
        <f ca="1"/>
        <v>154.31</v>
      </c>
      <c r="C379" s="38">
        <f t="shared" ca="1" si="5"/>
        <v>4.3340094658553055E-2</v>
      </c>
      <c r="D379" s="29"/>
    </row>
    <row r="380" spans="1:4" x14ac:dyDescent="0.35">
      <c r="A380" s="36" vm="737">
        <f ca="1"/>
        <v>45834</v>
      </c>
      <c r="B380" s="37" vm="738">
        <f ca="1"/>
        <v>155.02000000000001</v>
      </c>
      <c r="C380" s="38">
        <f t="shared" ca="1" si="5"/>
        <v>4.6011276002851922E-3</v>
      </c>
      <c r="D380" s="29"/>
    </row>
    <row r="381" spans="1:4" x14ac:dyDescent="0.35">
      <c r="A381" s="36" vm="739">
        <f ca="1"/>
        <v>45835</v>
      </c>
      <c r="B381" s="37" vm="740">
        <f ca="1"/>
        <v>157.75</v>
      </c>
      <c r="C381" s="38">
        <f t="shared" ca="1" si="5"/>
        <v>1.7610630886337179E-2</v>
      </c>
      <c r="D381" s="29"/>
    </row>
    <row r="382" spans="1:4" x14ac:dyDescent="0.35">
      <c r="A382" s="36" vm="741">
        <f ca="1"/>
        <v>45838</v>
      </c>
      <c r="B382" s="37" vm="742">
        <f ca="1"/>
        <v>157.99</v>
      </c>
      <c r="C382" s="38">
        <f t="shared" ca="1" si="5"/>
        <v>1.5213946117274744E-3</v>
      </c>
      <c r="D382" s="29"/>
    </row>
    <row r="383" spans="1:4" x14ac:dyDescent="0.35">
      <c r="A383" s="36" vm="743">
        <f ca="1"/>
        <v>45839</v>
      </c>
      <c r="B383" s="37" vm="744">
        <f ca="1"/>
        <v>153.30000000000001</v>
      </c>
      <c r="C383" s="38">
        <f t="shared" ca="1" si="5"/>
        <v>-2.9685423128046062E-2</v>
      </c>
      <c r="D383" s="29"/>
    </row>
    <row r="384" spans="1:4" x14ac:dyDescent="0.35">
      <c r="A384" s="36" vm="745">
        <f ca="1"/>
        <v>45840</v>
      </c>
      <c r="B384" s="37" vm="746">
        <f ca="1"/>
        <v>157.25</v>
      </c>
      <c r="C384" s="38">
        <f t="shared" ca="1" si="5"/>
        <v>2.5766470971950346E-2</v>
      </c>
      <c r="D384" s="29"/>
    </row>
    <row r="385" spans="1:4" x14ac:dyDescent="0.35">
      <c r="A385" s="36" vm="747">
        <f ca="1"/>
        <v>45841</v>
      </c>
      <c r="B385" s="59" vm="748">
        <f ca="1"/>
        <v>159.34</v>
      </c>
      <c r="C385" s="38">
        <f t="shared" ca="1" si="5"/>
        <v>1.3290937996820372E-2</v>
      </c>
      <c r="D385" s="29"/>
    </row>
    <row r="386" spans="1:4" x14ac:dyDescent="0.35">
      <c r="A386" s="21" vm="749">
        <f ca="1"/>
        <v>45845</v>
      </c>
      <c r="B386" s="21" vm="750">
        <f ca="1"/>
        <v>158.24</v>
      </c>
    </row>
    <row r="387" spans="1:4" x14ac:dyDescent="0.35">
      <c r="A387" s="21" vm="751">
        <f ca="1"/>
        <v>45846</v>
      </c>
      <c r="B387" s="21" vm="752">
        <f ca="1"/>
        <v>160</v>
      </c>
    </row>
    <row r="388" spans="1:4" x14ac:dyDescent="0.35">
      <c r="A388" s="21" vm="753">
        <f ca="1"/>
        <v>45847</v>
      </c>
      <c r="B388" s="21" vm="754">
        <f ca="1"/>
        <v>162.88</v>
      </c>
    </row>
  </sheetData>
  <mergeCells count="2">
    <mergeCell ref="A2:F2"/>
    <mergeCell ref="H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Normal="100" workbookViewId="0">
      <selection activeCell="C10" sqref="C10"/>
    </sheetView>
  </sheetViews>
  <sheetFormatPr defaultColWidth="14.453125" defaultRowHeight="15" customHeight="1" x14ac:dyDescent="0.35"/>
  <cols>
    <col min="1" max="1" width="3.7265625" customWidth="1"/>
    <col min="2" max="2" width="25.54296875" customWidth="1"/>
    <col min="3" max="3" width="11.453125" customWidth="1"/>
    <col min="4" max="4" width="14.90625" customWidth="1"/>
    <col min="5" max="5" width="18.08984375" customWidth="1"/>
    <col min="6" max="6" width="13" customWidth="1"/>
    <col min="7" max="7" width="11.453125" customWidth="1"/>
    <col min="8" max="8" width="13.08984375" customWidth="1"/>
    <col min="9" max="12" width="11.453125" customWidth="1"/>
    <col min="13" max="13" width="13" customWidth="1"/>
    <col min="14" max="26" width="10.7265625" customWidth="1"/>
  </cols>
  <sheetData>
    <row r="1" spans="1:26" ht="14.5" x14ac:dyDescent="0.35">
      <c r="A1" s="2"/>
      <c r="B1" s="2"/>
      <c r="C1" s="2"/>
      <c r="D1" s="2"/>
      <c r="E1" s="2"/>
      <c r="F1" s="2"/>
      <c r="G1" s="2"/>
      <c r="H1" s="2"/>
      <c r="I1" s="2"/>
      <c r="J1" s="2"/>
      <c r="K1" s="2"/>
      <c r="L1" s="2"/>
      <c r="M1" s="2"/>
      <c r="N1" s="2"/>
      <c r="O1" s="2"/>
      <c r="P1" s="2"/>
      <c r="Q1" s="2"/>
      <c r="R1" s="2"/>
      <c r="S1" s="2"/>
      <c r="T1" s="2"/>
      <c r="U1" s="2"/>
      <c r="V1" s="2"/>
      <c r="W1" s="2"/>
      <c r="X1" s="2"/>
      <c r="Y1" s="2"/>
      <c r="Z1" s="2"/>
    </row>
    <row r="2" spans="1:26" ht="18.5" x14ac:dyDescent="0.45">
      <c r="A2" s="2"/>
      <c r="B2" s="8" t="s">
        <v>9</v>
      </c>
      <c r="C2" s="2"/>
      <c r="D2" s="2"/>
      <c r="E2" s="2"/>
      <c r="F2" s="2"/>
      <c r="G2" s="2"/>
      <c r="H2" s="2"/>
      <c r="I2" s="2"/>
      <c r="J2" s="2"/>
      <c r="K2" s="2"/>
      <c r="L2" s="2"/>
      <c r="M2" s="2"/>
      <c r="N2" s="2"/>
      <c r="O2" s="2"/>
      <c r="P2" s="2"/>
      <c r="Q2" s="2"/>
      <c r="R2" s="2"/>
      <c r="S2" s="2"/>
      <c r="T2" s="2"/>
      <c r="U2" s="2"/>
      <c r="V2" s="2"/>
      <c r="W2" s="2"/>
      <c r="X2" s="2"/>
      <c r="Y2" s="2"/>
      <c r="Z2" s="2"/>
    </row>
    <row r="3" spans="1:26" ht="14.5" x14ac:dyDescent="0.35">
      <c r="A3" s="2"/>
      <c r="B3" s="9"/>
      <c r="C3" s="2"/>
      <c r="D3" s="2"/>
      <c r="E3" s="2"/>
      <c r="F3" s="2" t="s">
        <v>19</v>
      </c>
      <c r="G3" s="2" t="s">
        <v>67</v>
      </c>
      <c r="H3" s="2" t="s">
        <v>68</v>
      </c>
      <c r="I3" s="2"/>
      <c r="J3" s="2"/>
      <c r="K3" s="2"/>
      <c r="L3" s="2"/>
      <c r="M3" s="2"/>
      <c r="N3" s="2"/>
      <c r="O3" s="2"/>
      <c r="P3" s="2"/>
      <c r="Q3" s="2"/>
      <c r="R3" s="2"/>
      <c r="S3" s="2"/>
      <c r="T3" s="2"/>
      <c r="U3" s="2"/>
      <c r="V3" s="2"/>
      <c r="W3" s="2"/>
      <c r="X3" s="2"/>
      <c r="Y3" s="2"/>
      <c r="Z3" s="2"/>
    </row>
    <row r="4" spans="1:26" ht="14.5" x14ac:dyDescent="0.35">
      <c r="A4" s="2"/>
      <c r="B4" s="9"/>
      <c r="C4" s="2"/>
      <c r="D4" s="2"/>
      <c r="E4" s="2"/>
      <c r="F4" s="10">
        <v>0</v>
      </c>
      <c r="G4" s="10">
        <v>1</v>
      </c>
      <c r="H4" s="10">
        <v>2</v>
      </c>
      <c r="I4" s="2"/>
      <c r="J4" s="2"/>
      <c r="K4" s="10">
        <v>0</v>
      </c>
      <c r="L4" s="10">
        <v>1</v>
      </c>
      <c r="M4" s="10">
        <v>2</v>
      </c>
      <c r="N4" s="2"/>
      <c r="O4" s="2"/>
      <c r="P4" s="2"/>
      <c r="Q4" s="2"/>
      <c r="R4" s="2"/>
      <c r="S4" s="2"/>
      <c r="T4" s="2"/>
      <c r="U4" s="2"/>
      <c r="V4" s="2"/>
      <c r="W4" s="2"/>
      <c r="X4" s="2"/>
      <c r="Y4" s="2"/>
      <c r="Z4" s="2"/>
    </row>
    <row r="5" spans="1:26" ht="14.5" x14ac:dyDescent="0.35">
      <c r="A5" s="2"/>
      <c r="B5" s="2"/>
      <c r="C5" s="2"/>
      <c r="D5" s="2"/>
      <c r="E5" s="2"/>
      <c r="F5" s="2"/>
      <c r="G5" s="2"/>
      <c r="H5" s="2"/>
      <c r="I5" s="2"/>
      <c r="J5" s="2"/>
      <c r="K5" s="2"/>
      <c r="L5" s="2"/>
      <c r="M5" s="2"/>
      <c r="N5" s="2"/>
      <c r="O5" s="2"/>
      <c r="P5" s="2"/>
      <c r="Q5" s="2"/>
      <c r="R5" s="2"/>
      <c r="S5" s="2"/>
      <c r="T5" s="2"/>
      <c r="U5" s="2"/>
      <c r="V5" s="2"/>
      <c r="W5" s="2"/>
      <c r="X5" s="2"/>
      <c r="Y5" s="2"/>
      <c r="Z5" s="2"/>
    </row>
    <row r="6" spans="1:26" ht="14.5" x14ac:dyDescent="0.35">
      <c r="A6" s="2"/>
      <c r="B6" s="68" t="s">
        <v>10</v>
      </c>
      <c r="C6" s="69">
        <f>Asset!B5</f>
        <v>162.88</v>
      </c>
      <c r="D6" s="2"/>
      <c r="E6" s="2"/>
      <c r="F6" s="2"/>
      <c r="G6" s="23" t="s">
        <v>21</v>
      </c>
      <c r="H6" s="11">
        <f ca="1">G8*C12</f>
        <v>183.26345551167981</v>
      </c>
      <c r="I6" s="2"/>
      <c r="J6" s="2"/>
      <c r="K6" s="2"/>
      <c r="L6" s="2"/>
      <c r="M6" s="11">
        <f ca="1">H6</f>
        <v>183.26345551167981</v>
      </c>
      <c r="N6" s="2"/>
      <c r="O6" s="2"/>
      <c r="P6" s="2"/>
      <c r="Q6" s="2"/>
      <c r="R6" s="2"/>
      <c r="S6" s="2"/>
      <c r="T6" s="2"/>
      <c r="U6" s="2"/>
      <c r="V6" s="2"/>
      <c r="W6" s="2"/>
      <c r="X6" s="2"/>
      <c r="Y6" s="2"/>
      <c r="Z6" s="2"/>
    </row>
    <row r="7" spans="1:26" ht="14.5" x14ac:dyDescent="0.35">
      <c r="A7" s="2"/>
      <c r="B7" s="68" t="s">
        <v>11</v>
      </c>
      <c r="C7" s="70">
        <v>165</v>
      </c>
      <c r="D7" s="45" t="s">
        <v>52</v>
      </c>
      <c r="E7" s="2"/>
      <c r="F7" s="2"/>
      <c r="G7" s="23" t="s">
        <v>22</v>
      </c>
      <c r="H7" s="12">
        <f ca="1">MAX(H6-$C$7,0)</f>
        <v>18.263455511679808</v>
      </c>
      <c r="I7" s="24" t="s">
        <v>39</v>
      </c>
      <c r="J7" s="2"/>
      <c r="K7" s="2"/>
      <c r="L7" s="2"/>
      <c r="M7" s="12">
        <f ca="1">MAX($C$7-M6,0)</f>
        <v>0</v>
      </c>
      <c r="N7" s="24" t="s">
        <v>38</v>
      </c>
      <c r="O7" s="2"/>
      <c r="P7" s="2"/>
      <c r="Q7" s="2"/>
      <c r="R7" s="2"/>
      <c r="S7" s="2"/>
      <c r="T7" s="2"/>
      <c r="U7" s="2"/>
      <c r="V7" s="2"/>
      <c r="W7" s="2"/>
      <c r="X7" s="2"/>
      <c r="Y7" s="2"/>
      <c r="Z7" s="2"/>
    </row>
    <row r="8" spans="1:26" ht="16" x14ac:dyDescent="0.4">
      <c r="A8" s="2"/>
      <c r="B8" s="68" t="s">
        <v>59</v>
      </c>
      <c r="C8" s="71">
        <f ca="1">Asset!F9</f>
        <v>0.55930113255158198</v>
      </c>
      <c r="D8" s="2"/>
      <c r="E8" s="2"/>
      <c r="F8" s="2"/>
      <c r="G8" s="11">
        <f ca="1">F10*C12</f>
        <v>172.77138545992622</v>
      </c>
      <c r="H8" s="2"/>
      <c r="I8" s="2"/>
      <c r="J8" s="2"/>
      <c r="K8" s="2"/>
      <c r="L8" s="11">
        <f ca="1">G8</f>
        <v>172.77138545992622</v>
      </c>
      <c r="M8" s="2"/>
      <c r="N8" s="2"/>
      <c r="O8" s="2"/>
      <c r="P8" s="2"/>
      <c r="Q8" s="2"/>
      <c r="R8" s="2"/>
      <c r="S8" s="2"/>
      <c r="T8" s="2"/>
      <c r="U8" s="2"/>
      <c r="V8" s="2"/>
      <c r="W8" s="2"/>
      <c r="X8" s="2"/>
      <c r="Y8" s="2"/>
      <c r="Z8" s="2"/>
    </row>
    <row r="9" spans="1:26" ht="14.5" x14ac:dyDescent="0.35">
      <c r="A9" s="2"/>
      <c r="B9" s="68" t="s">
        <v>12</v>
      </c>
      <c r="C9" s="72">
        <f>Asset!K5</f>
        <v>4.4170000000000001E-2</v>
      </c>
      <c r="D9" s="2"/>
      <c r="E9" s="2"/>
      <c r="F9" s="2"/>
      <c r="G9" s="12">
        <f ca="1">((H7*$C$14)+(H11*$C$15))*EXP(-$C$9*$C$11)</f>
        <v>8.9342291346623668</v>
      </c>
      <c r="H9" s="24" t="s">
        <v>41</v>
      </c>
      <c r="I9" s="2"/>
      <c r="J9" s="2"/>
      <c r="K9" s="2"/>
      <c r="L9" s="12">
        <f ca="1">((M7*$C$14)+(M11*$C$15))*EXP(-$C$9*$C$11)</f>
        <v>1.081885209335699</v>
      </c>
      <c r="M9" s="24" t="s">
        <v>40</v>
      </c>
      <c r="N9" s="2"/>
      <c r="O9" s="2"/>
      <c r="P9" s="2"/>
      <c r="Q9" s="2"/>
      <c r="R9" s="2"/>
      <c r="S9" s="2"/>
      <c r="T9" s="2"/>
      <c r="U9" s="2"/>
      <c r="V9" s="2"/>
      <c r="W9" s="2"/>
      <c r="X9" s="2"/>
      <c r="Y9" s="2"/>
      <c r="Z9" s="2"/>
    </row>
    <row r="10" spans="1:26" ht="14.5" x14ac:dyDescent="0.35">
      <c r="A10" s="2"/>
      <c r="B10" s="68" t="s">
        <v>65</v>
      </c>
      <c r="C10" s="77">
        <v>45856</v>
      </c>
      <c r="D10" s="45" t="s">
        <v>52</v>
      </c>
      <c r="E10" s="82" t="s">
        <v>13</v>
      </c>
      <c r="F10" s="11">
        <f>C6</f>
        <v>162.88</v>
      </c>
      <c r="G10" s="13"/>
      <c r="H10" s="11">
        <f ca="1">G8*C13</f>
        <v>162.87999999999997</v>
      </c>
      <c r="I10" s="2"/>
      <c r="J10" s="82" t="s">
        <v>14</v>
      </c>
      <c r="K10" s="11">
        <f>F10</f>
        <v>162.88</v>
      </c>
      <c r="L10" s="2"/>
      <c r="M10" s="11">
        <f ca="1">H10</f>
        <v>162.87999999999997</v>
      </c>
      <c r="N10" s="2"/>
      <c r="O10" s="2"/>
      <c r="P10" s="2"/>
      <c r="Q10" s="2"/>
      <c r="R10" s="2"/>
      <c r="S10" s="2"/>
      <c r="T10" s="2"/>
      <c r="U10" s="2"/>
      <c r="V10" s="2"/>
      <c r="W10" s="2"/>
      <c r="X10" s="2"/>
      <c r="Y10" s="2"/>
      <c r="Z10" s="2"/>
    </row>
    <row r="11" spans="1:26" ht="14.5" x14ac:dyDescent="0.35">
      <c r="A11" s="2"/>
      <c r="B11" s="68" t="s">
        <v>66</v>
      </c>
      <c r="C11" s="78">
        <f ca="1">_xlfn.DAYS(C10,TODAY())/360/H4</f>
        <v>1.1111111111111112E-2</v>
      </c>
      <c r="D11" s="45" t="s">
        <v>52</v>
      </c>
      <c r="E11" s="83"/>
      <c r="F11" s="16">
        <f ca="1">((G9*$C$14)+(G13*$C$15))*EXP(-$C$9*$C$11)</f>
        <v>4.3705009810220892</v>
      </c>
      <c r="G11" s="2"/>
      <c r="H11" s="12">
        <f ca="1">MAX(H10-$C$7,0)</f>
        <v>0</v>
      </c>
      <c r="I11" s="13"/>
      <c r="J11" s="83"/>
      <c r="K11" s="16">
        <f ca="1">((L9*$C$14)+(L13*$C$15))*EXP(-$C$9*$C$11)</f>
        <v>6.3286237730885873</v>
      </c>
      <c r="L11" s="2"/>
      <c r="M11" s="12">
        <f ca="1">MAX($C$7-M10,0)</f>
        <v>2.120000000000033</v>
      </c>
      <c r="N11" s="2"/>
      <c r="O11" s="2"/>
      <c r="P11" s="2"/>
      <c r="Q11" s="2"/>
      <c r="R11" s="2"/>
      <c r="S11" s="2"/>
      <c r="T11" s="2"/>
      <c r="U11" s="2"/>
      <c r="V11" s="2"/>
      <c r="W11" s="2"/>
      <c r="X11" s="2"/>
      <c r="Y11" s="2"/>
      <c r="Z11" s="2"/>
    </row>
    <row r="12" spans="1:26" ht="14.5" x14ac:dyDescent="0.35">
      <c r="A12" s="2"/>
      <c r="B12" s="68" t="s">
        <v>15</v>
      </c>
      <c r="C12" s="73">
        <f ca="1">EXP(C8*SQRT(C11))</f>
        <v>1.0607280541498418</v>
      </c>
      <c r="D12" s="2"/>
      <c r="E12" s="14"/>
      <c r="F12" s="14"/>
      <c r="G12" s="11">
        <f ca="1">F10*C13</f>
        <v>153.55490916146829</v>
      </c>
      <c r="H12" s="2"/>
      <c r="I12" s="2"/>
      <c r="J12" s="2"/>
      <c r="K12" s="2"/>
      <c r="L12" s="11">
        <f ca="1">G12</f>
        <v>153.55490916146829</v>
      </c>
      <c r="M12" s="2"/>
      <c r="N12" s="2"/>
      <c r="O12" s="2"/>
      <c r="P12" s="2"/>
      <c r="Q12" s="2"/>
      <c r="R12" s="2"/>
      <c r="S12" s="2"/>
      <c r="T12" s="2"/>
      <c r="U12" s="2"/>
      <c r="V12" s="2"/>
      <c r="W12" s="2"/>
      <c r="X12" s="2"/>
      <c r="Y12" s="2"/>
      <c r="Z12" s="2"/>
    </row>
    <row r="13" spans="1:26" ht="14.5" x14ac:dyDescent="0.35">
      <c r="A13" s="2"/>
      <c r="B13" s="68" t="s">
        <v>16</v>
      </c>
      <c r="C13" s="73">
        <f ca="1">EXP(-C8*SQRT(C11))</f>
        <v>0.94274870555911283</v>
      </c>
      <c r="D13" s="13"/>
      <c r="E13" s="2"/>
      <c r="F13" s="14"/>
      <c r="G13" s="12">
        <f ca="1">((H11*$C$14)+(H15*$C$15))*EXP(-$C$9*$C$11)</f>
        <v>0</v>
      </c>
      <c r="H13" s="2"/>
      <c r="I13" s="2"/>
      <c r="J13" s="2"/>
      <c r="K13" s="2"/>
      <c r="L13" s="12">
        <f ca="1">((M11*$C$14)+(M15*$C$15))*EXP(-$C$9*$C$11)</f>
        <v>11.364132373131254</v>
      </c>
      <c r="M13" s="2"/>
      <c r="N13" s="2"/>
      <c r="O13" s="2"/>
      <c r="P13" s="2"/>
      <c r="Q13" s="2"/>
      <c r="R13" s="2"/>
      <c r="S13" s="2"/>
      <c r="T13" s="2"/>
      <c r="U13" s="2"/>
      <c r="V13" s="2"/>
      <c r="W13" s="2"/>
      <c r="X13" s="2"/>
      <c r="Y13" s="2"/>
      <c r="Z13" s="2"/>
    </row>
    <row r="14" spans="1:26" ht="14.5" x14ac:dyDescent="0.35">
      <c r="A14" s="2"/>
      <c r="B14" s="68" t="s">
        <v>17</v>
      </c>
      <c r="C14" s="74">
        <f ca="1">(EXP(C9*C11)-C13)/(C12-C13)</f>
        <v>0.48942627128829563</v>
      </c>
      <c r="D14" s="2"/>
      <c r="E14" s="2"/>
      <c r="F14" s="14"/>
      <c r="G14" s="13"/>
      <c r="H14" s="11">
        <f ca="1">G12*C13</f>
        <v>144.7636918442214</v>
      </c>
      <c r="I14" s="2"/>
      <c r="J14" s="2"/>
      <c r="K14" s="2"/>
      <c r="L14" s="2"/>
      <c r="M14" s="11">
        <f ca="1">H14</f>
        <v>144.7636918442214</v>
      </c>
      <c r="N14" s="2"/>
      <c r="O14" s="2"/>
      <c r="P14" s="2"/>
      <c r="Q14" s="2"/>
      <c r="R14" s="2"/>
      <c r="S14" s="2"/>
      <c r="T14" s="2"/>
      <c r="U14" s="2"/>
      <c r="V14" s="2"/>
      <c r="W14" s="2"/>
      <c r="X14" s="2"/>
      <c r="Y14" s="2"/>
      <c r="Z14" s="2"/>
    </row>
    <row r="15" spans="1:26" ht="14.5" x14ac:dyDescent="0.35">
      <c r="A15" s="2"/>
      <c r="B15" s="68" t="s">
        <v>18</v>
      </c>
      <c r="C15" s="74">
        <f ca="1">1-C14</f>
        <v>0.51057372871170437</v>
      </c>
      <c r="D15" s="2"/>
      <c r="E15" s="2"/>
      <c r="F15" s="14"/>
      <c r="G15" s="2"/>
      <c r="H15" s="12">
        <f ca="1">MAX(H14-$C$7,0)</f>
        <v>0</v>
      </c>
      <c r="I15" s="13"/>
      <c r="J15" s="2"/>
      <c r="K15" s="2"/>
      <c r="L15" s="2"/>
      <c r="M15" s="12">
        <f ca="1">MAX($C$7-M14,0)</f>
        <v>20.236308155778602</v>
      </c>
      <c r="N15" s="2"/>
      <c r="O15" s="2"/>
      <c r="P15" s="2"/>
      <c r="Q15" s="2"/>
      <c r="R15" s="2"/>
      <c r="S15" s="2"/>
      <c r="T15" s="2"/>
      <c r="U15" s="2"/>
      <c r="V15" s="2"/>
      <c r="W15" s="2"/>
      <c r="X15" s="2"/>
      <c r="Y15" s="2"/>
      <c r="Z15" s="2"/>
    </row>
    <row r="16" spans="1:26" ht="14.5" x14ac:dyDescent="0.35">
      <c r="A16" s="2"/>
      <c r="B16" s="2"/>
      <c r="C16" s="2"/>
      <c r="D16" s="2"/>
      <c r="E16" s="2"/>
      <c r="F16" s="14"/>
      <c r="G16" s="2"/>
      <c r="H16" s="2"/>
      <c r="I16" s="13"/>
      <c r="J16" s="2"/>
      <c r="K16" s="2"/>
      <c r="L16" s="2"/>
      <c r="M16" s="2"/>
      <c r="N16" s="2"/>
      <c r="O16" s="2"/>
      <c r="P16" s="2"/>
      <c r="Q16" s="2"/>
      <c r="R16" s="2"/>
      <c r="S16" s="2"/>
      <c r="T16" s="2"/>
      <c r="U16" s="2"/>
      <c r="V16" s="2"/>
      <c r="W16" s="2"/>
      <c r="X16" s="2"/>
      <c r="Y16" s="2"/>
      <c r="Z16" s="2"/>
    </row>
    <row r="17" spans="1:26" ht="14.5" x14ac:dyDescent="0.35">
      <c r="A17" s="2"/>
      <c r="B17" s="2"/>
      <c r="C17" s="2"/>
      <c r="D17" s="76"/>
      <c r="E17" s="2"/>
      <c r="F17" s="15" t="str">
        <f ca="1">_xlfn.CONCAT("El valor de la prima del contrato Call es de $",ROUND(F11,2))</f>
        <v>El valor de la prima del contrato Call es de $4.37</v>
      </c>
      <c r="G17" s="15"/>
      <c r="H17" s="15"/>
      <c r="I17" s="27"/>
      <c r="J17" s="2"/>
      <c r="K17" s="15" t="str">
        <f ca="1">_xlfn.CONCAT("El valor de la prima del contrato Put es de $",ROUND(K11,2))</f>
        <v>El valor de la prima del contrato Put es de $6.33</v>
      </c>
      <c r="L17" s="15"/>
      <c r="M17" s="15"/>
      <c r="N17" s="15"/>
      <c r="O17" s="2"/>
      <c r="P17" s="2"/>
      <c r="Q17" s="2"/>
      <c r="R17" s="2"/>
      <c r="S17" s="2"/>
      <c r="T17" s="2"/>
      <c r="U17" s="2"/>
      <c r="V17" s="2"/>
      <c r="W17" s="2"/>
      <c r="X17" s="2"/>
      <c r="Y17" s="2"/>
      <c r="Z17" s="2"/>
    </row>
    <row r="18" spans="1:26" ht="14.5" x14ac:dyDescent="0.35">
      <c r="A18" s="2"/>
      <c r="B18" s="2"/>
      <c r="C18" s="2"/>
      <c r="D18" s="2"/>
      <c r="E18" s="2"/>
      <c r="F18" s="2"/>
      <c r="G18" s="2"/>
      <c r="H18" s="2"/>
      <c r="I18" s="2"/>
      <c r="J18" s="2"/>
      <c r="K18" s="2" t="s">
        <v>44</v>
      </c>
      <c r="L18" s="2"/>
      <c r="M18" s="2"/>
      <c r="N18" s="2"/>
      <c r="O18" s="2"/>
      <c r="P18" s="2"/>
      <c r="Q18" s="2"/>
      <c r="R18" s="2"/>
      <c r="S18" s="2"/>
      <c r="T18" s="2"/>
      <c r="U18" s="2"/>
      <c r="V18" s="2"/>
      <c r="W18" s="2"/>
      <c r="X18" s="2"/>
      <c r="Y18" s="2"/>
      <c r="Z18" s="2"/>
    </row>
    <row r="19" spans="1:26" ht="14.5" x14ac:dyDescent="0.35">
      <c r="A19" s="2"/>
      <c r="B19" s="2"/>
      <c r="C19" s="2"/>
      <c r="D19" s="2"/>
      <c r="E19" s="2"/>
      <c r="G19" s="2"/>
      <c r="H19" s="2"/>
      <c r="I19" s="2"/>
      <c r="J19" s="2"/>
      <c r="K19" s="2" t="s">
        <v>45</v>
      </c>
      <c r="L19" s="2"/>
      <c r="M19" s="2"/>
      <c r="N19" s="2"/>
      <c r="O19" s="2"/>
      <c r="P19" s="2"/>
      <c r="Q19" s="2"/>
      <c r="R19" s="2"/>
      <c r="S19" s="2"/>
      <c r="T19" s="2"/>
      <c r="U19" s="2"/>
      <c r="V19" s="2"/>
      <c r="W19" s="2"/>
      <c r="X19" s="2"/>
      <c r="Y19" s="2"/>
      <c r="Z19" s="2"/>
    </row>
    <row r="20" spans="1:26" ht="14.5" x14ac:dyDescent="0.35">
      <c r="A20" s="2"/>
      <c r="B20" s="2"/>
      <c r="C20" s="2"/>
      <c r="D20" s="2"/>
      <c r="E20" s="2"/>
      <c r="F20" s="2" t="s">
        <v>20</v>
      </c>
      <c r="G20" s="2"/>
      <c r="H20" s="2"/>
      <c r="I20" s="2"/>
      <c r="J20" s="2"/>
      <c r="K20" s="2" t="s">
        <v>46</v>
      </c>
      <c r="L20" s="2"/>
      <c r="M20" s="2"/>
      <c r="N20" s="2"/>
      <c r="O20" s="2"/>
      <c r="P20" s="2"/>
      <c r="Q20" s="2"/>
      <c r="R20" s="2"/>
      <c r="S20" s="2"/>
      <c r="T20" s="2"/>
      <c r="U20" s="2"/>
      <c r="V20" s="2"/>
      <c r="W20" s="2"/>
      <c r="X20" s="2"/>
      <c r="Y20" s="2"/>
      <c r="Z20" s="2"/>
    </row>
    <row r="21" spans="1:26" ht="15.5" customHeight="1" x14ac:dyDescent="0.35">
      <c r="A21" s="2"/>
      <c r="B21" s="2"/>
      <c r="C21" s="2"/>
      <c r="D21" s="2"/>
      <c r="E21" s="2"/>
      <c r="F21" s="2" t="s">
        <v>47</v>
      </c>
      <c r="G21" s="2"/>
      <c r="H21" s="2"/>
      <c r="I21" s="2"/>
      <c r="J21" s="2"/>
      <c r="K21" s="2" t="s">
        <v>42</v>
      </c>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t="s">
        <v>43</v>
      </c>
      <c r="L22" s="2"/>
      <c r="M22" s="2"/>
      <c r="N22" s="2"/>
      <c r="O22" s="2"/>
      <c r="P22" s="2"/>
      <c r="Q22" s="2"/>
      <c r="R22" s="2"/>
      <c r="S22" s="2"/>
      <c r="T22" s="2"/>
      <c r="U22" s="2"/>
      <c r="V22" s="2"/>
      <c r="W22" s="2"/>
      <c r="X22" s="2"/>
      <c r="Y22" s="2"/>
      <c r="Z22" s="2"/>
    </row>
    <row r="23" spans="1:26" ht="29" x14ac:dyDescent="0.35">
      <c r="A23" s="2"/>
      <c r="B23" s="2"/>
      <c r="C23" s="2"/>
      <c r="D23" s="2"/>
      <c r="E23" s="2"/>
      <c r="F23" s="18" t="s">
        <v>23</v>
      </c>
      <c r="G23" s="18" t="s">
        <v>25</v>
      </c>
      <c r="H23" s="22" t="s">
        <v>24</v>
      </c>
      <c r="I23" s="2"/>
      <c r="J23" s="2"/>
      <c r="K23" s="18" t="s">
        <v>23</v>
      </c>
      <c r="L23" s="18" t="s">
        <v>25</v>
      </c>
      <c r="M23" s="22" t="s">
        <v>24</v>
      </c>
      <c r="N23" s="2"/>
      <c r="O23" s="2"/>
      <c r="P23" s="2"/>
      <c r="Q23" s="2"/>
      <c r="R23" s="2"/>
      <c r="S23" s="2"/>
      <c r="T23" s="2"/>
      <c r="U23" s="2"/>
      <c r="V23" s="2"/>
      <c r="W23" s="2"/>
      <c r="X23" s="2"/>
      <c r="Y23" s="2"/>
      <c r="Z23" s="2"/>
    </row>
    <row r="24" spans="1:26" ht="15.75" customHeight="1" x14ac:dyDescent="0.35">
      <c r="A24" s="2"/>
      <c r="B24" s="2"/>
      <c r="C24" s="2"/>
      <c r="D24" s="2"/>
      <c r="E24" s="2"/>
      <c r="F24" s="17">
        <f ca="1">H6</f>
        <v>183.26345551167981</v>
      </c>
      <c r="G24" s="17">
        <f ca="1">H7</f>
        <v>18.263455511679808</v>
      </c>
      <c r="H24" s="56">
        <f ca="1">COMBIN(2,2)*$C$14*$C$14</f>
        <v>0.23953807502716434</v>
      </c>
      <c r="I24" s="24" t="s">
        <v>26</v>
      </c>
      <c r="J24" s="2"/>
      <c r="K24" s="17">
        <f ca="1">M6</f>
        <v>183.26345551167981</v>
      </c>
      <c r="L24" s="17">
        <f ca="1">M7</f>
        <v>0</v>
      </c>
      <c r="M24" s="56">
        <f ca="1">COMBIN(2,2)*$C$14*$C$14</f>
        <v>0.23953807502716434</v>
      </c>
      <c r="N24" s="2"/>
      <c r="O24" s="2"/>
      <c r="P24" s="2"/>
      <c r="Q24" s="2"/>
      <c r="R24" s="2"/>
      <c r="S24" s="2"/>
      <c r="T24" s="2"/>
      <c r="U24" s="2"/>
      <c r="V24" s="2"/>
      <c r="W24" s="2"/>
      <c r="X24" s="2"/>
      <c r="Y24" s="2"/>
      <c r="Z24" s="2"/>
    </row>
    <row r="25" spans="1:26" ht="15.75" customHeight="1" x14ac:dyDescent="0.35">
      <c r="A25" s="2"/>
      <c r="B25" s="2"/>
      <c r="C25" s="2"/>
      <c r="D25" s="2"/>
      <c r="E25" s="2"/>
      <c r="F25" s="17">
        <f ca="1">H10</f>
        <v>162.87999999999997</v>
      </c>
      <c r="G25" s="17">
        <f ca="1">H11</f>
        <v>0</v>
      </c>
      <c r="H25" s="56">
        <f ca="1">COMBIN(2,1)*$C$14*$C$15</f>
        <v>0.49977639252226258</v>
      </c>
      <c r="I25" s="24" t="s">
        <v>27</v>
      </c>
      <c r="J25" s="2"/>
      <c r="K25" s="17">
        <f ca="1">M10</f>
        <v>162.87999999999997</v>
      </c>
      <c r="L25" s="17">
        <f ca="1">M11</f>
        <v>2.120000000000033</v>
      </c>
      <c r="M25" s="56">
        <f ca="1">COMBIN(2,1)*$C$14*$C$15</f>
        <v>0.49977639252226258</v>
      </c>
      <c r="N25" s="2"/>
      <c r="O25" s="2"/>
      <c r="P25" s="2"/>
      <c r="Q25" s="2"/>
      <c r="R25" s="2"/>
      <c r="S25" s="2"/>
      <c r="T25" s="2"/>
      <c r="U25" s="2"/>
      <c r="V25" s="2"/>
      <c r="W25" s="2"/>
      <c r="X25" s="2"/>
      <c r="Y25" s="2"/>
      <c r="Z25" s="2"/>
    </row>
    <row r="26" spans="1:26" ht="15.75" customHeight="1" x14ac:dyDescent="0.35">
      <c r="A26" s="2"/>
      <c r="B26" s="2"/>
      <c r="C26" s="2"/>
      <c r="D26" s="2"/>
      <c r="E26" s="2"/>
      <c r="F26" s="17">
        <f ca="1">H14</f>
        <v>144.7636918442214</v>
      </c>
      <c r="G26" s="17">
        <f ca="1">H15</f>
        <v>0</v>
      </c>
      <c r="H26" s="56">
        <f ca="1">COMBIN(2,0)*$C$15*$C$15</f>
        <v>0.26068553245057308</v>
      </c>
      <c r="I26" s="24" t="s">
        <v>28</v>
      </c>
      <c r="J26" s="2"/>
      <c r="K26" s="17">
        <f ca="1">M14</f>
        <v>144.7636918442214</v>
      </c>
      <c r="L26" s="17">
        <f ca="1">M15</f>
        <v>20.236308155778602</v>
      </c>
      <c r="M26" s="56">
        <f ca="1">COMBIN(2,0)*$C$15*$C$15</f>
        <v>0.26068553245057308</v>
      </c>
      <c r="N26" s="2"/>
      <c r="O26" s="2"/>
      <c r="P26" s="2"/>
      <c r="Q26" s="2"/>
      <c r="R26" s="2"/>
      <c r="S26" s="2"/>
      <c r="T26" s="2"/>
      <c r="U26" s="2"/>
      <c r="V26" s="2"/>
      <c r="W26" s="2"/>
      <c r="X26" s="2"/>
      <c r="Y26" s="2"/>
      <c r="Z26" s="2"/>
    </row>
    <row r="27" spans="1:26" ht="15.75" customHeight="1" x14ac:dyDescent="0.35">
      <c r="A27" s="2"/>
      <c r="B27" s="2"/>
      <c r="C27" s="2"/>
      <c r="D27" s="2"/>
      <c r="E27" s="2"/>
      <c r="F27" s="2"/>
      <c r="G27" s="2"/>
      <c r="H27" s="57"/>
      <c r="I27" s="2"/>
      <c r="J27" s="2"/>
      <c r="K27" s="2"/>
      <c r="L27" s="2"/>
      <c r="M27" s="57"/>
      <c r="N27" s="2"/>
      <c r="O27" s="2"/>
      <c r="P27" s="2"/>
      <c r="Q27" s="2"/>
      <c r="R27" s="2"/>
      <c r="S27" s="2"/>
      <c r="T27" s="2"/>
      <c r="U27" s="2"/>
      <c r="V27" s="2"/>
      <c r="W27" s="2"/>
      <c r="X27" s="2"/>
      <c r="Y27" s="2"/>
      <c r="Z27" s="2"/>
    </row>
    <row r="28" spans="1:26" ht="15.75" customHeight="1" x14ac:dyDescent="0.35">
      <c r="A28" s="2"/>
      <c r="B28" s="2"/>
      <c r="C28" s="2"/>
      <c r="D28" s="2"/>
      <c r="E28" s="2"/>
      <c r="F28" s="2"/>
      <c r="G28" s="2"/>
      <c r="H28" s="58">
        <f ca="1">H24</f>
        <v>0.23953807502716434</v>
      </c>
      <c r="I28" s="2" t="s">
        <v>30</v>
      </c>
      <c r="J28" s="2"/>
      <c r="K28" s="2"/>
      <c r="L28" s="2"/>
      <c r="M28" s="58">
        <f ca="1">SUM(M25:M26)</f>
        <v>0.76046192497283571</v>
      </c>
      <c r="N28" s="2" t="s">
        <v>30</v>
      </c>
      <c r="O28" s="2"/>
      <c r="P28" s="2"/>
      <c r="Q28" s="2"/>
      <c r="R28" s="2"/>
      <c r="S28" s="2"/>
      <c r="T28" s="2"/>
      <c r="U28" s="2"/>
      <c r="V28" s="2"/>
      <c r="W28" s="2"/>
      <c r="X28" s="2"/>
      <c r="Y28" s="2"/>
      <c r="Z28" s="2"/>
    </row>
    <row r="29" spans="1:26" ht="15.75" customHeight="1" x14ac:dyDescent="0.35">
      <c r="A29" s="2"/>
      <c r="B29" s="2"/>
      <c r="C29" s="2"/>
      <c r="D29" s="2"/>
      <c r="E29" s="2"/>
      <c r="F29" s="21"/>
      <c r="G29" s="2"/>
      <c r="H29" s="58">
        <f ca="1">SUM(H25:H26)</f>
        <v>0.76046192497283571</v>
      </c>
      <c r="I29" s="2" t="s">
        <v>29</v>
      </c>
      <c r="J29" s="2"/>
      <c r="K29" s="21"/>
      <c r="L29" s="2"/>
      <c r="M29" s="58">
        <f ca="1">M24</f>
        <v>0.23953807502716434</v>
      </c>
      <c r="N29" s="2" t="s">
        <v>29</v>
      </c>
      <c r="O29" s="2"/>
      <c r="P29" s="2"/>
      <c r="Q29" s="2"/>
      <c r="R29" s="2"/>
      <c r="S29" s="2"/>
      <c r="T29" s="2"/>
      <c r="U29" s="2"/>
      <c r="V29" s="2"/>
      <c r="W29" s="2"/>
      <c r="X29" s="2"/>
      <c r="Y29" s="2"/>
      <c r="Z29" s="2"/>
    </row>
    <row r="30" spans="1:26" ht="15.75" customHeight="1" x14ac:dyDescent="0.35">
      <c r="A30" s="2"/>
      <c r="B30" s="2"/>
      <c r="C30" s="2"/>
      <c r="D30" s="2"/>
      <c r="E30" s="2"/>
      <c r="F30" s="21"/>
      <c r="G30" s="21"/>
      <c r="H30" s="21"/>
      <c r="I30" s="21"/>
      <c r="J30" s="21"/>
      <c r="K30" s="21"/>
      <c r="L30" s="21"/>
      <c r="M30" s="21"/>
      <c r="N30" s="2"/>
      <c r="O30" s="2"/>
      <c r="P30" s="2"/>
      <c r="Q30" s="2"/>
      <c r="R30" s="2"/>
      <c r="S30" s="2"/>
      <c r="T30" s="2"/>
      <c r="U30" s="2"/>
      <c r="V30" s="2"/>
      <c r="W30" s="2"/>
      <c r="X30" s="2"/>
      <c r="Y30" s="2"/>
      <c r="Z30" s="2"/>
    </row>
    <row r="31" spans="1:26" ht="15.75" customHeight="1" x14ac:dyDescent="0.35">
      <c r="A31" s="2"/>
      <c r="B31" s="2"/>
      <c r="C31" s="2"/>
      <c r="D31" s="2"/>
      <c r="E31" s="2"/>
      <c r="F31" s="2" t="s">
        <v>37</v>
      </c>
      <c r="G31" s="21"/>
      <c r="H31" s="2"/>
      <c r="I31" s="2"/>
      <c r="J31" s="2"/>
      <c r="K31" s="2" t="s">
        <v>37</v>
      </c>
      <c r="L31" s="21"/>
      <c r="M31" s="2"/>
      <c r="N31" s="2"/>
      <c r="O31" s="2"/>
      <c r="P31" s="2"/>
      <c r="Q31" s="2"/>
      <c r="R31" s="2"/>
      <c r="S31" s="2"/>
      <c r="T31" s="2"/>
      <c r="U31" s="2"/>
      <c r="V31" s="2"/>
      <c r="W31" s="2"/>
      <c r="X31" s="2"/>
      <c r="Y31" s="2"/>
      <c r="Z31" s="2"/>
    </row>
    <row r="32" spans="1:26" ht="15.75" customHeight="1" x14ac:dyDescent="0.35">
      <c r="A32" s="2"/>
      <c r="B32" s="2"/>
      <c r="C32" s="21"/>
      <c r="D32" s="2" t="s">
        <v>32</v>
      </c>
      <c r="E32" s="2"/>
      <c r="F32" s="2" t="s">
        <v>31</v>
      </c>
      <c r="G32" s="19">
        <f ca="1">SUMPRODUCT(G24:G26,H24:H26)</f>
        <v>4.3747929766120359</v>
      </c>
      <c r="H32" s="25" t="s">
        <v>35</v>
      </c>
      <c r="I32" s="2"/>
      <c r="J32" s="21"/>
      <c r="K32" s="2" t="s">
        <v>31</v>
      </c>
      <c r="L32" s="19">
        <f ca="1">SUMPRODUCT(L24:L26,M24:M26)</f>
        <v>6.3348387185702331</v>
      </c>
      <c r="M32" s="25"/>
      <c r="N32" s="2"/>
      <c r="O32" s="2"/>
      <c r="P32" s="2"/>
      <c r="Q32" s="2"/>
      <c r="R32" s="2"/>
      <c r="S32" s="2"/>
      <c r="T32" s="2"/>
      <c r="U32" s="2"/>
      <c r="V32" s="2"/>
      <c r="W32" s="2"/>
      <c r="X32" s="2"/>
      <c r="Y32" s="2"/>
      <c r="Z32" s="2"/>
    </row>
    <row r="33" spans="1:26" ht="15.75" customHeight="1" x14ac:dyDescent="0.35">
      <c r="A33" s="2"/>
      <c r="B33" s="2"/>
      <c r="C33" s="21"/>
      <c r="D33" s="2" t="s">
        <v>34</v>
      </c>
      <c r="E33" s="2"/>
      <c r="F33" s="2" t="s">
        <v>33</v>
      </c>
      <c r="G33" s="20">
        <f ca="1">G32*EXP(-$C$9*2*$C$11)</f>
        <v>4.3705009810220892</v>
      </c>
      <c r="H33" s="26" t="s">
        <v>36</v>
      </c>
      <c r="I33" s="2"/>
      <c r="J33" s="21"/>
      <c r="K33" s="2" t="s">
        <v>33</v>
      </c>
      <c r="L33" s="20">
        <f ca="1">L32*EXP(-$C$9*2*$C$11)</f>
        <v>6.3286237730885881</v>
      </c>
      <c r="M33" s="26"/>
      <c r="N33" s="2"/>
      <c r="O33" s="2"/>
      <c r="P33" s="2"/>
      <c r="Q33" s="2"/>
      <c r="R33" s="2"/>
      <c r="S33" s="2"/>
      <c r="T33" s="2"/>
      <c r="U33" s="2"/>
      <c r="V33" s="2"/>
      <c r="W33" s="2"/>
      <c r="X33" s="2"/>
      <c r="Y33" s="2"/>
      <c r="Z33" s="2"/>
    </row>
    <row r="34" spans="1:26" ht="15.75" customHeight="1" x14ac:dyDescent="0.35">
      <c r="A34" s="2"/>
      <c r="B34" s="2"/>
      <c r="C34" s="2"/>
      <c r="D34" s="2"/>
      <c r="E34" s="2"/>
      <c r="F34" s="2"/>
      <c r="G34" s="2"/>
      <c r="H34" s="2"/>
      <c r="I34" s="2"/>
      <c r="J34" s="2"/>
      <c r="K34" s="21"/>
      <c r="L34" s="21"/>
      <c r="M34" s="21"/>
      <c r="N34" s="21"/>
      <c r="O34" s="2"/>
      <c r="P34" s="2"/>
      <c r="Q34" s="2"/>
      <c r="R34" s="2"/>
      <c r="S34" s="2"/>
      <c r="T34" s="2"/>
      <c r="U34" s="2"/>
      <c r="V34" s="2"/>
      <c r="W34" s="2"/>
      <c r="X34" s="2"/>
      <c r="Y34" s="2"/>
      <c r="Z34" s="2"/>
    </row>
    <row r="35" spans="1:26" ht="15.75" customHeight="1" x14ac:dyDescent="0.35">
      <c r="A35" s="2"/>
      <c r="B35" s="2"/>
      <c r="C35" s="2"/>
      <c r="D35" s="2"/>
      <c r="E35" s="2"/>
      <c r="F35" s="79" t="s">
        <v>69</v>
      </c>
      <c r="G35" s="79"/>
      <c r="H35" s="79"/>
      <c r="I35" s="79"/>
      <c r="J35" s="79"/>
      <c r="K35" s="80"/>
      <c r="L35" s="21"/>
      <c r="M35" s="21"/>
      <c r="N35" s="21"/>
      <c r="O35" s="2"/>
      <c r="P35" s="2"/>
      <c r="Q35" s="2"/>
      <c r="R35" s="2"/>
      <c r="S35" s="2"/>
      <c r="T35" s="2"/>
      <c r="U35" s="2"/>
      <c r="V35" s="2"/>
      <c r="W35" s="2"/>
      <c r="X35" s="2"/>
      <c r="Y35" s="2"/>
      <c r="Z35" s="2"/>
    </row>
    <row r="36" spans="1:26" ht="15.75" customHeight="1" x14ac:dyDescent="0.35">
      <c r="A36" s="2"/>
      <c r="B36" s="2"/>
      <c r="C36" s="2"/>
      <c r="D36" s="2"/>
      <c r="E36" s="2"/>
      <c r="F36" s="79" t="s">
        <v>70</v>
      </c>
      <c r="G36" s="79"/>
      <c r="H36" s="79"/>
      <c r="I36" s="79"/>
      <c r="J36" s="79"/>
      <c r="K36" s="80"/>
      <c r="L36" s="21"/>
      <c r="M36" s="21"/>
      <c r="N36" s="21"/>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E10:E11"/>
    <mergeCell ref="J10:J11"/>
  </mergeCells>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vt:lpstr>
      <vt:lpstr>Asset</vt:lpstr>
      <vt:lpstr>CR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Enrique Garcia</cp:lastModifiedBy>
  <dcterms:modified xsi:type="dcterms:W3CDTF">2025-07-11T00:36:55Z</dcterms:modified>
</cp:coreProperties>
</file>