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garcia\Desktop\AXM_Courses\Finance\6 Opciones financieras\R_Studio_Project_Opciones_Financieras\"/>
    </mc:Choice>
  </mc:AlternateContent>
  <xr:revisionPtr revIDLastSave="0" documentId="13_ncr:1_{CA4F30C2-9CE7-4B92-A5F3-3A125D0A2E1C}" xr6:coauthVersionLast="47" xr6:coauthVersionMax="47" xr10:uidLastSave="{00000000-0000-0000-0000-000000000000}"/>
  <bookViews>
    <workbookView xWindow="-3570" yWindow="-16335" windowWidth="29040" windowHeight="15840" activeTab="1" xr2:uid="{710154D1-B4B1-4DE1-8DC4-17FFC98FC3A5}"/>
  </bookViews>
  <sheets>
    <sheet name="AP" sheetId="1" r:id="rId1"/>
    <sheet name="VI" sheetId="11" r:id="rId2"/>
    <sheet name="Contratos" sheetId="13" r:id="rId3"/>
    <sheet name="Sabana VI" sheetId="15" r:id="rId4"/>
    <sheet name="Gráfico1" sheetId="16" r:id="rId5"/>
    <sheet name="Conclusiones" sheetId="2" r:id="rId6"/>
  </sheets>
  <functionGroups builtInGroupCount="19"/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Beta">[1]SML!$D$29:$J$29</definedName>
    <definedName name="BLA">#REF!</definedName>
    <definedName name="BLACK76">#REF!</definedName>
    <definedName name="bond_compute_handler" localSheetId="5">Conclusiones!bond_compute_handler</definedName>
    <definedName name="bond_compute_handler">bond_compute_handler</definedName>
    <definedName name="Bond_Display_Tree" localSheetId="5">Conclusiones!Bond_Display_Tree</definedName>
    <definedName name="Bond_Display_Tree">Bond_Display_Tree</definedName>
    <definedName name="bond_graph_handler" localSheetId="5">Conclusiones!bond_graph_handler</definedName>
    <definedName name="bond_graph_handler">bond_graph_handler</definedName>
    <definedName name="bond_graph_input_formatter" localSheetId="5">Conclusiones!bond_graph_input_formatter</definedName>
    <definedName name="bond_graph_input_formatter">bond_graph_input_formatter</definedName>
    <definedName name="Bond_Option_Select" localSheetId="5">Conclusiones!Bond_Option_Select</definedName>
    <definedName name="Bond_Option_Select">Bond_Option_Select</definedName>
    <definedName name="CAMBIO">'[2]M OK'!$J$8</definedName>
    <definedName name="Cap_or_Swap_Option_Select" localSheetId="5">Conclusiones!Cap_or_Swap_Option_Select</definedName>
    <definedName name="Cap_or_Swap_Option_Select">Cap_or_Swap_Option_Select</definedName>
    <definedName name="Cap_or_Swap_Select" localSheetId="5">Conclusiones!Cap_or_Swap_Select</definedName>
    <definedName name="Cap_or_Swap_Select">Cap_or_Swap_Select</definedName>
    <definedName name="Capital">[3]Carátula!$D$4</definedName>
    <definedName name="cete">#REF!</definedName>
    <definedName name="cete2">#REF!</definedName>
    <definedName name="cetes">#REF!</definedName>
    <definedName name="confidence">#REF!</definedName>
    <definedName name="down_deviation">'[4]1b.4.Sortino'!$K$6</definedName>
    <definedName name="Equity_compute_handler" localSheetId="5">Conclusiones!Equity_compute_handler</definedName>
    <definedName name="Equity_compute_handler">Equity_compute_handler</definedName>
    <definedName name="Equity_Display_Tree" localSheetId="5">Conclusiones!Equity_Display_Tree</definedName>
    <definedName name="Equity_Display_Tree">Equity_Display_Tree</definedName>
    <definedName name="Equity_graph_handler" localSheetId="5">Conclusiones!Equity_graph_handler</definedName>
    <definedName name="Equity_graph_handler">Equity_graph_handler</definedName>
    <definedName name="Equity_graph_input_formatter" localSheetId="5">Conclusiones!Equity_graph_input_formatter</definedName>
    <definedName name="Equity_graph_input_formatter">Equity_graph_input_formatter</definedName>
    <definedName name="Equity_Option_Select" localSheetId="5">Conclusiones!Equity_Option_Select</definedName>
    <definedName name="Equity_Option_Select">Equity_Option_Select</definedName>
    <definedName name="Equity_Underlying_Select" localSheetId="5">Conclusiones!Equity_Underlying_Select</definedName>
    <definedName name="Equity_Underlying_Select">Equity_Underlying_Select</definedName>
    <definedName name="ERP">[1]SML!$D$22</definedName>
    <definedName name="erp_">'[4]1a.2.Stulz(HedgeIrrelev)'!$C$6</definedName>
    <definedName name="fecha">#REF!</definedName>
    <definedName name="flujoscaja">#REF!</definedName>
    <definedName name="forward">'[4]1a.2.Stulz(HedgeIrrelev)'!$C$7</definedName>
    <definedName name="Ganadoras">'[5]Drow Down'!$F$14</definedName>
    <definedName name="ggg">#REF!</definedName>
    <definedName name="GGGGG">#REF!</definedName>
    <definedName name="i">'[6]Estimación LGD'!$C$37</definedName>
    <definedName name="Index_Sheet_Kutools">#REF!</definedName>
    <definedName name="IR">'[4]1b.3.RAPMs'!$D$19</definedName>
    <definedName name="JJJ">#REF!</definedName>
    <definedName name="KILLA">#REF!</definedName>
    <definedName name="LOJ">#REF!</definedName>
    <definedName name="MAR">'[4]1b.4.Sortino'!$K$3</definedName>
    <definedName name="MarketReturn">[7]RAPM_v1!$H$9</definedName>
    <definedName name="mitabla">[8]Ej13!$L$13:$O$22</definedName>
    <definedName name="movnom">[9]Portafolio!$L$2</definedName>
    <definedName name="movreal">[9]Portafolio!$L$3</definedName>
    <definedName name="n">#REF!</definedName>
    <definedName name="Nominal">#REF!</definedName>
    <definedName name="P_Entrada">[3]Carátula!$D$16</definedName>
    <definedName name="P_Stop">[3]Carátula!$D$17</definedName>
    <definedName name="Perdedoras">'[5]Drow Down'!$F$13</definedName>
    <definedName name="PF">'[10]FUTURO TEÓRICO'!$G$11</definedName>
    <definedName name="pmk">[11]Bull!$C$7</definedName>
    <definedName name="PortReturn">[7]RAPM_v1!$D$4</definedName>
    <definedName name="PortVolatility">[7]RAPM_v1!$D$5</definedName>
    <definedName name="Prima">[5]Opciones!$H$6</definedName>
    <definedName name="Prima2">[5]Opciones!$H$29</definedName>
    <definedName name="Prima3">[5]Opciones!$R$6</definedName>
    <definedName name="Prima4">[5]Opciones!$R$29</definedName>
    <definedName name="pzo">[11]Bull!$C$10</definedName>
    <definedName name="r_a">'[5]Intro Port'!$D$11</definedName>
    <definedName name="r_b">'[5]Intro Port'!$D$16</definedName>
    <definedName name="residual_risk">#REF!</definedName>
    <definedName name="Return__E_P">'[12]3.4 Amenc RAPM'!$D$10:$J$10</definedName>
    <definedName name="return_p">'[4]1b.4.Sortino'!$O$5</definedName>
    <definedName name="rf">'[5]Intro Port'!$D$8</definedName>
    <definedName name="rf_rate">[1]SML!$D$2</definedName>
    <definedName name="rho">'[4]1b.4.Sortino'!$O$6</definedName>
    <definedName name="rho_ab">'[5]Intro Port'!$D$21</definedName>
    <definedName name="Riesgo_Individual">[3]Carátula!$D$5</definedName>
    <definedName name="Riesgo_Total">[3]Carátula!$D$6</definedName>
    <definedName name="riskfree">'[4]1b.4.Sortino'!$K$2</definedName>
    <definedName name="riskfree_">'[4]1a.2.Stulz(HedgeIrrelev)'!$C$5</definedName>
    <definedName name="riskfree_rate">[7]RAPM_v1!$H$4</definedName>
    <definedName name="sigma">#REF!</definedName>
    <definedName name="sigma_a">'[5]Intro Port'!$D$12</definedName>
    <definedName name="sigma_b">'[5]Intro Port'!$D$17</definedName>
    <definedName name="significance">#REF!</definedName>
    <definedName name="solver_adj" localSheetId="2" hidden="1">Contratos!$S$5</definedName>
    <definedName name="solver_adj" localSheetId="3" hidden="1">'Sabana VI'!$AR$6</definedName>
    <definedName name="solver_adj" localSheetId="1" hidden="1">VI!$B$5</definedName>
    <definedName name="solver_cvg" localSheetId="2" hidden="1">0.0001</definedName>
    <definedName name="solver_cvg" localSheetId="3" hidden="1">0.0000001</definedName>
    <definedName name="solver_cvg" localSheetId="1" hidden="1">0.0001</definedName>
    <definedName name="solver_drv" localSheetId="2" hidden="1">1</definedName>
    <definedName name="solver_drv" localSheetId="3" hidden="1">1</definedName>
    <definedName name="solver_drv" localSheetId="1" hidden="1">1</definedName>
    <definedName name="solver_eng" localSheetId="2" hidden="1">1</definedName>
    <definedName name="solver_eng" localSheetId="3" hidden="1">1</definedName>
    <definedName name="solver_eng" localSheetId="1" hidden="1">1</definedName>
    <definedName name="solver_est" localSheetId="2" hidden="1">1</definedName>
    <definedName name="solver_est" localSheetId="3" hidden="1">1</definedName>
    <definedName name="solver_est" localSheetId="1" hidden="1">1</definedName>
    <definedName name="solver_itr" localSheetId="2" hidden="1">2147483647</definedName>
    <definedName name="solver_itr" localSheetId="3" hidden="1">2147483647</definedName>
    <definedName name="solver_itr" localSheetId="1" hidden="1">2147483647</definedName>
    <definedName name="solver_mip" localSheetId="2" hidden="1">2147483647</definedName>
    <definedName name="solver_mip" localSheetId="3" hidden="1">2147483647</definedName>
    <definedName name="solver_mip" localSheetId="1" hidden="1">2147483647</definedName>
    <definedName name="solver_mni" localSheetId="2" hidden="1">30</definedName>
    <definedName name="solver_mni" localSheetId="3" hidden="1">30</definedName>
    <definedName name="solver_mni" localSheetId="1" hidden="1">30</definedName>
    <definedName name="solver_mrt" localSheetId="2" hidden="1">0.075</definedName>
    <definedName name="solver_mrt" localSheetId="3" hidden="1">0.075</definedName>
    <definedName name="solver_mrt" localSheetId="1" hidden="1">0.075</definedName>
    <definedName name="solver_msl" localSheetId="2" hidden="1">2</definedName>
    <definedName name="solver_msl" localSheetId="3" hidden="1">2</definedName>
    <definedName name="solver_msl" localSheetId="1" hidden="1">2</definedName>
    <definedName name="solver_neg" localSheetId="2" hidden="1">1</definedName>
    <definedName name="solver_neg" localSheetId="3" hidden="1">1</definedName>
    <definedName name="solver_neg" localSheetId="1" hidden="1">1</definedName>
    <definedName name="solver_nod" localSheetId="2" hidden="1">2147483647</definedName>
    <definedName name="solver_nod" localSheetId="3" hidden="1">2147483647</definedName>
    <definedName name="solver_nod" localSheetId="1" hidden="1">2147483647</definedName>
    <definedName name="solver_num" localSheetId="2" hidden="1">0</definedName>
    <definedName name="solver_num" localSheetId="3" hidden="1">0</definedName>
    <definedName name="solver_num" localSheetId="1" hidden="1">0</definedName>
    <definedName name="solver_nwt" localSheetId="2" hidden="1">1</definedName>
    <definedName name="solver_nwt" localSheetId="3" hidden="1">1</definedName>
    <definedName name="solver_nwt" localSheetId="1" hidden="1">1</definedName>
    <definedName name="solver_opt" localSheetId="2" hidden="1">Contratos!$S$10</definedName>
    <definedName name="solver_opt" localSheetId="3" hidden="1">'Sabana VI'!$AR$11</definedName>
    <definedName name="solver_opt" localSheetId="1" hidden="1">VI!$B$10</definedName>
    <definedName name="solver_pre" localSheetId="2" hidden="1">0.000001</definedName>
    <definedName name="solver_pre" localSheetId="3" hidden="1">0.000001</definedName>
    <definedName name="solver_pre" localSheetId="1" hidden="1">0.000001</definedName>
    <definedName name="solver_rbv" localSheetId="2" hidden="1">1</definedName>
    <definedName name="solver_rbv" localSheetId="3" hidden="1">1</definedName>
    <definedName name="solver_rbv" localSheetId="1" hidden="1">1</definedName>
    <definedName name="solver_rlx" localSheetId="2" hidden="1">2</definedName>
    <definedName name="solver_rlx" localSheetId="3" hidden="1">2</definedName>
    <definedName name="solver_rlx" localSheetId="1" hidden="1">2</definedName>
    <definedName name="solver_rsd" localSheetId="2" hidden="1">0</definedName>
    <definedName name="solver_rsd" localSheetId="3" hidden="1">0</definedName>
    <definedName name="solver_rsd" localSheetId="1" hidden="1">0</definedName>
    <definedName name="solver_scl" localSheetId="2" hidden="1">1</definedName>
    <definedName name="solver_scl" localSheetId="3" hidden="1">1</definedName>
    <definedName name="solver_scl" localSheetId="1" hidden="1">1</definedName>
    <definedName name="solver_sho" localSheetId="2" hidden="1">2</definedName>
    <definedName name="solver_sho" localSheetId="3" hidden="1">2</definedName>
    <definedName name="solver_sho" localSheetId="1" hidden="1">2</definedName>
    <definedName name="solver_ssz" localSheetId="2" hidden="1">100</definedName>
    <definedName name="solver_ssz" localSheetId="3" hidden="1">1000</definedName>
    <definedName name="solver_ssz" localSheetId="1" hidden="1">100</definedName>
    <definedName name="solver_tim" localSheetId="2" hidden="1">2147483647</definedName>
    <definedName name="solver_tim" localSheetId="3" hidden="1">2147483647</definedName>
    <definedName name="solver_tim" localSheetId="1" hidden="1">2147483647</definedName>
    <definedName name="solver_tol" localSheetId="2" hidden="1">0.01</definedName>
    <definedName name="solver_tol" localSheetId="3" hidden="1">0.01</definedName>
    <definedName name="solver_tol" localSheetId="1" hidden="1">0.01</definedName>
    <definedName name="solver_typ" localSheetId="2" hidden="1">3</definedName>
    <definedName name="solver_typ" localSheetId="3" hidden="1">3</definedName>
    <definedName name="solver_typ" localSheetId="1" hidden="1">3</definedName>
    <definedName name="solver_val" localSheetId="2" hidden="1">23.55</definedName>
    <definedName name="solver_val" localSheetId="3" hidden="1">42.5</definedName>
    <definedName name="solver_val" localSheetId="1" hidden="1">21.7</definedName>
    <definedName name="solver_ver" localSheetId="2" hidden="1">3</definedName>
    <definedName name="solver_ver" localSheetId="3" hidden="1">3</definedName>
    <definedName name="solver_ver" localSheetId="1" hidden="1">3</definedName>
    <definedName name="ST">#REF!</definedName>
    <definedName name="step_">'[4]1a.2.Stulz(CDF)'!$C$9</definedName>
    <definedName name="stkp">[11]Bull!$C$8</definedName>
    <definedName name="STRANGL">#REF!</definedName>
    <definedName name="STRAP1">#REF!</definedName>
    <definedName name="STRAP2">#REF!</definedName>
    <definedName name="Strike">[5]Opciones!$G$6</definedName>
    <definedName name="Strike2">[5]Opciones!$G$29</definedName>
    <definedName name="Strike3">[5]Opciones!$Q$6</definedName>
    <definedName name="Strike4">[5]Opciones!$Q$29</definedName>
    <definedName name="STRIP">#REF!</definedName>
    <definedName name="STRIP2">#REF!</definedName>
    <definedName name="swap_compute_handler" localSheetId="5">Conclusiones!swap_compute_handler</definedName>
    <definedName name="swap_compute_handler">[0]!swap_compute_handler</definedName>
    <definedName name="swap_graph_handler" localSheetId="5">Conclusiones!swap_graph_handler</definedName>
    <definedName name="swap_graph_handler">[0]!swap_graph_handler</definedName>
    <definedName name="swap_graph_input_formatter" localSheetId="5">Conclusiones!swap_graph_input_formatter</definedName>
    <definedName name="swap_graph_input_formatter">[0]!swap_graph_input_formatter</definedName>
    <definedName name="T">[7]RAPM_v1!$D$8</definedName>
    <definedName name="tablatipos">[8]Ej6!$L$13:$O$22</definedName>
    <definedName name="tablax">[8]Ej10!$L$5:$O$14</definedName>
    <definedName name="TE">[7]RAPM_v1!$D$7</definedName>
    <definedName name="tf">[11]Bull!$C$12</definedName>
    <definedName name="ti">[11]Bull!$C$9</definedName>
    <definedName name="VAR">#REF!</definedName>
    <definedName name="vol">[11]Bull!$C$11</definedName>
    <definedName name="vol_b">'[4]1b.4.Sortino'!$P$4</definedName>
    <definedName name="vol_p">'[4]1b.4.Sortino'!$P$5</definedName>
    <definedName name="VOLATILIDAD">'[13]Volatilidad H'!$H$12:$H$111</definedName>
    <definedName name="window">#REF!</definedName>
  </definedNames>
  <calcPr calcId="191029"/>
  <pivotCaches>
    <pivotCache cacheId="1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3" i="13" l="1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U38" i="13"/>
  <c r="U39" i="13"/>
  <c r="U40" i="13"/>
  <c r="U41" i="13"/>
  <c r="U42" i="13"/>
  <c r="U43" i="13"/>
  <c r="U44" i="13"/>
  <c r="U45" i="13"/>
  <c r="U46" i="13"/>
  <c r="U47" i="13"/>
  <c r="U48" i="13"/>
  <c r="U49" i="13"/>
  <c r="U50" i="13"/>
  <c r="U51" i="13"/>
  <c r="U52" i="13"/>
  <c r="U53" i="13"/>
  <c r="U54" i="13"/>
  <c r="U55" i="13"/>
  <c r="U56" i="13"/>
  <c r="U57" i="13"/>
  <c r="U58" i="13"/>
  <c r="U59" i="13"/>
  <c r="U60" i="13"/>
  <c r="U61" i="13"/>
  <c r="U62" i="13"/>
  <c r="U63" i="13"/>
  <c r="U64" i="13"/>
  <c r="U65" i="13"/>
  <c r="U66" i="13"/>
  <c r="U67" i="13"/>
  <c r="U68" i="13"/>
  <c r="U69" i="13"/>
  <c r="U70" i="13"/>
  <c r="U71" i="13"/>
  <c r="U72" i="13"/>
  <c r="U73" i="13"/>
  <c r="U74" i="13"/>
  <c r="U75" i="13"/>
  <c r="U76" i="13"/>
  <c r="U77" i="13"/>
  <c r="U78" i="13"/>
  <c r="U79" i="13"/>
  <c r="U80" i="13"/>
  <c r="U81" i="13"/>
  <c r="U82" i="13"/>
  <c r="U83" i="13"/>
  <c r="U84" i="13"/>
  <c r="U85" i="13"/>
  <c r="U86" i="13"/>
  <c r="U87" i="13"/>
  <c r="U88" i="13"/>
  <c r="U89" i="13"/>
  <c r="U90" i="13"/>
  <c r="U91" i="13"/>
  <c r="U92" i="13"/>
  <c r="U93" i="13"/>
  <c r="U94" i="13"/>
  <c r="U95" i="13"/>
  <c r="U96" i="13"/>
  <c r="U97" i="13"/>
  <c r="U98" i="13"/>
  <c r="U99" i="13"/>
  <c r="U100" i="13"/>
  <c r="U101" i="13"/>
  <c r="U102" i="13"/>
  <c r="U103" i="13"/>
  <c r="U104" i="13"/>
  <c r="U105" i="13"/>
  <c r="U106" i="13"/>
  <c r="U107" i="13"/>
  <c r="U108" i="13"/>
  <c r="U109" i="13"/>
  <c r="U110" i="13"/>
  <c r="U111" i="13"/>
  <c r="U112" i="13"/>
  <c r="U113" i="13"/>
  <c r="U114" i="13"/>
  <c r="U115" i="13"/>
  <c r="U116" i="13"/>
  <c r="U117" i="13"/>
  <c r="U118" i="13"/>
  <c r="U119" i="13"/>
  <c r="U120" i="13"/>
  <c r="U121" i="13"/>
  <c r="U122" i="13"/>
  <c r="U123" i="13"/>
  <c r="U124" i="13"/>
  <c r="U125" i="13"/>
  <c r="U126" i="13"/>
  <c r="U127" i="13"/>
  <c r="U128" i="13"/>
  <c r="U129" i="13"/>
  <c r="U130" i="13"/>
  <c r="U131" i="13"/>
  <c r="U132" i="13"/>
  <c r="U133" i="13"/>
  <c r="U134" i="13"/>
  <c r="U135" i="13"/>
  <c r="U136" i="13"/>
  <c r="U137" i="13"/>
  <c r="U138" i="13"/>
  <c r="U139" i="13"/>
  <c r="U140" i="13"/>
  <c r="U141" i="13"/>
  <c r="U142" i="13"/>
  <c r="U143" i="13"/>
  <c r="U144" i="13"/>
  <c r="U145" i="13"/>
  <c r="U146" i="13"/>
  <c r="U147" i="13"/>
  <c r="U148" i="13"/>
  <c r="U149" i="13"/>
  <c r="U150" i="13"/>
  <c r="U151" i="13"/>
  <c r="U152" i="13"/>
  <c r="U153" i="13"/>
  <c r="U154" i="13"/>
  <c r="U155" i="13"/>
  <c r="U156" i="13"/>
  <c r="U157" i="13"/>
  <c r="U158" i="13"/>
  <c r="U159" i="13"/>
  <c r="U160" i="13"/>
  <c r="U161" i="13"/>
  <c r="U162" i="13"/>
  <c r="U163" i="13"/>
  <c r="U164" i="13"/>
  <c r="U165" i="13"/>
  <c r="U166" i="13"/>
  <c r="U167" i="13"/>
  <c r="U168" i="13"/>
  <c r="U169" i="13"/>
  <c r="U170" i="13"/>
  <c r="U2" i="13"/>
  <c r="AR10" i="15"/>
  <c r="X170" i="13"/>
  <c r="W170" i="13"/>
  <c r="V170" i="13"/>
  <c r="X169" i="13"/>
  <c r="W169" i="13"/>
  <c r="V169" i="13"/>
  <c r="X168" i="13"/>
  <c r="W168" i="13"/>
  <c r="V168" i="13"/>
  <c r="X167" i="13"/>
  <c r="W167" i="13"/>
  <c r="V167" i="13"/>
  <c r="X166" i="13"/>
  <c r="W166" i="13"/>
  <c r="V166" i="13"/>
  <c r="X165" i="13"/>
  <c r="W165" i="13"/>
  <c r="V165" i="13"/>
  <c r="X164" i="13"/>
  <c r="W164" i="13"/>
  <c r="V164" i="13"/>
  <c r="X163" i="13"/>
  <c r="W163" i="13"/>
  <c r="V163" i="13"/>
  <c r="X162" i="13"/>
  <c r="W162" i="13"/>
  <c r="V162" i="13"/>
  <c r="X161" i="13"/>
  <c r="W161" i="13"/>
  <c r="V161" i="13"/>
  <c r="X160" i="13"/>
  <c r="W160" i="13"/>
  <c r="V160" i="13"/>
  <c r="X159" i="13"/>
  <c r="W159" i="13"/>
  <c r="V159" i="13"/>
  <c r="X158" i="13"/>
  <c r="W158" i="13"/>
  <c r="V158" i="13"/>
  <c r="X157" i="13"/>
  <c r="W157" i="13"/>
  <c r="V157" i="13"/>
  <c r="X156" i="13"/>
  <c r="W156" i="13"/>
  <c r="V156" i="13"/>
  <c r="X155" i="13"/>
  <c r="W155" i="13"/>
  <c r="V155" i="13"/>
  <c r="X154" i="13"/>
  <c r="W154" i="13"/>
  <c r="V154" i="13"/>
  <c r="X153" i="13"/>
  <c r="W153" i="13"/>
  <c r="V153" i="13"/>
  <c r="X152" i="13"/>
  <c r="W152" i="13"/>
  <c r="V152" i="13"/>
  <c r="X151" i="13"/>
  <c r="W151" i="13"/>
  <c r="V151" i="13"/>
  <c r="X150" i="13"/>
  <c r="W150" i="13"/>
  <c r="V150" i="13"/>
  <c r="X149" i="13"/>
  <c r="W149" i="13"/>
  <c r="V149" i="13"/>
  <c r="X148" i="13"/>
  <c r="W148" i="13"/>
  <c r="V148" i="13"/>
  <c r="X147" i="13"/>
  <c r="W147" i="13"/>
  <c r="V147" i="13"/>
  <c r="X146" i="13"/>
  <c r="W146" i="13"/>
  <c r="V146" i="13"/>
  <c r="X145" i="13"/>
  <c r="W145" i="13"/>
  <c r="V145" i="13"/>
  <c r="X144" i="13"/>
  <c r="W144" i="13"/>
  <c r="V144" i="13"/>
  <c r="X143" i="13"/>
  <c r="W143" i="13"/>
  <c r="V143" i="13"/>
  <c r="X142" i="13"/>
  <c r="W142" i="13"/>
  <c r="V142" i="13"/>
  <c r="X141" i="13"/>
  <c r="W141" i="13"/>
  <c r="V141" i="13"/>
  <c r="X140" i="13"/>
  <c r="W140" i="13"/>
  <c r="V140" i="13"/>
  <c r="X139" i="13"/>
  <c r="W139" i="13"/>
  <c r="V139" i="13"/>
  <c r="X138" i="13"/>
  <c r="W138" i="13"/>
  <c r="V138" i="13"/>
  <c r="X137" i="13"/>
  <c r="W137" i="13"/>
  <c r="V137" i="13"/>
  <c r="X136" i="13"/>
  <c r="W136" i="13"/>
  <c r="V136" i="13"/>
  <c r="X135" i="13"/>
  <c r="W135" i="13"/>
  <c r="V135" i="13"/>
  <c r="X134" i="13"/>
  <c r="W134" i="13"/>
  <c r="V134" i="13"/>
  <c r="X133" i="13"/>
  <c r="W133" i="13"/>
  <c r="V133" i="13"/>
  <c r="X132" i="13"/>
  <c r="W132" i="13"/>
  <c r="V132" i="13"/>
  <c r="X131" i="13"/>
  <c r="W131" i="13"/>
  <c r="V131" i="13"/>
  <c r="X130" i="13"/>
  <c r="W130" i="13"/>
  <c r="V130" i="13"/>
  <c r="X129" i="13"/>
  <c r="W129" i="13"/>
  <c r="V129" i="13"/>
  <c r="X128" i="13"/>
  <c r="W128" i="13"/>
  <c r="V128" i="13"/>
  <c r="X127" i="13"/>
  <c r="W127" i="13"/>
  <c r="V127" i="13"/>
  <c r="X126" i="13"/>
  <c r="W126" i="13"/>
  <c r="V126" i="13"/>
  <c r="X125" i="13"/>
  <c r="W125" i="13"/>
  <c r="V125" i="13"/>
  <c r="X124" i="13"/>
  <c r="W124" i="13"/>
  <c r="V124" i="13"/>
  <c r="X123" i="13"/>
  <c r="W123" i="13"/>
  <c r="V123" i="13"/>
  <c r="X122" i="13"/>
  <c r="W122" i="13"/>
  <c r="V122" i="13"/>
  <c r="X121" i="13"/>
  <c r="W121" i="13"/>
  <c r="V121" i="13"/>
  <c r="X120" i="13"/>
  <c r="W120" i="13"/>
  <c r="V120" i="13"/>
  <c r="X119" i="13"/>
  <c r="W119" i="13"/>
  <c r="V119" i="13"/>
  <c r="X118" i="13"/>
  <c r="W118" i="13"/>
  <c r="V118" i="13"/>
  <c r="X117" i="13"/>
  <c r="W117" i="13"/>
  <c r="V117" i="13"/>
  <c r="X116" i="13"/>
  <c r="W116" i="13"/>
  <c r="V116" i="13"/>
  <c r="X115" i="13"/>
  <c r="W115" i="13"/>
  <c r="V115" i="13"/>
  <c r="X114" i="13"/>
  <c r="W114" i="13"/>
  <c r="V114" i="13"/>
  <c r="X113" i="13"/>
  <c r="W113" i="13"/>
  <c r="V113" i="13"/>
  <c r="X112" i="13"/>
  <c r="W112" i="13"/>
  <c r="V112" i="13"/>
  <c r="X111" i="13"/>
  <c r="W111" i="13"/>
  <c r="V111" i="13"/>
  <c r="X110" i="13"/>
  <c r="W110" i="13"/>
  <c r="V110" i="13"/>
  <c r="X109" i="13"/>
  <c r="W109" i="13"/>
  <c r="V109" i="13"/>
  <c r="X108" i="13"/>
  <c r="W108" i="13"/>
  <c r="V108" i="13"/>
  <c r="X107" i="13"/>
  <c r="W107" i="13"/>
  <c r="V107" i="13"/>
  <c r="X106" i="13"/>
  <c r="W106" i="13"/>
  <c r="V106" i="13"/>
  <c r="X105" i="13"/>
  <c r="W105" i="13"/>
  <c r="V105" i="13"/>
  <c r="X104" i="13"/>
  <c r="W104" i="13"/>
  <c r="V104" i="13"/>
  <c r="X103" i="13"/>
  <c r="W103" i="13"/>
  <c r="V103" i="13"/>
  <c r="X102" i="13"/>
  <c r="W102" i="13"/>
  <c r="V102" i="13"/>
  <c r="X101" i="13"/>
  <c r="W101" i="13"/>
  <c r="V101" i="13"/>
  <c r="X100" i="13"/>
  <c r="W100" i="13"/>
  <c r="V100" i="13"/>
  <c r="X99" i="13"/>
  <c r="W99" i="13"/>
  <c r="V99" i="13"/>
  <c r="X98" i="13"/>
  <c r="W98" i="13"/>
  <c r="V98" i="13"/>
  <c r="X97" i="13"/>
  <c r="W97" i="13"/>
  <c r="V97" i="13"/>
  <c r="X96" i="13"/>
  <c r="W96" i="13"/>
  <c r="V96" i="13"/>
  <c r="X95" i="13"/>
  <c r="W95" i="13"/>
  <c r="V95" i="13"/>
  <c r="X94" i="13"/>
  <c r="W94" i="13"/>
  <c r="V94" i="13"/>
  <c r="X93" i="13"/>
  <c r="W93" i="13"/>
  <c r="V93" i="13"/>
  <c r="X92" i="13"/>
  <c r="W92" i="13"/>
  <c r="V92" i="13"/>
  <c r="X91" i="13"/>
  <c r="W91" i="13"/>
  <c r="V91" i="13"/>
  <c r="X90" i="13"/>
  <c r="W90" i="13"/>
  <c r="V90" i="13"/>
  <c r="X89" i="13"/>
  <c r="W89" i="13"/>
  <c r="V89" i="13"/>
  <c r="X88" i="13"/>
  <c r="W88" i="13"/>
  <c r="V88" i="13"/>
  <c r="X87" i="13"/>
  <c r="W87" i="13"/>
  <c r="V87" i="13"/>
  <c r="X86" i="13"/>
  <c r="W86" i="13"/>
  <c r="V86" i="13"/>
  <c r="X85" i="13"/>
  <c r="W85" i="13"/>
  <c r="V85" i="13"/>
  <c r="X84" i="13"/>
  <c r="W84" i="13"/>
  <c r="V84" i="13"/>
  <c r="X83" i="13"/>
  <c r="W83" i="13"/>
  <c r="V83" i="13"/>
  <c r="X82" i="13"/>
  <c r="W82" i="13"/>
  <c r="V82" i="13"/>
  <c r="X81" i="13"/>
  <c r="W81" i="13"/>
  <c r="V81" i="13"/>
  <c r="X80" i="13"/>
  <c r="W80" i="13"/>
  <c r="V80" i="13"/>
  <c r="X79" i="13"/>
  <c r="W79" i="13"/>
  <c r="V79" i="13"/>
  <c r="X78" i="13"/>
  <c r="W78" i="13"/>
  <c r="V78" i="13"/>
  <c r="X77" i="13"/>
  <c r="W77" i="13"/>
  <c r="V77" i="13"/>
  <c r="X76" i="13"/>
  <c r="W76" i="13"/>
  <c r="V76" i="13"/>
  <c r="X75" i="13"/>
  <c r="W75" i="13"/>
  <c r="V75" i="13"/>
  <c r="X74" i="13"/>
  <c r="W74" i="13"/>
  <c r="V74" i="13"/>
  <c r="X73" i="13"/>
  <c r="W73" i="13"/>
  <c r="V73" i="13"/>
  <c r="X72" i="13"/>
  <c r="W72" i="13"/>
  <c r="V72" i="13"/>
  <c r="X71" i="13"/>
  <c r="W71" i="13"/>
  <c r="V71" i="13"/>
  <c r="X70" i="13"/>
  <c r="W70" i="13"/>
  <c r="V70" i="13"/>
  <c r="X69" i="13"/>
  <c r="W69" i="13"/>
  <c r="V69" i="13"/>
  <c r="X68" i="13"/>
  <c r="W68" i="13"/>
  <c r="V68" i="13"/>
  <c r="X67" i="13"/>
  <c r="W67" i="13"/>
  <c r="V67" i="13"/>
  <c r="X66" i="13"/>
  <c r="W66" i="13"/>
  <c r="V66" i="13"/>
  <c r="X65" i="13"/>
  <c r="W65" i="13"/>
  <c r="V65" i="13"/>
  <c r="X64" i="13"/>
  <c r="W64" i="13"/>
  <c r="V64" i="13"/>
  <c r="X63" i="13"/>
  <c r="W63" i="13"/>
  <c r="V63" i="13"/>
  <c r="X62" i="13"/>
  <c r="W62" i="13"/>
  <c r="V62" i="13"/>
  <c r="X61" i="13"/>
  <c r="W61" i="13"/>
  <c r="V61" i="13"/>
  <c r="X60" i="13"/>
  <c r="W60" i="13"/>
  <c r="V60" i="13"/>
  <c r="X59" i="13"/>
  <c r="W59" i="13"/>
  <c r="V59" i="13"/>
  <c r="X58" i="13"/>
  <c r="W58" i="13"/>
  <c r="V58" i="13"/>
  <c r="X57" i="13"/>
  <c r="W57" i="13"/>
  <c r="V57" i="13"/>
  <c r="X56" i="13"/>
  <c r="W56" i="13"/>
  <c r="V56" i="13"/>
  <c r="X55" i="13"/>
  <c r="W55" i="13"/>
  <c r="V55" i="13"/>
  <c r="X54" i="13"/>
  <c r="W54" i="13"/>
  <c r="V54" i="13"/>
  <c r="X53" i="13"/>
  <c r="W53" i="13"/>
  <c r="V53" i="13"/>
  <c r="X52" i="13"/>
  <c r="W52" i="13"/>
  <c r="V52" i="13"/>
  <c r="X51" i="13"/>
  <c r="W51" i="13"/>
  <c r="V51" i="13"/>
  <c r="X50" i="13"/>
  <c r="W50" i="13"/>
  <c r="V50" i="13"/>
  <c r="X49" i="13"/>
  <c r="W49" i="13"/>
  <c r="V49" i="13"/>
  <c r="X48" i="13"/>
  <c r="W48" i="13"/>
  <c r="V48" i="13"/>
  <c r="X47" i="13"/>
  <c r="W47" i="13"/>
  <c r="V47" i="13"/>
  <c r="X46" i="13"/>
  <c r="W46" i="13"/>
  <c r="V46" i="13"/>
  <c r="X45" i="13"/>
  <c r="W45" i="13"/>
  <c r="V45" i="13"/>
  <c r="X44" i="13"/>
  <c r="W44" i="13"/>
  <c r="V44" i="13"/>
  <c r="X43" i="13"/>
  <c r="W43" i="13"/>
  <c r="V43" i="13"/>
  <c r="X42" i="13"/>
  <c r="W42" i="13"/>
  <c r="V42" i="13"/>
  <c r="X41" i="13"/>
  <c r="W41" i="13"/>
  <c r="V41" i="13"/>
  <c r="X40" i="13"/>
  <c r="W40" i="13"/>
  <c r="V40" i="13"/>
  <c r="X39" i="13"/>
  <c r="W39" i="13"/>
  <c r="V39" i="13"/>
  <c r="X38" i="13"/>
  <c r="W38" i="13"/>
  <c r="V38" i="13"/>
  <c r="X37" i="13"/>
  <c r="W37" i="13"/>
  <c r="V37" i="13"/>
  <c r="X36" i="13"/>
  <c r="W36" i="13"/>
  <c r="V36" i="13"/>
  <c r="X35" i="13"/>
  <c r="W35" i="13"/>
  <c r="V35" i="13"/>
  <c r="X34" i="13"/>
  <c r="W34" i="13"/>
  <c r="V34" i="13"/>
  <c r="X33" i="13"/>
  <c r="W33" i="13"/>
  <c r="V33" i="13"/>
  <c r="X32" i="13"/>
  <c r="W32" i="13"/>
  <c r="V32" i="13"/>
  <c r="X31" i="13"/>
  <c r="W31" i="13"/>
  <c r="V31" i="13"/>
  <c r="X30" i="13"/>
  <c r="W30" i="13"/>
  <c r="V30" i="13"/>
  <c r="X29" i="13"/>
  <c r="W29" i="13"/>
  <c r="V29" i="13"/>
  <c r="X28" i="13"/>
  <c r="W28" i="13"/>
  <c r="V28" i="13"/>
  <c r="X27" i="13"/>
  <c r="W27" i="13"/>
  <c r="V27" i="13"/>
  <c r="X26" i="13"/>
  <c r="W26" i="13"/>
  <c r="V26" i="13"/>
  <c r="X25" i="13"/>
  <c r="W25" i="13"/>
  <c r="V25" i="13"/>
  <c r="X24" i="13"/>
  <c r="W24" i="13"/>
  <c r="V24" i="13"/>
  <c r="X23" i="13"/>
  <c r="W23" i="13"/>
  <c r="V23" i="13"/>
  <c r="X22" i="13"/>
  <c r="W22" i="13"/>
  <c r="V22" i="13"/>
  <c r="X21" i="13"/>
  <c r="W21" i="13"/>
  <c r="V21" i="13"/>
  <c r="X20" i="13"/>
  <c r="W20" i="13"/>
  <c r="V20" i="13"/>
  <c r="X19" i="13"/>
  <c r="W19" i="13"/>
  <c r="V19" i="13"/>
  <c r="X18" i="13"/>
  <c r="W18" i="13"/>
  <c r="V18" i="13"/>
  <c r="X17" i="13"/>
  <c r="W17" i="13"/>
  <c r="V17" i="13"/>
  <c r="X16" i="13"/>
  <c r="W16" i="13"/>
  <c r="V16" i="13"/>
  <c r="X15" i="13"/>
  <c r="W15" i="13"/>
  <c r="V15" i="13"/>
  <c r="X14" i="13"/>
  <c r="W14" i="13"/>
  <c r="V14" i="13"/>
  <c r="X13" i="13"/>
  <c r="W13" i="13"/>
  <c r="V13" i="13"/>
  <c r="X12" i="13"/>
  <c r="W12" i="13"/>
  <c r="V12" i="13"/>
  <c r="X11" i="13"/>
  <c r="W11" i="13"/>
  <c r="V11" i="13"/>
  <c r="X10" i="13"/>
  <c r="W10" i="13"/>
  <c r="V10" i="13"/>
  <c r="X9" i="13"/>
  <c r="W9" i="13"/>
  <c r="V9" i="13"/>
  <c r="X8" i="13"/>
  <c r="W8" i="13"/>
  <c r="V8" i="13"/>
  <c r="X7" i="13"/>
  <c r="W7" i="13"/>
  <c r="V7" i="13"/>
  <c r="X6" i="13"/>
  <c r="W6" i="13"/>
  <c r="V6" i="13"/>
  <c r="X5" i="13"/>
  <c r="W5" i="13"/>
  <c r="V5" i="13"/>
  <c r="X4" i="13"/>
  <c r="W4" i="13"/>
  <c r="V4" i="13"/>
  <c r="X3" i="13"/>
  <c r="W3" i="13"/>
  <c r="V3" i="13"/>
  <c r="X2" i="13"/>
  <c r="W2" i="13"/>
  <c r="V2" i="13"/>
  <c r="S9" i="13"/>
  <c r="B9" i="11"/>
  <c r="AR11" i="15" a="1"/>
  <c r="S10" i="13" a="1"/>
  <c r="B10" i="11" a="1"/>
  <c r="B10" i="11" l="1"/>
  <c r="AR11" i="15"/>
  <c r="S10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Enrique Garcia</author>
  </authors>
  <commentList>
    <comment ref="O2" authorId="0" shapeId="0" xr:uid="{2CAF2A0C-82DB-4795-860A-C3898BCC6EA4}">
      <text>
        <r>
          <rPr>
            <b/>
            <sz val="9"/>
            <color indexed="81"/>
            <rFont val="Tahoma"/>
            <family val="2"/>
          </rPr>
          <t>El dia de hoy menos la fecha de expiracion, dias al vencimiento del contrato.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<sst xmlns="http://schemas.openxmlformats.org/spreadsheetml/2006/main" count="507" uniqueCount="177">
  <si>
    <t xml:space="preserve"> </t>
  </si>
  <si>
    <t>Aplicación</t>
  </si>
  <si>
    <t>Precios de Opciones</t>
  </si>
  <si>
    <t>Descripción</t>
  </si>
  <si>
    <t>Ponente</t>
  </si>
  <si>
    <t>Jorge Luis Reyes García</t>
  </si>
  <si>
    <t>jorgeluis.reyes@ciencias.unam.mx</t>
  </si>
  <si>
    <t>Conclusiones</t>
  </si>
  <si>
    <t>Tiempo (días)</t>
  </si>
  <si>
    <t>Strike</t>
  </si>
  <si>
    <t>Volatilidad</t>
  </si>
  <si>
    <t>Opción (Call/Put)</t>
  </si>
  <si>
    <t>Analizar el precio de las primas call y put ante cambios en precios del subyacente y del tiempo</t>
  </si>
  <si>
    <t>Spot</t>
  </si>
  <si>
    <t>Tasa Libre de Riesgo</t>
  </si>
  <si>
    <t>Opciones Financieras</t>
  </si>
  <si>
    <t>Call</t>
  </si>
  <si>
    <t>Precio</t>
  </si>
  <si>
    <t>Aug 1</t>
  </si>
  <si>
    <t>--</t>
  </si>
  <si>
    <t>-0.03 </t>
  </si>
  <si>
    <t>-0.45 </t>
  </si>
  <si>
    <t>-0.06 </t>
  </si>
  <si>
    <t>-0.88 </t>
  </si>
  <si>
    <t>-0.09 </t>
  </si>
  <si>
    <t>-0.32 </t>
  </si>
  <si>
    <t>-0.14 </t>
  </si>
  <si>
    <t>-0.20 </t>
  </si>
  <si>
    <t>-0.17 </t>
  </si>
  <si>
    <t>-0.33 </t>
  </si>
  <si>
    <t>-0.24 </t>
  </si>
  <si>
    <t>-0.40 </t>
  </si>
  <si>
    <t>-0.25 </t>
  </si>
  <si>
    <t>-0.23 </t>
  </si>
  <si>
    <t>-0.34 </t>
  </si>
  <si>
    <t>-0.27 </t>
  </si>
  <si>
    <t>-0.35 </t>
  </si>
  <si>
    <t>-0.30 </t>
  </si>
  <si>
    <t>-0.28 </t>
  </si>
  <si>
    <t>-0.31 </t>
  </si>
  <si>
    <t>-0.19 </t>
  </si>
  <si>
    <t>-0.22 </t>
  </si>
  <si>
    <t>0.83 </t>
  </si>
  <si>
    <t>-0.13 </t>
  </si>
  <si>
    <t>0.41 </t>
  </si>
  <si>
    <t>-0.10 </t>
  </si>
  <si>
    <t>1.15 </t>
  </si>
  <si>
    <t>Calls</t>
  </si>
  <si>
    <t>Puts</t>
  </si>
  <si>
    <t>Exp. Date</t>
  </si>
  <si>
    <t>Last</t>
  </si>
  <si>
    <t>Change</t>
  </si>
  <si>
    <t>Bid</t>
  </si>
  <si>
    <t>Ask</t>
  </si>
  <si>
    <t>Volume</t>
  </si>
  <si>
    <t>Open Int.</t>
  </si>
  <si>
    <t>Volatilidad Implicita</t>
  </si>
  <si>
    <t>0.02 </t>
  </si>
  <si>
    <t>-0.98 </t>
  </si>
  <si>
    <t>-0.02 </t>
  </si>
  <si>
    <t>-1.38 </t>
  </si>
  <si>
    <t>-0.11 </t>
  </si>
  <si>
    <t>-1.17 </t>
  </si>
  <si>
    <t>-0.15 </t>
  </si>
  <si>
    <t>-0.26 </t>
  </si>
  <si>
    <t>-0.04 </t>
  </si>
  <si>
    <t>-0.21 </t>
  </si>
  <si>
    <t>0.25 </t>
  </si>
  <si>
    <t>0.34 </t>
  </si>
  <si>
    <t>0.45 </t>
  </si>
  <si>
    <t>0.75 </t>
  </si>
  <si>
    <t>-0.16 </t>
  </si>
  <si>
    <t>-0.70 </t>
  </si>
  <si>
    <t>0.05 </t>
  </si>
  <si>
    <t>-0.05 </t>
  </si>
  <si>
    <t>-0.58 </t>
  </si>
  <si>
    <t>-0.12 </t>
  </si>
  <si>
    <t>-0.18 </t>
  </si>
  <si>
    <t>0.10 </t>
  </si>
  <si>
    <t>0.15 </t>
  </si>
  <si>
    <t>0.70 </t>
  </si>
  <si>
    <t>0.49 </t>
  </si>
  <si>
    <t>0.85 </t>
  </si>
  <si>
    <t>0.66 </t>
  </si>
  <si>
    <t>-1.26 </t>
  </si>
  <si>
    <t>-0.37 </t>
  </si>
  <si>
    <t>-0.08 </t>
  </si>
  <si>
    <t>0.55 </t>
  </si>
  <si>
    <t>0.20 </t>
  </si>
  <si>
    <t>-1.03 </t>
  </si>
  <si>
    <t>-1.07 </t>
  </si>
  <si>
    <t>-0.01 </t>
  </si>
  <si>
    <t>-0.60 </t>
  </si>
  <si>
    <t>-0.72 </t>
  </si>
  <si>
    <t>0.61 </t>
  </si>
  <si>
    <t>-1.00 </t>
  </si>
  <si>
    <t>-1.27 </t>
  </si>
  <si>
    <t>0.01 </t>
  </si>
  <si>
    <t>-0.90 </t>
  </si>
  <si>
    <t>-1.01 </t>
  </si>
  <si>
    <t>0.04 </t>
  </si>
  <si>
    <t>-0.46 </t>
  </si>
  <si>
    <t>-0.55 </t>
  </si>
  <si>
    <t>-0.77 </t>
  </si>
  <si>
    <t>-0.65 </t>
  </si>
  <si>
    <t>-0.63 </t>
  </si>
  <si>
    <t>0.07 </t>
  </si>
  <si>
    <t>0.43 </t>
  </si>
  <si>
    <t>0.26 </t>
  </si>
  <si>
    <t>0.65 </t>
  </si>
  <si>
    <t>-0.54 </t>
  </si>
  <si>
    <t>0.40 </t>
  </si>
  <si>
    <t>0.22 </t>
  </si>
  <si>
    <t>0.68 </t>
  </si>
  <si>
    <t>0.37 </t>
  </si>
  <si>
    <t>-0.52 </t>
  </si>
  <si>
    <t>0.33 </t>
  </si>
  <si>
    <t>0.30 </t>
  </si>
  <si>
    <t>-0.95 </t>
  </si>
  <si>
    <t>-0.84 </t>
  </si>
  <si>
    <t>-0.29 </t>
  </si>
  <si>
    <t>0.27 </t>
  </si>
  <si>
    <t>0.32 </t>
  </si>
  <si>
    <t>-0.62 </t>
  </si>
  <si>
    <t>0.17 </t>
  </si>
  <si>
    <t>-0.39 </t>
  </si>
  <si>
    <t>-1.05 </t>
  </si>
  <si>
    <t>-0.75 </t>
  </si>
  <si>
    <t>-0.66 </t>
  </si>
  <si>
    <t>-0.36 </t>
  </si>
  <si>
    <t>0.28 </t>
  </si>
  <si>
    <t>-0.48 </t>
  </si>
  <si>
    <t>0.29 </t>
  </si>
  <si>
    <t>-0.44 </t>
  </si>
  <si>
    <t>0.35 </t>
  </si>
  <si>
    <t>0.13 </t>
  </si>
  <si>
    <t>0.11 </t>
  </si>
  <si>
    <t>-0.49 </t>
  </si>
  <si>
    <t>0.21 </t>
  </si>
  <si>
    <t>-1.16 </t>
  </si>
  <si>
    <t>0.08 </t>
  </si>
  <si>
    <t>-0.78 </t>
  </si>
  <si>
    <t>0.12 </t>
  </si>
  <si>
    <t>-0.57 </t>
  </si>
  <si>
    <t>-0.71 </t>
  </si>
  <si>
    <t>-0.64 </t>
  </si>
  <si>
    <t>-0.68 </t>
  </si>
  <si>
    <t>0.19 </t>
  </si>
  <si>
    <t>-0.41 </t>
  </si>
  <si>
    <t>0.03 </t>
  </si>
  <si>
    <t>-0.93 </t>
  </si>
  <si>
    <t>Plazo</t>
  </si>
  <si>
    <t>Etiquetas de columna</t>
  </si>
  <si>
    <t>Total general</t>
  </si>
  <si>
    <t>Etiquetas de fila</t>
  </si>
  <si>
    <t>Promedio de Volatilidad Implicita</t>
  </si>
  <si>
    <t>Prima</t>
  </si>
  <si>
    <t>Para el strike de 195:</t>
  </si>
  <si>
    <t>Lo que esta en blanco es porque no se puede resolver, no</t>
  </si>
  <si>
    <t>hay una volatilidad que de este precio</t>
  </si>
  <si>
    <t xml:space="preserve">Nota: </t>
  </si>
  <si>
    <t>TO-DO:</t>
  </si>
  <si>
    <t>Programarlo para diferentes Strikes (arriba solo es para strike $195)</t>
  </si>
  <si>
    <t>Comparar sabanas de volatilidad para los distintos strikes</t>
  </si>
  <si>
    <t>La volatilidad sera distinta para contratos in-the-money, out-the-money, at-the-money</t>
  </si>
  <si>
    <t>por ejemplo, si nos tomamos un contrato fuera del dinero la volatiidad sera pequena</t>
  </si>
  <si>
    <t>si encontramos un strike con valores cercanos al dinero la volatilidad sera mas alta porque</t>
  </si>
  <si>
    <t>hay  probabilidad de ganar o perder dinero.</t>
  </si>
  <si>
    <t>Comparar la sabana con Vega para comparar el modelo teorico (Vega) con el modelo empirico</t>
  </si>
  <si>
    <t>y a partir de ahi decidir si dentro de la valuacion de opciones se necesite hacer algun ajuste para</t>
  </si>
  <si>
    <t>que los contratos no solo se valuen con la volatilidad historica (vega) sino que se puedan ponderar</t>
  </si>
  <si>
    <t>algunos escenarios de volatilidad implicita.</t>
  </si>
  <si>
    <t>En la sabana los valores de 350% de volatilidad anualizada es un extremo y podria no ser real,</t>
  </si>
  <si>
    <t>y calcular la Volatilidad Implicita en el precio de la opcion</t>
  </si>
  <si>
    <t xml:space="preserve">La volatilidad implicita viene de la formula de Black and Scholes y es calculada por metodos de </t>
  </si>
  <si>
    <t>optimizacion en este caso Solver. Asi se obtiene la Volatilidad implicita dado el precio de la Opcion</t>
  </si>
  <si>
    <t>tipicamente rondan al rededor de 30-60% por lo que habria que analizar los resultados de la sabana.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</si>
</sst>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_-;\-* #,##0_-;_-* &quot;-&quot;??_-;_-@_-"/>
    <numFmt numFmtId="166" formatCode="_-* #,##0.00000_-;\-* #,##0.00000_-;_-* &quot;-&quot;??_-;_-@_-"/>
    <numFmt numFmtId="167" formatCode="0.00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1C1C2E"/>
      <name val="Inherit"/>
    </font>
    <font>
      <sz val="9"/>
      <color rgb="FFDD1D28"/>
      <name val="Inherit"/>
    </font>
    <font>
      <sz val="9"/>
      <color rgb="FF004F24"/>
      <name val="Inherit"/>
    </font>
    <font>
      <sz val="9"/>
      <color rgb="FF1C1C2E"/>
      <name val="Inherit"/>
    </font>
    <font>
      <b/>
      <sz val="9"/>
      <color rgb="FF1C1C2E"/>
      <name val="Inherit"/>
    </font>
    <font>
      <sz val="9"/>
      <color rgb="FF1C1C2E"/>
      <name val="Inherit"/>
    </font>
    <font>
      <sz val="9"/>
      <color rgb="FF1C1C2E"/>
      <name val="Segoe UI"/>
      <family val="2"/>
    </font>
    <font>
      <b/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4" tint="0.79998168889431442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E1E1E6"/>
      </top>
      <bottom style="medium">
        <color rgb="FFE1E1E6"/>
      </bottom>
      <diagonal/>
    </border>
    <border>
      <left/>
      <right/>
      <top style="medium">
        <color rgb="FFE6E6E6"/>
      </top>
      <bottom style="medium">
        <color rgb="FFE6E6E6"/>
      </bottom>
      <diagonal/>
    </border>
    <border>
      <left/>
      <right/>
      <top style="medium">
        <color rgb="FFC4C4C9"/>
      </top>
      <bottom style="medium">
        <color rgb="FFC4C4C9"/>
      </bottom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4" fillId="2" borderId="0" xfId="0" applyFont="1" applyFill="1"/>
    <xf numFmtId="0" fontId="4" fillId="3" borderId="0" xfId="0" applyFont="1" applyFill="1"/>
    <xf numFmtId="0" fontId="6" fillId="3" borderId="0" xfId="0" applyFont="1" applyFill="1" applyAlignment="1">
      <alignment horizontal="left" indent="43"/>
    </xf>
    <xf numFmtId="0" fontId="7" fillId="3" borderId="0" xfId="0" applyFont="1" applyFill="1"/>
    <xf numFmtId="0" fontId="8" fillId="3" borderId="0" xfId="0" applyFont="1" applyFill="1"/>
    <xf numFmtId="0" fontId="3" fillId="3" borderId="0" xfId="2" applyFill="1"/>
    <xf numFmtId="0" fontId="9" fillId="3" borderId="0" xfId="0" applyFont="1" applyFill="1"/>
    <xf numFmtId="0" fontId="0" fillId="3" borderId="0" xfId="0" applyFill="1"/>
    <xf numFmtId="0" fontId="0" fillId="4" borderId="0" xfId="0" applyFill="1"/>
    <xf numFmtId="0" fontId="2" fillId="4" borderId="1" xfId="0" applyFont="1" applyFill="1" applyBorder="1"/>
    <xf numFmtId="0" fontId="0" fillId="3" borderId="1" xfId="0" applyFill="1" applyBorder="1"/>
    <xf numFmtId="9" fontId="0" fillId="3" borderId="1" xfId="0" applyNumberFormat="1" applyFill="1" applyBorder="1"/>
    <xf numFmtId="0" fontId="5" fillId="3" borderId="0" xfId="0" applyFont="1" applyFill="1" applyAlignment="1">
      <alignment horizontal="left" indent="32"/>
    </xf>
    <xf numFmtId="0" fontId="0" fillId="5" borderId="1" xfId="0" applyFill="1" applyBorder="1"/>
    <xf numFmtId="0" fontId="14" fillId="6" borderId="4" xfId="0" applyFont="1" applyFill="1" applyBorder="1" applyAlignment="1">
      <alignment horizontal="right" vertical="center" wrapText="1"/>
    </xf>
    <xf numFmtId="0" fontId="14" fillId="7" borderId="4" xfId="0" applyFont="1" applyFill="1" applyBorder="1" applyAlignment="1">
      <alignment horizontal="right" vertical="center" wrapText="1"/>
    </xf>
    <xf numFmtId="10" fontId="0" fillId="3" borderId="1" xfId="0" applyNumberFormat="1" applyFill="1" applyBorder="1"/>
    <xf numFmtId="0" fontId="0" fillId="8" borderId="1" xfId="0" applyFill="1" applyBorder="1"/>
    <xf numFmtId="0" fontId="15" fillId="0" borderId="3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right" vertical="center" wrapText="1"/>
    </xf>
    <xf numFmtId="0" fontId="16" fillId="0" borderId="0" xfId="0" applyFont="1" applyAlignment="1">
      <alignment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3" fillId="5" borderId="2" xfId="2" applyFill="1" applyBorder="1" applyAlignment="1">
      <alignment horizontal="center" vertical="center" wrapText="1"/>
    </xf>
    <xf numFmtId="14" fontId="0" fillId="0" borderId="0" xfId="0" applyNumberFormat="1"/>
    <xf numFmtId="10" fontId="0" fillId="0" borderId="0" xfId="3" applyNumberFormat="1" applyFont="1"/>
    <xf numFmtId="164" fontId="0" fillId="0" borderId="0" xfId="1" applyFont="1"/>
    <xf numFmtId="0" fontId="0" fillId="0" borderId="0" xfId="0" pivotButton="1"/>
    <xf numFmtId="164" fontId="0" fillId="0" borderId="0" xfId="0" applyNumberFormat="1" applyAlignment="1">
      <alignment horizontal="left"/>
    </xf>
    <xf numFmtId="10" fontId="0" fillId="0" borderId="0" xfId="0" applyNumberFormat="1"/>
    <xf numFmtId="164" fontId="0" fillId="0" borderId="0" xfId="0" applyNumberFormat="1" applyAlignment="1">
      <alignment horizontal="left" indent="1"/>
    </xf>
    <xf numFmtId="0" fontId="0" fillId="0" borderId="0" xfId="0" applyFill="1"/>
    <xf numFmtId="0" fontId="0" fillId="0" borderId="1" xfId="0" applyFill="1" applyBorder="1"/>
    <xf numFmtId="10" fontId="0" fillId="0" borderId="1" xfId="0" applyNumberFormat="1" applyFill="1" applyBorder="1"/>
    <xf numFmtId="10" fontId="0" fillId="0" borderId="0" xfId="0" applyNumberFormat="1" applyFill="1"/>
    <xf numFmtId="9" fontId="0" fillId="0" borderId="1" xfId="0" applyNumberFormat="1" applyFill="1" applyBorder="1"/>
    <xf numFmtId="9" fontId="0" fillId="0" borderId="0" xfId="0" applyNumberFormat="1" applyFill="1"/>
    <xf numFmtId="166" fontId="0" fillId="0" borderId="0" xfId="1" applyNumberFormat="1" applyFont="1" applyFill="1"/>
    <xf numFmtId="0" fontId="2" fillId="5" borderId="1" xfId="0" applyFont="1" applyFill="1" applyBorder="1"/>
    <xf numFmtId="167" fontId="0" fillId="0" borderId="1" xfId="0" applyNumberFormat="1" applyFill="1" applyBorder="1"/>
    <xf numFmtId="164" fontId="0" fillId="11" borderId="1" xfId="0" applyNumberFormat="1" applyFill="1" applyBorder="1" applyAlignment="1">
      <alignment horizontal="left"/>
    </xf>
    <xf numFmtId="10" fontId="0" fillId="0" borderId="1" xfId="0" applyNumberFormat="1" applyBorder="1"/>
    <xf numFmtId="0" fontId="2" fillId="12" borderId="1" xfId="0" applyFont="1" applyFill="1" applyBorder="1"/>
    <xf numFmtId="0" fontId="2" fillId="0" borderId="0" xfId="0" applyFont="1"/>
    <xf numFmtId="0" fontId="0" fillId="0" borderId="0" xfId="0" applyAlignment="1">
      <alignment horizontal="center"/>
    </xf>
    <xf numFmtId="0" fontId="14" fillId="10" borderId="4" xfId="0" applyFont="1" applyFill="1" applyBorder="1" applyAlignment="1">
      <alignment horizontal="center" vertical="center" wrapText="1"/>
    </xf>
    <xf numFmtId="167" fontId="0" fillId="0" borderId="0" xfId="3" applyNumberFormat="1" applyFont="1" applyAlignment="1">
      <alignment horizontal="center"/>
    </xf>
    <xf numFmtId="0" fontId="15" fillId="0" borderId="4" xfId="0" applyFont="1" applyBorder="1" applyAlignment="1">
      <alignment horizontal="center" vertical="center" wrapText="1"/>
    </xf>
    <xf numFmtId="14" fontId="10" fillId="0" borderId="2" xfId="0" applyNumberFormat="1" applyFont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165" fontId="0" fillId="0" borderId="0" xfId="1" applyNumberFormat="1" applyFont="1" applyAlignment="1">
      <alignment horizontal="center"/>
    </xf>
    <xf numFmtId="0" fontId="12" fillId="0" borderId="2" xfId="0" applyFont="1" applyBorder="1" applyAlignment="1">
      <alignment horizontal="center"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12" fillId="9" borderId="2" xfId="0" applyFont="1" applyFill="1" applyBorder="1" applyAlignment="1">
      <alignment horizontal="center" vertical="center" wrapText="1"/>
    </xf>
    <xf numFmtId="164" fontId="0" fillId="13" borderId="0" xfId="0" applyNumberFormat="1" applyFill="1" applyAlignment="1">
      <alignment horizontal="left"/>
    </xf>
    <xf numFmtId="0" fontId="2" fillId="13" borderId="0" xfId="0" applyFont="1" applyFill="1"/>
    <xf numFmtId="10" fontId="2" fillId="0" borderId="0" xfId="0" applyNumberFormat="1" applyFont="1"/>
    <xf numFmtId="164" fontId="2" fillId="0" borderId="0" xfId="0" applyNumberFormat="1" applyFont="1" applyAlignment="1">
      <alignment horizontal="left"/>
    </xf>
    <xf numFmtId="0" fontId="10" fillId="3" borderId="2" xfId="0" applyFont="1" applyFill="1" applyBorder="1" applyAlignment="1">
      <alignment horizontal="left" vertical="center" wrapText="1"/>
    </xf>
    <xf numFmtId="0" fontId="10" fillId="3" borderId="2" xfId="0" applyFont="1" applyFill="1" applyBorder="1" applyAlignment="1">
      <alignment horizontal="right" vertical="center" wrapText="1"/>
    </xf>
    <xf numFmtId="10" fontId="10" fillId="3" borderId="2" xfId="3" applyNumberFormat="1" applyFont="1" applyFill="1" applyBorder="1" applyAlignment="1">
      <alignment horizontal="right" vertical="center" wrapText="1"/>
    </xf>
    <xf numFmtId="0" fontId="11" fillId="3" borderId="2" xfId="0" applyFont="1" applyFill="1" applyBorder="1" applyAlignment="1">
      <alignment horizontal="right" vertical="center" wrapText="1"/>
    </xf>
    <xf numFmtId="0" fontId="3" fillId="3" borderId="2" xfId="2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right" vertical="center" wrapText="1"/>
    </xf>
    <xf numFmtId="0" fontId="2" fillId="3" borderId="0" xfId="0" applyFont="1" applyFill="1"/>
    <xf numFmtId="0" fontId="13" fillId="3" borderId="4" xfId="0" applyFont="1" applyFill="1" applyBorder="1" applyAlignment="1">
      <alignment horizontal="right" vertical="center" wrapText="1"/>
    </xf>
    <xf numFmtId="0" fontId="13" fillId="3" borderId="4" xfId="0" applyFont="1" applyFill="1" applyBorder="1" applyAlignment="1">
      <alignment horizontal="left" vertical="center" wrapText="1"/>
    </xf>
    <xf numFmtId="0" fontId="13" fillId="3" borderId="3" xfId="0" applyFont="1" applyFill="1" applyBorder="1" applyAlignment="1">
      <alignment horizontal="left" vertical="center" wrapText="1"/>
    </xf>
    <xf numFmtId="0" fontId="13" fillId="3" borderId="3" xfId="0" applyFont="1" applyFill="1" applyBorder="1" applyAlignment="1">
      <alignment horizontal="right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/>
    <xf numFmtId="0" fontId="0" fillId="3" borderId="5" xfId="0" applyFill="1" applyBorder="1"/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1">
    <dxf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5.xml"/><Relationship Id="rId24" Type="http://schemas.openxmlformats.org/officeDocument/2006/relationships/sheetMetadata" Target="metadata.xml"/><Relationship Id="rId5" Type="http://schemas.openxmlformats.org/officeDocument/2006/relationships/chartsheet" Target="chartsheets/sheet1.xml"/><Relationship Id="rId15" Type="http://schemas.openxmlformats.org/officeDocument/2006/relationships/externalLink" Target="externalLinks/externalLink9.xml"/><Relationship Id="rId23" Type="http://schemas.openxmlformats.org/officeDocument/2006/relationships/sharedStrings" Target="sharedStrings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VI!$F$5</c:f>
              <c:strCache>
                <c:ptCount val="1"/>
                <c:pt idx="0">
                  <c:v>Volatilidad Implicita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VI!$F$6:$F$23</c:f>
              <c:numCache>
                <c:formatCode>0.00%</c:formatCode>
                <c:ptCount val="18"/>
                <c:pt idx="0">
                  <c:v>0.51427431324161299</c:v>
                </c:pt>
                <c:pt idx="1">
                  <c:v>0.32229582396111517</c:v>
                </c:pt>
                <c:pt idx="2">
                  <c:v>0.4170634526924642</c:v>
                </c:pt>
                <c:pt idx="3">
                  <c:v>0.47687182700065173</c:v>
                </c:pt>
                <c:pt idx="4">
                  <c:v>0.46672891157084939</c:v>
                </c:pt>
                <c:pt idx="5">
                  <c:v>0.45902404964740096</c:v>
                </c:pt>
                <c:pt idx="6">
                  <c:v>0.45044048826860711</c:v>
                </c:pt>
                <c:pt idx="7">
                  <c:v>0.452110952195099</c:v>
                </c:pt>
                <c:pt idx="8">
                  <c:v>0.44947112875721995</c:v>
                </c:pt>
                <c:pt idx="9">
                  <c:v>0.44410446750927457</c:v>
                </c:pt>
                <c:pt idx="10">
                  <c:v>0.44385508728149914</c:v>
                </c:pt>
                <c:pt idx="11">
                  <c:v>0.43606912536213771</c:v>
                </c:pt>
                <c:pt idx="12">
                  <c:v>0.42917178493909058</c:v>
                </c:pt>
                <c:pt idx="13">
                  <c:v>0.42565800315557178</c:v>
                </c:pt>
                <c:pt idx="14">
                  <c:v>0.42814655021828957</c:v>
                </c:pt>
                <c:pt idx="15">
                  <c:v>0.43190584937099313</c:v>
                </c:pt>
                <c:pt idx="16">
                  <c:v>0.43653199248027669</c:v>
                </c:pt>
                <c:pt idx="17">
                  <c:v>0.44277288830173439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E5-4C9E-A570-D0ECFB437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899312"/>
        <c:axId val="120899792"/>
      </c:lineChart>
      <c:catAx>
        <c:axId val="1208993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899792"/>
        <c:crosses val="autoZero"/>
        <c:auto val="1"/>
        <c:lblAlgn val="ctr"/>
        <c:lblOffset val="100"/>
        <c:noMultiLvlLbl val="0"/>
      </c:catAx>
      <c:valAx>
        <c:axId val="12089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89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Sabana</a:t>
            </a:r>
            <a:r>
              <a:rPr lang="en-US" baseline="0"/>
              <a:t> de Volatilidad Implicita (K=$195)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1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'Sabana VI'!$W$4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VI'!$W$5:$W$23</c:f>
              <c:numCache>
                <c:formatCode>0.00%</c:formatCode>
                <c:ptCount val="19"/>
                <c:pt idx="0">
                  <c:v>0.32233555139738296</c:v>
                </c:pt>
                <c:pt idx="1">
                  <c:v>0.59574947379049792</c:v>
                </c:pt>
                <c:pt idx="2">
                  <c:v>0.70883746038981177</c:v>
                </c:pt>
                <c:pt idx="3">
                  <c:v>0.79233811294528811</c:v>
                </c:pt>
                <c:pt idx="4">
                  <c:v>0.87409983154360926</c:v>
                </c:pt>
                <c:pt idx="5">
                  <c:v>0.93519203043807175</c:v>
                </c:pt>
                <c:pt idx="6">
                  <c:v>1.0841591096019814</c:v>
                </c:pt>
                <c:pt idx="7">
                  <c:v>1.3116475469025792</c:v>
                </c:pt>
                <c:pt idx="8">
                  <c:v>1.5849277624273244</c:v>
                </c:pt>
                <c:pt idx="9">
                  <c:v>1.7431252927428826</c:v>
                </c:pt>
                <c:pt idx="10">
                  <c:v>1.8848237682978541</c:v>
                </c:pt>
                <c:pt idx="11">
                  <c:v>2.0801668571843592</c:v>
                </c:pt>
                <c:pt idx="12">
                  <c:v>2.2060486596364246</c:v>
                </c:pt>
                <c:pt idx="13">
                  <c:v>2.5319793035556111</c:v>
                </c:pt>
                <c:pt idx="14">
                  <c:v>2.6468120604962344</c:v>
                </c:pt>
                <c:pt idx="15">
                  <c:v>3.0520421869720624</c:v>
                </c:pt>
                <c:pt idx="16">
                  <c:v>3.3658155822947164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D8-4E05-AE18-4B9E6A88978F}"/>
            </c:ext>
          </c:extLst>
        </c:ser>
        <c:ser>
          <c:idx val="1"/>
          <c:order val="1"/>
          <c:tx>
            <c:strRef>
              <c:f>'Sabana VI'!$X$4</c:f>
              <c:strCache>
                <c:ptCount val="1"/>
                <c:pt idx="0">
                  <c:v>12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VI'!$X$5:$X$23</c:f>
              <c:numCache>
                <c:formatCode>0.00%</c:formatCode>
                <c:ptCount val="19"/>
                <c:pt idx="1">
                  <c:v>0.35746475668942485</c:v>
                </c:pt>
                <c:pt idx="2">
                  <c:v>0.43848812571944834</c:v>
                </c:pt>
                <c:pt idx="3">
                  <c:v>0.49539197176619137</c:v>
                </c:pt>
                <c:pt idx="4">
                  <c:v>0.55008993594032107</c:v>
                </c:pt>
                <c:pt idx="5">
                  <c:v>0.5905793407781651</c:v>
                </c:pt>
                <c:pt idx="6">
                  <c:v>0.68851377003655456</c:v>
                </c:pt>
                <c:pt idx="7">
                  <c:v>0.8369483691895897</c:v>
                </c:pt>
                <c:pt idx="8">
                  <c:v>1.0144576051071996</c:v>
                </c:pt>
                <c:pt idx="9">
                  <c:v>1.1170145713612538</c:v>
                </c:pt>
                <c:pt idx="10">
                  <c:v>1.2088013050693203</c:v>
                </c:pt>
                <c:pt idx="11">
                  <c:v>1.3352534367183506</c:v>
                </c:pt>
                <c:pt idx="12">
                  <c:v>1.4167034842265664</c:v>
                </c:pt>
                <c:pt idx="13">
                  <c:v>1.6274985357739749</c:v>
                </c:pt>
                <c:pt idx="14">
                  <c:v>1.7017421589126045</c:v>
                </c:pt>
                <c:pt idx="15">
                  <c:v>1.9636706863846096</c:v>
                </c:pt>
                <c:pt idx="16">
                  <c:v>2.1664309357943363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D8-4E05-AE18-4B9E6A88978F}"/>
            </c:ext>
          </c:extLst>
        </c:ser>
        <c:ser>
          <c:idx val="2"/>
          <c:order val="2"/>
          <c:tx>
            <c:strRef>
              <c:f>'Sabana VI'!$Y$4</c:f>
              <c:strCache>
                <c:ptCount val="1"/>
                <c:pt idx="0">
                  <c:v>19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VI'!$Y$5:$Y$23</c:f>
              <c:numCache>
                <c:formatCode>0.00%</c:formatCode>
                <c:ptCount val="19"/>
                <c:pt idx="1">
                  <c:v>0.25723229760375443</c:v>
                </c:pt>
                <c:pt idx="2">
                  <c:v>0.33186893834855763</c:v>
                </c:pt>
                <c:pt idx="3">
                  <c:v>0.3801559185448789</c:v>
                </c:pt>
                <c:pt idx="4">
                  <c:v>0.42545014957136423</c:v>
                </c:pt>
                <c:pt idx="5">
                  <c:v>0.45858533668264428</c:v>
                </c:pt>
                <c:pt idx="6">
                  <c:v>0.53798381253542316</c:v>
                </c:pt>
                <c:pt idx="7">
                  <c:v>0.65730581046354408</c:v>
                </c:pt>
                <c:pt idx="8">
                  <c:v>0.79930196158319466</c:v>
                </c:pt>
                <c:pt idx="9">
                  <c:v>0.88117115259358858</c:v>
                </c:pt>
                <c:pt idx="10">
                  <c:v>0.95437843194888294</c:v>
                </c:pt>
                <c:pt idx="11">
                  <c:v>1.0551659264185842</c:v>
                </c:pt>
                <c:pt idx="12">
                  <c:v>1.1200538237690298</c:v>
                </c:pt>
                <c:pt idx="13">
                  <c:v>1.2879081576407283</c:v>
                </c:pt>
                <c:pt idx="14">
                  <c:v>1.3470077789210722</c:v>
                </c:pt>
                <c:pt idx="15">
                  <c:v>1.5554533969318305</c:v>
                </c:pt>
                <c:pt idx="16">
                  <c:v>1.7167685451430925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D8-4E05-AE18-4B9E6A88978F}"/>
            </c:ext>
          </c:extLst>
        </c:ser>
        <c:ser>
          <c:idx val="3"/>
          <c:order val="3"/>
          <c:tx>
            <c:strRef>
              <c:f>'Sabana VI'!$Z$4</c:f>
              <c:strCache>
                <c:ptCount val="1"/>
                <c:pt idx="0">
                  <c:v>26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VI'!$Z$5:$Z$23</c:f>
              <c:numCache>
                <c:formatCode>0.00%</c:formatCode>
                <c:ptCount val="19"/>
                <c:pt idx="1">
                  <c:v>0.18560487189579947</c:v>
                </c:pt>
                <c:pt idx="2">
                  <c:v>0.26779856075615033</c:v>
                </c:pt>
                <c:pt idx="3">
                  <c:v>0.3125861252779068</c:v>
                </c:pt>
                <c:pt idx="4">
                  <c:v>0.35319945459759172</c:v>
                </c:pt>
                <c:pt idx="5">
                  <c:v>0.38247585244219057</c:v>
                </c:pt>
                <c:pt idx="6">
                  <c:v>0.45184847854653964</c:v>
                </c:pt>
                <c:pt idx="7">
                  <c:v>0.55510247503112742</c:v>
                </c:pt>
                <c:pt idx="8">
                  <c:v>0.67732093070299348</c:v>
                </c:pt>
                <c:pt idx="9">
                  <c:v>0.7476315554420222</c:v>
                </c:pt>
                <c:pt idx="10">
                  <c:v>0.81044501465569929</c:v>
                </c:pt>
                <c:pt idx="11">
                  <c:v>0.89686171093525946</c:v>
                </c:pt>
                <c:pt idx="12">
                  <c:v>0.95246976666245642</c:v>
                </c:pt>
                <c:pt idx="13">
                  <c:v>1.09624994105357</c:v>
                </c:pt>
                <c:pt idx="14">
                  <c:v>1.1468556594642365</c:v>
                </c:pt>
                <c:pt idx="15">
                  <c:v>1.3252942155582224</c:v>
                </c:pt>
                <c:pt idx="16">
                  <c:v>1.4633485664565902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D8-4E05-AE18-4B9E6A88978F}"/>
            </c:ext>
          </c:extLst>
        </c:ser>
        <c:ser>
          <c:idx val="4"/>
          <c:order val="4"/>
          <c:tx>
            <c:strRef>
              <c:f>'Sabana VI'!$AA$4</c:f>
              <c:strCache>
                <c:ptCount val="1"/>
                <c:pt idx="0">
                  <c:v>33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VI'!$AA$5:$AA$23</c:f>
              <c:numCache>
                <c:formatCode>0.00%</c:formatCode>
                <c:ptCount val="19"/>
                <c:pt idx="2">
                  <c:v>0.22131736091169585</c:v>
                </c:pt>
                <c:pt idx="3">
                  <c:v>0.26554589018743452</c:v>
                </c:pt>
                <c:pt idx="4">
                  <c:v>0.30368858210152072</c:v>
                </c:pt>
                <c:pt idx="5">
                  <c:v>0.33066965749513477</c:v>
                </c:pt>
                <c:pt idx="6">
                  <c:v>0.39374558739733034</c:v>
                </c:pt>
                <c:pt idx="7">
                  <c:v>0.48659797584113784</c:v>
                </c:pt>
                <c:pt idx="8">
                  <c:v>0.59586116053875071</c:v>
                </c:pt>
                <c:pt idx="9">
                  <c:v>0.65857068370005645</c:v>
                </c:pt>
                <c:pt idx="10">
                  <c:v>0.71453879455353575</c:v>
                </c:pt>
                <c:pt idx="11">
                  <c:v>0.79148085152771452</c:v>
                </c:pt>
                <c:pt idx="12">
                  <c:v>0.84096629891453301</c:v>
                </c:pt>
                <c:pt idx="13">
                  <c:v>0.96885246145903603</c:v>
                </c:pt>
                <c:pt idx="14">
                  <c:v>1.0138477928103871</c:v>
                </c:pt>
                <c:pt idx="15">
                  <c:v>1.1724590775368118</c:v>
                </c:pt>
                <c:pt idx="16">
                  <c:v>1.2951405062177244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D8-4E05-AE18-4B9E6A88978F}"/>
            </c:ext>
          </c:extLst>
        </c:ser>
        <c:ser>
          <c:idx val="5"/>
          <c:order val="5"/>
          <c:tx>
            <c:strRef>
              <c:f>'Sabana VI'!$AB$4</c:f>
              <c:strCache>
                <c:ptCount val="1"/>
                <c:pt idx="0">
                  <c:v>36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VI'!$AB$5:$AB$23</c:f>
              <c:numCache>
                <c:formatCode>0.00%</c:formatCode>
                <c:ptCount val="19"/>
                <c:pt idx="2">
                  <c:v>0.20417010238145361</c:v>
                </c:pt>
                <c:pt idx="3">
                  <c:v>0.24901967403935413</c:v>
                </c:pt>
                <c:pt idx="4">
                  <c:v>0.2865607777203098</c:v>
                </c:pt>
                <c:pt idx="5">
                  <c:v>0.31285507327422951</c:v>
                </c:pt>
                <c:pt idx="6">
                  <c:v>0.37391733154160295</c:v>
                </c:pt>
                <c:pt idx="7">
                  <c:v>0.46334030577704677</c:v>
                </c:pt>
                <c:pt idx="8">
                  <c:v>0.5682851458561643</c:v>
                </c:pt>
                <c:pt idx="9">
                  <c:v>0.62845038941012277</c:v>
                </c:pt>
                <c:pt idx="10">
                  <c:v>0.68212549118907417</c:v>
                </c:pt>
                <c:pt idx="11">
                  <c:v>0.75589102590120816</c:v>
                </c:pt>
                <c:pt idx="12">
                  <c:v>0.80332256465337704</c:v>
                </c:pt>
                <c:pt idx="13">
                  <c:v>0.92587405222068619</c:v>
                </c:pt>
                <c:pt idx="14">
                  <c:v>0.96898560933899514</c:v>
                </c:pt>
                <c:pt idx="15">
                  <c:v>1.1209377218920082</c:v>
                </c:pt>
                <c:pt idx="16">
                  <c:v>1.2384540529210424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D8-4E05-AE18-4B9E6A88978F}"/>
            </c:ext>
          </c:extLst>
        </c:ser>
        <c:ser>
          <c:idx val="6"/>
          <c:order val="6"/>
          <c:tx>
            <c:strRef>
              <c:f>'Sabana VI'!$AC$4</c:f>
              <c:strCache>
                <c:ptCount val="1"/>
                <c:pt idx="0">
                  <c:v>40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VI'!$AC$5:$AC$23</c:f>
              <c:numCache>
                <c:formatCode>0.00%</c:formatCode>
                <c:ptCount val="19"/>
                <c:pt idx="2">
                  <c:v>0.18255604533055805</c:v>
                </c:pt>
                <c:pt idx="3">
                  <c:v>0.2292694863485184</c:v>
                </c:pt>
                <c:pt idx="4">
                  <c:v>0.26637291478995007</c:v>
                </c:pt>
                <c:pt idx="5">
                  <c:v>0.29196023311986685</c:v>
                </c:pt>
                <c:pt idx="6">
                  <c:v>0.35079917655908449</c:v>
                </c:pt>
                <c:pt idx="7">
                  <c:v>0.43632185548584457</c:v>
                </c:pt>
                <c:pt idx="8">
                  <c:v>0.53631302594287567</c:v>
                </c:pt>
                <c:pt idx="9">
                  <c:v>0.59355422453009743</c:v>
                </c:pt>
                <c:pt idx="10">
                  <c:v>0.64459038960481918</c:v>
                </c:pt>
                <c:pt idx="11">
                  <c:v>0.71469783604125747</c:v>
                </c:pt>
                <c:pt idx="12">
                  <c:v>0.7597630733354791</c:v>
                </c:pt>
                <c:pt idx="13">
                  <c:v>0.87616614787008595</c:v>
                </c:pt>
                <c:pt idx="14">
                  <c:v>0.91710600428860289</c:v>
                </c:pt>
                <c:pt idx="15">
                  <c:v>1.0613795923320397</c:v>
                </c:pt>
                <c:pt idx="16">
                  <c:v>1.1729390382570544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D8-4E05-AE18-4B9E6A88978F}"/>
            </c:ext>
          </c:extLst>
        </c:ser>
        <c:ser>
          <c:idx val="7"/>
          <c:order val="7"/>
          <c:tx>
            <c:strRef>
              <c:f>'Sabana VI'!$AD$4</c:f>
              <c:strCache>
                <c:ptCount val="1"/>
                <c:pt idx="0">
                  <c:v>54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VI'!$AD$5:$AD$23</c:f>
              <c:numCache>
                <c:formatCode>0.00%</c:formatCode>
                <c:ptCount val="19"/>
                <c:pt idx="3">
                  <c:v>0.17205551607023634</c:v>
                </c:pt>
                <c:pt idx="4">
                  <c:v>0.21106997393380972</c:v>
                </c:pt>
                <c:pt idx="5">
                  <c:v>0.23565779282195523</c:v>
                </c:pt>
                <c:pt idx="6">
                  <c:v>0.28961268244534472</c:v>
                </c:pt>
                <c:pt idx="7">
                  <c:v>0.36554462175526009</c:v>
                </c:pt>
                <c:pt idx="8">
                  <c:v>0.45300351919044729</c:v>
                </c:pt>
                <c:pt idx="9">
                  <c:v>0.50278735359782212</c:v>
                </c:pt>
                <c:pt idx="10">
                  <c:v>0.54707785262634123</c:v>
                </c:pt>
                <c:pt idx="11">
                  <c:v>0.60781591215588793</c:v>
                </c:pt>
                <c:pt idx="12">
                  <c:v>0.64681318716837244</c:v>
                </c:pt>
                <c:pt idx="13">
                  <c:v>0.74743217287643315</c:v>
                </c:pt>
                <c:pt idx="14">
                  <c:v>0.78279444174603074</c:v>
                </c:pt>
                <c:pt idx="15">
                  <c:v>0.90733267960395503</c:v>
                </c:pt>
                <c:pt idx="16">
                  <c:v>1.0035739893650344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8D8-4E05-AE18-4B9E6A88978F}"/>
            </c:ext>
          </c:extLst>
        </c:ser>
        <c:ser>
          <c:idx val="8"/>
          <c:order val="8"/>
          <c:tx>
            <c:strRef>
              <c:f>'Sabana VI'!$AE$4</c:f>
              <c:strCache>
                <c:ptCount val="1"/>
                <c:pt idx="0">
                  <c:v>82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VI'!$AE$5:$AE$23</c:f>
              <c:numCache>
                <c:formatCode>0.00%</c:formatCode>
                <c:ptCount val="19"/>
                <c:pt idx="4">
                  <c:v>0.12731465563736968</c:v>
                </c:pt>
                <c:pt idx="5">
                  <c:v>0.15933419166251825</c:v>
                </c:pt>
                <c:pt idx="6">
                  <c:v>0.21275433898827106</c:v>
                </c:pt>
                <c:pt idx="7">
                  <c:v>0.27949969693914001</c:v>
                </c:pt>
                <c:pt idx="8">
                  <c:v>0.35319815809857652</c:v>
                </c:pt>
                <c:pt idx="9">
                  <c:v>0.39455968424016569</c:v>
                </c:pt>
                <c:pt idx="10">
                  <c:v>0.43116402653953884</c:v>
                </c:pt>
                <c:pt idx="11">
                  <c:v>0.48116560294332317</c:v>
                </c:pt>
                <c:pt idx="12">
                  <c:v>0.51318605683226137</c:v>
                </c:pt>
                <c:pt idx="13">
                  <c:v>0.59559969718666483</c:v>
                </c:pt>
                <c:pt idx="14">
                  <c:v>0.62451370333788692</c:v>
                </c:pt>
                <c:pt idx="15">
                  <c:v>0.72620644830045411</c:v>
                </c:pt>
                <c:pt idx="16">
                  <c:v>0.80469084136459001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8D8-4E05-AE18-4B9E6A88978F}"/>
            </c:ext>
          </c:extLst>
        </c:ser>
        <c:ser>
          <c:idx val="9"/>
          <c:order val="9"/>
          <c:tx>
            <c:strRef>
              <c:f>'Sabana VI'!$AF$4</c:f>
              <c:strCache>
                <c:ptCount val="1"/>
                <c:pt idx="0">
                  <c:v>117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VI'!$AF$5:$AF$23</c:f>
              <c:numCache>
                <c:formatCode>0.00%</c:formatCode>
                <c:ptCount val="19"/>
                <c:pt idx="6">
                  <c:v>0.1483509617511298</c:v>
                </c:pt>
                <c:pt idx="7">
                  <c:v>0.21410178770483693</c:v>
                </c:pt>
                <c:pt idx="8">
                  <c:v>0.27969818834181154</c:v>
                </c:pt>
                <c:pt idx="9">
                  <c:v>0.31557486663693218</c:v>
                </c:pt>
                <c:pt idx="10">
                  <c:v>0.34704895090665921</c:v>
                </c:pt>
                <c:pt idx="11">
                  <c:v>0.38977796422944383</c:v>
                </c:pt>
                <c:pt idx="12">
                  <c:v>0.41703065930647354</c:v>
                </c:pt>
                <c:pt idx="13">
                  <c:v>0.48691636074300554</c:v>
                </c:pt>
                <c:pt idx="14">
                  <c:v>0.51137352370806444</c:v>
                </c:pt>
                <c:pt idx="15">
                  <c:v>0.5972239163117814</c:v>
                </c:pt>
                <c:pt idx="16">
                  <c:v>0.66336005942523091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8D8-4E05-AE18-4B9E6A88978F}"/>
            </c:ext>
          </c:extLst>
        </c:ser>
        <c:ser>
          <c:idx val="10"/>
          <c:order val="10"/>
          <c:tx>
            <c:strRef>
              <c:f>'Sabana VI'!$AG$4</c:f>
              <c:strCache>
                <c:ptCount val="1"/>
                <c:pt idx="0">
                  <c:v>145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VI'!$AG$5:$AG$23</c:f>
              <c:numCache>
                <c:formatCode>0.00%</c:formatCode>
                <c:ptCount val="19"/>
                <c:pt idx="6">
                  <c:v>9.5770718034267302E-2</c:v>
                </c:pt>
                <c:pt idx="7">
                  <c:v>0.1759527327866254</c:v>
                </c:pt>
                <c:pt idx="8">
                  <c:v>0.23895192368415627</c:v>
                </c:pt>
                <c:pt idx="9">
                  <c:v>0.27231912321182317</c:v>
                </c:pt>
                <c:pt idx="10">
                  <c:v>0.3013166659280056</c:v>
                </c:pt>
                <c:pt idx="11">
                  <c:v>0.34043418668161873</c:v>
                </c:pt>
                <c:pt idx="12">
                  <c:v>0.36528322034024807</c:v>
                </c:pt>
                <c:pt idx="13">
                  <c:v>0.42878046281117593</c:v>
                </c:pt>
                <c:pt idx="14">
                  <c:v>0.45094840024991195</c:v>
                </c:pt>
                <c:pt idx="15">
                  <c:v>0.52862784573469157</c:v>
                </c:pt>
                <c:pt idx="16">
                  <c:v>0.58836924914718092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8D8-4E05-AE18-4B9E6A88978F}"/>
            </c:ext>
          </c:extLst>
        </c:ser>
        <c:ser>
          <c:idx val="11"/>
          <c:order val="11"/>
          <c:tx>
            <c:strRef>
              <c:f>'Sabana VI'!$AH$4</c:f>
              <c:strCache>
                <c:ptCount val="1"/>
                <c:pt idx="0">
                  <c:v>173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VI'!$AH$5:$AH$23</c:f>
              <c:numCache>
                <c:formatCode>0.00%</c:formatCode>
                <c:ptCount val="19"/>
                <c:pt idx="7">
                  <c:v>0.14323179279588633</c:v>
                </c:pt>
                <c:pt idx="8">
                  <c:v>0.20666475052670599</c:v>
                </c:pt>
                <c:pt idx="9">
                  <c:v>0.23854625461535797</c:v>
                </c:pt>
                <c:pt idx="10">
                  <c:v>0.26589812830312587</c:v>
                </c:pt>
                <c:pt idx="11">
                  <c:v>0.30249797605581613</c:v>
                </c:pt>
                <c:pt idx="12">
                  <c:v>0.3256328333544371</c:v>
                </c:pt>
                <c:pt idx="13">
                  <c:v>0.38450198699618165</c:v>
                </c:pt>
                <c:pt idx="14">
                  <c:v>0.40499705126936641</c:v>
                </c:pt>
                <c:pt idx="15">
                  <c:v>0.47667021737354204</c:v>
                </c:pt>
                <c:pt idx="16">
                  <c:v>0.53168941142312109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8D8-4E05-AE18-4B9E6A88978F}"/>
            </c:ext>
          </c:extLst>
        </c:ser>
        <c:ser>
          <c:idx val="12"/>
          <c:order val="12"/>
          <c:tx>
            <c:strRef>
              <c:f>'Sabana VI'!$AI$4</c:f>
              <c:strCache>
                <c:ptCount val="1"/>
                <c:pt idx="0">
                  <c:v>208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VI'!$AI$5:$AI$23</c:f>
              <c:numCache>
                <c:formatCode>0.00%</c:formatCode>
                <c:ptCount val="19"/>
                <c:pt idx="7">
                  <c:v>0.10122095343671365</c:v>
                </c:pt>
                <c:pt idx="8">
                  <c:v>0.17322139130016082</c:v>
                </c:pt>
                <c:pt idx="9">
                  <c:v>0.20439802294743406</c:v>
                </c:pt>
                <c:pt idx="10">
                  <c:v>0.23051470850005254</c:v>
                </c:pt>
                <c:pt idx="11">
                  <c:v>0.26498409668834466</c:v>
                </c:pt>
                <c:pt idx="12">
                  <c:v>0.28659910907970437</c:v>
                </c:pt>
                <c:pt idx="13">
                  <c:v>0.34124657934314889</c:v>
                </c:pt>
                <c:pt idx="14">
                  <c:v>0.36019273555408132</c:v>
                </c:pt>
                <c:pt idx="15">
                  <c:v>0.42625585679507821</c:v>
                </c:pt>
                <c:pt idx="16">
                  <c:v>0.47683367991620584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8D8-4E05-AE18-4B9E6A88978F}"/>
            </c:ext>
          </c:extLst>
        </c:ser>
        <c:ser>
          <c:idx val="13"/>
          <c:order val="13"/>
          <c:tx>
            <c:strRef>
              <c:f>'Sabana VI'!$AJ$4</c:f>
              <c:strCache>
                <c:ptCount val="1"/>
                <c:pt idx="0">
                  <c:v>236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VI'!$AJ$5:$AJ$22</c:f>
              <c:numCache>
                <c:formatCode>0.00%</c:formatCode>
                <c:ptCount val="18"/>
                <c:pt idx="8">
                  <c:v>0.14955368518878767</c:v>
                </c:pt>
                <c:pt idx="9">
                  <c:v>0.18115259467483172</c:v>
                </c:pt>
                <c:pt idx="10">
                  <c:v>0.20683381975417073</c:v>
                </c:pt>
                <c:pt idx="11">
                  <c:v>0.24020769162405459</c:v>
                </c:pt>
                <c:pt idx="12">
                  <c:v>0.26096103868166554</c:v>
                </c:pt>
                <c:pt idx="13">
                  <c:v>0.31309343195557016</c:v>
                </c:pt>
                <c:pt idx="14">
                  <c:v>0.33109495783678089</c:v>
                </c:pt>
                <c:pt idx="15">
                  <c:v>0.39369301661561967</c:v>
                </c:pt>
                <c:pt idx="16">
                  <c:v>0.44150143419914245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8D8-4E05-AE18-4B9E6A88978F}"/>
            </c:ext>
          </c:extLst>
        </c:ser>
        <c:ser>
          <c:idx val="14"/>
          <c:order val="14"/>
          <c:tx>
            <c:strRef>
              <c:f>'Sabana VI'!$AK$4</c:f>
              <c:strCache>
                <c:ptCount val="1"/>
                <c:pt idx="0">
                  <c:v>292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VI'!$AK$5:$AK$23</c:f>
              <c:numCache>
                <c:formatCode>0.00%</c:formatCode>
                <c:ptCount val="19"/>
                <c:pt idx="8">
                  <c:v>0.10240085849304713</c:v>
                </c:pt>
                <c:pt idx="9">
                  <c:v>0.14035893712123709</c:v>
                </c:pt>
                <c:pt idx="10">
                  <c:v>0.16683865328544156</c:v>
                </c:pt>
                <c:pt idx="11">
                  <c:v>0.19941434728018292</c:v>
                </c:pt>
                <c:pt idx="12">
                  <c:v>0.21915227457180866</c:v>
                </c:pt>
                <c:pt idx="13">
                  <c:v>0.26785657857139672</c:v>
                </c:pt>
                <c:pt idx="14">
                  <c:v>0.28449696035326355</c:v>
                </c:pt>
                <c:pt idx="15">
                  <c:v>0.34196704877144651</c:v>
                </c:pt>
                <c:pt idx="16">
                  <c:v>0.38560146520413657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8D8-4E05-AE18-4B9E6A88978F}"/>
            </c:ext>
          </c:extLst>
        </c:ser>
        <c:ser>
          <c:idx val="15"/>
          <c:order val="15"/>
          <c:tx>
            <c:strRef>
              <c:f>'Sabana VI'!$AL$4</c:f>
              <c:strCache>
                <c:ptCount val="1"/>
                <c:pt idx="0">
                  <c:v>326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VI'!$AL$5:$AL$23</c:f>
              <c:numCache>
                <c:formatCode>0.00%</c:formatCode>
                <c:ptCount val="19"/>
                <c:pt idx="9">
                  <c:v>0.11631531315073691</c:v>
                </c:pt>
                <c:pt idx="10">
                  <c:v>0.14520307736147819</c:v>
                </c:pt>
                <c:pt idx="11">
                  <c:v>0.17831618534461938</c:v>
                </c:pt>
                <c:pt idx="12">
                  <c:v>0.19785097367504634</c:v>
                </c:pt>
                <c:pt idx="13">
                  <c:v>0.24529278060167414</c:v>
                </c:pt>
                <c:pt idx="14">
                  <c:v>0.26135834078006576</c:v>
                </c:pt>
                <c:pt idx="15">
                  <c:v>0.31655150908981544</c:v>
                </c:pt>
                <c:pt idx="16">
                  <c:v>0.35827236861245737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8D8-4E05-AE18-4B9E6A88978F}"/>
            </c:ext>
          </c:extLst>
        </c:ser>
        <c:ser>
          <c:idx val="16"/>
          <c:order val="16"/>
          <c:tx>
            <c:strRef>
              <c:f>'Sabana VI'!$AM$4</c:f>
              <c:strCache>
                <c:ptCount val="1"/>
                <c:pt idx="0">
                  <c:v>418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VI'!$AM$5:$AM$23</c:f>
              <c:numCache>
                <c:formatCode>0.00%</c:formatCode>
                <c:ptCount val="19"/>
                <c:pt idx="10">
                  <c:v>7.9631429962549072E-2</c:v>
                </c:pt>
                <c:pt idx="11">
                  <c:v>0.12728047315043631</c:v>
                </c:pt>
                <c:pt idx="12">
                  <c:v>0.14842140702165454</c:v>
                </c:pt>
                <c:pt idx="13">
                  <c:v>0.19531679081780862</c:v>
                </c:pt>
                <c:pt idx="14">
                  <c:v>0.21054649722407065</c:v>
                </c:pt>
                <c:pt idx="15">
                  <c:v>0.26176016362257992</c:v>
                </c:pt>
                <c:pt idx="16">
                  <c:v>0.29983250127183542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8D8-4E05-AE18-4B9E6A88978F}"/>
            </c:ext>
          </c:extLst>
        </c:ser>
        <c:ser>
          <c:idx val="17"/>
          <c:order val="17"/>
          <c:tx>
            <c:strRef>
              <c:f>'Sabana VI'!$AN$4</c:f>
              <c:strCache>
                <c:ptCount val="1"/>
                <c:pt idx="0">
                  <c:v>509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'Sabana VI'!$V$5:$V$23</c:f>
              <c:numCache>
                <c:formatCode>_-* #,##0.00_-;\-* #,##0.00_-;_-* "-"??_-;_-@_-</c:formatCode>
                <c:ptCount val="19"/>
                <c:pt idx="0">
                  <c:v>19.02</c:v>
                </c:pt>
                <c:pt idx="1">
                  <c:v>19.62</c:v>
                </c:pt>
                <c:pt idx="2">
                  <c:v>20.14</c:v>
                </c:pt>
                <c:pt idx="3">
                  <c:v>20.6</c:v>
                </c:pt>
                <c:pt idx="4">
                  <c:v>21.1</c:v>
                </c:pt>
                <c:pt idx="5">
                  <c:v>21.5</c:v>
                </c:pt>
                <c:pt idx="6">
                  <c:v>22.55</c:v>
                </c:pt>
                <c:pt idx="7">
                  <c:v>24.3</c:v>
                </c:pt>
                <c:pt idx="8">
                  <c:v>26.55</c:v>
                </c:pt>
                <c:pt idx="9">
                  <c:v>27.9</c:v>
                </c:pt>
                <c:pt idx="10">
                  <c:v>29.13</c:v>
                </c:pt>
                <c:pt idx="11">
                  <c:v>30.85</c:v>
                </c:pt>
                <c:pt idx="12">
                  <c:v>31.97</c:v>
                </c:pt>
                <c:pt idx="13">
                  <c:v>34.9</c:v>
                </c:pt>
                <c:pt idx="14">
                  <c:v>35.94</c:v>
                </c:pt>
                <c:pt idx="15">
                  <c:v>39.630000000000003</c:v>
                </c:pt>
                <c:pt idx="16">
                  <c:v>42.5</c:v>
                </c:pt>
              </c:numCache>
            </c:numRef>
          </c:cat>
          <c:val>
            <c:numRef>
              <c:f>'Sabana VI'!$AN$5:$AN$23</c:f>
              <c:numCache>
                <c:formatCode>0.00%</c:formatCode>
                <c:ptCount val="19"/>
                <c:pt idx="12">
                  <c:v>0.10069268585150359</c:v>
                </c:pt>
                <c:pt idx="13">
                  <c:v>0.15463146499701994</c:v>
                </c:pt>
                <c:pt idx="14">
                  <c:v>0.17007586090575091</c:v>
                </c:pt>
                <c:pt idx="15">
                  <c:v>0.21988542633827166</c:v>
                </c:pt>
                <c:pt idx="16">
                  <c:v>0.25588125510073451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8D8-4E05-AE18-4B9E6A88978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936501840"/>
        <c:axId val="936506160"/>
        <c:axId val="934277984"/>
      </c:surface3DChart>
      <c:catAx>
        <c:axId val="936501840"/>
        <c:scaling>
          <c:orientation val="minMax"/>
        </c:scaling>
        <c:delete val="0"/>
        <c:axPos val="b"/>
        <c:numFmt formatCode="_-* #,##0.00_-;\-* #,##0.00_-;_-* &quot;-&quot;??_-;_-@_-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36506160"/>
        <c:crosses val="autoZero"/>
        <c:auto val="1"/>
        <c:lblAlgn val="ctr"/>
        <c:lblOffset val="100"/>
        <c:noMultiLvlLbl val="0"/>
      </c:catAx>
      <c:valAx>
        <c:axId val="936506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36501840"/>
        <c:crosses val="autoZero"/>
        <c:crossBetween val="midCat"/>
      </c:valAx>
      <c:serAx>
        <c:axId val="9342779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36506160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s-MX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1F356FA-1C74-49AB-B2A5-601CAFA4E1DE}">
  <sheetPr codeName="Gráfico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17</xdr:row>
      <xdr:rowOff>90014</xdr:rowOff>
    </xdr:from>
    <xdr:to>
      <xdr:col>12</xdr:col>
      <xdr:colOff>0</xdr:colOff>
      <xdr:row>24</xdr:row>
      <xdr:rowOff>190556</xdr:rowOff>
    </xdr:to>
    <xdr:pic>
      <xdr:nvPicPr>
        <xdr:cNvPr id="2" name="4 Imagen" descr="Resultado de imagen para risk management consulting">
          <a:extLst>
            <a:ext uri="{FF2B5EF4-FFF2-40B4-BE49-F238E27FC236}">
              <a16:creationId xmlns:a16="http://schemas.microsoft.com/office/drawing/2014/main" id="{E00E47BD-D693-4029-9BF8-41323D566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14264"/>
          <a:ext cx="8953500" cy="1500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85724</xdr:colOff>
      <xdr:row>23</xdr:row>
      <xdr:rowOff>130175</xdr:rowOff>
    </xdr:from>
    <xdr:to>
      <xdr:col>8</xdr:col>
      <xdr:colOff>85724</xdr:colOff>
      <xdr:row>35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B8F16B-E6A0-B6D5-B27B-A2EE28D73B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9525</xdr:colOff>
      <xdr:row>26</xdr:row>
      <xdr:rowOff>95250</xdr:rowOff>
    </xdr:from>
    <xdr:to>
      <xdr:col>14</xdr:col>
      <xdr:colOff>456980</xdr:colOff>
      <xdr:row>32</xdr:row>
      <xdr:rowOff>28575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8DD9DCE-C287-F472-4D8D-6DF006EA6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24850" y="5000625"/>
          <a:ext cx="4257455" cy="10191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938125" cy="940593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FDCD3E4-01AB-4306-4419-A2D855414A4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:/Users/David/Dropbox/dh-library/_xls/_2009/1a/1_a_6_practicebag_v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dministrador1/Desktop/CLASE%20INVERSI&#211;N%20BURS&#193;TI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belcornejohernandez/Library/Containers/com.microsoft.Excel/Data/Desktop/Trading/Calculadoras%20Money%20Management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:/Dropbox/bt-content/FRM/FRM%20XLS/XLS-2012/T1/T1%202012%20XLS%20bundle_v090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belcornejohernandez/Desktop/Negocio%2015%20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02%20RYSC\Diplomado%20Riesgos\Aplicaciones\Riesgo%20de%20Cr&#233;dito%20ok\AP6%20Estimaci&#243;n%20LGD%20(Curso)%2020160910%20ok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:/Users/David%20Harper/Documents/_xls/invest/RAPM_v1.xls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microsoft.com/office/2019/04/relationships/externalLinkLongPath" Target="/C:/Users/Cornejo/OneDrive/Proyecto/Cursos/Cursos/Evaluacio&#769;n%20de%20proyectos/Apuntes/ABEL%202015/ABEL%203/ABEL/Respaldo%20Informaci&#243;n/Desktop/AAA/ABEL/ABEL/HISTORY/CLASES%2010-3/HISTORY/SEMINARIO%20DE%20FINANZAS/CLASES%2010-1/EXCEL%20CLASES/prestamos.xls?710E67FC" TargetMode="External"/><Relationship Id="rId1" Type="http://schemas.openxmlformats.org/officeDocument/2006/relationships/externalLinkPath" Target="file:///\\710E67FC\prestamo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Cornejo/Desktop/Proyecto/CLASES%2011-2/REVISAR%20MDOS%20ANAHUA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dministrador1/Desktop/PRONOSTICO%20USD%202%20Y%20FUTURO%20DIVISAS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microsoft.com/office/2019/04/relationships/externalLinkLongPath" Target="/C:/Users/abelcornejohernandez/Desktop/ABEL%202015/ABEL%203/ABEL/Respaldo%20Informaci&#243;n/Desktop/AAA/ABEL/ABEL/HISTORY/CLASES%2010-3/CLASE%20ECONOMETRIA/CLASE%20INGENER&#205;A%20FINANCIERA/CLASES%2010-2/HISTORY/CLASES%2009-2/NOTAS%20US%20DOLLAR.xlsx?84D89C2C" TargetMode="External"/><Relationship Id="rId1" Type="http://schemas.openxmlformats.org/officeDocument/2006/relationships/externalLinkPath" Target="file:///\\84D89C2C\NOTAS%20US%20DOLL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ropbox/bt-content-shared/FRM/FRM%20XLS/T1%202013%20XLS%20bundle_v0315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bel/Desktop/CLASES%202013/INGENIER&#205;A%20FINANCIERA/CLASE%20DE%20RIESGOS/CLASES%2010-2/HISTORY/CLASES%2009-2/HISTORY/VARIOS/CLASES%2009-1-a/MATERIAL/B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actice_bag_1a"/>
      <sheetName val="Simple one-asset VaR"/>
      <sheetName val="CML"/>
      <sheetName val="SML"/>
      <sheetName val="SML_CAPM"/>
      <sheetName val="RAPMs"/>
      <sheetName val="Grinold 7.1 &amp; 7.2"/>
      <sheetName val="Sheet2"/>
    </sheetNames>
    <sheetDataSet>
      <sheetData sheetId="0"/>
      <sheetData sheetId="1">
        <row r="5">
          <cell r="C5">
            <v>0.01</v>
          </cell>
        </row>
      </sheetData>
      <sheetData sheetId="2">
        <row r="30">
          <cell r="K30">
            <v>0.1</v>
          </cell>
        </row>
      </sheetData>
      <sheetData sheetId="3">
        <row r="2">
          <cell r="D2">
            <v>7.0000000000000007E-2</v>
          </cell>
        </row>
        <row r="22">
          <cell r="D22">
            <v>5.1794872097691153E-2</v>
          </cell>
        </row>
        <row r="29">
          <cell r="D29">
            <v>-1.4820908808832704E-8</v>
          </cell>
          <cell r="E29">
            <v>0.579207911169212</v>
          </cell>
          <cell r="F29">
            <v>1.0618811828276458</v>
          </cell>
          <cell r="G29">
            <v>1</v>
          </cell>
          <cell r="H29">
            <v>1.5445544544860796</v>
          </cell>
          <cell r="I29">
            <v>2.0272277261445137</v>
          </cell>
          <cell r="J29">
            <v>2.5099009978029474</v>
          </cell>
        </row>
      </sheetData>
      <sheetData sheetId="4">
        <row r="6">
          <cell r="D6">
            <v>0.08</v>
          </cell>
        </row>
      </sheetData>
      <sheetData sheetId="5">
        <row r="19">
          <cell r="D19">
            <v>0.41025641004275859</v>
          </cell>
        </row>
      </sheetData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TE91"/>
      <sheetName val="CETE E"/>
      <sheetName val="CETE V"/>
      <sheetName val="CETE MS"/>
      <sheetName val="BONO M"/>
      <sheetName val="BONO M5 E"/>
      <sheetName val="BONO M20"/>
      <sheetName val="M OK"/>
      <sheetName val="UDIBONO C"/>
      <sheetName val="UDIBONO"/>
      <sheetName val="UDIBONO CLASE"/>
      <sheetName val="BONDES182"/>
      <sheetName val="DM 0"/>
      <sheetName val="PORTAFOL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>
        <row r="8">
          <cell r="J8">
            <v>-0.01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átula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C"/>
      <sheetName val="1a.1.IntroToVaR(2Assets)"/>
      <sheetName val="1a.1.IntroToVaR(HS)"/>
      <sheetName val="1a.2.Stulz(CDF)"/>
      <sheetName val="1a.2.Stulz(MV)"/>
      <sheetName val="1a.2.Stulz(HedgeIrrelev)"/>
      <sheetName val="1a.2.Stulz(bankruptcy)"/>
      <sheetName val="1a.2.Stulz(taxes)"/>
      <sheetName val="1a.2.Stulz(overhang)"/>
      <sheetName val="1b.1.CAPM (PP Curve)"/>
      <sheetName val="1b.1.CAPM(Market Portfolio)"/>
      <sheetName val="1b.1.CAPM(CML)"/>
      <sheetName val="1b.1.CAPM(SML)"/>
      <sheetName val="1b.2.APT(S&amp;P)"/>
      <sheetName val="1b.2.APT(Port)"/>
      <sheetName val="1b.2.APT(Grinold)"/>
      <sheetName val="1b.3.RAPMs"/>
      <sheetName val="1b.4.Sortino"/>
      <sheetName val="1b.5.PracticeBag"/>
    </sheetNames>
    <sheetDataSet>
      <sheetData sheetId="0"/>
      <sheetData sheetId="1"/>
      <sheetData sheetId="2"/>
      <sheetData sheetId="3">
        <row r="9">
          <cell r="C9">
            <v>0.1</v>
          </cell>
        </row>
      </sheetData>
      <sheetData sheetId="4"/>
      <sheetData sheetId="5">
        <row r="5">
          <cell r="C5">
            <v>0.05</v>
          </cell>
        </row>
        <row r="6">
          <cell r="C6">
            <v>0.06</v>
          </cell>
        </row>
        <row r="7">
          <cell r="C7">
            <v>350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9">
          <cell r="D19">
            <v>0.3333333333333332</v>
          </cell>
        </row>
      </sheetData>
      <sheetData sheetId="17">
        <row r="2">
          <cell r="K2">
            <v>0.04</v>
          </cell>
        </row>
        <row r="3">
          <cell r="K3">
            <v>0.05</v>
          </cell>
        </row>
        <row r="4">
          <cell r="P4">
            <v>0.1</v>
          </cell>
        </row>
        <row r="5">
          <cell r="O5">
            <v>0.08</v>
          </cell>
          <cell r="P5">
            <v>0.1</v>
          </cell>
        </row>
        <row r="6">
          <cell r="K6">
            <v>4.8555179198784722E-2</v>
          </cell>
          <cell r="O6">
            <v>0.5</v>
          </cell>
        </row>
      </sheetData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row Down"/>
      <sheetName val="Opciones"/>
      <sheetName val="Intro Por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6"/>
      <sheetName val="Estimación LGD"/>
      <sheetName val="Base Recuperaciones"/>
      <sheetName val="Base Castigos"/>
    </sheetNames>
    <sheetDataSet>
      <sheetData sheetId="0"/>
      <sheetData sheetId="1">
        <row r="37">
          <cell r="C37">
            <v>0.35</v>
          </cell>
        </row>
      </sheetData>
      <sheetData sheetId="2"/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PM_v1"/>
      <sheetName val="RAPM_v1 (screen)"/>
    </sheetNames>
    <sheetDataSet>
      <sheetData sheetId="0">
        <row r="4">
          <cell r="D4">
            <v>0.14000000000000001</v>
          </cell>
          <cell r="H4">
            <v>0.04</v>
          </cell>
        </row>
        <row r="5">
          <cell r="D5">
            <v>0.3</v>
          </cell>
        </row>
        <row r="7">
          <cell r="D7">
            <v>0.03</v>
          </cell>
        </row>
        <row r="8">
          <cell r="D8">
            <v>5</v>
          </cell>
        </row>
        <row r="9">
          <cell r="H9">
            <v>0.10400000000000001</v>
          </cell>
        </row>
      </sheetData>
      <sheetData sheetId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senta"/>
      <sheetName val="Ej1"/>
      <sheetName val="Ej2"/>
      <sheetName val="Ej3"/>
      <sheetName val="Ej4"/>
      <sheetName val="Ej5"/>
      <sheetName val="Ej6"/>
      <sheetName val="Ej7"/>
      <sheetName val="Ej8"/>
      <sheetName val="Ej9"/>
      <sheetName val="Ej10"/>
      <sheetName val="Ej11"/>
      <sheetName val="Ej12"/>
      <sheetName val="Ej13"/>
      <sheetName val="Ej14"/>
      <sheetName val="Ej15"/>
      <sheetName val="Ej16"/>
    </sheetNames>
    <sheetDataSet>
      <sheetData sheetId="0"/>
      <sheetData sheetId="1"/>
      <sheetData sheetId="2"/>
      <sheetData sheetId="3"/>
      <sheetData sheetId="4"/>
      <sheetData sheetId="5"/>
      <sheetData sheetId="6">
        <row r="13">
          <cell r="L13">
            <v>1</v>
          </cell>
          <cell r="M13">
            <v>0.02</v>
          </cell>
          <cell r="N13">
            <v>2.5000000000000001E-2</v>
          </cell>
          <cell r="O13">
            <v>2.0598362698427408E-3</v>
          </cell>
        </row>
        <row r="14">
          <cell r="L14">
            <v>2</v>
          </cell>
          <cell r="M14">
            <v>2.1999999999999999E-2</v>
          </cell>
          <cell r="N14">
            <v>2.7E-2</v>
          </cell>
          <cell r="O14">
            <v>2.2226272943570713E-3</v>
          </cell>
        </row>
        <row r="15">
          <cell r="L15">
            <v>3</v>
          </cell>
          <cell r="M15">
            <v>2.4E-2</v>
          </cell>
          <cell r="N15">
            <v>2.9000000000000001E-2</v>
          </cell>
          <cell r="O15">
            <v>2.3851279739270925E-3</v>
          </cell>
        </row>
        <row r="16">
          <cell r="L16">
            <v>4</v>
          </cell>
          <cell r="M16">
            <v>2.5999999999999999E-2</v>
          </cell>
          <cell r="N16">
            <v>3.1E-2</v>
          </cell>
          <cell r="O16">
            <v>2.5473393892132545E-3</v>
          </cell>
        </row>
        <row r="17">
          <cell r="L17">
            <v>5</v>
          </cell>
          <cell r="M17">
            <v>2.8000000000000001E-2</v>
          </cell>
          <cell r="N17">
            <v>3.3000000000000002E-2</v>
          </cell>
          <cell r="O17">
            <v>2.7092626147666721E-3</v>
          </cell>
        </row>
        <row r="18">
          <cell r="L18">
            <v>6</v>
          </cell>
          <cell r="M18">
            <v>0.03</v>
          </cell>
          <cell r="N18">
            <v>3.4999999999999996E-2</v>
          </cell>
          <cell r="O18">
            <v>2.8708987190766422E-3</v>
          </cell>
        </row>
        <row r="19">
          <cell r="L19">
            <v>7</v>
          </cell>
          <cell r="M19">
            <v>3.2000000000000001E-2</v>
          </cell>
          <cell r="N19">
            <v>3.6999999999999998E-2</v>
          </cell>
          <cell r="O19">
            <v>3.0322487646148311E-3</v>
          </cell>
        </row>
        <row r="20">
          <cell r="L20">
            <v>8</v>
          </cell>
          <cell r="M20">
            <v>3.4000000000000002E-2</v>
          </cell>
          <cell r="N20">
            <v>3.9E-2</v>
          </cell>
          <cell r="O20">
            <v>3.1933138078821255E-3</v>
          </cell>
        </row>
        <row r="21">
          <cell r="L21">
            <v>9</v>
          </cell>
          <cell r="M21">
            <v>3.5999999999999997E-2</v>
          </cell>
          <cell r="N21">
            <v>4.0999999999999995E-2</v>
          </cell>
          <cell r="O21">
            <v>3.3540948994528197E-3</v>
          </cell>
        </row>
        <row r="22">
          <cell r="L22">
            <v>10</v>
          </cell>
          <cell r="M22">
            <v>3.7999999999999999E-2</v>
          </cell>
          <cell r="N22">
            <v>4.2999999999999997E-2</v>
          </cell>
          <cell r="O22">
            <v>3.5145930840192463E-3</v>
          </cell>
        </row>
      </sheetData>
      <sheetData sheetId="7"/>
      <sheetData sheetId="8"/>
      <sheetData sheetId="9"/>
      <sheetData sheetId="10">
        <row r="5">
          <cell r="L5">
            <v>1</v>
          </cell>
          <cell r="M5">
            <v>0.02</v>
          </cell>
          <cell r="N5">
            <v>2.5000000000000001E-2</v>
          </cell>
          <cell r="O5">
            <v>2.0598362698427408E-3</v>
          </cell>
        </row>
        <row r="6">
          <cell r="L6">
            <v>2</v>
          </cell>
          <cell r="M6">
            <v>2.1999999999999999E-2</v>
          </cell>
          <cell r="N6">
            <v>2.7E-2</v>
          </cell>
          <cell r="O6">
            <v>2.2226272943570713E-3</v>
          </cell>
        </row>
        <row r="7">
          <cell r="L7">
            <v>3</v>
          </cell>
          <cell r="M7">
            <v>2.4E-2</v>
          </cell>
          <cell r="N7">
            <v>2.9000000000000001E-2</v>
          </cell>
          <cell r="O7">
            <v>2.3851279739270925E-3</v>
          </cell>
        </row>
        <row r="8">
          <cell r="L8">
            <v>4</v>
          </cell>
          <cell r="M8">
            <v>2.5999999999999999E-2</v>
          </cell>
          <cell r="N8">
            <v>3.1E-2</v>
          </cell>
          <cell r="O8">
            <v>2.5473393892132545E-3</v>
          </cell>
        </row>
        <row r="9">
          <cell r="L9">
            <v>5</v>
          </cell>
          <cell r="M9">
            <v>2.8000000000000001E-2</v>
          </cell>
          <cell r="N9">
            <v>3.3000000000000002E-2</v>
          </cell>
          <cell r="O9">
            <v>2.7092626147666721E-3</v>
          </cell>
        </row>
        <row r="10">
          <cell r="L10">
            <v>6</v>
          </cell>
          <cell r="M10">
            <v>0.03</v>
          </cell>
          <cell r="N10">
            <v>3.4999999999999996E-2</v>
          </cell>
          <cell r="O10">
            <v>2.8708987190766422E-3</v>
          </cell>
        </row>
        <row r="11">
          <cell r="L11">
            <v>7</v>
          </cell>
          <cell r="M11">
            <v>3.2000000000000001E-2</v>
          </cell>
          <cell r="N11">
            <v>3.6999999999999998E-2</v>
          </cell>
          <cell r="O11">
            <v>3.0322487646148311E-3</v>
          </cell>
        </row>
        <row r="12">
          <cell r="L12">
            <v>8</v>
          </cell>
          <cell r="M12">
            <v>3.4000000000000002E-2</v>
          </cell>
          <cell r="N12">
            <v>3.9E-2</v>
          </cell>
          <cell r="O12">
            <v>3.1933138078821255E-3</v>
          </cell>
        </row>
        <row r="13">
          <cell r="L13">
            <v>9</v>
          </cell>
          <cell r="M13">
            <v>3.5999999999999997E-2</v>
          </cell>
          <cell r="N13">
            <v>4.0999999999999995E-2</v>
          </cell>
          <cell r="O13">
            <v>3.3540948994528197E-3</v>
          </cell>
        </row>
        <row r="14">
          <cell r="L14">
            <v>10</v>
          </cell>
          <cell r="M14">
            <v>3.7999999999999999E-2</v>
          </cell>
          <cell r="N14">
            <v>4.2999999999999997E-2</v>
          </cell>
          <cell r="O14">
            <v>3.5145930840192463E-3</v>
          </cell>
        </row>
      </sheetData>
      <sheetData sheetId="11"/>
      <sheetData sheetId="12"/>
      <sheetData sheetId="13">
        <row r="13">
          <cell r="L13">
            <v>1</v>
          </cell>
          <cell r="M13">
            <v>0.02</v>
          </cell>
          <cell r="N13">
            <v>2.5000000000000001E-2</v>
          </cell>
          <cell r="O13">
            <v>2.0598362698427408E-3</v>
          </cell>
        </row>
        <row r="14">
          <cell r="L14">
            <v>2</v>
          </cell>
          <cell r="M14">
            <v>2.1999999999999999E-2</v>
          </cell>
          <cell r="N14">
            <v>2.7E-2</v>
          </cell>
          <cell r="O14">
            <v>2.2226272943570713E-3</v>
          </cell>
        </row>
        <row r="15">
          <cell r="L15">
            <v>3</v>
          </cell>
          <cell r="M15">
            <v>2.4E-2</v>
          </cell>
          <cell r="N15">
            <v>2.9000000000000001E-2</v>
          </cell>
          <cell r="O15">
            <v>2.3851279739270925E-3</v>
          </cell>
        </row>
        <row r="16">
          <cell r="L16">
            <v>4</v>
          </cell>
          <cell r="M16">
            <v>2.6000000000000002E-2</v>
          </cell>
          <cell r="N16">
            <v>3.1000000000000003E-2</v>
          </cell>
          <cell r="O16">
            <v>2.5473393892132545E-3</v>
          </cell>
        </row>
        <row r="17">
          <cell r="L17">
            <v>5</v>
          </cell>
          <cell r="M17">
            <v>2.8000000000000004E-2</v>
          </cell>
          <cell r="N17">
            <v>3.3000000000000002E-2</v>
          </cell>
          <cell r="O17">
            <v>2.7092626147666721E-3</v>
          </cell>
        </row>
        <row r="18">
          <cell r="L18">
            <v>6</v>
          </cell>
          <cell r="M18">
            <v>3.0000000000000006E-2</v>
          </cell>
          <cell r="N18">
            <v>3.5000000000000003E-2</v>
          </cell>
          <cell r="O18">
            <v>2.8708987190766422E-3</v>
          </cell>
        </row>
        <row r="19">
          <cell r="L19">
            <v>7</v>
          </cell>
          <cell r="M19">
            <v>3.2000000000000008E-2</v>
          </cell>
          <cell r="N19">
            <v>3.7000000000000005E-2</v>
          </cell>
          <cell r="O19">
            <v>3.0322487646148311E-3</v>
          </cell>
        </row>
        <row r="20">
          <cell r="L20">
            <v>8</v>
          </cell>
          <cell r="M20">
            <v>3.4000000000000009E-2</v>
          </cell>
          <cell r="N20">
            <v>3.9000000000000007E-2</v>
          </cell>
          <cell r="O20">
            <v>3.1933138078821255E-3</v>
          </cell>
        </row>
        <row r="21">
          <cell r="L21">
            <v>9</v>
          </cell>
          <cell r="M21">
            <v>3.6000000000000011E-2</v>
          </cell>
          <cell r="N21">
            <v>4.1000000000000009E-2</v>
          </cell>
          <cell r="O21">
            <v>3.3540948994528197E-3</v>
          </cell>
        </row>
        <row r="22">
          <cell r="L22">
            <v>10</v>
          </cell>
          <cell r="M22">
            <v>3.8000000000000013E-2</v>
          </cell>
          <cell r="N22">
            <v>4.300000000000001E-2</v>
          </cell>
          <cell r="O22">
            <v>3.5145930840192463E-3</v>
          </cell>
        </row>
      </sheetData>
      <sheetData sheetId="14"/>
      <sheetData sheetId="15"/>
      <sheetData sheetId="1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folio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 Y E"/>
      <sheetName val="FUTURO TEÓRICO"/>
      <sheetName val="COBERTURA ESTÁTICA DIVISAS"/>
      <sheetName val="PRONOSTICO USD"/>
    </sheetNames>
    <sheetDataSet>
      <sheetData sheetId="0" refreshError="1"/>
      <sheetData sheetId="1" refreshError="1">
        <row r="11">
          <cell r="G11">
            <v>42</v>
          </cell>
        </row>
      </sheetData>
      <sheetData sheetId="2" refreshError="1"/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ll"/>
      <sheetName val="Condor"/>
      <sheetName val="Digital"/>
      <sheetName val="call y puts"/>
    </sheetNames>
    <sheetDataSet>
      <sheetData sheetId="0">
        <row r="7">
          <cell r="C7">
            <v>10.9</v>
          </cell>
        </row>
        <row r="8">
          <cell r="C8">
            <v>11.4</v>
          </cell>
        </row>
        <row r="9">
          <cell r="C9">
            <v>7.5999999999999998E-2</v>
          </cell>
        </row>
        <row r="10">
          <cell r="C10">
            <v>180</v>
          </cell>
        </row>
        <row r="11">
          <cell r="C11">
            <v>0.05</v>
          </cell>
        </row>
        <row r="12">
          <cell r="C12">
            <v>4.7500000000000001E-2</v>
          </cell>
        </row>
      </sheetData>
      <sheetData sheetId="1" refreshError="1"/>
      <sheetData sheetId="2" refreshError="1"/>
      <sheetData sheetId="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C"/>
      <sheetName val="1. IFC ERM (discount rates)"/>
      <sheetName val="2.5. Elton PP Curve"/>
      <sheetName val="2.5b. Elton Market Portfolio"/>
      <sheetName val="2.13 Elton CML"/>
      <sheetName val="2.13. Elton CAPM (SML)"/>
      <sheetName val="3.4 Amenc RAPM"/>
      <sheetName val="3.4. Bodie (RAPM)"/>
      <sheetName val="3.4. Amenc Sortino"/>
      <sheetName val="3.4. Amence RAPM PracticeBag"/>
      <sheetName val="A.1. IntroToVaR (2Assets)"/>
      <sheetName val="A.2. VaR HS"/>
      <sheetName val="A.3. Stulz (bankruptcy)"/>
      <sheetName val="A.3. Stulz (taxes)"/>
      <sheetName val="A.3. Stulz (overhang)"/>
      <sheetName val="A.4. APT (Grinold)"/>
      <sheetName val="A.4. APT (S&amp;P)"/>
      <sheetName val="A.4. APT (Port)"/>
    </sheetNames>
    <sheetDataSet>
      <sheetData sheetId="0"/>
      <sheetData sheetId="1"/>
      <sheetData sheetId="2">
        <row r="10">
          <cell r="H10">
            <v>0.19</v>
          </cell>
        </row>
      </sheetData>
      <sheetData sheetId="3">
        <row r="23">
          <cell r="H23">
            <v>0.19</v>
          </cell>
        </row>
      </sheetData>
      <sheetData sheetId="4">
        <row r="10">
          <cell r="H10">
            <v>0.06</v>
          </cell>
        </row>
      </sheetData>
      <sheetData sheetId="5">
        <row r="32">
          <cell r="C32">
            <v>6.0689354744398141E-2</v>
          </cell>
        </row>
      </sheetData>
      <sheetData sheetId="6">
        <row r="10">
          <cell r="D10">
            <v>0.04</v>
          </cell>
          <cell r="E10">
            <v>0.05</v>
          </cell>
          <cell r="F10">
            <v>0.06</v>
          </cell>
          <cell r="G10">
            <v>0.06</v>
          </cell>
          <cell r="H10">
            <v>7.0000000000000007E-2</v>
          </cell>
          <cell r="I10">
            <v>0.08</v>
          </cell>
          <cell r="J10">
            <v>0.08</v>
          </cell>
        </row>
      </sheetData>
      <sheetData sheetId="7"/>
      <sheetData sheetId="8">
        <row r="2">
          <cell r="K2">
            <v>0.04</v>
          </cell>
        </row>
      </sheetData>
      <sheetData sheetId="9"/>
      <sheetData sheetId="10"/>
      <sheetData sheetId="11">
        <row r="5">
          <cell r="C5">
            <v>0.01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olatilidad H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tua" refreshedDate="45865.515789583333" createdVersion="8" refreshedVersion="8" minRefreshableVersion="3" recordCount="168" xr:uid="{3B3EEA3D-69CC-431B-A250-3B7860D0E901}">
  <cacheSource type="worksheet">
    <worksheetSource ref="U2:X170" sheet="Contratos"/>
  </cacheSource>
  <cacheFields count="4">
    <cacheField name="Strike" numFmtId="164">
      <sharedItems containsSemiMixedTypes="0" containsString="0" containsNumber="1" minValue="192.5" maxValue="235" count="18">
        <n v="192.5"/>
        <n v="195"/>
        <n v="197.5"/>
        <n v="200"/>
        <n v="202.5"/>
        <n v="205"/>
        <n v="207.5"/>
        <n v="210"/>
        <n v="212.5"/>
        <n v="215"/>
        <n v="217.5"/>
        <n v="220"/>
        <n v="222.5"/>
        <n v="225"/>
        <n v="227.5"/>
        <n v="230"/>
        <n v="232.5"/>
        <n v="235"/>
      </sharedItems>
    </cacheField>
    <cacheField name="Last" numFmtId="164">
      <sharedItems containsSemiMixedTypes="0" containsString="0" containsNumber="1" minValue="0.17" maxValue="42.5" count="155">
        <n v="21.7"/>
        <n v="19.02"/>
        <n v="16.72"/>
        <n v="14.65"/>
        <n v="12.45"/>
        <n v="10.38"/>
        <n v="8.4499999999999993"/>
        <n v="6.79"/>
        <n v="5.3"/>
        <n v="4"/>
        <n v="2.97"/>
        <n v="2.08"/>
        <n v="1.4"/>
        <n v="0.92"/>
        <n v="0.61"/>
        <n v="0.4"/>
        <n v="0.26"/>
        <n v="0.17"/>
        <n v="21.88"/>
        <n v="19.62"/>
        <n v="17.27"/>
        <n v="15.36"/>
        <n v="13.2"/>
        <n v="11.12"/>
        <n v="9.4499999999999993"/>
        <n v="7.8"/>
        <n v="6.28"/>
        <n v="4.99"/>
        <n v="3.85"/>
        <n v="2.91"/>
        <n v="2.15"/>
        <n v="1.57"/>
        <n v="1.1200000000000001"/>
        <n v="0.78"/>
        <n v="0.56999999999999995"/>
        <n v="0.39"/>
        <n v="22.5"/>
        <n v="20.14"/>
        <n v="17.62"/>
        <n v="15.85"/>
        <n v="13.8"/>
        <n v="11.9"/>
        <n v="9.9499999999999993"/>
        <n v="8.5"/>
        <n v="7.03"/>
        <n v="5.71"/>
        <n v="4.5199999999999996"/>
        <n v="3.55"/>
        <n v="2.71"/>
        <n v="1.54"/>
        <n v="1.1499999999999999"/>
        <n v="0.84"/>
        <n v="0.64"/>
        <n v="20.6"/>
        <n v="16.14"/>
        <n v="12.43"/>
        <n v="9.1999999999999993"/>
        <n v="6.37"/>
        <n v="4.1500000000000004"/>
        <n v="2.56"/>
        <n v="1.5"/>
        <n v="0.88"/>
        <n v="21.1"/>
        <n v="16.95"/>
        <n v="9.85"/>
        <n v="4.8"/>
        <n v="3.09"/>
        <n v="1.92"/>
        <n v="1.18"/>
        <n v="21.5"/>
        <n v="17.23"/>
        <n v="13.55"/>
        <n v="10.19"/>
        <n v="7.6"/>
        <n v="5.29"/>
        <n v="3.47"/>
        <n v="2.23"/>
        <n v="22.55"/>
        <n v="18.55"/>
        <n v="14.9"/>
        <n v="11.55"/>
        <n v="8.75"/>
        <n v="4.45"/>
        <n v="3.05"/>
        <n v="2.06"/>
        <n v="24.3"/>
        <n v="20.3"/>
        <n v="13.75"/>
        <n v="10.8"/>
        <n v="8.25"/>
        <n v="6.2"/>
        <n v="3.25"/>
        <n v="26.55"/>
        <n v="22.58"/>
        <n v="19.399999999999999"/>
        <n v="16.21"/>
        <n v="13.35"/>
        <n v="8.5500000000000007"/>
        <n v="6.69"/>
        <n v="5.2"/>
        <n v="27.9"/>
        <n v="24.08"/>
        <n v="20.81"/>
        <n v="17.75"/>
        <n v="14.91"/>
        <n v="12.35"/>
        <n v="10.029999999999999"/>
        <n v="8.1"/>
        <n v="6.4"/>
        <n v="29.13"/>
        <n v="25.8"/>
        <n v="22.45"/>
        <n v="19.3"/>
        <n v="16.399999999999999"/>
        <n v="13.85"/>
        <n v="11.5"/>
        <n v="9.43"/>
        <n v="30.85"/>
        <n v="27.5"/>
        <n v="24.1"/>
        <n v="20.93"/>
        <n v="18.350000000000001"/>
        <n v="15.87"/>
        <n v="13.63"/>
        <n v="11.2"/>
        <n v="9.35"/>
        <n v="31.97"/>
        <n v="28.65"/>
        <n v="17.05"/>
        <n v="12.3"/>
        <n v="34.9"/>
        <n v="31.48"/>
        <n v="25"/>
        <n v="20.05"/>
        <n v="15.31"/>
        <n v="35.94"/>
        <n v="32.450000000000003"/>
        <n v="29.6"/>
        <n v="26.6"/>
        <n v="23.6"/>
        <n v="21.18"/>
        <n v="16.350000000000001"/>
        <n v="14.45"/>
        <n v="39.630000000000003"/>
        <n v="36.24"/>
        <n v="33.200000000000003"/>
        <n v="30.3"/>
        <n v="25.13"/>
        <n v="22.74"/>
        <n v="18.29"/>
        <n v="42.5"/>
        <n v="39.5"/>
        <n v="33.799999999999997"/>
        <n v="28.39"/>
        <n v="23.55"/>
      </sharedItems>
    </cacheField>
    <cacheField name="Plazo" numFmtId="0">
      <sharedItems containsSemiMixedTypes="0" containsString="0" containsNumber="1" containsInteger="1" minValue="5" maxValue="509" count="18">
        <n v="5"/>
        <n v="12"/>
        <n v="19"/>
        <n v="26"/>
        <n v="33"/>
        <n v="36"/>
        <n v="40"/>
        <n v="54"/>
        <n v="82"/>
        <n v="117"/>
        <n v="145"/>
        <n v="173"/>
        <n v="208"/>
        <n v="236"/>
        <n v="292"/>
        <n v="326"/>
        <n v="418"/>
        <n v="509"/>
      </sharedItems>
    </cacheField>
    <cacheField name="Volatilidad Implicita" numFmtId="10">
      <sharedItems containsSemiMixedTypes="0" containsString="0" containsNumber="1" minValue="0.23206406260760329" maxValue="0.51426175021191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x v="0"/>
    <x v="0"/>
    <x v="0"/>
    <n v="0.51426175021191667"/>
  </r>
  <r>
    <x v="1"/>
    <x v="1"/>
    <x v="0"/>
    <n v="0.32229584619384211"/>
  </r>
  <r>
    <x v="2"/>
    <x v="2"/>
    <x v="0"/>
    <n v="0.41706345268211459"/>
  </r>
  <r>
    <x v="3"/>
    <x v="3"/>
    <x v="0"/>
    <n v="0.47687182700064695"/>
  </r>
  <r>
    <x v="4"/>
    <x v="4"/>
    <x v="0"/>
    <n v="0.46672891157084262"/>
  </r>
  <r>
    <x v="5"/>
    <x v="5"/>
    <x v="0"/>
    <n v="0.45902404964740101"/>
  </r>
  <r>
    <x v="6"/>
    <x v="6"/>
    <x v="0"/>
    <n v="0.45044048826860716"/>
  </r>
  <r>
    <x v="7"/>
    <x v="7"/>
    <x v="0"/>
    <n v="0.45211095219509906"/>
  </r>
  <r>
    <x v="8"/>
    <x v="8"/>
    <x v="0"/>
    <n v="0.44947112875722028"/>
  </r>
  <r>
    <x v="9"/>
    <x v="9"/>
    <x v="0"/>
    <n v="0.44410446750927635"/>
  </r>
  <r>
    <x v="10"/>
    <x v="10"/>
    <x v="0"/>
    <n v="0.44385508728150092"/>
  </r>
  <r>
    <x v="11"/>
    <x v="11"/>
    <x v="0"/>
    <n v="0.43606912536213838"/>
  </r>
  <r>
    <x v="12"/>
    <x v="12"/>
    <x v="0"/>
    <n v="0.4291717849390918"/>
  </r>
  <r>
    <x v="13"/>
    <x v="13"/>
    <x v="0"/>
    <n v="0.42565800315557356"/>
  </r>
  <r>
    <x v="14"/>
    <x v="14"/>
    <x v="0"/>
    <n v="0.42814655021837311"/>
  </r>
  <r>
    <x v="15"/>
    <x v="15"/>
    <x v="0"/>
    <n v="0.43190584937099319"/>
  </r>
  <r>
    <x v="16"/>
    <x v="16"/>
    <x v="0"/>
    <n v="0.43653199248027819"/>
  </r>
  <r>
    <x v="17"/>
    <x v="17"/>
    <x v="0"/>
    <n v="0.44277288830173522"/>
  </r>
  <r>
    <x v="0"/>
    <x v="18"/>
    <x v="1"/>
    <n v="0.33782475354560276"/>
  </r>
  <r>
    <x v="1"/>
    <x v="19"/>
    <x v="1"/>
    <n v="0.35746338160578234"/>
  </r>
  <r>
    <x v="2"/>
    <x v="20"/>
    <x v="1"/>
    <n v="0.34361543798129512"/>
  </r>
  <r>
    <x v="3"/>
    <x v="21"/>
    <x v="1"/>
    <n v="0.37567033816950884"/>
  </r>
  <r>
    <x v="4"/>
    <x v="22"/>
    <x v="1"/>
    <n v="0.36250992093959655"/>
  </r>
  <r>
    <x v="5"/>
    <x v="23"/>
    <x v="1"/>
    <n v="0.34840104388518545"/>
  </r>
  <r>
    <x v="6"/>
    <x v="24"/>
    <x v="1"/>
    <n v="0.35649444046707834"/>
  </r>
  <r>
    <x v="7"/>
    <x v="25"/>
    <x v="1"/>
    <n v="0.35322652867110993"/>
  </r>
  <r>
    <x v="8"/>
    <x v="26"/>
    <x v="1"/>
    <n v="0.34731736563810017"/>
  </r>
  <r>
    <x v="9"/>
    <x v="27"/>
    <x v="1"/>
    <n v="0.34473235068922431"/>
  </r>
  <r>
    <x v="10"/>
    <x v="28"/>
    <x v="1"/>
    <n v="0.33997142909742611"/>
  </r>
  <r>
    <x v="11"/>
    <x v="29"/>
    <x v="1"/>
    <n v="0.33641120882564118"/>
  </r>
  <r>
    <x v="12"/>
    <x v="30"/>
    <x v="1"/>
    <n v="0.33341672979889658"/>
  </r>
  <r>
    <x v="13"/>
    <x v="31"/>
    <x v="1"/>
    <n v="0.33245152625052921"/>
  </r>
  <r>
    <x v="14"/>
    <x v="32"/>
    <x v="1"/>
    <n v="0.33137078710341827"/>
  </r>
  <r>
    <x v="15"/>
    <x v="33"/>
    <x v="1"/>
    <n v="0.33021042628561059"/>
  </r>
  <r>
    <x v="16"/>
    <x v="34"/>
    <x v="1"/>
    <n v="0.33514902144318992"/>
  </r>
  <r>
    <x v="17"/>
    <x v="35"/>
    <x v="1"/>
    <n v="0.33543328806598766"/>
  </r>
  <r>
    <x v="0"/>
    <x v="36"/>
    <x v="2"/>
    <n v="0.34757757940575412"/>
  </r>
  <r>
    <x v="1"/>
    <x v="37"/>
    <x v="2"/>
    <n v="0.33187090252801732"/>
  </r>
  <r>
    <x v="2"/>
    <x v="38"/>
    <x v="2"/>
    <n v="0.29591150159517099"/>
  </r>
  <r>
    <x v="3"/>
    <x v="39"/>
    <x v="2"/>
    <n v="0.32758113331134209"/>
  </r>
  <r>
    <x v="4"/>
    <x v="40"/>
    <x v="2"/>
    <n v="0.32174396483223799"/>
  </r>
  <r>
    <x v="5"/>
    <x v="41"/>
    <x v="2"/>
    <n v="0.31871296076448913"/>
  </r>
  <r>
    <x v="6"/>
    <x v="42"/>
    <x v="2"/>
    <n v="0.30530335972590278"/>
  </r>
  <r>
    <x v="7"/>
    <x v="43"/>
    <x v="2"/>
    <n v="0.31247384148375396"/>
  </r>
  <r>
    <x v="8"/>
    <x v="44"/>
    <x v="2"/>
    <n v="0.30962283836682392"/>
  </r>
  <r>
    <x v="9"/>
    <x v="45"/>
    <x v="2"/>
    <n v="0.30622760229553447"/>
  </r>
  <r>
    <x v="10"/>
    <x v="46"/>
    <x v="2"/>
    <n v="0.30108516839109684"/>
  </r>
  <r>
    <x v="11"/>
    <x v="47"/>
    <x v="2"/>
    <n v="0.29886806418998452"/>
  </r>
  <r>
    <x v="12"/>
    <x v="48"/>
    <x v="2"/>
    <n v="0.29515458182962728"/>
  </r>
  <r>
    <x v="13"/>
    <x v="11"/>
    <x v="2"/>
    <n v="0.29530577212398024"/>
  </r>
  <r>
    <x v="14"/>
    <x v="49"/>
    <x v="2"/>
    <n v="0.29306855565642487"/>
  </r>
  <r>
    <x v="15"/>
    <x v="50"/>
    <x v="2"/>
    <n v="0.29378111342382213"/>
  </r>
  <r>
    <x v="16"/>
    <x v="51"/>
    <x v="2"/>
    <n v="0.29375952853473225"/>
  </r>
  <r>
    <x v="17"/>
    <x v="52"/>
    <x v="2"/>
    <n v="0.2980928144869926"/>
  </r>
  <r>
    <x v="1"/>
    <x v="53"/>
    <x v="3"/>
    <n v="0.31258852242681689"/>
  </r>
  <r>
    <x v="3"/>
    <x v="54"/>
    <x v="3"/>
    <n v="0.2902319229163422"/>
  </r>
  <r>
    <x v="5"/>
    <x v="55"/>
    <x v="3"/>
    <n v="0.29390867867418885"/>
  </r>
  <r>
    <x v="7"/>
    <x v="56"/>
    <x v="3"/>
    <n v="0.29421955059048333"/>
  </r>
  <r>
    <x v="9"/>
    <x v="57"/>
    <x v="3"/>
    <n v="0.28669828703092165"/>
  </r>
  <r>
    <x v="11"/>
    <x v="58"/>
    <x v="3"/>
    <n v="0.27993902530823106"/>
  </r>
  <r>
    <x v="13"/>
    <x v="59"/>
    <x v="3"/>
    <n v="0.27562366300182917"/>
  </r>
  <r>
    <x v="15"/>
    <x v="60"/>
    <x v="3"/>
    <n v="0.27316100680396138"/>
  </r>
  <r>
    <x v="17"/>
    <x v="61"/>
    <x v="3"/>
    <n v="0.27575374658144575"/>
  </r>
  <r>
    <x v="1"/>
    <x v="62"/>
    <x v="4"/>
    <n v="0.30368871430504052"/>
  </r>
  <r>
    <x v="3"/>
    <x v="63"/>
    <x v="4"/>
    <n v="0.29621113069784416"/>
  </r>
  <r>
    <x v="5"/>
    <x v="22"/>
    <x v="4"/>
    <n v="0.2907052687721845"/>
  </r>
  <r>
    <x v="7"/>
    <x v="64"/>
    <x v="4"/>
    <n v="0.28316223448523675"/>
  </r>
  <r>
    <x v="9"/>
    <x v="44"/>
    <x v="4"/>
    <n v="0.27657798806055273"/>
  </r>
  <r>
    <x v="11"/>
    <x v="65"/>
    <x v="4"/>
    <n v="0.2717988445674891"/>
  </r>
  <r>
    <x v="13"/>
    <x v="66"/>
    <x v="4"/>
    <n v="0.2664643213562532"/>
  </r>
  <r>
    <x v="15"/>
    <x v="67"/>
    <x v="4"/>
    <n v="0.26407700378183724"/>
  </r>
  <r>
    <x v="17"/>
    <x v="68"/>
    <x v="4"/>
    <n v="0.26515450194747137"/>
  </r>
  <r>
    <x v="1"/>
    <x v="69"/>
    <x v="5"/>
    <n v="0.31285514407708631"/>
  </r>
  <r>
    <x v="3"/>
    <x v="70"/>
    <x v="5"/>
    <n v="0.29520552185063725"/>
  </r>
  <r>
    <x v="5"/>
    <x v="71"/>
    <x v="5"/>
    <n v="0.29126690795700744"/>
  </r>
  <r>
    <x v="7"/>
    <x v="72"/>
    <x v="5"/>
    <n v="0.2825173463018163"/>
  </r>
  <r>
    <x v="9"/>
    <x v="73"/>
    <x v="5"/>
    <n v="0.28451541237517392"/>
  </r>
  <r>
    <x v="11"/>
    <x v="74"/>
    <x v="5"/>
    <n v="0.27774354899349618"/>
  </r>
  <r>
    <x v="13"/>
    <x v="75"/>
    <x v="5"/>
    <n v="0.27024099456598133"/>
  </r>
  <r>
    <x v="15"/>
    <x v="76"/>
    <x v="5"/>
    <n v="0.26769343673170309"/>
  </r>
  <r>
    <x v="17"/>
    <x v="12"/>
    <x v="6"/>
    <n v="0.25263296413206932"/>
  </r>
  <r>
    <x v="1"/>
    <x v="77"/>
    <x v="7"/>
    <n v="0.28961391126922997"/>
  </r>
  <r>
    <x v="3"/>
    <x v="78"/>
    <x v="7"/>
    <n v="0.2811606786540024"/>
  </r>
  <r>
    <x v="5"/>
    <x v="79"/>
    <x v="7"/>
    <n v="0.27424407568905784"/>
  </r>
  <r>
    <x v="7"/>
    <x v="80"/>
    <x v="7"/>
    <n v="0.26507315978894153"/>
  </r>
  <r>
    <x v="9"/>
    <x v="81"/>
    <x v="7"/>
    <n v="0.26011866507467879"/>
  </r>
  <r>
    <x v="11"/>
    <x v="57"/>
    <x v="7"/>
    <n v="0.25423529757886487"/>
  </r>
  <r>
    <x v="13"/>
    <x v="82"/>
    <x v="7"/>
    <n v="0.24853621850611551"/>
  </r>
  <r>
    <x v="15"/>
    <x v="83"/>
    <x v="7"/>
    <n v="0.24603751635094545"/>
  </r>
  <r>
    <x v="17"/>
    <x v="84"/>
    <x v="7"/>
    <n v="0.24561943887909574"/>
  </r>
  <r>
    <x v="1"/>
    <x v="85"/>
    <x v="8"/>
    <n v="0.27949943455347015"/>
  </r>
  <r>
    <x v="3"/>
    <x v="86"/>
    <x v="8"/>
    <n v="0.26738777887026632"/>
  </r>
  <r>
    <x v="5"/>
    <x v="63"/>
    <x v="8"/>
    <n v="0.26667217220437966"/>
  </r>
  <r>
    <x v="7"/>
    <x v="87"/>
    <x v="8"/>
    <n v="0.26083077729952819"/>
  </r>
  <r>
    <x v="9"/>
    <x v="88"/>
    <x v="8"/>
    <n v="0.25260757636646713"/>
  </r>
  <r>
    <x v="11"/>
    <x v="89"/>
    <x v="8"/>
    <n v="0.24520175676814379"/>
  </r>
  <r>
    <x v="13"/>
    <x v="90"/>
    <x v="8"/>
    <n v="0.24074579960214063"/>
  </r>
  <r>
    <x v="15"/>
    <x v="46"/>
    <x v="8"/>
    <n v="0.23628352869474675"/>
  </r>
  <r>
    <x v="17"/>
    <x v="91"/>
    <x v="8"/>
    <n v="0.23380519965923452"/>
  </r>
  <r>
    <x v="1"/>
    <x v="92"/>
    <x v="9"/>
    <n v="0.27969833699452196"/>
  </r>
  <r>
    <x v="3"/>
    <x v="93"/>
    <x v="9"/>
    <n v="0.26630175511635801"/>
  </r>
  <r>
    <x v="5"/>
    <x v="94"/>
    <x v="9"/>
    <n v="0.26661307955636415"/>
  </r>
  <r>
    <x v="7"/>
    <x v="95"/>
    <x v="9"/>
    <n v="0.26020589746952216"/>
  </r>
  <r>
    <x v="9"/>
    <x v="96"/>
    <x v="9"/>
    <n v="0.25475907885842325"/>
  </r>
  <r>
    <x v="11"/>
    <x v="88"/>
    <x v="9"/>
    <n v="0.24946284760463522"/>
  </r>
  <r>
    <x v="13"/>
    <x v="97"/>
    <x v="9"/>
    <n v="0.24393105493439446"/>
  </r>
  <r>
    <x v="15"/>
    <x v="98"/>
    <x v="9"/>
    <n v="0.24007909305910133"/>
  </r>
  <r>
    <x v="17"/>
    <x v="99"/>
    <x v="9"/>
    <n v="0.23796102485098322"/>
  </r>
  <r>
    <x v="1"/>
    <x v="100"/>
    <x v="10"/>
    <n v="0.27231908091236601"/>
  </r>
  <r>
    <x v="3"/>
    <x v="101"/>
    <x v="10"/>
    <n v="0.26220548912309988"/>
  </r>
  <r>
    <x v="5"/>
    <x v="102"/>
    <x v="10"/>
    <n v="0.25943904056779477"/>
  </r>
  <r>
    <x v="7"/>
    <x v="103"/>
    <x v="10"/>
    <n v="0.25569790700419442"/>
  </r>
  <r>
    <x v="9"/>
    <x v="104"/>
    <x v="10"/>
    <n v="0.25107974806488526"/>
  </r>
  <r>
    <x v="11"/>
    <x v="105"/>
    <x v="10"/>
    <n v="0.24657367727411938"/>
  </r>
  <r>
    <x v="13"/>
    <x v="106"/>
    <x v="10"/>
    <n v="0.24131877597158305"/>
  </r>
  <r>
    <x v="15"/>
    <x v="107"/>
    <x v="10"/>
    <n v="0.23811346736890709"/>
  </r>
  <r>
    <x v="17"/>
    <x v="108"/>
    <x v="10"/>
    <n v="0.23410098520176792"/>
  </r>
  <r>
    <x v="1"/>
    <x v="109"/>
    <x v="11"/>
    <n v="0.26589795912508768"/>
  </r>
  <r>
    <x v="3"/>
    <x v="110"/>
    <x v="11"/>
    <n v="0.26547662764111435"/>
  </r>
  <r>
    <x v="5"/>
    <x v="111"/>
    <x v="11"/>
    <n v="0.26016753736267551"/>
  </r>
  <r>
    <x v="7"/>
    <x v="112"/>
    <x v="11"/>
    <n v="0.2544822247082808"/>
  </r>
  <r>
    <x v="9"/>
    <x v="113"/>
    <x v="11"/>
    <n v="0.24907340743836917"/>
  </r>
  <r>
    <x v="11"/>
    <x v="114"/>
    <x v="11"/>
    <n v="0.24540289013890343"/>
  </r>
  <r>
    <x v="13"/>
    <x v="115"/>
    <x v="11"/>
    <n v="0.24078567231142003"/>
  </r>
  <r>
    <x v="15"/>
    <x v="116"/>
    <x v="11"/>
    <n v="0.23655500741303073"/>
  </r>
  <r>
    <x v="17"/>
    <x v="73"/>
    <x v="11"/>
    <n v="0.23206406260760329"/>
  </r>
  <r>
    <x v="1"/>
    <x v="117"/>
    <x v="12"/>
    <n v="0.26498413168301199"/>
  </r>
  <r>
    <x v="3"/>
    <x v="118"/>
    <x v="12"/>
    <n v="0.26291422087103905"/>
  </r>
  <r>
    <x v="5"/>
    <x v="119"/>
    <x v="12"/>
    <n v="0.2563957547635517"/>
  </r>
  <r>
    <x v="7"/>
    <x v="120"/>
    <x v="12"/>
    <n v="0.2504680682704421"/>
  </r>
  <r>
    <x v="9"/>
    <x v="121"/>
    <x v="12"/>
    <n v="0.25050503456369533"/>
  </r>
  <r>
    <x v="11"/>
    <x v="122"/>
    <x v="12"/>
    <n v="0.24841903620465494"/>
  </r>
  <r>
    <x v="13"/>
    <x v="123"/>
    <x v="12"/>
    <n v="0.24649252196803903"/>
  </r>
  <r>
    <x v="15"/>
    <x v="124"/>
    <x v="12"/>
    <n v="0.23807234662628496"/>
  </r>
  <r>
    <x v="17"/>
    <x v="125"/>
    <x v="12"/>
    <n v="0.23509500653912319"/>
  </r>
  <r>
    <x v="1"/>
    <x v="126"/>
    <x v="13"/>
    <n v="0.26096048108000403"/>
  </r>
  <r>
    <x v="3"/>
    <x v="127"/>
    <x v="13"/>
    <n v="0.25894723062241426"/>
  </r>
  <r>
    <x v="7"/>
    <x v="36"/>
    <x v="13"/>
    <n v="0.25310242252662296"/>
  </r>
  <r>
    <x v="11"/>
    <x v="128"/>
    <x v="13"/>
    <n v="0.24536027666557619"/>
  </r>
  <r>
    <x v="15"/>
    <x v="129"/>
    <x v="13"/>
    <n v="0.23537697896284529"/>
  </r>
  <r>
    <x v="1"/>
    <x v="130"/>
    <x v="14"/>
    <n v="0.26785688474978614"/>
  </r>
  <r>
    <x v="3"/>
    <x v="131"/>
    <x v="14"/>
    <n v="0.26284909192146561"/>
  </r>
  <r>
    <x v="7"/>
    <x v="132"/>
    <x v="14"/>
    <n v="0.25123695390841005"/>
  </r>
  <r>
    <x v="11"/>
    <x v="133"/>
    <x v="14"/>
    <n v="0.25082448130385931"/>
  </r>
  <r>
    <x v="15"/>
    <x v="134"/>
    <x v="14"/>
    <n v="0.24314608658985318"/>
  </r>
  <r>
    <x v="1"/>
    <x v="135"/>
    <x v="15"/>
    <n v="0.26135844571062694"/>
  </r>
  <r>
    <x v="3"/>
    <x v="136"/>
    <x v="15"/>
    <n v="0.25536856686744841"/>
  </r>
  <r>
    <x v="5"/>
    <x v="137"/>
    <x v="15"/>
    <n v="0.25623477231937575"/>
  </r>
  <r>
    <x v="7"/>
    <x v="138"/>
    <x v="15"/>
    <n v="0.25258963401196621"/>
  </r>
  <r>
    <x v="9"/>
    <x v="139"/>
    <x v="15"/>
    <n v="0.24679634451697391"/>
  </r>
  <r>
    <x v="11"/>
    <x v="140"/>
    <x v="15"/>
    <n v="0.24618282544579617"/>
  </r>
  <r>
    <x v="13"/>
    <x v="78"/>
    <x v="15"/>
    <n v="0.24070844522765542"/>
  </r>
  <r>
    <x v="15"/>
    <x v="141"/>
    <x v="15"/>
    <n v="0.23834899218325362"/>
  </r>
  <r>
    <x v="17"/>
    <x v="142"/>
    <x v="15"/>
    <n v="0.23749607708016934"/>
  </r>
  <r>
    <x v="1"/>
    <x v="143"/>
    <x v="16"/>
    <n v="0.26176024098734602"/>
  </r>
  <r>
    <x v="3"/>
    <x v="144"/>
    <x v="16"/>
    <n v="0.2565276762521162"/>
  </r>
  <r>
    <x v="5"/>
    <x v="145"/>
    <x v="16"/>
    <n v="0.25406784580663644"/>
  </r>
  <r>
    <x v="7"/>
    <x v="146"/>
    <x v="16"/>
    <n v="0.25151573503810842"/>
  </r>
  <r>
    <x v="9"/>
    <x v="118"/>
    <x v="16"/>
    <n v="0.24839338906763092"/>
  </r>
  <r>
    <x v="11"/>
    <x v="147"/>
    <x v="16"/>
    <n v="0.24839767493548306"/>
  </r>
  <r>
    <x v="13"/>
    <x v="148"/>
    <x v="16"/>
    <n v="0.24641934902427309"/>
  </r>
  <r>
    <x v="15"/>
    <x v="86"/>
    <x v="16"/>
    <n v="0.24223117298959723"/>
  </r>
  <r>
    <x v="17"/>
    <x v="149"/>
    <x v="16"/>
    <n v="0.24108138818381966"/>
  </r>
  <r>
    <x v="1"/>
    <x v="150"/>
    <x v="17"/>
    <n v="0.25588153301726319"/>
  </r>
  <r>
    <x v="3"/>
    <x v="151"/>
    <x v="17"/>
    <n v="0.25509593888245918"/>
  </r>
  <r>
    <x v="7"/>
    <x v="152"/>
    <x v="17"/>
    <n v="0.25216702919676365"/>
  </r>
  <r>
    <x v="11"/>
    <x v="153"/>
    <x v="17"/>
    <n v="0.24655458140980396"/>
  </r>
  <r>
    <x v="15"/>
    <x v="154"/>
    <x v="17"/>
    <n v="0.241300001053248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ACD158-8D7D-4BEE-9725-7C810F53B698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T191" firstHeaderRow="1" firstDataRow="2" firstDataCol="1"/>
  <pivotFields count="4">
    <pivotField axis="axisRow" numFmtId="164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Row" numFmtId="164" showAll="0">
      <items count="156">
        <item x="17"/>
        <item x="16"/>
        <item x="35"/>
        <item x="15"/>
        <item x="34"/>
        <item x="14"/>
        <item x="52"/>
        <item x="33"/>
        <item x="51"/>
        <item x="61"/>
        <item x="13"/>
        <item x="32"/>
        <item x="50"/>
        <item x="68"/>
        <item x="12"/>
        <item x="60"/>
        <item x="49"/>
        <item x="31"/>
        <item x="67"/>
        <item x="84"/>
        <item x="11"/>
        <item x="30"/>
        <item x="76"/>
        <item x="59"/>
        <item x="48"/>
        <item x="29"/>
        <item x="10"/>
        <item x="83"/>
        <item x="66"/>
        <item x="91"/>
        <item x="75"/>
        <item x="47"/>
        <item x="28"/>
        <item x="9"/>
        <item x="58"/>
        <item x="82"/>
        <item x="46"/>
        <item x="65"/>
        <item x="27"/>
        <item x="99"/>
        <item x="74"/>
        <item x="8"/>
        <item x="45"/>
        <item x="90"/>
        <item x="26"/>
        <item x="57"/>
        <item x="108"/>
        <item x="98"/>
        <item x="7"/>
        <item x="44"/>
        <item x="73"/>
        <item x="25"/>
        <item x="107"/>
        <item x="89"/>
        <item x="6"/>
        <item x="43"/>
        <item x="97"/>
        <item x="81"/>
        <item x="56"/>
        <item x="125"/>
        <item x="116"/>
        <item x="24"/>
        <item x="64"/>
        <item x="42"/>
        <item x="106"/>
        <item x="72"/>
        <item x="5"/>
        <item x="88"/>
        <item x="23"/>
        <item x="124"/>
        <item x="115"/>
        <item x="80"/>
        <item x="41"/>
        <item x="129"/>
        <item x="105"/>
        <item x="55"/>
        <item x="4"/>
        <item x="22"/>
        <item x="96"/>
        <item x="71"/>
        <item x="123"/>
        <item x="87"/>
        <item x="40"/>
        <item x="114"/>
        <item x="142"/>
        <item x="3"/>
        <item x="79"/>
        <item x="104"/>
        <item x="134"/>
        <item x="21"/>
        <item x="39"/>
        <item x="122"/>
        <item x="54"/>
        <item x="95"/>
        <item x="141"/>
        <item x="113"/>
        <item x="2"/>
        <item x="63"/>
        <item x="128"/>
        <item x="70"/>
        <item x="20"/>
        <item x="38"/>
        <item x="103"/>
        <item x="149"/>
        <item x="121"/>
        <item x="78"/>
        <item x="1"/>
        <item x="112"/>
        <item x="94"/>
        <item x="19"/>
        <item x="133"/>
        <item x="37"/>
        <item x="86"/>
        <item x="53"/>
        <item x="102"/>
        <item x="120"/>
        <item x="62"/>
        <item x="140"/>
        <item x="69"/>
        <item x="0"/>
        <item x="18"/>
        <item x="111"/>
        <item x="36"/>
        <item x="77"/>
        <item x="93"/>
        <item x="148"/>
        <item x="154"/>
        <item x="139"/>
        <item x="101"/>
        <item x="119"/>
        <item x="85"/>
        <item x="132"/>
        <item x="147"/>
        <item x="110"/>
        <item x="92"/>
        <item x="138"/>
        <item x="118"/>
        <item x="100"/>
        <item x="153"/>
        <item x="127"/>
        <item x="109"/>
        <item x="137"/>
        <item x="146"/>
        <item x="117"/>
        <item x="131"/>
        <item x="126"/>
        <item x="136"/>
        <item x="145"/>
        <item x="152"/>
        <item x="130"/>
        <item x="135"/>
        <item x="144"/>
        <item x="151"/>
        <item x="143"/>
        <item x="150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numFmtId="10" showAll="0"/>
  </pivotFields>
  <rowFields count="2">
    <field x="0"/>
    <field x="1"/>
  </rowFields>
  <rowItems count="187">
    <i>
      <x/>
    </i>
    <i r="1">
      <x v="119"/>
    </i>
    <i r="1">
      <x v="120"/>
    </i>
    <i r="1">
      <x v="122"/>
    </i>
    <i>
      <x v="1"/>
    </i>
    <i r="1">
      <x v="106"/>
    </i>
    <i r="1">
      <x v="109"/>
    </i>
    <i r="1">
      <x v="111"/>
    </i>
    <i r="1">
      <x v="113"/>
    </i>
    <i r="1">
      <x v="116"/>
    </i>
    <i r="1">
      <x v="118"/>
    </i>
    <i r="1">
      <x v="123"/>
    </i>
    <i r="1">
      <x v="130"/>
    </i>
    <i r="1">
      <x v="134"/>
    </i>
    <i r="1">
      <x v="137"/>
    </i>
    <i r="1">
      <x v="140"/>
    </i>
    <i r="1">
      <x v="143"/>
    </i>
    <i r="1">
      <x v="145"/>
    </i>
    <i r="1">
      <x v="149"/>
    </i>
    <i r="1">
      <x v="150"/>
    </i>
    <i r="1">
      <x v="153"/>
    </i>
    <i r="1">
      <x v="154"/>
    </i>
    <i>
      <x v="2"/>
    </i>
    <i r="1">
      <x v="96"/>
    </i>
    <i r="1">
      <x v="100"/>
    </i>
    <i r="1">
      <x v="101"/>
    </i>
    <i>
      <x v="3"/>
    </i>
    <i r="1">
      <x v="85"/>
    </i>
    <i r="1">
      <x v="89"/>
    </i>
    <i r="1">
      <x v="90"/>
    </i>
    <i r="1">
      <x v="92"/>
    </i>
    <i r="1">
      <x v="97"/>
    </i>
    <i r="1">
      <x v="99"/>
    </i>
    <i r="1">
      <x v="105"/>
    </i>
    <i r="1">
      <x v="112"/>
    </i>
    <i r="1">
      <x v="124"/>
    </i>
    <i r="1">
      <x v="128"/>
    </i>
    <i r="1">
      <x v="133"/>
    </i>
    <i r="1">
      <x v="136"/>
    </i>
    <i r="1">
      <x v="139"/>
    </i>
    <i r="1">
      <x v="144"/>
    </i>
    <i r="1">
      <x v="146"/>
    </i>
    <i r="1">
      <x v="151"/>
    </i>
    <i r="1">
      <x v="152"/>
    </i>
    <i>
      <x v="4"/>
    </i>
    <i r="1">
      <x v="76"/>
    </i>
    <i r="1">
      <x v="77"/>
    </i>
    <i r="1">
      <x v="82"/>
    </i>
    <i>
      <x v="5"/>
    </i>
    <i r="1">
      <x v="66"/>
    </i>
    <i r="1">
      <x v="68"/>
    </i>
    <i r="1">
      <x v="72"/>
    </i>
    <i r="1">
      <x v="75"/>
    </i>
    <i r="1">
      <x v="77"/>
    </i>
    <i r="1">
      <x v="79"/>
    </i>
    <i r="1">
      <x v="86"/>
    </i>
    <i r="1">
      <x v="97"/>
    </i>
    <i r="1">
      <x v="108"/>
    </i>
    <i r="1">
      <x v="114"/>
    </i>
    <i r="1">
      <x v="121"/>
    </i>
    <i r="1">
      <x v="129"/>
    </i>
    <i r="1">
      <x v="141"/>
    </i>
    <i r="1">
      <x v="147"/>
    </i>
    <i>
      <x v="6"/>
    </i>
    <i r="1">
      <x v="54"/>
    </i>
    <i r="1">
      <x v="61"/>
    </i>
    <i r="1">
      <x v="63"/>
    </i>
    <i>
      <x v="7"/>
    </i>
    <i r="1">
      <x v="48"/>
    </i>
    <i r="1">
      <x v="51"/>
    </i>
    <i r="1">
      <x v="55"/>
    </i>
    <i r="1">
      <x v="58"/>
    </i>
    <i r="1">
      <x v="62"/>
    </i>
    <i r="1">
      <x v="65"/>
    </i>
    <i r="1">
      <x v="71"/>
    </i>
    <i r="1">
      <x v="81"/>
    </i>
    <i r="1">
      <x v="93"/>
    </i>
    <i r="1">
      <x v="102"/>
    </i>
    <i r="1">
      <x v="107"/>
    </i>
    <i r="1">
      <x v="115"/>
    </i>
    <i r="1">
      <x v="122"/>
    </i>
    <i r="1">
      <x v="131"/>
    </i>
    <i r="1">
      <x v="135"/>
    </i>
    <i r="1">
      <x v="142"/>
    </i>
    <i r="1">
      <x v="148"/>
    </i>
    <i>
      <x v="8"/>
    </i>
    <i r="1">
      <x v="41"/>
    </i>
    <i r="1">
      <x v="44"/>
    </i>
    <i r="1">
      <x v="49"/>
    </i>
    <i>
      <x v="9"/>
    </i>
    <i r="1">
      <x v="33"/>
    </i>
    <i r="1">
      <x v="38"/>
    </i>
    <i r="1">
      <x v="42"/>
    </i>
    <i r="1">
      <x v="45"/>
    </i>
    <i r="1">
      <x v="49"/>
    </i>
    <i r="1">
      <x v="50"/>
    </i>
    <i r="1">
      <x v="57"/>
    </i>
    <i r="1">
      <x v="67"/>
    </i>
    <i r="1">
      <x v="78"/>
    </i>
    <i r="1">
      <x v="87"/>
    </i>
    <i r="1">
      <x v="95"/>
    </i>
    <i r="1">
      <x v="104"/>
    </i>
    <i r="1">
      <x v="127"/>
    </i>
    <i r="1">
      <x v="136"/>
    </i>
    <i>
      <x v="10"/>
    </i>
    <i r="1">
      <x v="26"/>
    </i>
    <i r="1">
      <x v="32"/>
    </i>
    <i r="1">
      <x v="36"/>
    </i>
    <i>
      <x v="11"/>
    </i>
    <i r="1">
      <x v="20"/>
    </i>
    <i r="1">
      <x v="25"/>
    </i>
    <i r="1">
      <x v="31"/>
    </i>
    <i r="1">
      <x v="34"/>
    </i>
    <i r="1">
      <x v="37"/>
    </i>
    <i r="1">
      <x v="40"/>
    </i>
    <i r="1">
      <x v="45"/>
    </i>
    <i r="1">
      <x v="53"/>
    </i>
    <i r="1">
      <x v="67"/>
    </i>
    <i r="1">
      <x v="74"/>
    </i>
    <i r="1">
      <x v="83"/>
    </i>
    <i r="1">
      <x v="91"/>
    </i>
    <i r="1">
      <x v="98"/>
    </i>
    <i r="1">
      <x v="110"/>
    </i>
    <i r="1">
      <x v="117"/>
    </i>
    <i r="1">
      <x v="132"/>
    </i>
    <i r="1">
      <x v="138"/>
    </i>
    <i>
      <x v="12"/>
    </i>
    <i r="1">
      <x v="14"/>
    </i>
    <i r="1">
      <x v="21"/>
    </i>
    <i r="1">
      <x v="24"/>
    </i>
    <i>
      <x v="13"/>
    </i>
    <i r="1">
      <x v="10"/>
    </i>
    <i r="1">
      <x v="17"/>
    </i>
    <i r="1">
      <x v="20"/>
    </i>
    <i r="1">
      <x v="23"/>
    </i>
    <i r="1">
      <x v="28"/>
    </i>
    <i r="1">
      <x v="30"/>
    </i>
    <i r="1">
      <x v="35"/>
    </i>
    <i r="1">
      <x v="43"/>
    </i>
    <i r="1">
      <x v="56"/>
    </i>
    <i r="1">
      <x v="64"/>
    </i>
    <i r="1">
      <x v="70"/>
    </i>
    <i r="1">
      <x v="80"/>
    </i>
    <i r="1">
      <x v="105"/>
    </i>
    <i r="1">
      <x v="125"/>
    </i>
    <i>
      <x v="14"/>
    </i>
    <i r="1">
      <x v="5"/>
    </i>
    <i r="1">
      <x v="11"/>
    </i>
    <i r="1">
      <x v="16"/>
    </i>
    <i>
      <x v="15"/>
    </i>
    <i r="1">
      <x v="3"/>
    </i>
    <i r="1">
      <x v="7"/>
    </i>
    <i r="1">
      <x v="12"/>
    </i>
    <i r="1">
      <x v="15"/>
    </i>
    <i r="1">
      <x v="18"/>
    </i>
    <i r="1">
      <x v="22"/>
    </i>
    <i r="1">
      <x v="27"/>
    </i>
    <i r="1">
      <x v="36"/>
    </i>
    <i r="1">
      <x v="47"/>
    </i>
    <i r="1">
      <x v="52"/>
    </i>
    <i r="1">
      <x v="60"/>
    </i>
    <i r="1">
      <x v="69"/>
    </i>
    <i r="1">
      <x v="73"/>
    </i>
    <i r="1">
      <x v="88"/>
    </i>
    <i r="1">
      <x v="94"/>
    </i>
    <i r="1">
      <x v="112"/>
    </i>
    <i r="1">
      <x v="126"/>
    </i>
    <i>
      <x v="16"/>
    </i>
    <i r="1">
      <x v="1"/>
    </i>
    <i r="1">
      <x v="4"/>
    </i>
    <i r="1">
      <x v="8"/>
    </i>
    <i>
      <x v="17"/>
    </i>
    <i r="1">
      <x/>
    </i>
    <i r="1">
      <x v="2"/>
    </i>
    <i r="1">
      <x v="6"/>
    </i>
    <i r="1">
      <x v="9"/>
    </i>
    <i r="1">
      <x v="13"/>
    </i>
    <i r="1">
      <x v="14"/>
    </i>
    <i r="1">
      <x v="19"/>
    </i>
    <i r="1">
      <x v="29"/>
    </i>
    <i r="1">
      <x v="39"/>
    </i>
    <i r="1">
      <x v="46"/>
    </i>
    <i r="1">
      <x v="50"/>
    </i>
    <i r="1">
      <x v="59"/>
    </i>
    <i r="1">
      <x v="84"/>
    </i>
    <i r="1">
      <x v="103"/>
    </i>
    <i t="grand">
      <x/>
    </i>
  </rowItems>
  <colFields count="1">
    <field x="2"/>
  </colFields>
  <col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Promedio de Volatilidad Implicita" fld="3" subtotal="average" baseField="0" baseItem="0" numFmtId="10"/>
  </dataFields>
  <formats count="1">
    <format dxfId="0">
      <pivotArea dataOnly="0" labelOnly="1" fieldPosition="0">
        <references count="1">
          <reference field="0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orgeluis.reyes@ciencias.unam.mx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asdaq.com/market-activity/stocks/aapl/option-chain/call-put-options/aapl--250801c00210000" TargetMode="External"/><Relationship Id="rId13" Type="http://schemas.openxmlformats.org/officeDocument/2006/relationships/hyperlink" Target="https://www.nasdaq.com/market-activity/stocks/aapl/option-chain/call-put-options/aapl--250801c00222500" TargetMode="External"/><Relationship Id="rId18" Type="http://schemas.openxmlformats.org/officeDocument/2006/relationships/hyperlink" Target="https://www.nasdaq.com/market-activity/stocks/aapl/option-chain/call-put-options/aapl--250801c00235000" TargetMode="External"/><Relationship Id="rId3" Type="http://schemas.openxmlformats.org/officeDocument/2006/relationships/hyperlink" Target="https://www.nasdaq.com/market-activity/stocks/aapl/option-chain/call-put-options/aapl--250801c00197500" TargetMode="External"/><Relationship Id="rId7" Type="http://schemas.openxmlformats.org/officeDocument/2006/relationships/hyperlink" Target="https://www.nasdaq.com/market-activity/stocks/aapl/option-chain/call-put-options/aapl--250801c00207500" TargetMode="External"/><Relationship Id="rId12" Type="http://schemas.openxmlformats.org/officeDocument/2006/relationships/hyperlink" Target="https://www.nasdaq.com/market-activity/stocks/aapl/option-chain/call-put-options/aapl--250801c00220000" TargetMode="External"/><Relationship Id="rId17" Type="http://schemas.openxmlformats.org/officeDocument/2006/relationships/hyperlink" Target="https://www.nasdaq.com/market-activity/stocks/aapl/option-chain/call-put-options/aapl--250801c00232500" TargetMode="External"/><Relationship Id="rId2" Type="http://schemas.openxmlformats.org/officeDocument/2006/relationships/hyperlink" Target="https://www.nasdaq.com/market-activity/stocks/aapl/option-chain/call-put-options/aapl--250801c00195000" TargetMode="External"/><Relationship Id="rId16" Type="http://schemas.openxmlformats.org/officeDocument/2006/relationships/hyperlink" Target="https://www.nasdaq.com/market-activity/stocks/aapl/option-chain/call-put-options/aapl--250801c00230000" TargetMode="External"/><Relationship Id="rId1" Type="http://schemas.openxmlformats.org/officeDocument/2006/relationships/hyperlink" Target="https://www.nasdaq.com/market-activity/stocks/aapl/option-chain/call-put-options/aapl--250801c00192500" TargetMode="External"/><Relationship Id="rId6" Type="http://schemas.openxmlformats.org/officeDocument/2006/relationships/hyperlink" Target="https://www.nasdaq.com/market-activity/stocks/aapl/option-chain/call-put-options/aapl--250801c00205000" TargetMode="External"/><Relationship Id="rId11" Type="http://schemas.openxmlformats.org/officeDocument/2006/relationships/hyperlink" Target="https://www.nasdaq.com/market-activity/stocks/aapl/option-chain/call-put-options/aapl--250801c00217500" TargetMode="External"/><Relationship Id="rId5" Type="http://schemas.openxmlformats.org/officeDocument/2006/relationships/hyperlink" Target="https://www.nasdaq.com/market-activity/stocks/aapl/option-chain/call-put-options/aapl--250801c00202500" TargetMode="External"/><Relationship Id="rId15" Type="http://schemas.openxmlformats.org/officeDocument/2006/relationships/hyperlink" Target="https://www.nasdaq.com/market-activity/stocks/aapl/option-chain/call-put-options/aapl--250801c00227500" TargetMode="External"/><Relationship Id="rId10" Type="http://schemas.openxmlformats.org/officeDocument/2006/relationships/hyperlink" Target="https://www.nasdaq.com/market-activity/stocks/aapl/option-chain/call-put-options/aapl--250801c00215000" TargetMode="External"/><Relationship Id="rId19" Type="http://schemas.openxmlformats.org/officeDocument/2006/relationships/drawing" Target="../drawings/drawing2.xml"/><Relationship Id="rId4" Type="http://schemas.openxmlformats.org/officeDocument/2006/relationships/hyperlink" Target="https://www.nasdaq.com/market-activity/stocks/aapl/option-chain/call-put-options/aapl--250801c00200000" TargetMode="External"/><Relationship Id="rId9" Type="http://schemas.openxmlformats.org/officeDocument/2006/relationships/hyperlink" Target="https://www.nasdaq.com/market-activity/stocks/aapl/option-chain/call-put-options/aapl--250801c00212500" TargetMode="External"/><Relationship Id="rId14" Type="http://schemas.openxmlformats.org/officeDocument/2006/relationships/hyperlink" Target="https://www.nasdaq.com/market-activity/stocks/aapl/option-chain/call-put-options/aapl--250801c00225000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nasdaq.com/market-activity/stocks/aapl/option-chain/call-put-options/aapl--251219c00235000" TargetMode="External"/><Relationship Id="rId21" Type="http://schemas.openxmlformats.org/officeDocument/2006/relationships/hyperlink" Target="https://www.nasdaq.com/market-activity/stocks/aapl/option-chain/call-put-options/aapl--250808c00197500" TargetMode="External"/><Relationship Id="rId42" Type="http://schemas.openxmlformats.org/officeDocument/2006/relationships/hyperlink" Target="https://www.nasdaq.com/market-activity/stocks/aapl/option-chain/call-put-options/aapl--250815c00205000" TargetMode="External"/><Relationship Id="rId63" Type="http://schemas.openxmlformats.org/officeDocument/2006/relationships/hyperlink" Target="https://www.nasdaq.com/market-activity/stocks/aapl/option-chain/call-put-options/aapl--250822c00235000" TargetMode="External"/><Relationship Id="rId84" Type="http://schemas.openxmlformats.org/officeDocument/2006/relationships/hyperlink" Target="https://www.nasdaq.com/market-activity/stocks/aapl/option-chain/call-put-options/aapl--250919c00205000" TargetMode="External"/><Relationship Id="rId138" Type="http://schemas.openxmlformats.org/officeDocument/2006/relationships/hyperlink" Target="https://www.nasdaq.com/market-activity/stocks/aapl/option-chain/call-put-options/aapl--260320c00210000" TargetMode="External"/><Relationship Id="rId159" Type="http://schemas.openxmlformats.org/officeDocument/2006/relationships/hyperlink" Target="https://www.nasdaq.com/market-activity/stocks/aapl/option-chain/call-put-options/aapl--260918c00215000" TargetMode="External"/><Relationship Id="rId170" Type="http://schemas.openxmlformats.org/officeDocument/2006/relationships/comments" Target="../comments1.xml"/><Relationship Id="rId107" Type="http://schemas.openxmlformats.org/officeDocument/2006/relationships/hyperlink" Target="https://www.nasdaq.com/market-activity/stocks/aapl/option-chain/call-put-options/aapl--251121c00230000" TargetMode="External"/><Relationship Id="rId11" Type="http://schemas.openxmlformats.org/officeDocument/2006/relationships/hyperlink" Target="https://www.nasdaq.com/market-activity/stocks/aapl/option-chain/call-put-options/aapl--250801c00217500" TargetMode="External"/><Relationship Id="rId32" Type="http://schemas.openxmlformats.org/officeDocument/2006/relationships/hyperlink" Target="https://www.nasdaq.com/market-activity/stocks/aapl/option-chain/call-put-options/aapl--250808c00225000" TargetMode="External"/><Relationship Id="rId53" Type="http://schemas.openxmlformats.org/officeDocument/2006/relationships/hyperlink" Target="https://www.nasdaq.com/market-activity/stocks/aapl/option-chain/call-put-options/aapl--250815c00232500" TargetMode="External"/><Relationship Id="rId74" Type="http://schemas.openxmlformats.org/officeDocument/2006/relationships/hyperlink" Target="https://www.nasdaq.com/market-activity/stocks/aapl/option-chain/call-put-options/aapl--250905c00200000" TargetMode="External"/><Relationship Id="rId128" Type="http://schemas.openxmlformats.org/officeDocument/2006/relationships/hyperlink" Target="https://www.nasdaq.com/market-activity/stocks/aapl/option-chain/call-put-options/aapl--260220c00200000" TargetMode="External"/><Relationship Id="rId149" Type="http://schemas.openxmlformats.org/officeDocument/2006/relationships/hyperlink" Target="https://www.nasdaq.com/market-activity/stocks/aapl/option-chain/call-put-options/aapl--260618c00210000" TargetMode="External"/><Relationship Id="rId5" Type="http://schemas.openxmlformats.org/officeDocument/2006/relationships/hyperlink" Target="https://www.nasdaq.com/market-activity/stocks/aapl/option-chain/call-put-options/aapl--250801c00202500" TargetMode="External"/><Relationship Id="rId95" Type="http://schemas.openxmlformats.org/officeDocument/2006/relationships/hyperlink" Target="https://www.nasdaq.com/market-activity/stocks/aapl/option-chain/call-put-options/aapl--251017c00215000" TargetMode="External"/><Relationship Id="rId160" Type="http://schemas.openxmlformats.org/officeDocument/2006/relationships/hyperlink" Target="https://www.nasdaq.com/market-activity/stocks/aapl/option-chain/call-put-options/aapl--260918c00220000" TargetMode="External"/><Relationship Id="rId22" Type="http://schemas.openxmlformats.org/officeDocument/2006/relationships/hyperlink" Target="https://www.nasdaq.com/market-activity/stocks/aapl/option-chain/call-put-options/aapl--250808c00200000" TargetMode="External"/><Relationship Id="rId43" Type="http://schemas.openxmlformats.org/officeDocument/2006/relationships/hyperlink" Target="https://www.nasdaq.com/market-activity/stocks/aapl/option-chain/call-put-options/aapl--250815c00207500" TargetMode="External"/><Relationship Id="rId64" Type="http://schemas.openxmlformats.org/officeDocument/2006/relationships/hyperlink" Target="https://www.nasdaq.com/market-activity/stocks/aapl/option-chain/call-put-options/aapl--250829c00195000" TargetMode="External"/><Relationship Id="rId118" Type="http://schemas.openxmlformats.org/officeDocument/2006/relationships/hyperlink" Target="https://www.nasdaq.com/market-activity/stocks/aapl/option-chain/call-put-options/aapl--260116c00195000" TargetMode="External"/><Relationship Id="rId139" Type="http://schemas.openxmlformats.org/officeDocument/2006/relationships/hyperlink" Target="https://www.nasdaq.com/market-activity/stocks/aapl/option-chain/call-put-options/aapl--260320c00220000" TargetMode="External"/><Relationship Id="rId85" Type="http://schemas.openxmlformats.org/officeDocument/2006/relationships/hyperlink" Target="https://www.nasdaq.com/market-activity/stocks/aapl/option-chain/call-put-options/aapl--250919c00210000" TargetMode="External"/><Relationship Id="rId150" Type="http://schemas.openxmlformats.org/officeDocument/2006/relationships/hyperlink" Target="https://www.nasdaq.com/market-activity/stocks/aapl/option-chain/call-put-options/aapl--260618c00215000" TargetMode="External"/><Relationship Id="rId12" Type="http://schemas.openxmlformats.org/officeDocument/2006/relationships/hyperlink" Target="https://www.nasdaq.com/market-activity/stocks/aapl/option-chain/call-put-options/aapl--250801c00220000" TargetMode="External"/><Relationship Id="rId33" Type="http://schemas.openxmlformats.org/officeDocument/2006/relationships/hyperlink" Target="https://www.nasdaq.com/market-activity/stocks/aapl/option-chain/call-put-options/aapl--250808c00227500" TargetMode="External"/><Relationship Id="rId108" Type="http://schemas.openxmlformats.org/officeDocument/2006/relationships/hyperlink" Target="https://www.nasdaq.com/market-activity/stocks/aapl/option-chain/call-put-options/aapl--251121c00235000" TargetMode="External"/><Relationship Id="rId129" Type="http://schemas.openxmlformats.org/officeDocument/2006/relationships/hyperlink" Target="https://www.nasdaq.com/market-activity/stocks/aapl/option-chain/call-put-options/aapl--260220c00205000" TargetMode="External"/><Relationship Id="rId54" Type="http://schemas.openxmlformats.org/officeDocument/2006/relationships/hyperlink" Target="https://www.nasdaq.com/market-activity/stocks/aapl/option-chain/call-put-options/aapl--250815c00235000" TargetMode="External"/><Relationship Id="rId70" Type="http://schemas.openxmlformats.org/officeDocument/2006/relationships/hyperlink" Target="https://www.nasdaq.com/market-activity/stocks/aapl/option-chain/call-put-options/aapl--250829c00225000" TargetMode="External"/><Relationship Id="rId75" Type="http://schemas.openxmlformats.org/officeDocument/2006/relationships/hyperlink" Target="https://www.nasdaq.com/market-activity/stocks/aapl/option-chain/call-put-options/aapl--250905c00205000" TargetMode="External"/><Relationship Id="rId91" Type="http://schemas.openxmlformats.org/officeDocument/2006/relationships/hyperlink" Target="https://www.nasdaq.com/market-activity/stocks/aapl/option-chain/call-put-options/aapl--251017c00195000" TargetMode="External"/><Relationship Id="rId96" Type="http://schemas.openxmlformats.org/officeDocument/2006/relationships/hyperlink" Target="https://www.nasdaq.com/market-activity/stocks/aapl/option-chain/call-put-options/aapl--251017c00220000" TargetMode="External"/><Relationship Id="rId140" Type="http://schemas.openxmlformats.org/officeDocument/2006/relationships/hyperlink" Target="https://www.nasdaq.com/market-activity/stocks/aapl/option-chain/call-put-options/aapl--260320c00230000" TargetMode="External"/><Relationship Id="rId145" Type="http://schemas.openxmlformats.org/officeDocument/2006/relationships/hyperlink" Target="https://www.nasdaq.com/market-activity/stocks/aapl/option-chain/call-put-options/aapl--260515c00230000" TargetMode="External"/><Relationship Id="rId161" Type="http://schemas.openxmlformats.org/officeDocument/2006/relationships/hyperlink" Target="https://www.nasdaq.com/market-activity/stocks/aapl/option-chain/call-put-options/aapl--260918c00225000" TargetMode="External"/><Relationship Id="rId166" Type="http://schemas.openxmlformats.org/officeDocument/2006/relationships/hyperlink" Target="https://www.nasdaq.com/market-activity/stocks/aapl/option-chain/call-put-options/aapl--261218c00210000" TargetMode="External"/><Relationship Id="rId1" Type="http://schemas.openxmlformats.org/officeDocument/2006/relationships/hyperlink" Target="https://www.nasdaq.com/market-activity/stocks/aapl/option-chain/call-put-options/aapl--250801c00192500" TargetMode="External"/><Relationship Id="rId6" Type="http://schemas.openxmlformats.org/officeDocument/2006/relationships/hyperlink" Target="https://www.nasdaq.com/market-activity/stocks/aapl/option-chain/call-put-options/aapl--250801c00205000" TargetMode="External"/><Relationship Id="rId23" Type="http://schemas.openxmlformats.org/officeDocument/2006/relationships/hyperlink" Target="https://www.nasdaq.com/market-activity/stocks/aapl/option-chain/call-put-options/aapl--250808c00202500" TargetMode="External"/><Relationship Id="rId28" Type="http://schemas.openxmlformats.org/officeDocument/2006/relationships/hyperlink" Target="https://www.nasdaq.com/market-activity/stocks/aapl/option-chain/call-put-options/aapl--250808c00215000" TargetMode="External"/><Relationship Id="rId49" Type="http://schemas.openxmlformats.org/officeDocument/2006/relationships/hyperlink" Target="https://www.nasdaq.com/market-activity/stocks/aapl/option-chain/call-put-options/aapl--250815c00222500" TargetMode="External"/><Relationship Id="rId114" Type="http://schemas.openxmlformats.org/officeDocument/2006/relationships/hyperlink" Target="https://www.nasdaq.com/market-activity/stocks/aapl/option-chain/call-put-options/aapl--251219c00220000" TargetMode="External"/><Relationship Id="rId119" Type="http://schemas.openxmlformats.org/officeDocument/2006/relationships/hyperlink" Target="https://www.nasdaq.com/market-activity/stocks/aapl/option-chain/call-put-options/aapl--260116c00200000" TargetMode="External"/><Relationship Id="rId44" Type="http://schemas.openxmlformats.org/officeDocument/2006/relationships/hyperlink" Target="https://www.nasdaq.com/market-activity/stocks/aapl/option-chain/call-put-options/aapl--250815c00210000" TargetMode="External"/><Relationship Id="rId60" Type="http://schemas.openxmlformats.org/officeDocument/2006/relationships/hyperlink" Target="https://www.nasdaq.com/market-activity/stocks/aapl/option-chain/call-put-options/aapl--250822c00220000" TargetMode="External"/><Relationship Id="rId65" Type="http://schemas.openxmlformats.org/officeDocument/2006/relationships/hyperlink" Target="https://www.nasdaq.com/market-activity/stocks/aapl/option-chain/call-put-options/aapl--250829c00200000" TargetMode="External"/><Relationship Id="rId81" Type="http://schemas.openxmlformats.org/officeDocument/2006/relationships/hyperlink" Target="https://www.nasdaq.com/market-activity/stocks/aapl/option-chain/call-put-options/aapl--250905c00235000" TargetMode="External"/><Relationship Id="rId86" Type="http://schemas.openxmlformats.org/officeDocument/2006/relationships/hyperlink" Target="https://www.nasdaq.com/market-activity/stocks/aapl/option-chain/call-put-options/aapl--250919c00215000" TargetMode="External"/><Relationship Id="rId130" Type="http://schemas.openxmlformats.org/officeDocument/2006/relationships/hyperlink" Target="https://www.nasdaq.com/market-activity/stocks/aapl/option-chain/call-put-options/aapl--260220c00210000" TargetMode="External"/><Relationship Id="rId135" Type="http://schemas.openxmlformats.org/officeDocument/2006/relationships/hyperlink" Target="https://www.nasdaq.com/market-activity/stocks/aapl/option-chain/call-put-options/aapl--260220c00235000" TargetMode="External"/><Relationship Id="rId151" Type="http://schemas.openxmlformats.org/officeDocument/2006/relationships/hyperlink" Target="https://www.nasdaq.com/market-activity/stocks/aapl/option-chain/call-put-options/aapl--260618c00220000" TargetMode="External"/><Relationship Id="rId156" Type="http://schemas.openxmlformats.org/officeDocument/2006/relationships/hyperlink" Target="https://www.nasdaq.com/market-activity/stocks/aapl/option-chain/call-put-options/aapl--260918c00200000" TargetMode="External"/><Relationship Id="rId13" Type="http://schemas.openxmlformats.org/officeDocument/2006/relationships/hyperlink" Target="https://www.nasdaq.com/market-activity/stocks/aapl/option-chain/call-put-options/aapl--250801c00222500" TargetMode="External"/><Relationship Id="rId18" Type="http://schemas.openxmlformats.org/officeDocument/2006/relationships/hyperlink" Target="https://www.nasdaq.com/market-activity/stocks/aapl/option-chain/call-put-options/aapl--250801c00235000" TargetMode="External"/><Relationship Id="rId39" Type="http://schemas.openxmlformats.org/officeDocument/2006/relationships/hyperlink" Target="https://www.nasdaq.com/market-activity/stocks/aapl/option-chain/call-put-options/aapl--250815c00197500" TargetMode="External"/><Relationship Id="rId109" Type="http://schemas.openxmlformats.org/officeDocument/2006/relationships/hyperlink" Target="https://www.nasdaq.com/market-activity/stocks/aapl/option-chain/call-put-options/aapl--251219c00195000" TargetMode="External"/><Relationship Id="rId34" Type="http://schemas.openxmlformats.org/officeDocument/2006/relationships/hyperlink" Target="https://www.nasdaq.com/market-activity/stocks/aapl/option-chain/call-put-options/aapl--250808c00230000" TargetMode="External"/><Relationship Id="rId50" Type="http://schemas.openxmlformats.org/officeDocument/2006/relationships/hyperlink" Target="https://www.nasdaq.com/market-activity/stocks/aapl/option-chain/call-put-options/aapl--250815c00225000" TargetMode="External"/><Relationship Id="rId55" Type="http://schemas.openxmlformats.org/officeDocument/2006/relationships/hyperlink" Target="https://www.nasdaq.com/market-activity/stocks/aapl/option-chain/call-put-options/aapl--250822c00195000" TargetMode="External"/><Relationship Id="rId76" Type="http://schemas.openxmlformats.org/officeDocument/2006/relationships/hyperlink" Target="https://www.nasdaq.com/market-activity/stocks/aapl/option-chain/call-put-options/aapl--250905c00210000" TargetMode="External"/><Relationship Id="rId97" Type="http://schemas.openxmlformats.org/officeDocument/2006/relationships/hyperlink" Target="https://www.nasdaq.com/market-activity/stocks/aapl/option-chain/call-put-options/aapl--251017c00225000" TargetMode="External"/><Relationship Id="rId104" Type="http://schemas.openxmlformats.org/officeDocument/2006/relationships/hyperlink" Target="https://www.nasdaq.com/market-activity/stocks/aapl/option-chain/call-put-options/aapl--251121c00215000" TargetMode="External"/><Relationship Id="rId120" Type="http://schemas.openxmlformats.org/officeDocument/2006/relationships/hyperlink" Target="https://www.nasdaq.com/market-activity/stocks/aapl/option-chain/call-put-options/aapl--260116c00205000" TargetMode="External"/><Relationship Id="rId125" Type="http://schemas.openxmlformats.org/officeDocument/2006/relationships/hyperlink" Target="https://www.nasdaq.com/market-activity/stocks/aapl/option-chain/call-put-options/aapl--260116c00230000" TargetMode="External"/><Relationship Id="rId141" Type="http://schemas.openxmlformats.org/officeDocument/2006/relationships/hyperlink" Target="https://www.nasdaq.com/market-activity/stocks/aapl/option-chain/call-put-options/aapl--260515c00195000" TargetMode="External"/><Relationship Id="rId146" Type="http://schemas.openxmlformats.org/officeDocument/2006/relationships/hyperlink" Target="https://www.nasdaq.com/market-activity/stocks/aapl/option-chain/call-put-options/aapl--260618c00195000" TargetMode="External"/><Relationship Id="rId167" Type="http://schemas.openxmlformats.org/officeDocument/2006/relationships/hyperlink" Target="https://www.nasdaq.com/market-activity/stocks/aapl/option-chain/call-put-options/aapl--261218c00220000" TargetMode="External"/><Relationship Id="rId7" Type="http://schemas.openxmlformats.org/officeDocument/2006/relationships/hyperlink" Target="https://www.nasdaq.com/market-activity/stocks/aapl/option-chain/call-put-options/aapl--250801c00207500" TargetMode="External"/><Relationship Id="rId71" Type="http://schemas.openxmlformats.org/officeDocument/2006/relationships/hyperlink" Target="https://www.nasdaq.com/market-activity/stocks/aapl/option-chain/call-put-options/aapl--250829c00230000" TargetMode="External"/><Relationship Id="rId92" Type="http://schemas.openxmlformats.org/officeDocument/2006/relationships/hyperlink" Target="https://www.nasdaq.com/market-activity/stocks/aapl/option-chain/call-put-options/aapl--251017c00200000" TargetMode="External"/><Relationship Id="rId162" Type="http://schemas.openxmlformats.org/officeDocument/2006/relationships/hyperlink" Target="https://www.nasdaq.com/market-activity/stocks/aapl/option-chain/call-put-options/aapl--260918c00230000" TargetMode="External"/><Relationship Id="rId2" Type="http://schemas.openxmlformats.org/officeDocument/2006/relationships/hyperlink" Target="https://www.nasdaq.com/market-activity/stocks/aapl/option-chain/call-put-options/aapl--250801c00195000" TargetMode="External"/><Relationship Id="rId29" Type="http://schemas.openxmlformats.org/officeDocument/2006/relationships/hyperlink" Target="https://www.nasdaq.com/market-activity/stocks/aapl/option-chain/call-put-options/aapl--250808c00217500" TargetMode="External"/><Relationship Id="rId24" Type="http://schemas.openxmlformats.org/officeDocument/2006/relationships/hyperlink" Target="https://www.nasdaq.com/market-activity/stocks/aapl/option-chain/call-put-options/aapl--250808c00205000" TargetMode="External"/><Relationship Id="rId40" Type="http://schemas.openxmlformats.org/officeDocument/2006/relationships/hyperlink" Target="https://www.nasdaq.com/market-activity/stocks/aapl/option-chain/call-put-options/aapl--250815c00200000" TargetMode="External"/><Relationship Id="rId45" Type="http://schemas.openxmlformats.org/officeDocument/2006/relationships/hyperlink" Target="https://www.nasdaq.com/market-activity/stocks/aapl/option-chain/call-put-options/aapl--250815c00212500" TargetMode="External"/><Relationship Id="rId66" Type="http://schemas.openxmlformats.org/officeDocument/2006/relationships/hyperlink" Target="https://www.nasdaq.com/market-activity/stocks/aapl/option-chain/call-put-options/aapl--250829c00205000" TargetMode="External"/><Relationship Id="rId87" Type="http://schemas.openxmlformats.org/officeDocument/2006/relationships/hyperlink" Target="https://www.nasdaq.com/market-activity/stocks/aapl/option-chain/call-put-options/aapl--250919c00220000" TargetMode="External"/><Relationship Id="rId110" Type="http://schemas.openxmlformats.org/officeDocument/2006/relationships/hyperlink" Target="https://www.nasdaq.com/market-activity/stocks/aapl/option-chain/call-put-options/aapl--251219c00200000" TargetMode="External"/><Relationship Id="rId115" Type="http://schemas.openxmlformats.org/officeDocument/2006/relationships/hyperlink" Target="https://www.nasdaq.com/market-activity/stocks/aapl/option-chain/call-put-options/aapl--251219c00225000" TargetMode="External"/><Relationship Id="rId131" Type="http://schemas.openxmlformats.org/officeDocument/2006/relationships/hyperlink" Target="https://www.nasdaq.com/market-activity/stocks/aapl/option-chain/call-put-options/aapl--260220c00215000" TargetMode="External"/><Relationship Id="rId136" Type="http://schemas.openxmlformats.org/officeDocument/2006/relationships/hyperlink" Target="https://www.nasdaq.com/market-activity/stocks/aapl/option-chain/call-put-options/aapl--260320c00195000" TargetMode="External"/><Relationship Id="rId157" Type="http://schemas.openxmlformats.org/officeDocument/2006/relationships/hyperlink" Target="https://www.nasdaq.com/market-activity/stocks/aapl/option-chain/call-put-options/aapl--260918c00205000" TargetMode="External"/><Relationship Id="rId61" Type="http://schemas.openxmlformats.org/officeDocument/2006/relationships/hyperlink" Target="https://www.nasdaq.com/market-activity/stocks/aapl/option-chain/call-put-options/aapl--250822c00225000" TargetMode="External"/><Relationship Id="rId82" Type="http://schemas.openxmlformats.org/officeDocument/2006/relationships/hyperlink" Target="https://www.nasdaq.com/market-activity/stocks/aapl/option-chain/call-put-options/aapl--250919c00195000" TargetMode="External"/><Relationship Id="rId152" Type="http://schemas.openxmlformats.org/officeDocument/2006/relationships/hyperlink" Target="https://www.nasdaq.com/market-activity/stocks/aapl/option-chain/call-put-options/aapl--260618c00225000" TargetMode="External"/><Relationship Id="rId19" Type="http://schemas.openxmlformats.org/officeDocument/2006/relationships/hyperlink" Target="https://www.nasdaq.com/market-activity/stocks/aapl/option-chain/call-put-options/aapl--250808c00192500" TargetMode="External"/><Relationship Id="rId14" Type="http://schemas.openxmlformats.org/officeDocument/2006/relationships/hyperlink" Target="https://www.nasdaq.com/market-activity/stocks/aapl/option-chain/call-put-options/aapl--250801c00225000" TargetMode="External"/><Relationship Id="rId30" Type="http://schemas.openxmlformats.org/officeDocument/2006/relationships/hyperlink" Target="https://www.nasdaq.com/market-activity/stocks/aapl/option-chain/call-put-options/aapl--250808c00220000" TargetMode="External"/><Relationship Id="rId35" Type="http://schemas.openxmlformats.org/officeDocument/2006/relationships/hyperlink" Target="https://www.nasdaq.com/market-activity/stocks/aapl/option-chain/call-put-options/aapl--250808c00232500" TargetMode="External"/><Relationship Id="rId56" Type="http://schemas.openxmlformats.org/officeDocument/2006/relationships/hyperlink" Target="https://www.nasdaq.com/market-activity/stocks/aapl/option-chain/call-put-options/aapl--250822c00200000" TargetMode="External"/><Relationship Id="rId77" Type="http://schemas.openxmlformats.org/officeDocument/2006/relationships/hyperlink" Target="https://www.nasdaq.com/market-activity/stocks/aapl/option-chain/call-put-options/aapl--250905c00215000" TargetMode="External"/><Relationship Id="rId100" Type="http://schemas.openxmlformats.org/officeDocument/2006/relationships/hyperlink" Target="https://www.nasdaq.com/market-activity/stocks/aapl/option-chain/call-put-options/aapl--251121c00195000" TargetMode="External"/><Relationship Id="rId105" Type="http://schemas.openxmlformats.org/officeDocument/2006/relationships/hyperlink" Target="https://www.nasdaq.com/market-activity/stocks/aapl/option-chain/call-put-options/aapl--251121c00220000" TargetMode="External"/><Relationship Id="rId126" Type="http://schemas.openxmlformats.org/officeDocument/2006/relationships/hyperlink" Target="https://www.nasdaq.com/market-activity/stocks/aapl/option-chain/call-put-options/aapl--260116c00235000" TargetMode="External"/><Relationship Id="rId147" Type="http://schemas.openxmlformats.org/officeDocument/2006/relationships/hyperlink" Target="https://www.nasdaq.com/market-activity/stocks/aapl/option-chain/call-put-options/aapl--260618c00200000" TargetMode="External"/><Relationship Id="rId168" Type="http://schemas.openxmlformats.org/officeDocument/2006/relationships/hyperlink" Target="https://www.nasdaq.com/market-activity/stocks/aapl/option-chain/call-put-options/aapl--261218c00230000" TargetMode="External"/><Relationship Id="rId8" Type="http://schemas.openxmlformats.org/officeDocument/2006/relationships/hyperlink" Target="https://www.nasdaq.com/market-activity/stocks/aapl/option-chain/call-put-options/aapl--250801c00210000" TargetMode="External"/><Relationship Id="rId51" Type="http://schemas.openxmlformats.org/officeDocument/2006/relationships/hyperlink" Target="https://www.nasdaq.com/market-activity/stocks/aapl/option-chain/call-put-options/aapl--250815c00227500" TargetMode="External"/><Relationship Id="rId72" Type="http://schemas.openxmlformats.org/officeDocument/2006/relationships/hyperlink" Target="https://www.nasdaq.com/market-activity/stocks/aapl/option-chain/call-put-options/aapl--250829c00235000" TargetMode="External"/><Relationship Id="rId93" Type="http://schemas.openxmlformats.org/officeDocument/2006/relationships/hyperlink" Target="https://www.nasdaq.com/market-activity/stocks/aapl/option-chain/call-put-options/aapl--251017c00205000" TargetMode="External"/><Relationship Id="rId98" Type="http://schemas.openxmlformats.org/officeDocument/2006/relationships/hyperlink" Target="https://www.nasdaq.com/market-activity/stocks/aapl/option-chain/call-put-options/aapl--251017c00230000" TargetMode="External"/><Relationship Id="rId121" Type="http://schemas.openxmlformats.org/officeDocument/2006/relationships/hyperlink" Target="https://www.nasdaq.com/market-activity/stocks/aapl/option-chain/call-put-options/aapl--260116c00210000" TargetMode="External"/><Relationship Id="rId142" Type="http://schemas.openxmlformats.org/officeDocument/2006/relationships/hyperlink" Target="https://www.nasdaq.com/market-activity/stocks/aapl/option-chain/call-put-options/aapl--260515c00200000" TargetMode="External"/><Relationship Id="rId163" Type="http://schemas.openxmlformats.org/officeDocument/2006/relationships/hyperlink" Target="https://www.nasdaq.com/market-activity/stocks/aapl/option-chain/call-put-options/aapl--260918c00235000" TargetMode="External"/><Relationship Id="rId3" Type="http://schemas.openxmlformats.org/officeDocument/2006/relationships/hyperlink" Target="https://www.nasdaq.com/market-activity/stocks/aapl/option-chain/call-put-options/aapl--250801c00197500" TargetMode="External"/><Relationship Id="rId25" Type="http://schemas.openxmlformats.org/officeDocument/2006/relationships/hyperlink" Target="https://www.nasdaq.com/market-activity/stocks/aapl/option-chain/call-put-options/aapl--250808c00207500" TargetMode="External"/><Relationship Id="rId46" Type="http://schemas.openxmlformats.org/officeDocument/2006/relationships/hyperlink" Target="https://www.nasdaq.com/market-activity/stocks/aapl/option-chain/call-put-options/aapl--250815c00215000" TargetMode="External"/><Relationship Id="rId67" Type="http://schemas.openxmlformats.org/officeDocument/2006/relationships/hyperlink" Target="https://www.nasdaq.com/market-activity/stocks/aapl/option-chain/call-put-options/aapl--250829c00210000" TargetMode="External"/><Relationship Id="rId116" Type="http://schemas.openxmlformats.org/officeDocument/2006/relationships/hyperlink" Target="https://www.nasdaq.com/market-activity/stocks/aapl/option-chain/call-put-options/aapl--251219c00230000" TargetMode="External"/><Relationship Id="rId137" Type="http://schemas.openxmlformats.org/officeDocument/2006/relationships/hyperlink" Target="https://www.nasdaq.com/market-activity/stocks/aapl/option-chain/call-put-options/aapl--260320c00200000" TargetMode="External"/><Relationship Id="rId158" Type="http://schemas.openxmlformats.org/officeDocument/2006/relationships/hyperlink" Target="https://www.nasdaq.com/market-activity/stocks/aapl/option-chain/call-put-options/aapl--260918c00210000" TargetMode="External"/><Relationship Id="rId20" Type="http://schemas.openxmlformats.org/officeDocument/2006/relationships/hyperlink" Target="https://www.nasdaq.com/market-activity/stocks/aapl/option-chain/call-put-options/aapl--250808c00195000" TargetMode="External"/><Relationship Id="rId41" Type="http://schemas.openxmlformats.org/officeDocument/2006/relationships/hyperlink" Target="https://www.nasdaq.com/market-activity/stocks/aapl/option-chain/call-put-options/aapl--250815c00202500" TargetMode="External"/><Relationship Id="rId62" Type="http://schemas.openxmlformats.org/officeDocument/2006/relationships/hyperlink" Target="https://www.nasdaq.com/market-activity/stocks/aapl/option-chain/call-put-options/aapl--250822c00230000" TargetMode="External"/><Relationship Id="rId83" Type="http://schemas.openxmlformats.org/officeDocument/2006/relationships/hyperlink" Target="https://www.nasdaq.com/market-activity/stocks/aapl/option-chain/call-put-options/aapl--250919c00200000" TargetMode="External"/><Relationship Id="rId88" Type="http://schemas.openxmlformats.org/officeDocument/2006/relationships/hyperlink" Target="https://www.nasdaq.com/market-activity/stocks/aapl/option-chain/call-put-options/aapl--250919c00225000" TargetMode="External"/><Relationship Id="rId111" Type="http://schemas.openxmlformats.org/officeDocument/2006/relationships/hyperlink" Target="https://www.nasdaq.com/market-activity/stocks/aapl/option-chain/call-put-options/aapl--251219c00205000" TargetMode="External"/><Relationship Id="rId132" Type="http://schemas.openxmlformats.org/officeDocument/2006/relationships/hyperlink" Target="https://www.nasdaq.com/market-activity/stocks/aapl/option-chain/call-put-options/aapl--260220c00220000" TargetMode="External"/><Relationship Id="rId153" Type="http://schemas.openxmlformats.org/officeDocument/2006/relationships/hyperlink" Target="https://www.nasdaq.com/market-activity/stocks/aapl/option-chain/call-put-options/aapl--260618c00230000" TargetMode="External"/><Relationship Id="rId15" Type="http://schemas.openxmlformats.org/officeDocument/2006/relationships/hyperlink" Target="https://www.nasdaq.com/market-activity/stocks/aapl/option-chain/call-put-options/aapl--250801c00227500" TargetMode="External"/><Relationship Id="rId36" Type="http://schemas.openxmlformats.org/officeDocument/2006/relationships/hyperlink" Target="https://www.nasdaq.com/market-activity/stocks/aapl/option-chain/call-put-options/aapl--250808c00235000" TargetMode="External"/><Relationship Id="rId57" Type="http://schemas.openxmlformats.org/officeDocument/2006/relationships/hyperlink" Target="https://www.nasdaq.com/market-activity/stocks/aapl/option-chain/call-put-options/aapl--250822c00205000" TargetMode="External"/><Relationship Id="rId106" Type="http://schemas.openxmlformats.org/officeDocument/2006/relationships/hyperlink" Target="https://www.nasdaq.com/market-activity/stocks/aapl/option-chain/call-put-options/aapl--251121c00225000" TargetMode="External"/><Relationship Id="rId127" Type="http://schemas.openxmlformats.org/officeDocument/2006/relationships/hyperlink" Target="https://www.nasdaq.com/market-activity/stocks/aapl/option-chain/call-put-options/aapl--260220c00195000" TargetMode="External"/><Relationship Id="rId10" Type="http://schemas.openxmlformats.org/officeDocument/2006/relationships/hyperlink" Target="https://www.nasdaq.com/market-activity/stocks/aapl/option-chain/call-put-options/aapl--250801c00215000" TargetMode="External"/><Relationship Id="rId31" Type="http://schemas.openxmlformats.org/officeDocument/2006/relationships/hyperlink" Target="https://www.nasdaq.com/market-activity/stocks/aapl/option-chain/call-put-options/aapl--250808c00222500" TargetMode="External"/><Relationship Id="rId52" Type="http://schemas.openxmlformats.org/officeDocument/2006/relationships/hyperlink" Target="https://www.nasdaq.com/market-activity/stocks/aapl/option-chain/call-put-options/aapl--250815c00230000" TargetMode="External"/><Relationship Id="rId73" Type="http://schemas.openxmlformats.org/officeDocument/2006/relationships/hyperlink" Target="https://www.nasdaq.com/market-activity/stocks/aapl/option-chain/call-put-options/aapl--250905c00195000" TargetMode="External"/><Relationship Id="rId78" Type="http://schemas.openxmlformats.org/officeDocument/2006/relationships/hyperlink" Target="https://www.nasdaq.com/market-activity/stocks/aapl/option-chain/call-put-options/aapl--250905c00220000" TargetMode="External"/><Relationship Id="rId94" Type="http://schemas.openxmlformats.org/officeDocument/2006/relationships/hyperlink" Target="https://www.nasdaq.com/market-activity/stocks/aapl/option-chain/call-put-options/aapl--251017c00210000" TargetMode="External"/><Relationship Id="rId99" Type="http://schemas.openxmlformats.org/officeDocument/2006/relationships/hyperlink" Target="https://www.nasdaq.com/market-activity/stocks/aapl/option-chain/call-put-options/aapl--251017c00235000" TargetMode="External"/><Relationship Id="rId101" Type="http://schemas.openxmlformats.org/officeDocument/2006/relationships/hyperlink" Target="https://www.nasdaq.com/market-activity/stocks/aapl/option-chain/call-put-options/aapl--251121c00200000" TargetMode="External"/><Relationship Id="rId122" Type="http://schemas.openxmlformats.org/officeDocument/2006/relationships/hyperlink" Target="https://www.nasdaq.com/market-activity/stocks/aapl/option-chain/call-put-options/aapl--260116c00215000" TargetMode="External"/><Relationship Id="rId143" Type="http://schemas.openxmlformats.org/officeDocument/2006/relationships/hyperlink" Target="https://www.nasdaq.com/market-activity/stocks/aapl/option-chain/call-put-options/aapl--260515c00210000" TargetMode="External"/><Relationship Id="rId148" Type="http://schemas.openxmlformats.org/officeDocument/2006/relationships/hyperlink" Target="https://www.nasdaq.com/market-activity/stocks/aapl/option-chain/call-put-options/aapl--260618c00205000" TargetMode="External"/><Relationship Id="rId164" Type="http://schemas.openxmlformats.org/officeDocument/2006/relationships/hyperlink" Target="https://www.nasdaq.com/market-activity/stocks/aapl/option-chain/call-put-options/aapl--261218c00195000" TargetMode="External"/><Relationship Id="rId169" Type="http://schemas.openxmlformats.org/officeDocument/2006/relationships/vmlDrawing" Target="../drawings/vmlDrawing1.vml"/><Relationship Id="rId4" Type="http://schemas.openxmlformats.org/officeDocument/2006/relationships/hyperlink" Target="https://www.nasdaq.com/market-activity/stocks/aapl/option-chain/call-put-options/aapl--250801c00200000" TargetMode="External"/><Relationship Id="rId9" Type="http://schemas.openxmlformats.org/officeDocument/2006/relationships/hyperlink" Target="https://www.nasdaq.com/market-activity/stocks/aapl/option-chain/call-put-options/aapl--250801c00212500" TargetMode="External"/><Relationship Id="rId26" Type="http://schemas.openxmlformats.org/officeDocument/2006/relationships/hyperlink" Target="https://www.nasdaq.com/market-activity/stocks/aapl/option-chain/call-put-options/aapl--250808c00210000" TargetMode="External"/><Relationship Id="rId47" Type="http://schemas.openxmlformats.org/officeDocument/2006/relationships/hyperlink" Target="https://www.nasdaq.com/market-activity/stocks/aapl/option-chain/call-put-options/aapl--250815c00217500" TargetMode="External"/><Relationship Id="rId68" Type="http://schemas.openxmlformats.org/officeDocument/2006/relationships/hyperlink" Target="https://www.nasdaq.com/market-activity/stocks/aapl/option-chain/call-put-options/aapl--250829c00215000" TargetMode="External"/><Relationship Id="rId89" Type="http://schemas.openxmlformats.org/officeDocument/2006/relationships/hyperlink" Target="https://www.nasdaq.com/market-activity/stocks/aapl/option-chain/call-put-options/aapl--250919c00230000" TargetMode="External"/><Relationship Id="rId112" Type="http://schemas.openxmlformats.org/officeDocument/2006/relationships/hyperlink" Target="https://www.nasdaq.com/market-activity/stocks/aapl/option-chain/call-put-options/aapl--251219c00210000" TargetMode="External"/><Relationship Id="rId133" Type="http://schemas.openxmlformats.org/officeDocument/2006/relationships/hyperlink" Target="https://www.nasdaq.com/market-activity/stocks/aapl/option-chain/call-put-options/aapl--260220c00225000" TargetMode="External"/><Relationship Id="rId154" Type="http://schemas.openxmlformats.org/officeDocument/2006/relationships/hyperlink" Target="https://www.nasdaq.com/market-activity/stocks/aapl/option-chain/call-put-options/aapl--260618c00235000" TargetMode="External"/><Relationship Id="rId16" Type="http://schemas.openxmlformats.org/officeDocument/2006/relationships/hyperlink" Target="https://www.nasdaq.com/market-activity/stocks/aapl/option-chain/call-put-options/aapl--250801c00230000" TargetMode="External"/><Relationship Id="rId37" Type="http://schemas.openxmlformats.org/officeDocument/2006/relationships/hyperlink" Target="https://www.nasdaq.com/market-activity/stocks/aapl/option-chain/call-put-options/aapl--250815c00192500" TargetMode="External"/><Relationship Id="rId58" Type="http://schemas.openxmlformats.org/officeDocument/2006/relationships/hyperlink" Target="https://www.nasdaq.com/market-activity/stocks/aapl/option-chain/call-put-options/aapl--250822c00210000" TargetMode="External"/><Relationship Id="rId79" Type="http://schemas.openxmlformats.org/officeDocument/2006/relationships/hyperlink" Target="https://www.nasdaq.com/market-activity/stocks/aapl/option-chain/call-put-options/aapl--250905c00225000" TargetMode="External"/><Relationship Id="rId102" Type="http://schemas.openxmlformats.org/officeDocument/2006/relationships/hyperlink" Target="https://www.nasdaq.com/market-activity/stocks/aapl/option-chain/call-put-options/aapl--251121c00205000" TargetMode="External"/><Relationship Id="rId123" Type="http://schemas.openxmlformats.org/officeDocument/2006/relationships/hyperlink" Target="https://www.nasdaq.com/market-activity/stocks/aapl/option-chain/call-put-options/aapl--260116c00220000" TargetMode="External"/><Relationship Id="rId144" Type="http://schemas.openxmlformats.org/officeDocument/2006/relationships/hyperlink" Target="https://www.nasdaq.com/market-activity/stocks/aapl/option-chain/call-put-options/aapl--260515c00220000" TargetMode="External"/><Relationship Id="rId90" Type="http://schemas.openxmlformats.org/officeDocument/2006/relationships/hyperlink" Target="https://www.nasdaq.com/market-activity/stocks/aapl/option-chain/call-put-options/aapl--250919c00235000" TargetMode="External"/><Relationship Id="rId165" Type="http://schemas.openxmlformats.org/officeDocument/2006/relationships/hyperlink" Target="https://www.nasdaq.com/market-activity/stocks/aapl/option-chain/call-put-options/aapl--261218c00200000" TargetMode="External"/><Relationship Id="rId27" Type="http://schemas.openxmlformats.org/officeDocument/2006/relationships/hyperlink" Target="https://www.nasdaq.com/market-activity/stocks/aapl/option-chain/call-put-options/aapl--250808c00212500" TargetMode="External"/><Relationship Id="rId48" Type="http://schemas.openxmlformats.org/officeDocument/2006/relationships/hyperlink" Target="https://www.nasdaq.com/market-activity/stocks/aapl/option-chain/call-put-options/aapl--250815c00220000" TargetMode="External"/><Relationship Id="rId69" Type="http://schemas.openxmlformats.org/officeDocument/2006/relationships/hyperlink" Target="https://www.nasdaq.com/market-activity/stocks/aapl/option-chain/call-put-options/aapl--250829c00220000" TargetMode="External"/><Relationship Id="rId113" Type="http://schemas.openxmlformats.org/officeDocument/2006/relationships/hyperlink" Target="https://www.nasdaq.com/market-activity/stocks/aapl/option-chain/call-put-options/aapl--251219c00215000" TargetMode="External"/><Relationship Id="rId134" Type="http://schemas.openxmlformats.org/officeDocument/2006/relationships/hyperlink" Target="https://www.nasdaq.com/market-activity/stocks/aapl/option-chain/call-put-options/aapl--260220c00230000" TargetMode="External"/><Relationship Id="rId80" Type="http://schemas.openxmlformats.org/officeDocument/2006/relationships/hyperlink" Target="https://www.nasdaq.com/market-activity/stocks/aapl/option-chain/call-put-options/aapl--250905c00230000" TargetMode="External"/><Relationship Id="rId155" Type="http://schemas.openxmlformats.org/officeDocument/2006/relationships/hyperlink" Target="https://www.nasdaq.com/market-activity/stocks/aapl/option-chain/call-put-options/aapl--260918c00195000" TargetMode="External"/><Relationship Id="rId17" Type="http://schemas.openxmlformats.org/officeDocument/2006/relationships/hyperlink" Target="https://www.nasdaq.com/market-activity/stocks/aapl/option-chain/call-put-options/aapl--250801c00232500" TargetMode="External"/><Relationship Id="rId38" Type="http://schemas.openxmlformats.org/officeDocument/2006/relationships/hyperlink" Target="https://www.nasdaq.com/market-activity/stocks/aapl/option-chain/call-put-options/aapl--250815c00195000" TargetMode="External"/><Relationship Id="rId59" Type="http://schemas.openxmlformats.org/officeDocument/2006/relationships/hyperlink" Target="https://www.nasdaq.com/market-activity/stocks/aapl/option-chain/call-put-options/aapl--250822c00215000" TargetMode="External"/><Relationship Id="rId103" Type="http://schemas.openxmlformats.org/officeDocument/2006/relationships/hyperlink" Target="https://www.nasdaq.com/market-activity/stocks/aapl/option-chain/call-put-options/aapl--251121c00210000" TargetMode="External"/><Relationship Id="rId124" Type="http://schemas.openxmlformats.org/officeDocument/2006/relationships/hyperlink" Target="https://www.nasdaq.com/market-activity/stocks/aapl/option-chain/call-put-options/aapl--260116c00225000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F8FF9-842D-42BF-9659-CEB4730B54D6}">
  <sheetPr codeName="Hoja1">
    <tabColor rgb="FF002060"/>
  </sheetPr>
  <dimension ref="A1:L34"/>
  <sheetViews>
    <sheetView zoomScaleNormal="100" workbookViewId="0">
      <selection activeCell="C13" sqref="C13"/>
    </sheetView>
  </sheetViews>
  <sheetFormatPr defaultColWidth="0" defaultRowHeight="15" customHeight="1" zeroHeight="1"/>
  <cols>
    <col min="1" max="1" width="5.7265625" style="2" customWidth="1"/>
    <col min="2" max="2" width="14.453125" style="2" customWidth="1"/>
    <col min="3" max="12" width="11.453125" style="2" customWidth="1"/>
    <col min="13" max="13" width="11.453125" style="2" hidden="1" customWidth="1"/>
    <col min="14" max="16384" width="11.453125" style="2" hidden="1"/>
  </cols>
  <sheetData>
    <row r="1" spans="1:12" ht="14.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14.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4.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4.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4.5"/>
    <row r="6" spans="1:12" ht="26">
      <c r="B6" s="13" t="s">
        <v>15</v>
      </c>
    </row>
    <row r="7" spans="1:12" ht="18.5">
      <c r="B7" s="3"/>
    </row>
    <row r="8" spans="1:12" s="4" customFormat="1" ht="15.5">
      <c r="B8" s="4" t="s">
        <v>0</v>
      </c>
      <c r="C8" s="4" t="s">
        <v>0</v>
      </c>
    </row>
    <row r="9" spans="1:12" s="4" customFormat="1" ht="15.5">
      <c r="B9" s="5" t="s">
        <v>1</v>
      </c>
      <c r="C9" s="4" t="s">
        <v>2</v>
      </c>
    </row>
    <row r="10" spans="1:12" s="4" customFormat="1" ht="15.5">
      <c r="B10" s="5" t="s">
        <v>0</v>
      </c>
    </row>
    <row r="11" spans="1:12" s="4" customFormat="1" ht="15.5">
      <c r="B11" s="5" t="s">
        <v>3</v>
      </c>
      <c r="C11" s="4" t="s">
        <v>12</v>
      </c>
    </row>
    <row r="12" spans="1:12" s="4" customFormat="1" ht="15.5">
      <c r="B12" s="5"/>
      <c r="C12" s="4" t="s">
        <v>173</v>
      </c>
    </row>
    <row r="13" spans="1:12" s="4" customFormat="1" ht="15.5"/>
    <row r="14" spans="1:12" s="4" customFormat="1" ht="15.5">
      <c r="B14" s="5" t="s">
        <v>4</v>
      </c>
      <c r="C14" s="4" t="s">
        <v>5</v>
      </c>
    </row>
    <row r="15" spans="1:12" s="4" customFormat="1" ht="15.5">
      <c r="C15" s="6" t="s">
        <v>6</v>
      </c>
    </row>
    <row r="16" spans="1:12" s="4" customFormat="1" ht="15.5">
      <c r="B16" s="4" t="s">
        <v>0</v>
      </c>
    </row>
    <row r="17" spans="4:4" s="4" customFormat="1" ht="15.5">
      <c r="D17" s="4" t="s">
        <v>0</v>
      </c>
    </row>
    <row r="18" spans="4:4" s="4" customFormat="1" ht="15.5"/>
    <row r="19" spans="4:4" s="4" customFormat="1" ht="15.5"/>
    <row r="20" spans="4:4" s="4" customFormat="1" ht="15.5"/>
    <row r="21" spans="4:4" s="4" customFormat="1" ht="15.5"/>
    <row r="22" spans="4:4" s="4" customFormat="1" ht="15.5"/>
    <row r="23" spans="4:4" s="4" customFormat="1" ht="15.5"/>
    <row r="24" spans="4:4" s="4" customFormat="1" ht="15.5"/>
    <row r="25" spans="4:4" s="4" customFormat="1" ht="15.5"/>
    <row r="26" spans="4:4" s="4" customFormat="1" ht="15.5" hidden="1"/>
    <row r="27" spans="4:4" s="4" customFormat="1" ht="15.5" hidden="1"/>
    <row r="28" spans="4:4" s="4" customFormat="1" ht="15.5" hidden="1"/>
    <row r="29" spans="4:4" s="4" customFormat="1" ht="15.5" hidden="1"/>
    <row r="30" spans="4:4" ht="14.5" hidden="1"/>
    <row r="31" spans="4:4" ht="14.5" hidden="1"/>
    <row r="32" spans="4:4" ht="14.5" hidden="1"/>
    <row r="33" ht="14.5" hidden="1"/>
    <row r="34" ht="14.5" hidden="1"/>
  </sheetData>
  <hyperlinks>
    <hyperlink ref="C15" r:id="rId1" xr:uid="{D24FD8FE-3D2A-4D17-A9E3-490DB84A647E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CEF6F-9CBD-404B-9052-0860FC2952FC}">
  <sheetPr codeName="Hoja9"/>
  <dimension ref="A1:R26"/>
  <sheetViews>
    <sheetView tabSelected="1" zoomScaleNormal="100" workbookViewId="0">
      <selection activeCell="M36" sqref="M36"/>
    </sheetView>
  </sheetViews>
  <sheetFormatPr defaultColWidth="10.90625" defaultRowHeight="14.5"/>
  <cols>
    <col min="1" max="1" width="18.81640625" style="8" bestFit="1" customWidth="1"/>
    <col min="2" max="2" width="15.26953125" style="8" customWidth="1"/>
    <col min="3" max="5" width="10.90625" style="8"/>
    <col min="6" max="6" width="19.453125" style="8" customWidth="1"/>
    <col min="7" max="16384" width="10.90625" style="8"/>
  </cols>
  <sheetData>
    <row r="1" spans="1:18" ht="15" thickBot="1">
      <c r="D1" s="72"/>
      <c r="E1" s="73"/>
    </row>
    <row r="2" spans="1:18" ht="15.5" thickTop="1" thickBot="1">
      <c r="D2" s="72" t="s">
        <v>56</v>
      </c>
      <c r="E2" s="73"/>
    </row>
    <row r="3" spans="1:18" ht="15.5" thickTop="1" thickBot="1">
      <c r="A3" s="10" t="s">
        <v>13</v>
      </c>
      <c r="B3" s="11">
        <v>213.88</v>
      </c>
    </row>
    <row r="4" spans="1:18" ht="15" thickBot="1">
      <c r="A4" s="10" t="s">
        <v>9</v>
      </c>
      <c r="B4" s="18">
        <v>210</v>
      </c>
      <c r="D4" s="69" t="s">
        <v>47</v>
      </c>
      <c r="E4" s="70"/>
      <c r="F4" s="70"/>
      <c r="G4" s="70"/>
      <c r="H4" s="70"/>
      <c r="I4" s="70"/>
      <c r="J4" s="70"/>
      <c r="L4" s="70"/>
      <c r="M4" s="69" t="s">
        <v>48</v>
      </c>
      <c r="N4" s="70"/>
      <c r="O4" s="70"/>
      <c r="P4" s="70"/>
      <c r="Q4" s="70"/>
      <c r="R4" s="70"/>
    </row>
    <row r="5" spans="1:18" ht="15" thickBot="1">
      <c r="A5" s="10" t="s">
        <v>10</v>
      </c>
      <c r="B5" s="17">
        <v>1.9750259506341192</v>
      </c>
      <c r="D5" s="68" t="s">
        <v>49</v>
      </c>
      <c r="E5" s="16" t="s">
        <v>17</v>
      </c>
      <c r="F5" s="15" t="s">
        <v>56</v>
      </c>
      <c r="G5" s="67" t="s">
        <v>51</v>
      </c>
      <c r="H5" s="67" t="s">
        <v>52</v>
      </c>
      <c r="I5" s="67" t="s">
        <v>53</v>
      </c>
      <c r="J5" s="67" t="s">
        <v>54</v>
      </c>
      <c r="K5" s="67" t="s">
        <v>55</v>
      </c>
      <c r="L5" s="71" t="s">
        <v>9</v>
      </c>
      <c r="M5" s="67" t="s">
        <v>50</v>
      </c>
      <c r="N5" s="67" t="s">
        <v>51</v>
      </c>
      <c r="O5" s="67" t="s">
        <v>52</v>
      </c>
      <c r="P5" s="67" t="s">
        <v>53</v>
      </c>
      <c r="Q5" s="67" t="s">
        <v>54</v>
      </c>
      <c r="R5" s="67" t="s">
        <v>55</v>
      </c>
    </row>
    <row r="6" spans="1:18" ht="15" thickBot="1">
      <c r="A6" s="10" t="s">
        <v>14</v>
      </c>
      <c r="B6" s="12">
        <v>4.4999999999999998E-2</v>
      </c>
      <c r="D6" s="60" t="s">
        <v>18</v>
      </c>
      <c r="E6" s="61">
        <v>21.7</v>
      </c>
      <c r="F6" s="62">
        <v>0.51427431324161299</v>
      </c>
      <c r="G6" s="61" t="s">
        <v>19</v>
      </c>
      <c r="H6" s="61">
        <v>20.6</v>
      </c>
      <c r="I6" s="61">
        <v>22.95</v>
      </c>
      <c r="J6" s="61" t="s">
        <v>19</v>
      </c>
      <c r="K6" s="61">
        <v>16</v>
      </c>
      <c r="L6" s="64">
        <v>192.5</v>
      </c>
      <c r="M6" s="61">
        <v>0.22</v>
      </c>
      <c r="N6" s="63" t="s">
        <v>20</v>
      </c>
      <c r="O6" s="61">
        <v>0.2</v>
      </c>
      <c r="P6" s="61">
        <v>0.21</v>
      </c>
      <c r="Q6" s="61">
        <v>421</v>
      </c>
      <c r="R6" s="61">
        <v>1783</v>
      </c>
    </row>
    <row r="7" spans="1:18" ht="15" thickBot="1">
      <c r="A7" s="10" t="s">
        <v>8</v>
      </c>
      <c r="B7" s="11">
        <v>5</v>
      </c>
      <c r="D7" s="60" t="s">
        <v>18</v>
      </c>
      <c r="E7" s="61">
        <v>19.02</v>
      </c>
      <c r="F7" s="62">
        <v>0.32229582396111517</v>
      </c>
      <c r="G7" s="63" t="s">
        <v>21</v>
      </c>
      <c r="H7" s="61">
        <v>18.899999999999999</v>
      </c>
      <c r="I7" s="61">
        <v>19.55</v>
      </c>
      <c r="J7" s="61">
        <v>28</v>
      </c>
      <c r="K7" s="61">
        <v>1147</v>
      </c>
      <c r="L7" s="64">
        <v>195</v>
      </c>
      <c r="M7" s="61">
        <v>0.27</v>
      </c>
      <c r="N7" s="63" t="s">
        <v>22</v>
      </c>
      <c r="O7" s="61">
        <v>0.27</v>
      </c>
      <c r="P7" s="61">
        <v>0.28999999999999998</v>
      </c>
      <c r="Q7" s="61">
        <v>1501</v>
      </c>
      <c r="R7" s="61">
        <v>5384</v>
      </c>
    </row>
    <row r="8" spans="1:18" ht="15" thickBot="1">
      <c r="A8" s="10" t="s">
        <v>11</v>
      </c>
      <c r="B8" s="11" t="s">
        <v>16</v>
      </c>
      <c r="D8" s="60" t="s">
        <v>18</v>
      </c>
      <c r="E8" s="61">
        <v>16.72</v>
      </c>
      <c r="F8" s="62">
        <v>0.4170634526924642</v>
      </c>
      <c r="G8" s="63" t="s">
        <v>23</v>
      </c>
      <c r="H8" s="61">
        <v>16.850000000000001</v>
      </c>
      <c r="I8" s="61">
        <v>17.149999999999999</v>
      </c>
      <c r="J8" s="61">
        <v>4</v>
      </c>
      <c r="K8" s="61">
        <v>90</v>
      </c>
      <c r="L8" s="64">
        <v>197.5</v>
      </c>
      <c r="M8" s="61">
        <v>0.4</v>
      </c>
      <c r="N8" s="63" t="s">
        <v>24</v>
      </c>
      <c r="O8" s="61">
        <v>0.39</v>
      </c>
      <c r="P8" s="61">
        <v>0.41</v>
      </c>
      <c r="Q8" s="61">
        <v>2322</v>
      </c>
      <c r="R8" s="61">
        <v>881</v>
      </c>
    </row>
    <row r="9" spans="1:18" ht="15" thickBot="1">
      <c r="A9" s="10" t="s">
        <v>11</v>
      </c>
      <c r="B9" s="14" t="b">
        <f>IF(B8="Call",TRUE,FALSE)</f>
        <v>1</v>
      </c>
      <c r="D9" s="60" t="s">
        <v>18</v>
      </c>
      <c r="E9" s="61">
        <v>14.65</v>
      </c>
      <c r="F9" s="62">
        <v>0.47687182700065173</v>
      </c>
      <c r="G9" s="63" t="s">
        <v>25</v>
      </c>
      <c r="H9" s="61">
        <v>14.6</v>
      </c>
      <c r="I9" s="61">
        <v>14.85</v>
      </c>
      <c r="J9" s="61">
        <v>743</v>
      </c>
      <c r="K9" s="61">
        <v>1428</v>
      </c>
      <c r="L9" s="64">
        <v>200</v>
      </c>
      <c r="M9" s="61">
        <v>0.56999999999999995</v>
      </c>
      <c r="N9" s="63" t="s">
        <v>26</v>
      </c>
      <c r="O9" s="61">
        <v>0.56999999999999995</v>
      </c>
      <c r="P9" s="61">
        <v>0.59</v>
      </c>
      <c r="Q9" s="61">
        <v>2313</v>
      </c>
      <c r="R9" s="61">
        <v>7357</v>
      </c>
    </row>
    <row r="10" spans="1:18" ht="15" thickBot="1">
      <c r="A10" s="10" t="s">
        <v>17</v>
      </c>
      <c r="B10" s="38" cm="1">
        <f t="array" ref="B10">bs(B3,B4,B5,B6,B7,B9)</f>
        <v>21.699999463204222</v>
      </c>
      <c r="D10" s="60" t="s">
        <v>18</v>
      </c>
      <c r="E10" s="61">
        <v>12.45</v>
      </c>
      <c r="F10" s="62">
        <v>0.46672891157084939</v>
      </c>
      <c r="G10" s="63" t="s">
        <v>27</v>
      </c>
      <c r="H10" s="61">
        <v>12.4</v>
      </c>
      <c r="I10" s="61">
        <v>12.6</v>
      </c>
      <c r="J10" s="61">
        <v>675</v>
      </c>
      <c r="K10" s="61">
        <v>342</v>
      </c>
      <c r="L10" s="64">
        <v>202.5</v>
      </c>
      <c r="M10" s="61">
        <v>0.87</v>
      </c>
      <c r="N10" s="63" t="s">
        <v>28</v>
      </c>
      <c r="O10" s="61">
        <v>0.85</v>
      </c>
      <c r="P10" s="61">
        <v>0.87</v>
      </c>
      <c r="Q10" s="61">
        <v>2238</v>
      </c>
      <c r="R10" s="61">
        <v>3320</v>
      </c>
    </row>
    <row r="11" spans="1:18" ht="15" thickBot="1">
      <c r="D11" s="60" t="s">
        <v>18</v>
      </c>
      <c r="E11" s="61">
        <v>10.38</v>
      </c>
      <c r="F11" s="62">
        <v>0.45902404964740096</v>
      </c>
      <c r="G11" s="63" t="s">
        <v>29</v>
      </c>
      <c r="H11" s="61">
        <v>10.3</v>
      </c>
      <c r="I11" s="61">
        <v>10.5</v>
      </c>
      <c r="J11" s="61">
        <v>624</v>
      </c>
      <c r="K11" s="61">
        <v>2488</v>
      </c>
      <c r="L11" s="64">
        <v>205</v>
      </c>
      <c r="M11" s="61">
        <v>1.26</v>
      </c>
      <c r="N11" s="63" t="s">
        <v>30</v>
      </c>
      <c r="O11" s="61">
        <v>1.26</v>
      </c>
      <c r="P11" s="61">
        <v>1.3</v>
      </c>
      <c r="Q11" s="61">
        <v>5773</v>
      </c>
      <c r="R11" s="61">
        <v>6021</v>
      </c>
    </row>
    <row r="12" spans="1:18" ht="15" thickBot="1">
      <c r="D12" s="60" t="s">
        <v>18</v>
      </c>
      <c r="E12" s="61">
        <v>8.4499999999999993</v>
      </c>
      <c r="F12" s="62">
        <v>0.45044048826860711</v>
      </c>
      <c r="G12" s="63" t="s">
        <v>31</v>
      </c>
      <c r="H12" s="61">
        <v>8.4</v>
      </c>
      <c r="I12" s="61">
        <v>8.5500000000000007</v>
      </c>
      <c r="J12" s="61">
        <v>715</v>
      </c>
      <c r="K12" s="61">
        <v>586</v>
      </c>
      <c r="L12" s="64">
        <v>207.5</v>
      </c>
      <c r="M12" s="61">
        <v>1.88</v>
      </c>
      <c r="N12" s="63" t="s">
        <v>32</v>
      </c>
      <c r="O12" s="61">
        <v>1.86</v>
      </c>
      <c r="P12" s="61">
        <v>1.89</v>
      </c>
      <c r="Q12" s="61">
        <v>3514</v>
      </c>
      <c r="R12" s="61">
        <v>2097</v>
      </c>
    </row>
    <row r="13" spans="1:18" ht="15" thickBot="1">
      <c r="D13" s="60" t="s">
        <v>18</v>
      </c>
      <c r="E13" s="61">
        <v>6.79</v>
      </c>
      <c r="F13" s="62">
        <v>0.452110952195099</v>
      </c>
      <c r="G13" s="63" t="s">
        <v>33</v>
      </c>
      <c r="H13" s="61">
        <v>6.75</v>
      </c>
      <c r="I13" s="61">
        <v>6.85</v>
      </c>
      <c r="J13" s="61">
        <v>3714</v>
      </c>
      <c r="K13" s="61">
        <v>12526</v>
      </c>
      <c r="L13" s="64">
        <v>210</v>
      </c>
      <c r="M13" s="61">
        <v>2.67</v>
      </c>
      <c r="N13" s="63" t="s">
        <v>34</v>
      </c>
      <c r="O13" s="61">
        <v>2.65</v>
      </c>
      <c r="P13" s="61">
        <v>2.7</v>
      </c>
      <c r="Q13" s="61">
        <v>11654</v>
      </c>
      <c r="R13" s="61">
        <v>7828</v>
      </c>
    </row>
    <row r="14" spans="1:18" ht="15" thickBot="1">
      <c r="D14" s="60" t="s">
        <v>18</v>
      </c>
      <c r="E14" s="61">
        <v>5.3</v>
      </c>
      <c r="F14" s="62">
        <v>0.44947112875721995</v>
      </c>
      <c r="G14" s="63" t="s">
        <v>35</v>
      </c>
      <c r="H14" s="61">
        <v>5.25</v>
      </c>
      <c r="I14" s="61">
        <v>5.35</v>
      </c>
      <c r="J14" s="61">
        <v>5992</v>
      </c>
      <c r="K14" s="61">
        <v>4913</v>
      </c>
      <c r="L14" s="64">
        <v>212.5</v>
      </c>
      <c r="M14" s="61">
        <v>3.68</v>
      </c>
      <c r="N14" s="63" t="s">
        <v>36</v>
      </c>
      <c r="O14" s="61">
        <v>3.65</v>
      </c>
      <c r="P14" s="61">
        <v>3.75</v>
      </c>
      <c r="Q14" s="61">
        <v>5606</v>
      </c>
      <c r="R14" s="61">
        <v>7224</v>
      </c>
    </row>
    <row r="15" spans="1:18" ht="15" thickBot="1">
      <c r="D15" s="60" t="s">
        <v>18</v>
      </c>
      <c r="E15" s="61">
        <v>4</v>
      </c>
      <c r="F15" s="62">
        <v>0.44410446750927457</v>
      </c>
      <c r="G15" s="63" t="s">
        <v>37</v>
      </c>
      <c r="H15" s="61">
        <v>3.95</v>
      </c>
      <c r="I15" s="61">
        <v>4.0999999999999996</v>
      </c>
      <c r="J15" s="61">
        <v>23060</v>
      </c>
      <c r="K15" s="61">
        <v>18632</v>
      </c>
      <c r="L15" s="64">
        <v>215</v>
      </c>
      <c r="M15" s="61">
        <v>4.95</v>
      </c>
      <c r="N15" s="63" t="s">
        <v>25</v>
      </c>
      <c r="O15" s="61">
        <v>4.8499999999999996</v>
      </c>
      <c r="P15" s="61">
        <v>5</v>
      </c>
      <c r="Q15" s="61">
        <v>4934</v>
      </c>
      <c r="R15" s="61">
        <v>7960</v>
      </c>
    </row>
    <row r="16" spans="1:18" ht="15" thickBot="1">
      <c r="D16" s="60" t="s">
        <v>18</v>
      </c>
      <c r="E16" s="61">
        <v>2.97</v>
      </c>
      <c r="F16" s="62">
        <v>0.44385508728149914</v>
      </c>
      <c r="G16" s="63" t="s">
        <v>37</v>
      </c>
      <c r="H16" s="61">
        <v>2.93</v>
      </c>
      <c r="I16" s="61">
        <v>2.97</v>
      </c>
      <c r="J16" s="61">
        <v>7363</v>
      </c>
      <c r="K16" s="61">
        <v>3064</v>
      </c>
      <c r="L16" s="64">
        <v>217.5</v>
      </c>
      <c r="M16" s="61">
        <v>6.3</v>
      </c>
      <c r="N16" s="63" t="s">
        <v>31</v>
      </c>
      <c r="O16" s="61">
        <v>6.25</v>
      </c>
      <c r="P16" s="61">
        <v>6.4</v>
      </c>
      <c r="Q16" s="61">
        <v>310</v>
      </c>
      <c r="R16" s="61">
        <v>596</v>
      </c>
    </row>
    <row r="17" spans="4:18" ht="15" thickBot="1">
      <c r="D17" s="60" t="s">
        <v>18</v>
      </c>
      <c r="E17" s="61">
        <v>2.08</v>
      </c>
      <c r="F17" s="62">
        <v>0.43606912536213771</v>
      </c>
      <c r="G17" s="63" t="s">
        <v>25</v>
      </c>
      <c r="H17" s="61">
        <v>2.0499999999999998</v>
      </c>
      <c r="I17" s="61">
        <v>2.09</v>
      </c>
      <c r="J17" s="61">
        <v>27718</v>
      </c>
      <c r="K17" s="61">
        <v>20062</v>
      </c>
      <c r="L17" s="64">
        <v>220</v>
      </c>
      <c r="M17" s="61">
        <v>8</v>
      </c>
      <c r="N17" s="63" t="s">
        <v>38</v>
      </c>
      <c r="O17" s="61">
        <v>7.9</v>
      </c>
      <c r="P17" s="61">
        <v>8</v>
      </c>
      <c r="Q17" s="61">
        <v>281</v>
      </c>
      <c r="R17" s="61">
        <v>1232</v>
      </c>
    </row>
    <row r="18" spans="4:18" ht="15" thickBot="1">
      <c r="D18" s="60" t="s">
        <v>18</v>
      </c>
      <c r="E18" s="61">
        <v>1.4</v>
      </c>
      <c r="F18" s="62">
        <v>0.42917178493909058</v>
      </c>
      <c r="G18" s="63" t="s">
        <v>39</v>
      </c>
      <c r="H18" s="61">
        <v>1.39</v>
      </c>
      <c r="I18" s="61">
        <v>1.42</v>
      </c>
      <c r="J18" s="61">
        <v>7496</v>
      </c>
      <c r="K18" s="61">
        <v>6939</v>
      </c>
      <c r="L18" s="64">
        <v>222.5</v>
      </c>
      <c r="M18" s="61">
        <v>9.85</v>
      </c>
      <c r="N18" s="63" t="s">
        <v>40</v>
      </c>
      <c r="O18" s="61">
        <v>9.6999999999999993</v>
      </c>
      <c r="P18" s="61">
        <v>9.85</v>
      </c>
      <c r="Q18" s="61">
        <v>575</v>
      </c>
      <c r="R18" s="61">
        <v>334</v>
      </c>
    </row>
    <row r="19" spans="4:18" ht="15" thickBot="1">
      <c r="D19" s="60" t="s">
        <v>18</v>
      </c>
      <c r="E19" s="61">
        <v>0.92</v>
      </c>
      <c r="F19" s="62">
        <v>0.42565800315557178</v>
      </c>
      <c r="G19" s="63" t="s">
        <v>35</v>
      </c>
      <c r="H19" s="61">
        <v>0.91</v>
      </c>
      <c r="I19" s="61">
        <v>0.94</v>
      </c>
      <c r="J19" s="61">
        <v>21483</v>
      </c>
      <c r="K19" s="61">
        <v>11067</v>
      </c>
      <c r="L19" s="64">
        <v>225</v>
      </c>
      <c r="M19" s="61">
        <v>11.92</v>
      </c>
      <c r="N19" s="63" t="s">
        <v>26</v>
      </c>
      <c r="O19" s="61">
        <v>11.65</v>
      </c>
      <c r="P19" s="61">
        <v>12.15</v>
      </c>
      <c r="Q19" s="61">
        <v>193</v>
      </c>
      <c r="R19" s="61">
        <v>1687</v>
      </c>
    </row>
    <row r="20" spans="4:18" ht="15" thickBot="1">
      <c r="D20" s="60" t="s">
        <v>18</v>
      </c>
      <c r="E20" s="61">
        <v>0.61</v>
      </c>
      <c r="F20" s="62">
        <v>0.42814655021828957</v>
      </c>
      <c r="G20" s="63" t="s">
        <v>41</v>
      </c>
      <c r="H20" s="61">
        <v>0.59</v>
      </c>
      <c r="I20" s="61">
        <v>0.61</v>
      </c>
      <c r="J20" s="61">
        <v>1509</v>
      </c>
      <c r="K20" s="61">
        <v>3786</v>
      </c>
      <c r="L20" s="64">
        <v>227.5</v>
      </c>
      <c r="M20" s="61">
        <v>13.5</v>
      </c>
      <c r="N20" s="61" t="s">
        <v>19</v>
      </c>
      <c r="O20" s="61">
        <v>13.8</v>
      </c>
      <c r="P20" s="61">
        <v>14.4</v>
      </c>
      <c r="Q20" s="61" t="s">
        <v>19</v>
      </c>
      <c r="R20" s="61">
        <v>19</v>
      </c>
    </row>
    <row r="21" spans="4:18" ht="15" thickBot="1">
      <c r="D21" s="60" t="s">
        <v>18</v>
      </c>
      <c r="E21" s="61">
        <v>0.4</v>
      </c>
      <c r="F21" s="62">
        <v>0.43190584937099313</v>
      </c>
      <c r="G21" s="63" t="s">
        <v>28</v>
      </c>
      <c r="H21" s="61">
        <v>0.38</v>
      </c>
      <c r="I21" s="61">
        <v>0.4</v>
      </c>
      <c r="J21" s="61">
        <v>11001</v>
      </c>
      <c r="K21" s="61">
        <v>15932</v>
      </c>
      <c r="L21" s="64">
        <v>230</v>
      </c>
      <c r="M21" s="61">
        <v>16.28</v>
      </c>
      <c r="N21" s="65" t="s">
        <v>42</v>
      </c>
      <c r="O21" s="61">
        <v>16.100000000000001</v>
      </c>
      <c r="P21" s="61">
        <v>16.75</v>
      </c>
      <c r="Q21" s="61">
        <v>59</v>
      </c>
      <c r="R21" s="61">
        <v>257</v>
      </c>
    </row>
    <row r="22" spans="4:18" ht="15" thickBot="1">
      <c r="D22" s="60" t="s">
        <v>18</v>
      </c>
      <c r="E22" s="61">
        <v>0.26</v>
      </c>
      <c r="F22" s="62">
        <v>0.43653199248027669</v>
      </c>
      <c r="G22" s="63" t="s">
        <v>43</v>
      </c>
      <c r="H22" s="61">
        <v>0.25</v>
      </c>
      <c r="I22" s="61">
        <v>0.27</v>
      </c>
      <c r="J22" s="61">
        <v>2109</v>
      </c>
      <c r="K22" s="61">
        <v>1152</v>
      </c>
      <c r="L22" s="64">
        <v>232.5</v>
      </c>
      <c r="M22" s="61">
        <v>18.16</v>
      </c>
      <c r="N22" s="65" t="s">
        <v>44</v>
      </c>
      <c r="O22" s="61">
        <v>18.45</v>
      </c>
      <c r="P22" s="61">
        <v>19.05</v>
      </c>
      <c r="Q22" s="61">
        <v>30</v>
      </c>
      <c r="R22" s="61">
        <v>94</v>
      </c>
    </row>
    <row r="23" spans="4:18" ht="15" thickBot="1">
      <c r="D23" s="60" t="s">
        <v>18</v>
      </c>
      <c r="E23" s="61">
        <v>0.17</v>
      </c>
      <c r="F23" s="62">
        <v>0.44277288830173439</v>
      </c>
      <c r="G23" s="63" t="s">
        <v>45</v>
      </c>
      <c r="H23" s="61">
        <v>0.17</v>
      </c>
      <c r="I23" s="61">
        <v>0.18</v>
      </c>
      <c r="J23" s="61">
        <v>3758</v>
      </c>
      <c r="K23" s="61">
        <v>4665</v>
      </c>
      <c r="L23" s="64">
        <v>235</v>
      </c>
      <c r="M23" s="61">
        <v>20.87</v>
      </c>
      <c r="N23" s="65" t="s">
        <v>46</v>
      </c>
      <c r="O23" s="61">
        <v>20.9</v>
      </c>
      <c r="P23" s="61">
        <v>21.4</v>
      </c>
      <c r="Q23" s="61">
        <v>9</v>
      </c>
      <c r="R23" s="61">
        <v>456</v>
      </c>
    </row>
    <row r="25" spans="4:18">
      <c r="J25" s="66" t="s">
        <v>174</v>
      </c>
    </row>
    <row r="26" spans="4:18">
      <c r="J26" s="66" t="s">
        <v>175</v>
      </c>
    </row>
  </sheetData>
  <dataValidations count="1">
    <dataValidation type="list" allowBlank="1" showInputMessage="1" showErrorMessage="1" sqref="B8" xr:uid="{C7D2626F-DE8E-4364-8155-D4429A552324}">
      <formula1>"Call,Put"</formula1>
    </dataValidation>
  </dataValidations>
  <hyperlinks>
    <hyperlink ref="L6" r:id="rId1" display="https://www.nasdaq.com/market-activity/stocks/aapl/option-chain/call-put-options/aapl--250801c00192500" xr:uid="{23C9C4AF-7FFB-4E91-BBDF-BED0EA995FD9}"/>
    <hyperlink ref="L7" r:id="rId2" display="https://www.nasdaq.com/market-activity/stocks/aapl/option-chain/call-put-options/aapl--250801c00195000" xr:uid="{F5C1369C-F5A4-4F79-AFC7-2C598F804107}"/>
    <hyperlink ref="L8" r:id="rId3" display="https://www.nasdaq.com/market-activity/stocks/aapl/option-chain/call-put-options/aapl--250801c00197500" xr:uid="{F24C2C8E-5075-4526-8274-3920EA8D18AA}"/>
    <hyperlink ref="L9" r:id="rId4" display="https://www.nasdaq.com/market-activity/stocks/aapl/option-chain/call-put-options/aapl--250801c00200000" xr:uid="{AB23DAA5-7EC4-4C20-83E8-D10DF02FFCB8}"/>
    <hyperlink ref="L10" r:id="rId5" display="https://www.nasdaq.com/market-activity/stocks/aapl/option-chain/call-put-options/aapl--250801c00202500" xr:uid="{F2F68CF3-E3E6-4AD2-B13E-56325EAB810E}"/>
    <hyperlink ref="L11" r:id="rId6" display="https://www.nasdaq.com/market-activity/stocks/aapl/option-chain/call-put-options/aapl--250801c00205000" xr:uid="{4A379818-98F6-42D8-ACD9-320B31A3A29B}"/>
    <hyperlink ref="L12" r:id="rId7" display="https://www.nasdaq.com/market-activity/stocks/aapl/option-chain/call-put-options/aapl--250801c00207500" xr:uid="{7148D153-8513-4843-A246-4F260CCD9797}"/>
    <hyperlink ref="L13" r:id="rId8" display="https://www.nasdaq.com/market-activity/stocks/aapl/option-chain/call-put-options/aapl--250801c00210000" xr:uid="{1A074D5F-17B7-401E-A813-D2386D3EC4AF}"/>
    <hyperlink ref="L14" r:id="rId9" display="https://www.nasdaq.com/market-activity/stocks/aapl/option-chain/call-put-options/aapl--250801c00212500" xr:uid="{A503F5E1-44BA-4160-B9A4-8EAEB22548E4}"/>
    <hyperlink ref="L15" r:id="rId10" display="https://www.nasdaq.com/market-activity/stocks/aapl/option-chain/call-put-options/aapl--250801c00215000" xr:uid="{4DB997F1-3B2C-4475-B5AD-F1D38FA491F2}"/>
    <hyperlink ref="L16" r:id="rId11" display="https://www.nasdaq.com/market-activity/stocks/aapl/option-chain/call-put-options/aapl--250801c00217500" xr:uid="{E6F91D4A-39F8-45A0-9EC0-5452F96CF7C2}"/>
    <hyperlink ref="L17" r:id="rId12" display="https://www.nasdaq.com/market-activity/stocks/aapl/option-chain/call-put-options/aapl--250801c00220000" xr:uid="{D4462030-01A1-49A1-A41B-0E00D3E3A0A7}"/>
    <hyperlink ref="L18" r:id="rId13" display="https://www.nasdaq.com/market-activity/stocks/aapl/option-chain/call-put-options/aapl--250801c00222500" xr:uid="{5B703755-24D1-4FFB-B0AD-EBD1A6F6209D}"/>
    <hyperlink ref="L19" r:id="rId14" display="https://www.nasdaq.com/market-activity/stocks/aapl/option-chain/call-put-options/aapl--250801c00225000" xr:uid="{26943841-3DA5-4C97-A215-7C59ADA1716B}"/>
    <hyperlink ref="L20" r:id="rId15" display="https://www.nasdaq.com/market-activity/stocks/aapl/option-chain/call-put-options/aapl--250801c00227500" xr:uid="{37625829-1E4C-4122-8E02-99EF744EB5DB}"/>
    <hyperlink ref="L21" r:id="rId16" display="https://www.nasdaq.com/market-activity/stocks/aapl/option-chain/call-put-options/aapl--250801c00230000" xr:uid="{6EEEAA88-1739-4A4B-B5B3-89EC85878BD4}"/>
    <hyperlink ref="L22" r:id="rId17" display="https://www.nasdaq.com/market-activity/stocks/aapl/option-chain/call-put-options/aapl--250801c00232500" xr:uid="{296B8C12-D338-448F-BFE2-C07F33F75922}"/>
    <hyperlink ref="L23" r:id="rId18" display="https://www.nasdaq.com/market-activity/stocks/aapl/option-chain/call-put-options/aapl--250801c00235000" xr:uid="{E51972D7-01A2-4978-8060-094B0113EF41}"/>
  </hyperlinks>
  <pageMargins left="0.7" right="0.7" top="0.75" bottom="0.75" header="0.3" footer="0.3"/>
  <drawing r:id="rId1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F35A3-CA40-4312-B39E-9063323614F3}">
  <sheetPr codeName="Hoja2"/>
  <dimension ref="A1:X171"/>
  <sheetViews>
    <sheetView topLeftCell="D1" workbookViewId="0">
      <selection activeCell="P3" sqref="P3"/>
    </sheetView>
  </sheetViews>
  <sheetFormatPr defaultColWidth="10.90625" defaultRowHeight="14.5"/>
  <cols>
    <col min="16" max="16" width="13.453125" style="44" customWidth="1"/>
    <col min="18" max="18" width="18.81640625" bestFit="1" customWidth="1"/>
    <col min="19" max="20" width="14.1796875" customWidth="1"/>
  </cols>
  <sheetData>
    <row r="1" spans="1:24" ht="15" thickBot="1">
      <c r="A1" s="19" t="s">
        <v>47</v>
      </c>
      <c r="B1" s="20"/>
      <c r="C1" s="20"/>
      <c r="D1" s="20"/>
      <c r="E1" s="20"/>
      <c r="F1" s="20"/>
      <c r="G1" s="20"/>
      <c r="H1" s="20"/>
      <c r="I1" s="19" t="s">
        <v>48</v>
      </c>
      <c r="J1" s="20"/>
      <c r="K1" s="20"/>
      <c r="L1" s="20"/>
      <c r="M1" s="20"/>
      <c r="N1" s="20"/>
      <c r="S1" s="31"/>
      <c r="T1" s="31"/>
    </row>
    <row r="2" spans="1:24" ht="23.5" thickBot="1">
      <c r="A2" s="47" t="s">
        <v>49</v>
      </c>
      <c r="B2" s="22" t="s">
        <v>50</v>
      </c>
      <c r="C2" s="47" t="s">
        <v>51</v>
      </c>
      <c r="D2" s="47" t="s">
        <v>52</v>
      </c>
      <c r="E2" s="47" t="s">
        <v>53</v>
      </c>
      <c r="F2" s="47" t="s">
        <v>54</v>
      </c>
      <c r="G2" s="47" t="s">
        <v>55</v>
      </c>
      <c r="H2" s="22" t="s">
        <v>9</v>
      </c>
      <c r="I2" s="47" t="s">
        <v>50</v>
      </c>
      <c r="J2" s="47" t="s">
        <v>51</v>
      </c>
      <c r="K2" s="47" t="s">
        <v>52</v>
      </c>
      <c r="L2" s="47" t="s">
        <v>53</v>
      </c>
      <c r="M2" s="47" t="s">
        <v>54</v>
      </c>
      <c r="N2" s="47" t="s">
        <v>55</v>
      </c>
      <c r="O2" s="45" t="s">
        <v>151</v>
      </c>
      <c r="P2" s="45" t="s">
        <v>56</v>
      </c>
      <c r="S2" s="31"/>
      <c r="T2" s="31"/>
      <c r="U2" t="str">
        <f>H2</f>
        <v>Strike</v>
      </c>
      <c r="V2" t="str">
        <f>B2</f>
        <v>Last</v>
      </c>
      <c r="W2" t="str">
        <f>O2</f>
        <v>Plazo</v>
      </c>
      <c r="X2" t="str">
        <f>P2</f>
        <v>Volatilidad Implicita</v>
      </c>
    </row>
    <row r="3" spans="1:24" ht="15" thickBot="1">
      <c r="A3" s="48">
        <v>45870</v>
      </c>
      <c r="B3" s="49">
        <v>21.7</v>
      </c>
      <c r="C3" s="50" t="s">
        <v>19</v>
      </c>
      <c r="D3" s="50">
        <v>20.6</v>
      </c>
      <c r="E3" s="50">
        <v>22.95</v>
      </c>
      <c r="F3" s="50" t="s">
        <v>19</v>
      </c>
      <c r="G3" s="50">
        <v>16</v>
      </c>
      <c r="H3" s="23">
        <v>192.5</v>
      </c>
      <c r="I3" s="50">
        <v>0.22</v>
      </c>
      <c r="J3" s="51" t="s">
        <v>20</v>
      </c>
      <c r="K3" s="50">
        <v>0.2</v>
      </c>
      <c r="L3" s="50">
        <v>0.21</v>
      </c>
      <c r="M3" s="50">
        <v>421</v>
      </c>
      <c r="N3" s="50">
        <v>1783</v>
      </c>
      <c r="O3" s="52">
        <v>5</v>
      </c>
      <c r="P3" s="46">
        <v>0.51427266008668127</v>
      </c>
      <c r="R3" s="10" t="s">
        <v>13</v>
      </c>
      <c r="S3" s="32">
        <v>213.88</v>
      </c>
      <c r="T3" s="31"/>
      <c r="U3" s="26">
        <f t="shared" ref="U3:U66" si="0">H3</f>
        <v>192.5</v>
      </c>
      <c r="V3" s="26">
        <f t="shared" ref="V3:V66" si="1">B3</f>
        <v>21.7</v>
      </c>
      <c r="W3">
        <f t="shared" ref="W3:W66" si="2">O3</f>
        <v>5</v>
      </c>
      <c r="X3" s="25">
        <f t="shared" ref="X3:X66" si="3">P3</f>
        <v>0.51427266008668127</v>
      </c>
    </row>
    <row r="4" spans="1:24" ht="15" thickBot="1">
      <c r="A4" s="48">
        <v>45870</v>
      </c>
      <c r="B4" s="49">
        <v>19.02</v>
      </c>
      <c r="C4" s="51" t="s">
        <v>21</v>
      </c>
      <c r="D4" s="50">
        <v>18.899999999999999</v>
      </c>
      <c r="E4" s="50">
        <v>19.55</v>
      </c>
      <c r="F4" s="50">
        <v>28</v>
      </c>
      <c r="G4" s="50">
        <v>1147</v>
      </c>
      <c r="H4" s="23">
        <v>195</v>
      </c>
      <c r="I4" s="50">
        <v>0.27</v>
      </c>
      <c r="J4" s="51" t="s">
        <v>22</v>
      </c>
      <c r="K4" s="50">
        <v>0.27</v>
      </c>
      <c r="L4" s="50">
        <v>0.28999999999999998</v>
      </c>
      <c r="M4" s="50">
        <v>1501</v>
      </c>
      <c r="N4" s="50">
        <v>5384</v>
      </c>
      <c r="O4" s="52">
        <v>5</v>
      </c>
      <c r="P4" s="46">
        <v>0.32229582688715985</v>
      </c>
      <c r="R4" s="10" t="s">
        <v>9</v>
      </c>
      <c r="S4" s="32">
        <v>230</v>
      </c>
      <c r="T4" s="31"/>
      <c r="U4" s="26">
        <f t="shared" si="0"/>
        <v>195</v>
      </c>
      <c r="V4" s="26">
        <f t="shared" si="1"/>
        <v>19.02</v>
      </c>
      <c r="W4">
        <f t="shared" si="2"/>
        <v>5</v>
      </c>
      <c r="X4" s="25">
        <f t="shared" si="3"/>
        <v>0.32229582688715985</v>
      </c>
    </row>
    <row r="5" spans="1:24" ht="15" thickBot="1">
      <c r="A5" s="48">
        <v>45870</v>
      </c>
      <c r="B5" s="49">
        <v>16.72</v>
      </c>
      <c r="C5" s="51" t="s">
        <v>23</v>
      </c>
      <c r="D5" s="50">
        <v>16.850000000000001</v>
      </c>
      <c r="E5" s="50">
        <v>17.149999999999999</v>
      </c>
      <c r="F5" s="50">
        <v>4</v>
      </c>
      <c r="G5" s="50">
        <v>90</v>
      </c>
      <c r="H5" s="23">
        <v>197.5</v>
      </c>
      <c r="I5" s="50">
        <v>0.4</v>
      </c>
      <c r="J5" s="51" t="s">
        <v>24</v>
      </c>
      <c r="K5" s="50">
        <v>0.39</v>
      </c>
      <c r="L5" s="50">
        <v>0.41</v>
      </c>
      <c r="M5" s="50">
        <v>2322</v>
      </c>
      <c r="N5" s="50">
        <v>881</v>
      </c>
      <c r="O5" s="52">
        <v>5</v>
      </c>
      <c r="P5" s="46">
        <v>0.41706345269344308</v>
      </c>
      <c r="R5" s="10" t="s">
        <v>10</v>
      </c>
      <c r="S5" s="33">
        <v>0.24130000105324856</v>
      </c>
      <c r="T5" s="34"/>
      <c r="U5" s="26">
        <f t="shared" si="0"/>
        <v>197.5</v>
      </c>
      <c r="V5" s="26">
        <f t="shared" si="1"/>
        <v>16.72</v>
      </c>
      <c r="W5">
        <f t="shared" si="2"/>
        <v>5</v>
      </c>
      <c r="X5" s="25">
        <f t="shared" si="3"/>
        <v>0.41706345269344308</v>
      </c>
    </row>
    <row r="6" spans="1:24" ht="15" thickBot="1">
      <c r="A6" s="48">
        <v>45870</v>
      </c>
      <c r="B6" s="49">
        <v>14.65</v>
      </c>
      <c r="C6" s="51" t="s">
        <v>25</v>
      </c>
      <c r="D6" s="50">
        <v>14.6</v>
      </c>
      <c r="E6" s="50">
        <v>14.85</v>
      </c>
      <c r="F6" s="50">
        <v>743</v>
      </c>
      <c r="G6" s="50">
        <v>1428</v>
      </c>
      <c r="H6" s="23">
        <v>200</v>
      </c>
      <c r="I6" s="50">
        <v>0.56999999999999995</v>
      </c>
      <c r="J6" s="51" t="s">
        <v>26</v>
      </c>
      <c r="K6" s="50">
        <v>0.56999999999999995</v>
      </c>
      <c r="L6" s="50">
        <v>0.59</v>
      </c>
      <c r="M6" s="50">
        <v>2313</v>
      </c>
      <c r="N6" s="50">
        <v>7357</v>
      </c>
      <c r="O6" s="52">
        <v>5</v>
      </c>
      <c r="P6" s="46">
        <v>0.47687182700064784</v>
      </c>
      <c r="R6" s="10" t="s">
        <v>14</v>
      </c>
      <c r="S6" s="35">
        <v>4.4999999999999998E-2</v>
      </c>
      <c r="T6" s="36"/>
      <c r="U6" s="26">
        <f t="shared" si="0"/>
        <v>200</v>
      </c>
      <c r="V6" s="26">
        <f t="shared" si="1"/>
        <v>14.65</v>
      </c>
      <c r="W6">
        <f t="shared" si="2"/>
        <v>5</v>
      </c>
      <c r="X6" s="25">
        <f t="shared" si="3"/>
        <v>0.47687182700064784</v>
      </c>
    </row>
    <row r="7" spans="1:24" ht="15" thickBot="1">
      <c r="A7" s="48">
        <v>45870</v>
      </c>
      <c r="B7" s="49">
        <v>12.45</v>
      </c>
      <c r="C7" s="51" t="s">
        <v>27</v>
      </c>
      <c r="D7" s="50">
        <v>12.4</v>
      </c>
      <c r="E7" s="50">
        <v>12.6</v>
      </c>
      <c r="F7" s="50">
        <v>675</v>
      </c>
      <c r="G7" s="50">
        <v>342</v>
      </c>
      <c r="H7" s="23">
        <v>202.5</v>
      </c>
      <c r="I7" s="50">
        <v>0.87</v>
      </c>
      <c r="J7" s="51" t="s">
        <v>28</v>
      </c>
      <c r="K7" s="50">
        <v>0.85</v>
      </c>
      <c r="L7" s="50">
        <v>0.87</v>
      </c>
      <c r="M7" s="50">
        <v>2238</v>
      </c>
      <c r="N7" s="50">
        <v>3320</v>
      </c>
      <c r="O7" s="52">
        <v>5</v>
      </c>
      <c r="P7" s="46">
        <v>0.46672891157085233</v>
      </c>
      <c r="R7" s="10" t="s">
        <v>8</v>
      </c>
      <c r="S7" s="32">
        <v>509</v>
      </c>
      <c r="T7" s="31"/>
      <c r="U7" s="26">
        <f t="shared" si="0"/>
        <v>202.5</v>
      </c>
      <c r="V7" s="26">
        <f t="shared" si="1"/>
        <v>12.45</v>
      </c>
      <c r="W7">
        <f t="shared" si="2"/>
        <v>5</v>
      </c>
      <c r="X7" s="25">
        <f t="shared" si="3"/>
        <v>0.46672891157085233</v>
      </c>
    </row>
    <row r="8" spans="1:24" ht="15" thickBot="1">
      <c r="A8" s="48">
        <v>45870</v>
      </c>
      <c r="B8" s="49">
        <v>10.38</v>
      </c>
      <c r="C8" s="51" t="s">
        <v>29</v>
      </c>
      <c r="D8" s="50">
        <v>10.3</v>
      </c>
      <c r="E8" s="50">
        <v>10.5</v>
      </c>
      <c r="F8" s="50">
        <v>624</v>
      </c>
      <c r="G8" s="50">
        <v>2488</v>
      </c>
      <c r="H8" s="23">
        <v>205</v>
      </c>
      <c r="I8" s="50">
        <v>1.26</v>
      </c>
      <c r="J8" s="51" t="s">
        <v>30</v>
      </c>
      <c r="K8" s="50">
        <v>1.26</v>
      </c>
      <c r="L8" s="50">
        <v>1.3</v>
      </c>
      <c r="M8" s="50">
        <v>5773</v>
      </c>
      <c r="N8" s="50">
        <v>6021</v>
      </c>
      <c r="O8" s="52">
        <v>5</v>
      </c>
      <c r="P8" s="46">
        <v>0.45902404964740784</v>
      </c>
      <c r="R8" s="10" t="s">
        <v>11</v>
      </c>
      <c r="S8" s="32" t="s">
        <v>16</v>
      </c>
      <c r="T8" s="31"/>
      <c r="U8" s="26">
        <f t="shared" si="0"/>
        <v>205</v>
      </c>
      <c r="V8" s="26">
        <f t="shared" si="1"/>
        <v>10.38</v>
      </c>
      <c r="W8">
        <f t="shared" si="2"/>
        <v>5</v>
      </c>
      <c r="X8" s="25">
        <f t="shared" si="3"/>
        <v>0.45902404964740784</v>
      </c>
    </row>
    <row r="9" spans="1:24" ht="15" thickBot="1">
      <c r="A9" s="48">
        <v>45870</v>
      </c>
      <c r="B9" s="49">
        <v>8.4499999999999993</v>
      </c>
      <c r="C9" s="51" t="s">
        <v>31</v>
      </c>
      <c r="D9" s="50">
        <v>8.4</v>
      </c>
      <c r="E9" s="50">
        <v>8.5500000000000007</v>
      </c>
      <c r="F9" s="50">
        <v>715</v>
      </c>
      <c r="G9" s="50">
        <v>586</v>
      </c>
      <c r="H9" s="23">
        <v>207.5</v>
      </c>
      <c r="I9" s="50">
        <v>1.88</v>
      </c>
      <c r="J9" s="51" t="s">
        <v>32</v>
      </c>
      <c r="K9" s="50">
        <v>1.86</v>
      </c>
      <c r="L9" s="50">
        <v>1.89</v>
      </c>
      <c r="M9" s="50">
        <v>3514</v>
      </c>
      <c r="N9" s="50">
        <v>2097</v>
      </c>
      <c r="O9" s="52">
        <v>5</v>
      </c>
      <c r="P9" s="46">
        <v>0.450440488268605</v>
      </c>
      <c r="R9" s="10" t="s">
        <v>11</v>
      </c>
      <c r="S9" s="32" t="b">
        <f>IF(S8="Call",TRUE,FALSE)</f>
        <v>1</v>
      </c>
      <c r="T9" s="31"/>
      <c r="U9" s="26">
        <f t="shared" si="0"/>
        <v>207.5</v>
      </c>
      <c r="V9" s="26">
        <f t="shared" si="1"/>
        <v>8.4499999999999993</v>
      </c>
      <c r="W9">
        <f t="shared" si="2"/>
        <v>5</v>
      </c>
      <c r="X9" s="25">
        <f t="shared" si="3"/>
        <v>0.450440488268605</v>
      </c>
    </row>
    <row r="10" spans="1:24" ht="15" thickBot="1">
      <c r="A10" s="48">
        <v>45870</v>
      </c>
      <c r="B10" s="49">
        <v>6.79</v>
      </c>
      <c r="C10" s="51" t="s">
        <v>33</v>
      </c>
      <c r="D10" s="50">
        <v>6.75</v>
      </c>
      <c r="E10" s="50">
        <v>6.85</v>
      </c>
      <c r="F10" s="50">
        <v>3714</v>
      </c>
      <c r="G10" s="50">
        <v>12526</v>
      </c>
      <c r="H10" s="23">
        <v>210</v>
      </c>
      <c r="I10" s="50">
        <v>2.67</v>
      </c>
      <c r="J10" s="51" t="s">
        <v>34</v>
      </c>
      <c r="K10" s="50">
        <v>2.65</v>
      </c>
      <c r="L10" s="50">
        <v>2.7</v>
      </c>
      <c r="M10" s="50">
        <v>11654</v>
      </c>
      <c r="N10" s="50">
        <v>7828</v>
      </c>
      <c r="O10" s="52">
        <v>5</v>
      </c>
      <c r="P10" s="46">
        <v>0.45211095219509667</v>
      </c>
      <c r="R10" s="10" t="s">
        <v>17</v>
      </c>
      <c r="S10" s="38" cm="1">
        <f t="array" ref="S10">bs(S3,S4,S5,S6,S7,S9)</f>
        <v>23.549999944867523</v>
      </c>
      <c r="T10" s="37"/>
      <c r="U10" s="26">
        <f t="shared" si="0"/>
        <v>210</v>
      </c>
      <c r="V10" s="26">
        <f t="shared" si="1"/>
        <v>6.79</v>
      </c>
      <c r="W10">
        <f t="shared" si="2"/>
        <v>5</v>
      </c>
      <c r="X10" s="25">
        <f t="shared" si="3"/>
        <v>0.45211095219509667</v>
      </c>
    </row>
    <row r="11" spans="1:24" ht="15" thickBot="1">
      <c r="A11" s="48">
        <v>45870</v>
      </c>
      <c r="B11" s="49">
        <v>5.3</v>
      </c>
      <c r="C11" s="51" t="s">
        <v>35</v>
      </c>
      <c r="D11" s="50">
        <v>5.25</v>
      </c>
      <c r="E11" s="50">
        <v>5.35</v>
      </c>
      <c r="F11" s="50">
        <v>5992</v>
      </c>
      <c r="G11" s="50">
        <v>4913</v>
      </c>
      <c r="H11" s="23">
        <v>212.5</v>
      </c>
      <c r="I11" s="50">
        <v>3.68</v>
      </c>
      <c r="J11" s="51" t="s">
        <v>36</v>
      </c>
      <c r="K11" s="50">
        <v>3.65</v>
      </c>
      <c r="L11" s="50">
        <v>3.75</v>
      </c>
      <c r="M11" s="50">
        <v>5606</v>
      </c>
      <c r="N11" s="50">
        <v>7224</v>
      </c>
      <c r="O11" s="52">
        <v>5</v>
      </c>
      <c r="P11" s="46">
        <v>0.44947112875722173</v>
      </c>
      <c r="S11" s="31"/>
      <c r="T11" s="31"/>
      <c r="U11" s="26">
        <f t="shared" si="0"/>
        <v>212.5</v>
      </c>
      <c r="V11" s="26">
        <f t="shared" si="1"/>
        <v>5.3</v>
      </c>
      <c r="W11">
        <f t="shared" si="2"/>
        <v>5</v>
      </c>
      <c r="X11" s="25">
        <f t="shared" si="3"/>
        <v>0.44947112875722173</v>
      </c>
    </row>
    <row r="12" spans="1:24" ht="15" thickBot="1">
      <c r="A12" s="48">
        <v>45870</v>
      </c>
      <c r="B12" s="49">
        <v>4</v>
      </c>
      <c r="C12" s="51" t="s">
        <v>37</v>
      </c>
      <c r="D12" s="50">
        <v>3.95</v>
      </c>
      <c r="E12" s="50">
        <v>4.0999999999999996</v>
      </c>
      <c r="F12" s="50">
        <v>23060</v>
      </c>
      <c r="G12" s="50">
        <v>18632</v>
      </c>
      <c r="H12" s="23">
        <v>215</v>
      </c>
      <c r="I12" s="50">
        <v>4.95</v>
      </c>
      <c r="J12" s="51" t="s">
        <v>25</v>
      </c>
      <c r="K12" s="50">
        <v>4.8499999999999996</v>
      </c>
      <c r="L12" s="50">
        <v>5</v>
      </c>
      <c r="M12" s="50">
        <v>4934</v>
      </c>
      <c r="N12" s="50">
        <v>7960</v>
      </c>
      <c r="O12" s="52">
        <v>5</v>
      </c>
      <c r="P12" s="46">
        <v>0.4441044675092764</v>
      </c>
      <c r="S12" s="31"/>
      <c r="T12" s="31"/>
      <c r="U12" s="26">
        <f t="shared" si="0"/>
        <v>215</v>
      </c>
      <c r="V12" s="26">
        <f t="shared" si="1"/>
        <v>4</v>
      </c>
      <c r="W12">
        <f t="shared" si="2"/>
        <v>5</v>
      </c>
      <c r="X12" s="25">
        <f t="shared" si="3"/>
        <v>0.4441044675092764</v>
      </c>
    </row>
    <row r="13" spans="1:24" ht="15" thickBot="1">
      <c r="A13" s="48">
        <v>45870</v>
      </c>
      <c r="B13" s="49">
        <v>2.97</v>
      </c>
      <c r="C13" s="51" t="s">
        <v>37</v>
      </c>
      <c r="D13" s="50">
        <v>2.93</v>
      </c>
      <c r="E13" s="50">
        <v>2.97</v>
      </c>
      <c r="F13" s="50">
        <v>7363</v>
      </c>
      <c r="G13" s="50">
        <v>3064</v>
      </c>
      <c r="H13" s="23">
        <v>217.5</v>
      </c>
      <c r="I13" s="50">
        <v>6.3</v>
      </c>
      <c r="J13" s="51" t="s">
        <v>31</v>
      </c>
      <c r="K13" s="50">
        <v>6.25</v>
      </c>
      <c r="L13" s="50">
        <v>6.4</v>
      </c>
      <c r="M13" s="50">
        <v>310</v>
      </c>
      <c r="N13" s="50">
        <v>596</v>
      </c>
      <c r="O13" s="52">
        <v>5</v>
      </c>
      <c r="P13" s="46">
        <v>0.44385508728150092</v>
      </c>
      <c r="S13" s="31"/>
      <c r="T13" s="31"/>
      <c r="U13" s="26">
        <f t="shared" si="0"/>
        <v>217.5</v>
      </c>
      <c r="V13" s="26">
        <f t="shared" si="1"/>
        <v>2.97</v>
      </c>
      <c r="W13">
        <f t="shared" si="2"/>
        <v>5</v>
      </c>
      <c r="X13" s="25">
        <f t="shared" si="3"/>
        <v>0.44385508728150092</v>
      </c>
    </row>
    <row r="14" spans="1:24" ht="15" thickBot="1">
      <c r="A14" s="48">
        <v>45870</v>
      </c>
      <c r="B14" s="49">
        <v>2.08</v>
      </c>
      <c r="C14" s="51" t="s">
        <v>25</v>
      </c>
      <c r="D14" s="50">
        <v>2.0499999999999998</v>
      </c>
      <c r="E14" s="50">
        <v>2.09</v>
      </c>
      <c r="F14" s="50">
        <v>27718</v>
      </c>
      <c r="G14" s="50">
        <v>20062</v>
      </c>
      <c r="H14" s="23">
        <v>220</v>
      </c>
      <c r="I14" s="50">
        <v>8</v>
      </c>
      <c r="J14" s="51" t="s">
        <v>38</v>
      </c>
      <c r="K14" s="50">
        <v>7.9</v>
      </c>
      <c r="L14" s="50">
        <v>8</v>
      </c>
      <c r="M14" s="50">
        <v>281</v>
      </c>
      <c r="N14" s="50">
        <v>1232</v>
      </c>
      <c r="O14" s="52">
        <v>5</v>
      </c>
      <c r="P14" s="46">
        <v>0.43606912536213838</v>
      </c>
      <c r="S14" s="31"/>
      <c r="T14" s="31"/>
      <c r="U14" s="26">
        <f t="shared" si="0"/>
        <v>220</v>
      </c>
      <c r="V14" s="26">
        <f t="shared" si="1"/>
        <v>2.08</v>
      </c>
      <c r="W14">
        <f t="shared" si="2"/>
        <v>5</v>
      </c>
      <c r="X14" s="25">
        <f t="shared" si="3"/>
        <v>0.43606912536213838</v>
      </c>
    </row>
    <row r="15" spans="1:24" ht="15" thickBot="1">
      <c r="A15" s="48">
        <v>45870</v>
      </c>
      <c r="B15" s="49">
        <v>1.4</v>
      </c>
      <c r="C15" s="51" t="s">
        <v>39</v>
      </c>
      <c r="D15" s="50">
        <v>1.39</v>
      </c>
      <c r="E15" s="50">
        <v>1.42</v>
      </c>
      <c r="F15" s="50">
        <v>7496</v>
      </c>
      <c r="G15" s="50">
        <v>6939</v>
      </c>
      <c r="H15" s="23">
        <v>222.5</v>
      </c>
      <c r="I15" s="50">
        <v>9.85</v>
      </c>
      <c r="J15" s="51" t="s">
        <v>40</v>
      </c>
      <c r="K15" s="50">
        <v>9.6999999999999993</v>
      </c>
      <c r="L15" s="50">
        <v>9.85</v>
      </c>
      <c r="M15" s="50">
        <v>575</v>
      </c>
      <c r="N15" s="50">
        <v>334</v>
      </c>
      <c r="O15" s="52">
        <v>5</v>
      </c>
      <c r="P15" s="46">
        <v>0.4291717849390918</v>
      </c>
      <c r="S15" s="31"/>
      <c r="T15" s="31"/>
      <c r="U15" s="26">
        <f t="shared" si="0"/>
        <v>222.5</v>
      </c>
      <c r="V15" s="26">
        <f t="shared" si="1"/>
        <v>1.4</v>
      </c>
      <c r="W15">
        <f t="shared" si="2"/>
        <v>5</v>
      </c>
      <c r="X15" s="25">
        <f t="shared" si="3"/>
        <v>0.4291717849390918</v>
      </c>
    </row>
    <row r="16" spans="1:24" ht="15" thickBot="1">
      <c r="A16" s="48">
        <v>45870</v>
      </c>
      <c r="B16" s="49">
        <v>0.92</v>
      </c>
      <c r="C16" s="51" t="s">
        <v>35</v>
      </c>
      <c r="D16" s="50">
        <v>0.91</v>
      </c>
      <c r="E16" s="50">
        <v>0.94</v>
      </c>
      <c r="F16" s="50">
        <v>21483</v>
      </c>
      <c r="G16" s="50">
        <v>11067</v>
      </c>
      <c r="H16" s="23">
        <v>225</v>
      </c>
      <c r="I16" s="50">
        <v>11.92</v>
      </c>
      <c r="J16" s="51" t="s">
        <v>26</v>
      </c>
      <c r="K16" s="50">
        <v>11.65</v>
      </c>
      <c r="L16" s="50">
        <v>12.15</v>
      </c>
      <c r="M16" s="50">
        <v>193</v>
      </c>
      <c r="N16" s="50">
        <v>1687</v>
      </c>
      <c r="O16" s="52">
        <v>5</v>
      </c>
      <c r="P16" s="46">
        <v>0.42565800315557356</v>
      </c>
      <c r="S16" s="31"/>
      <c r="T16" s="31"/>
      <c r="U16" s="26">
        <f t="shared" si="0"/>
        <v>225</v>
      </c>
      <c r="V16" s="26">
        <f t="shared" si="1"/>
        <v>0.92</v>
      </c>
      <c r="W16">
        <f t="shared" si="2"/>
        <v>5</v>
      </c>
      <c r="X16" s="25">
        <f t="shared" si="3"/>
        <v>0.42565800315557356</v>
      </c>
    </row>
    <row r="17" spans="1:24" ht="15" thickBot="1">
      <c r="A17" s="48">
        <v>45870</v>
      </c>
      <c r="B17" s="49">
        <v>0.61</v>
      </c>
      <c r="C17" s="51" t="s">
        <v>41</v>
      </c>
      <c r="D17" s="50">
        <v>0.59</v>
      </c>
      <c r="E17" s="50">
        <v>0.61</v>
      </c>
      <c r="F17" s="50">
        <v>1509</v>
      </c>
      <c r="G17" s="50">
        <v>3786</v>
      </c>
      <c r="H17" s="23">
        <v>227.5</v>
      </c>
      <c r="I17" s="50">
        <v>13.5</v>
      </c>
      <c r="J17" s="50" t="s">
        <v>19</v>
      </c>
      <c r="K17" s="50">
        <v>13.8</v>
      </c>
      <c r="L17" s="50">
        <v>14.4</v>
      </c>
      <c r="M17" s="50" t="s">
        <v>19</v>
      </c>
      <c r="N17" s="50">
        <v>19</v>
      </c>
      <c r="O17" s="52">
        <v>5</v>
      </c>
      <c r="P17" s="46">
        <v>0.42814655021837311</v>
      </c>
      <c r="R17" s="24"/>
      <c r="S17" s="31"/>
      <c r="T17" s="31"/>
      <c r="U17" s="26">
        <f t="shared" si="0"/>
        <v>227.5</v>
      </c>
      <c r="V17" s="26">
        <f t="shared" si="1"/>
        <v>0.61</v>
      </c>
      <c r="W17">
        <f t="shared" si="2"/>
        <v>5</v>
      </c>
      <c r="X17" s="25">
        <f t="shared" si="3"/>
        <v>0.42814655021837311</v>
      </c>
    </row>
    <row r="18" spans="1:24" ht="15" thickBot="1">
      <c r="A18" s="48">
        <v>45870</v>
      </c>
      <c r="B18" s="49">
        <v>0.4</v>
      </c>
      <c r="C18" s="51" t="s">
        <v>28</v>
      </c>
      <c r="D18" s="50">
        <v>0.38</v>
      </c>
      <c r="E18" s="50">
        <v>0.4</v>
      </c>
      <c r="F18" s="50">
        <v>11001</v>
      </c>
      <c r="G18" s="50">
        <v>15932</v>
      </c>
      <c r="H18" s="23">
        <v>230</v>
      </c>
      <c r="I18" s="50">
        <v>16.28</v>
      </c>
      <c r="J18" s="53" t="s">
        <v>42</v>
      </c>
      <c r="K18" s="50">
        <v>16.100000000000001</v>
      </c>
      <c r="L18" s="50">
        <v>16.75</v>
      </c>
      <c r="M18" s="50">
        <v>59</v>
      </c>
      <c r="N18" s="50">
        <v>257</v>
      </c>
      <c r="O18" s="52">
        <v>5</v>
      </c>
      <c r="P18" s="46">
        <v>0.43190584937099319</v>
      </c>
      <c r="S18" s="31"/>
      <c r="T18" s="31"/>
      <c r="U18" s="26">
        <f t="shared" si="0"/>
        <v>230</v>
      </c>
      <c r="V18" s="26">
        <f t="shared" si="1"/>
        <v>0.4</v>
      </c>
      <c r="W18">
        <f t="shared" si="2"/>
        <v>5</v>
      </c>
      <c r="X18" s="25">
        <f t="shared" si="3"/>
        <v>0.43190584937099319</v>
      </c>
    </row>
    <row r="19" spans="1:24" ht="15" thickBot="1">
      <c r="A19" s="48">
        <v>45870</v>
      </c>
      <c r="B19" s="49">
        <v>0.26</v>
      </c>
      <c r="C19" s="51" t="s">
        <v>43</v>
      </c>
      <c r="D19" s="50">
        <v>0.25</v>
      </c>
      <c r="E19" s="50">
        <v>0.27</v>
      </c>
      <c r="F19" s="50">
        <v>2109</v>
      </c>
      <c r="G19" s="50">
        <v>1152</v>
      </c>
      <c r="H19" s="23">
        <v>232.5</v>
      </c>
      <c r="I19" s="50">
        <v>18.16</v>
      </c>
      <c r="J19" s="53" t="s">
        <v>44</v>
      </c>
      <c r="K19" s="50">
        <v>18.45</v>
      </c>
      <c r="L19" s="50">
        <v>19.05</v>
      </c>
      <c r="M19" s="50">
        <v>30</v>
      </c>
      <c r="N19" s="50">
        <v>94</v>
      </c>
      <c r="O19" s="52">
        <v>5</v>
      </c>
      <c r="P19" s="46">
        <v>0.43653199248027819</v>
      </c>
      <c r="S19" s="31"/>
      <c r="T19" s="31"/>
      <c r="U19" s="26">
        <f t="shared" si="0"/>
        <v>232.5</v>
      </c>
      <c r="V19" s="26">
        <f t="shared" si="1"/>
        <v>0.26</v>
      </c>
      <c r="W19">
        <f t="shared" si="2"/>
        <v>5</v>
      </c>
      <c r="X19" s="25">
        <f t="shared" si="3"/>
        <v>0.43653199248027819</v>
      </c>
    </row>
    <row r="20" spans="1:24" ht="15" thickBot="1">
      <c r="A20" s="48">
        <v>45870</v>
      </c>
      <c r="B20" s="49">
        <v>0.17</v>
      </c>
      <c r="C20" s="51" t="s">
        <v>45</v>
      </c>
      <c r="D20" s="50">
        <v>0.17</v>
      </c>
      <c r="E20" s="50">
        <v>0.18</v>
      </c>
      <c r="F20" s="50">
        <v>3758</v>
      </c>
      <c r="G20" s="50">
        <v>4665</v>
      </c>
      <c r="H20" s="23">
        <v>235</v>
      </c>
      <c r="I20" s="50">
        <v>20.87</v>
      </c>
      <c r="J20" s="53" t="s">
        <v>46</v>
      </c>
      <c r="K20" s="50">
        <v>20.9</v>
      </c>
      <c r="L20" s="50">
        <v>21.4</v>
      </c>
      <c r="M20" s="50">
        <v>9</v>
      </c>
      <c r="N20" s="50">
        <v>456</v>
      </c>
      <c r="O20" s="52">
        <v>5</v>
      </c>
      <c r="P20" s="46">
        <v>0.44277288830173522</v>
      </c>
      <c r="S20" s="31"/>
      <c r="T20" s="31"/>
      <c r="U20" s="26">
        <f t="shared" si="0"/>
        <v>235</v>
      </c>
      <c r="V20" s="26">
        <f t="shared" si="1"/>
        <v>0.17</v>
      </c>
      <c r="W20">
        <f t="shared" si="2"/>
        <v>5</v>
      </c>
      <c r="X20" s="25">
        <f t="shared" si="3"/>
        <v>0.44277288830173522</v>
      </c>
    </row>
    <row r="21" spans="1:24" ht="15" thickBot="1">
      <c r="A21" s="48">
        <v>45877</v>
      </c>
      <c r="B21" s="49">
        <v>21.88</v>
      </c>
      <c r="C21" s="51" t="s">
        <v>28</v>
      </c>
      <c r="D21" s="50">
        <v>22.05</v>
      </c>
      <c r="E21" s="50">
        <v>22.45</v>
      </c>
      <c r="F21" s="50">
        <v>32</v>
      </c>
      <c r="G21" s="50">
        <v>7</v>
      </c>
      <c r="H21" s="23">
        <v>192.5</v>
      </c>
      <c r="I21" s="50">
        <v>0.44</v>
      </c>
      <c r="J21" s="53" t="s">
        <v>57</v>
      </c>
      <c r="K21" s="50">
        <v>0.42</v>
      </c>
      <c r="L21" s="50">
        <v>0.45</v>
      </c>
      <c r="M21" s="50">
        <v>43</v>
      </c>
      <c r="N21" s="50">
        <v>118</v>
      </c>
      <c r="O21" s="52">
        <v>12</v>
      </c>
      <c r="P21" s="46">
        <v>0.33782475354560276</v>
      </c>
      <c r="U21" s="26">
        <f t="shared" si="0"/>
        <v>192.5</v>
      </c>
      <c r="V21" s="26">
        <f t="shared" si="1"/>
        <v>21.88</v>
      </c>
      <c r="W21">
        <f t="shared" si="2"/>
        <v>12</v>
      </c>
      <c r="X21" s="25">
        <f t="shared" si="3"/>
        <v>0.33782475354560276</v>
      </c>
    </row>
    <row r="22" spans="1:24" ht="15" thickBot="1">
      <c r="A22" s="48">
        <v>45877</v>
      </c>
      <c r="B22" s="49">
        <v>19.62</v>
      </c>
      <c r="C22" s="51" t="s">
        <v>58</v>
      </c>
      <c r="D22" s="50">
        <v>19.75</v>
      </c>
      <c r="E22" s="50">
        <v>20.05</v>
      </c>
      <c r="F22" s="50">
        <v>14</v>
      </c>
      <c r="G22" s="50">
        <v>125</v>
      </c>
      <c r="H22" s="23">
        <v>195</v>
      </c>
      <c r="I22" s="50">
        <v>0.57999999999999996</v>
      </c>
      <c r="J22" s="51" t="s">
        <v>59</v>
      </c>
      <c r="K22" s="50">
        <v>0.56999999999999995</v>
      </c>
      <c r="L22" s="50">
        <v>0.59</v>
      </c>
      <c r="M22" s="50">
        <v>329</v>
      </c>
      <c r="N22" s="50">
        <v>4349</v>
      </c>
      <c r="O22" s="52">
        <v>12</v>
      </c>
      <c r="P22" s="46">
        <v>0.35746338160578234</v>
      </c>
      <c r="U22" s="26">
        <f t="shared" si="0"/>
        <v>195</v>
      </c>
      <c r="V22" s="26">
        <f t="shared" si="1"/>
        <v>19.62</v>
      </c>
      <c r="W22">
        <f t="shared" si="2"/>
        <v>12</v>
      </c>
      <c r="X22" s="25">
        <f t="shared" si="3"/>
        <v>0.35746338160578234</v>
      </c>
    </row>
    <row r="23" spans="1:24" ht="15" thickBot="1">
      <c r="A23" s="48">
        <v>45877</v>
      </c>
      <c r="B23" s="49">
        <v>17.27</v>
      </c>
      <c r="C23" s="51" t="s">
        <v>60</v>
      </c>
      <c r="D23" s="50">
        <v>17.45</v>
      </c>
      <c r="E23" s="50">
        <v>17.75</v>
      </c>
      <c r="F23" s="50">
        <v>21</v>
      </c>
      <c r="G23" s="50">
        <v>27</v>
      </c>
      <c r="H23" s="23">
        <v>197.5</v>
      </c>
      <c r="I23" s="50">
        <v>0.81</v>
      </c>
      <c r="J23" s="51" t="s">
        <v>24</v>
      </c>
      <c r="K23" s="50">
        <v>0.77</v>
      </c>
      <c r="L23" s="50">
        <v>0.8</v>
      </c>
      <c r="M23" s="50">
        <v>216</v>
      </c>
      <c r="N23" s="50">
        <v>198</v>
      </c>
      <c r="O23" s="52">
        <v>12</v>
      </c>
      <c r="P23" s="46">
        <v>0.34361543798129512</v>
      </c>
      <c r="U23" s="26">
        <f t="shared" si="0"/>
        <v>197.5</v>
      </c>
      <c r="V23" s="26">
        <f t="shared" si="1"/>
        <v>17.27</v>
      </c>
      <c r="W23">
        <f t="shared" si="2"/>
        <v>12</v>
      </c>
      <c r="X23" s="25">
        <f t="shared" si="3"/>
        <v>0.34361543798129512</v>
      </c>
    </row>
    <row r="24" spans="1:24" ht="15" thickBot="1">
      <c r="A24" s="48">
        <v>45877</v>
      </c>
      <c r="B24" s="49">
        <v>15.36</v>
      </c>
      <c r="C24" s="51" t="s">
        <v>40</v>
      </c>
      <c r="D24" s="50">
        <v>15.25</v>
      </c>
      <c r="E24" s="50">
        <v>15.45</v>
      </c>
      <c r="F24" s="50">
        <v>230</v>
      </c>
      <c r="G24" s="50">
        <v>988</v>
      </c>
      <c r="H24" s="23">
        <v>200</v>
      </c>
      <c r="I24" s="50">
        <v>1.08</v>
      </c>
      <c r="J24" s="51" t="s">
        <v>61</v>
      </c>
      <c r="K24" s="50">
        <v>1.04</v>
      </c>
      <c r="L24" s="50">
        <v>1.1000000000000001</v>
      </c>
      <c r="M24" s="50">
        <v>434</v>
      </c>
      <c r="N24" s="50">
        <v>3552</v>
      </c>
      <c r="O24" s="52">
        <v>12</v>
      </c>
      <c r="P24" s="46">
        <v>0.37567033816950884</v>
      </c>
      <c r="U24" s="26">
        <f t="shared" si="0"/>
        <v>200</v>
      </c>
      <c r="V24" s="26">
        <f t="shared" si="1"/>
        <v>15.36</v>
      </c>
      <c r="W24">
        <f t="shared" si="2"/>
        <v>12</v>
      </c>
      <c r="X24" s="25">
        <f t="shared" si="3"/>
        <v>0.37567033816950884</v>
      </c>
    </row>
    <row r="25" spans="1:24" ht="15" thickBot="1">
      <c r="A25" s="48">
        <v>45877</v>
      </c>
      <c r="B25" s="49">
        <v>13.2</v>
      </c>
      <c r="C25" s="51" t="s">
        <v>62</v>
      </c>
      <c r="D25" s="50">
        <v>13.15</v>
      </c>
      <c r="E25" s="50">
        <v>13.35</v>
      </c>
      <c r="F25" s="50">
        <v>53</v>
      </c>
      <c r="G25" s="50">
        <v>98</v>
      </c>
      <c r="H25" s="23">
        <v>202.5</v>
      </c>
      <c r="I25" s="50">
        <v>1.46</v>
      </c>
      <c r="J25" s="51" t="s">
        <v>26</v>
      </c>
      <c r="K25" s="50">
        <v>1.39</v>
      </c>
      <c r="L25" s="50">
        <v>1.49</v>
      </c>
      <c r="M25" s="50">
        <v>238</v>
      </c>
      <c r="N25" s="50">
        <v>309</v>
      </c>
      <c r="O25" s="52">
        <v>12</v>
      </c>
      <c r="P25" s="46">
        <v>0.36250992093959655</v>
      </c>
      <c r="U25" s="26">
        <f t="shared" si="0"/>
        <v>202.5</v>
      </c>
      <c r="V25" s="26">
        <f t="shared" si="1"/>
        <v>13.2</v>
      </c>
      <c r="W25">
        <f t="shared" si="2"/>
        <v>12</v>
      </c>
      <c r="X25" s="25">
        <f t="shared" si="3"/>
        <v>0.36250992093959655</v>
      </c>
    </row>
    <row r="26" spans="1:24" ht="15" thickBot="1">
      <c r="A26" s="48">
        <v>45877</v>
      </c>
      <c r="B26" s="49">
        <v>11.12</v>
      </c>
      <c r="C26" s="51" t="s">
        <v>38</v>
      </c>
      <c r="D26" s="50">
        <v>11.1</v>
      </c>
      <c r="E26" s="50">
        <v>11.4</v>
      </c>
      <c r="F26" s="50">
        <v>554</v>
      </c>
      <c r="G26" s="50">
        <v>1730</v>
      </c>
      <c r="H26" s="23">
        <v>205</v>
      </c>
      <c r="I26" s="50">
        <v>1.97</v>
      </c>
      <c r="J26" s="51" t="s">
        <v>27</v>
      </c>
      <c r="K26" s="50">
        <v>1.95</v>
      </c>
      <c r="L26" s="50">
        <v>1.99</v>
      </c>
      <c r="M26" s="50">
        <v>355</v>
      </c>
      <c r="N26" s="50">
        <v>3171</v>
      </c>
      <c r="O26" s="52">
        <v>12</v>
      </c>
      <c r="P26" s="46">
        <v>0.34840104388518545</v>
      </c>
      <c r="U26" s="26">
        <f t="shared" si="0"/>
        <v>205</v>
      </c>
      <c r="V26" s="26">
        <f t="shared" si="1"/>
        <v>11.12</v>
      </c>
      <c r="W26">
        <f t="shared" si="2"/>
        <v>12</v>
      </c>
      <c r="X26" s="25">
        <f t="shared" si="3"/>
        <v>0.34840104388518545</v>
      </c>
    </row>
    <row r="27" spans="1:24" ht="15" thickBot="1">
      <c r="A27" s="48">
        <v>45877</v>
      </c>
      <c r="B27" s="49">
        <v>9.4499999999999993</v>
      </c>
      <c r="C27" s="51" t="s">
        <v>63</v>
      </c>
      <c r="D27" s="50">
        <v>9.4</v>
      </c>
      <c r="E27" s="50">
        <v>9.5</v>
      </c>
      <c r="F27" s="50">
        <v>144</v>
      </c>
      <c r="G27" s="50">
        <v>325</v>
      </c>
      <c r="H27" s="23">
        <v>207.5</v>
      </c>
      <c r="I27" s="50">
        <v>2.64</v>
      </c>
      <c r="J27" s="51" t="s">
        <v>64</v>
      </c>
      <c r="K27" s="50">
        <v>2.61</v>
      </c>
      <c r="L27" s="50">
        <v>2.68</v>
      </c>
      <c r="M27" s="50">
        <v>105</v>
      </c>
      <c r="N27" s="50">
        <v>607</v>
      </c>
      <c r="O27" s="52">
        <v>12</v>
      </c>
      <c r="P27" s="46">
        <v>0.35649444046707834</v>
      </c>
      <c r="U27" s="26">
        <f t="shared" si="0"/>
        <v>207.5</v>
      </c>
      <c r="V27" s="26">
        <f t="shared" si="1"/>
        <v>9.4499999999999993</v>
      </c>
      <c r="W27">
        <f t="shared" si="2"/>
        <v>12</v>
      </c>
      <c r="X27" s="25">
        <f t="shared" si="3"/>
        <v>0.35649444046707834</v>
      </c>
    </row>
    <row r="28" spans="1:24" ht="15" thickBot="1">
      <c r="A28" s="48">
        <v>45877</v>
      </c>
      <c r="B28" s="49">
        <v>7.8</v>
      </c>
      <c r="C28" s="51" t="s">
        <v>63</v>
      </c>
      <c r="D28" s="50">
        <v>7.7</v>
      </c>
      <c r="E28" s="50">
        <v>7.85</v>
      </c>
      <c r="F28" s="50">
        <v>1366</v>
      </c>
      <c r="G28" s="50">
        <v>2667</v>
      </c>
      <c r="H28" s="23">
        <v>210</v>
      </c>
      <c r="I28" s="50">
        <v>3.55</v>
      </c>
      <c r="J28" s="51" t="s">
        <v>65</v>
      </c>
      <c r="K28" s="50">
        <v>3.4</v>
      </c>
      <c r="L28" s="50">
        <v>3.55</v>
      </c>
      <c r="M28" s="50">
        <v>3118</v>
      </c>
      <c r="N28" s="50">
        <v>4478</v>
      </c>
      <c r="O28" s="52">
        <v>12</v>
      </c>
      <c r="P28" s="46">
        <v>0.35322652867110993</v>
      </c>
      <c r="U28" s="26">
        <f t="shared" si="0"/>
        <v>210</v>
      </c>
      <c r="V28" s="26">
        <f t="shared" si="1"/>
        <v>7.8</v>
      </c>
      <c r="W28">
        <f t="shared" si="2"/>
        <v>12</v>
      </c>
      <c r="X28" s="25">
        <f t="shared" si="3"/>
        <v>0.35322652867110993</v>
      </c>
    </row>
    <row r="29" spans="1:24" ht="15" thickBot="1">
      <c r="A29" s="48">
        <v>45877</v>
      </c>
      <c r="B29" s="49">
        <v>6.28</v>
      </c>
      <c r="C29" s="51" t="s">
        <v>41</v>
      </c>
      <c r="D29" s="50">
        <v>6.2</v>
      </c>
      <c r="E29" s="50">
        <v>6.35</v>
      </c>
      <c r="F29" s="50">
        <v>635</v>
      </c>
      <c r="G29" s="50">
        <v>684</v>
      </c>
      <c r="H29" s="23">
        <v>212.5</v>
      </c>
      <c r="I29" s="50">
        <v>4.5</v>
      </c>
      <c r="J29" s="51" t="s">
        <v>37</v>
      </c>
      <c r="K29" s="50">
        <v>4.4000000000000004</v>
      </c>
      <c r="L29" s="50">
        <v>4.55</v>
      </c>
      <c r="M29" s="50">
        <v>545</v>
      </c>
      <c r="N29" s="50">
        <v>328</v>
      </c>
      <c r="O29" s="52">
        <v>12</v>
      </c>
      <c r="P29" s="46">
        <v>0.34731736563810017</v>
      </c>
      <c r="U29" s="26">
        <f t="shared" si="0"/>
        <v>212.5</v>
      </c>
      <c r="V29" s="26">
        <f t="shared" si="1"/>
        <v>6.28</v>
      </c>
      <c r="W29">
        <f t="shared" si="2"/>
        <v>12</v>
      </c>
      <c r="X29" s="25">
        <f t="shared" si="3"/>
        <v>0.34731736563810017</v>
      </c>
    </row>
    <row r="30" spans="1:24" ht="15" thickBot="1">
      <c r="A30" s="48">
        <v>45877</v>
      </c>
      <c r="B30" s="49">
        <v>4.99</v>
      </c>
      <c r="C30" s="51" t="s">
        <v>66</v>
      </c>
      <c r="D30" s="50">
        <v>4.9000000000000004</v>
      </c>
      <c r="E30" s="50">
        <v>5</v>
      </c>
      <c r="F30" s="50">
        <v>2254</v>
      </c>
      <c r="G30" s="50">
        <v>4988</v>
      </c>
      <c r="H30" s="23">
        <v>215</v>
      </c>
      <c r="I30" s="50">
        <v>5.69</v>
      </c>
      <c r="J30" s="51" t="s">
        <v>64</v>
      </c>
      <c r="K30" s="50">
        <v>5.6</v>
      </c>
      <c r="L30" s="50">
        <v>5.75</v>
      </c>
      <c r="M30" s="50">
        <v>430</v>
      </c>
      <c r="N30" s="50">
        <v>916</v>
      </c>
      <c r="O30" s="52">
        <v>12</v>
      </c>
      <c r="P30" s="46">
        <v>0.34473235068922431</v>
      </c>
      <c r="U30" s="26">
        <f t="shared" si="0"/>
        <v>215</v>
      </c>
      <c r="V30" s="26">
        <f t="shared" si="1"/>
        <v>4.99</v>
      </c>
      <c r="W30">
        <f t="shared" si="2"/>
        <v>12</v>
      </c>
      <c r="X30" s="25">
        <f t="shared" si="3"/>
        <v>0.34473235068922431</v>
      </c>
    </row>
    <row r="31" spans="1:24" ht="15" thickBot="1">
      <c r="A31" s="48">
        <v>45877</v>
      </c>
      <c r="B31" s="49">
        <v>3.85</v>
      </c>
      <c r="C31" s="51" t="s">
        <v>64</v>
      </c>
      <c r="D31" s="50">
        <v>3.8</v>
      </c>
      <c r="E31" s="50">
        <v>3.9</v>
      </c>
      <c r="F31" s="50">
        <v>1011</v>
      </c>
      <c r="G31" s="50">
        <v>833</v>
      </c>
      <c r="H31" s="23">
        <v>217.5</v>
      </c>
      <c r="I31" s="50">
        <v>6.77</v>
      </c>
      <c r="J31" s="51" t="s">
        <v>29</v>
      </c>
      <c r="K31" s="50">
        <v>7</v>
      </c>
      <c r="L31" s="50">
        <v>7.15</v>
      </c>
      <c r="M31" s="50">
        <v>28</v>
      </c>
      <c r="N31" s="50">
        <v>156</v>
      </c>
      <c r="O31" s="52">
        <v>12</v>
      </c>
      <c r="P31" s="46">
        <v>0.33997142909742611</v>
      </c>
      <c r="U31" s="26">
        <f t="shared" si="0"/>
        <v>217.5</v>
      </c>
      <c r="V31" s="26">
        <f t="shared" si="1"/>
        <v>3.85</v>
      </c>
      <c r="W31">
        <f t="shared" si="2"/>
        <v>12</v>
      </c>
      <c r="X31" s="25">
        <f t="shared" si="3"/>
        <v>0.33997142909742611</v>
      </c>
    </row>
    <row r="32" spans="1:24" ht="15" thickBot="1">
      <c r="A32" s="48">
        <v>45877</v>
      </c>
      <c r="B32" s="49">
        <v>2.91</v>
      </c>
      <c r="C32" s="51" t="s">
        <v>64</v>
      </c>
      <c r="D32" s="50">
        <v>2.89</v>
      </c>
      <c r="E32" s="50">
        <v>2.97</v>
      </c>
      <c r="F32" s="50">
        <v>2876</v>
      </c>
      <c r="G32" s="50">
        <v>8060</v>
      </c>
      <c r="H32" s="23">
        <v>220</v>
      </c>
      <c r="I32" s="50">
        <v>8.8000000000000007</v>
      </c>
      <c r="J32" s="51" t="s">
        <v>43</v>
      </c>
      <c r="K32" s="50">
        <v>8.6</v>
      </c>
      <c r="L32" s="50">
        <v>8.6999999999999993</v>
      </c>
      <c r="M32" s="50">
        <v>152</v>
      </c>
      <c r="N32" s="50">
        <v>384</v>
      </c>
      <c r="O32" s="52">
        <v>12</v>
      </c>
      <c r="P32" s="46">
        <v>0.33641120882564118</v>
      </c>
      <c r="U32" s="26">
        <f t="shared" si="0"/>
        <v>220</v>
      </c>
      <c r="V32" s="26">
        <f t="shared" si="1"/>
        <v>2.91</v>
      </c>
      <c r="W32">
        <f t="shared" si="2"/>
        <v>12</v>
      </c>
      <c r="X32" s="25">
        <f t="shared" si="3"/>
        <v>0.33641120882564118</v>
      </c>
    </row>
    <row r="33" spans="1:24" ht="15" thickBot="1">
      <c r="A33" s="48">
        <v>45877</v>
      </c>
      <c r="B33" s="49">
        <v>2.15</v>
      </c>
      <c r="C33" s="51" t="s">
        <v>32</v>
      </c>
      <c r="D33" s="50">
        <v>2.0699999999999998</v>
      </c>
      <c r="E33" s="50">
        <v>2.19</v>
      </c>
      <c r="F33" s="50">
        <v>2689</v>
      </c>
      <c r="G33" s="50">
        <v>688</v>
      </c>
      <c r="H33" s="23">
        <v>222.5</v>
      </c>
      <c r="I33" s="50">
        <v>10.5</v>
      </c>
      <c r="J33" s="53" t="s">
        <v>67</v>
      </c>
      <c r="K33" s="50">
        <v>10.3</v>
      </c>
      <c r="L33" s="50">
        <v>10.9</v>
      </c>
      <c r="M33" s="50">
        <v>9</v>
      </c>
      <c r="N33" s="50">
        <v>40</v>
      </c>
      <c r="O33" s="52">
        <v>12</v>
      </c>
      <c r="P33" s="46">
        <v>0.33341672979889658</v>
      </c>
      <c r="U33" s="26">
        <f t="shared" si="0"/>
        <v>222.5</v>
      </c>
      <c r="V33" s="26">
        <f t="shared" si="1"/>
        <v>2.15</v>
      </c>
      <c r="W33">
        <f t="shared" si="2"/>
        <v>12</v>
      </c>
      <c r="X33" s="25">
        <f t="shared" si="3"/>
        <v>0.33341672979889658</v>
      </c>
    </row>
    <row r="34" spans="1:24" ht="15" thickBot="1">
      <c r="A34" s="48">
        <v>45877</v>
      </c>
      <c r="B34" s="49">
        <v>1.57</v>
      </c>
      <c r="C34" s="51" t="s">
        <v>33</v>
      </c>
      <c r="D34" s="50">
        <v>1.54</v>
      </c>
      <c r="E34" s="50">
        <v>1.61</v>
      </c>
      <c r="F34" s="50">
        <v>2137</v>
      </c>
      <c r="G34" s="50">
        <v>9908</v>
      </c>
      <c r="H34" s="23">
        <v>225</v>
      </c>
      <c r="I34" s="50">
        <v>12.39</v>
      </c>
      <c r="J34" s="53" t="s">
        <v>68</v>
      </c>
      <c r="K34" s="50">
        <v>12.05</v>
      </c>
      <c r="L34" s="50">
        <v>12.6</v>
      </c>
      <c r="M34" s="50">
        <v>43</v>
      </c>
      <c r="N34" s="50">
        <v>1054</v>
      </c>
      <c r="O34" s="52">
        <v>12</v>
      </c>
      <c r="P34" s="46">
        <v>0.33245152625052921</v>
      </c>
      <c r="U34" s="26">
        <f t="shared" si="0"/>
        <v>225</v>
      </c>
      <c r="V34" s="26">
        <f t="shared" si="1"/>
        <v>1.57</v>
      </c>
      <c r="W34">
        <f t="shared" si="2"/>
        <v>12</v>
      </c>
      <c r="X34" s="25">
        <f t="shared" si="3"/>
        <v>0.33245152625052921</v>
      </c>
    </row>
    <row r="35" spans="1:24" ht="15" thickBot="1">
      <c r="A35" s="48">
        <v>45877</v>
      </c>
      <c r="B35" s="49">
        <v>1.1200000000000001</v>
      </c>
      <c r="C35" s="51" t="s">
        <v>30</v>
      </c>
      <c r="D35" s="50">
        <v>1.1000000000000001</v>
      </c>
      <c r="E35" s="50">
        <v>1.1299999999999999</v>
      </c>
      <c r="F35" s="50">
        <v>536</v>
      </c>
      <c r="G35" s="50">
        <v>211</v>
      </c>
      <c r="H35" s="23">
        <v>227.5</v>
      </c>
      <c r="I35" s="50">
        <v>14.6</v>
      </c>
      <c r="J35" s="53" t="s">
        <v>69</v>
      </c>
      <c r="K35" s="50">
        <v>14.25</v>
      </c>
      <c r="L35" s="50">
        <v>14.5</v>
      </c>
      <c r="M35" s="50">
        <v>25</v>
      </c>
      <c r="N35" s="50">
        <v>70</v>
      </c>
      <c r="O35" s="52">
        <v>12</v>
      </c>
      <c r="P35" s="46">
        <v>0.33137078710341827</v>
      </c>
      <c r="U35" s="26">
        <f t="shared" si="0"/>
        <v>227.5</v>
      </c>
      <c r="V35" s="26">
        <f t="shared" si="1"/>
        <v>1.1200000000000001</v>
      </c>
      <c r="W35">
        <f t="shared" si="2"/>
        <v>12</v>
      </c>
      <c r="X35" s="25">
        <f t="shared" si="3"/>
        <v>0.33137078710341827</v>
      </c>
    </row>
    <row r="36" spans="1:24" ht="15" thickBot="1">
      <c r="A36" s="48">
        <v>45877</v>
      </c>
      <c r="B36" s="49">
        <v>0.78</v>
      </c>
      <c r="C36" s="51" t="s">
        <v>66</v>
      </c>
      <c r="D36" s="50">
        <v>0.76</v>
      </c>
      <c r="E36" s="50">
        <v>0.81</v>
      </c>
      <c r="F36" s="50">
        <v>1379</v>
      </c>
      <c r="G36" s="50">
        <v>4862</v>
      </c>
      <c r="H36" s="23">
        <v>230</v>
      </c>
      <c r="I36" s="50">
        <v>16.57</v>
      </c>
      <c r="J36" s="53" t="s">
        <v>70</v>
      </c>
      <c r="K36" s="50">
        <v>16.45</v>
      </c>
      <c r="L36" s="50">
        <v>16.75</v>
      </c>
      <c r="M36" s="50">
        <v>14</v>
      </c>
      <c r="N36" s="50">
        <v>41</v>
      </c>
      <c r="O36" s="52">
        <v>12</v>
      </c>
      <c r="P36" s="46">
        <v>0.33021042628561059</v>
      </c>
      <c r="U36" s="26">
        <f t="shared" si="0"/>
        <v>230</v>
      </c>
      <c r="V36" s="26">
        <f t="shared" si="1"/>
        <v>0.78</v>
      </c>
      <c r="W36">
        <f t="shared" si="2"/>
        <v>12</v>
      </c>
      <c r="X36" s="25">
        <f t="shared" si="3"/>
        <v>0.33021042628561059</v>
      </c>
    </row>
    <row r="37" spans="1:24" ht="15" thickBot="1">
      <c r="A37" s="48">
        <v>45877</v>
      </c>
      <c r="B37" s="49">
        <v>0.56999999999999995</v>
      </c>
      <c r="C37" s="51" t="s">
        <v>71</v>
      </c>
      <c r="D37" s="50">
        <v>0.55000000000000004</v>
      </c>
      <c r="E37" s="50">
        <v>0.57999999999999996</v>
      </c>
      <c r="F37" s="50">
        <v>184</v>
      </c>
      <c r="G37" s="50">
        <v>204</v>
      </c>
      <c r="H37" s="23">
        <v>232.5</v>
      </c>
      <c r="I37" s="50">
        <v>18.600000000000001</v>
      </c>
      <c r="J37" s="51" t="s">
        <v>72</v>
      </c>
      <c r="K37" s="50">
        <v>18.45</v>
      </c>
      <c r="L37" s="50">
        <v>19.100000000000001</v>
      </c>
      <c r="M37" s="50">
        <v>5</v>
      </c>
      <c r="N37" s="50">
        <v>6</v>
      </c>
      <c r="O37" s="52">
        <v>12</v>
      </c>
      <c r="P37" s="46">
        <v>0.33514902144318992</v>
      </c>
      <c r="U37" s="26">
        <f t="shared" si="0"/>
        <v>232.5</v>
      </c>
      <c r="V37" s="26">
        <f t="shared" si="1"/>
        <v>0.56999999999999995</v>
      </c>
      <c r="W37">
        <f t="shared" si="2"/>
        <v>12</v>
      </c>
      <c r="X37" s="25">
        <f t="shared" si="3"/>
        <v>0.33514902144318992</v>
      </c>
    </row>
    <row r="38" spans="1:24" ht="15" thickBot="1">
      <c r="A38" s="48">
        <v>45877</v>
      </c>
      <c r="B38" s="49">
        <v>0.39</v>
      </c>
      <c r="C38" s="51" t="s">
        <v>63</v>
      </c>
      <c r="D38" s="50">
        <v>0.39</v>
      </c>
      <c r="E38" s="50">
        <v>0.41</v>
      </c>
      <c r="F38" s="50">
        <v>772</v>
      </c>
      <c r="G38" s="50">
        <v>3969</v>
      </c>
      <c r="H38" s="23">
        <v>235</v>
      </c>
      <c r="I38" s="50">
        <v>25.15</v>
      </c>
      <c r="J38" s="50" t="s">
        <v>19</v>
      </c>
      <c r="K38" s="50">
        <v>21.05</v>
      </c>
      <c r="L38" s="50">
        <v>21.6</v>
      </c>
      <c r="M38" s="50" t="s">
        <v>19</v>
      </c>
      <c r="N38" s="50">
        <v>12</v>
      </c>
      <c r="O38" s="52">
        <v>12</v>
      </c>
      <c r="P38" s="46">
        <v>0.33543328806598766</v>
      </c>
      <c r="U38" s="26">
        <f t="shared" si="0"/>
        <v>235</v>
      </c>
      <c r="V38" s="26">
        <f t="shared" si="1"/>
        <v>0.39</v>
      </c>
      <c r="W38">
        <f t="shared" si="2"/>
        <v>12</v>
      </c>
      <c r="X38" s="25">
        <f t="shared" si="3"/>
        <v>0.33543328806598766</v>
      </c>
    </row>
    <row r="39" spans="1:24" ht="15" thickBot="1">
      <c r="A39" s="48">
        <v>45884</v>
      </c>
      <c r="B39" s="49">
        <v>22.5</v>
      </c>
      <c r="C39" s="53" t="s">
        <v>73</v>
      </c>
      <c r="D39" s="50">
        <v>22.3</v>
      </c>
      <c r="E39" s="50">
        <v>22.65</v>
      </c>
      <c r="F39" s="50">
        <v>16</v>
      </c>
      <c r="G39" s="50">
        <v>28</v>
      </c>
      <c r="H39" s="23">
        <v>192.5</v>
      </c>
      <c r="I39" s="50">
        <v>0.77</v>
      </c>
      <c r="J39" s="51" t="s">
        <v>74</v>
      </c>
      <c r="K39" s="50">
        <v>0.74</v>
      </c>
      <c r="L39" s="50">
        <v>0.77</v>
      </c>
      <c r="M39" s="50">
        <v>33</v>
      </c>
      <c r="N39" s="50">
        <v>1565</v>
      </c>
      <c r="O39" s="52">
        <v>19</v>
      </c>
      <c r="P39" s="46">
        <v>0.34757757940575412</v>
      </c>
      <c r="U39" s="26">
        <f t="shared" si="0"/>
        <v>192.5</v>
      </c>
      <c r="V39" s="26">
        <f t="shared" si="1"/>
        <v>22.5</v>
      </c>
      <c r="W39">
        <f t="shared" si="2"/>
        <v>19</v>
      </c>
      <c r="X39" s="25">
        <f t="shared" si="3"/>
        <v>0.34757757940575412</v>
      </c>
    </row>
    <row r="40" spans="1:24" ht="15" thickBot="1">
      <c r="A40" s="48">
        <v>45884</v>
      </c>
      <c r="B40" s="49">
        <v>20.14</v>
      </c>
      <c r="C40" s="51" t="s">
        <v>72</v>
      </c>
      <c r="D40" s="50">
        <v>20.100000000000001</v>
      </c>
      <c r="E40" s="50">
        <v>20.350000000000001</v>
      </c>
      <c r="F40" s="50">
        <v>71</v>
      </c>
      <c r="G40" s="50">
        <v>3852</v>
      </c>
      <c r="H40" s="23">
        <v>195</v>
      </c>
      <c r="I40" s="50">
        <v>0.97</v>
      </c>
      <c r="J40" s="51" t="s">
        <v>74</v>
      </c>
      <c r="K40" s="50">
        <v>0.95</v>
      </c>
      <c r="L40" s="50">
        <v>0.98</v>
      </c>
      <c r="M40" s="50">
        <v>767</v>
      </c>
      <c r="N40" s="50">
        <v>13858</v>
      </c>
      <c r="O40" s="52">
        <v>19</v>
      </c>
      <c r="P40" s="46">
        <v>0.33187090252801732</v>
      </c>
      <c r="U40" s="26">
        <f t="shared" si="0"/>
        <v>195</v>
      </c>
      <c r="V40" s="26">
        <f t="shared" si="1"/>
        <v>20.14</v>
      </c>
      <c r="W40">
        <f t="shared" si="2"/>
        <v>19</v>
      </c>
      <c r="X40" s="25">
        <f t="shared" si="3"/>
        <v>0.33187090252801732</v>
      </c>
    </row>
    <row r="41" spans="1:24" ht="15" thickBot="1">
      <c r="A41" s="48">
        <v>45884</v>
      </c>
      <c r="B41" s="49">
        <v>17.62</v>
      </c>
      <c r="C41" s="51" t="s">
        <v>75</v>
      </c>
      <c r="D41" s="50">
        <v>17.899999999999999</v>
      </c>
      <c r="E41" s="50">
        <v>18.100000000000001</v>
      </c>
      <c r="F41" s="50">
        <v>454</v>
      </c>
      <c r="G41" s="50">
        <v>109</v>
      </c>
      <c r="H41" s="23">
        <v>197.5</v>
      </c>
      <c r="I41" s="50">
        <v>1.25</v>
      </c>
      <c r="J41" s="51" t="s">
        <v>76</v>
      </c>
      <c r="K41" s="50">
        <v>1.23</v>
      </c>
      <c r="L41" s="50">
        <v>1.26</v>
      </c>
      <c r="M41" s="50">
        <v>151</v>
      </c>
      <c r="N41" s="50">
        <v>558</v>
      </c>
      <c r="O41" s="52">
        <v>19</v>
      </c>
      <c r="P41" s="46">
        <v>0.29591150159517099</v>
      </c>
      <c r="U41" s="26">
        <f t="shared" si="0"/>
        <v>197.5</v>
      </c>
      <c r="V41" s="26">
        <f t="shared" si="1"/>
        <v>17.62</v>
      </c>
      <c r="W41">
        <f t="shared" si="2"/>
        <v>19</v>
      </c>
      <c r="X41" s="25">
        <f t="shared" si="3"/>
        <v>0.29591150159517099</v>
      </c>
    </row>
    <row r="42" spans="1:24" ht="15" thickBot="1">
      <c r="A42" s="48">
        <v>45884</v>
      </c>
      <c r="B42" s="49">
        <v>15.85</v>
      </c>
      <c r="C42" s="51" t="s">
        <v>45</v>
      </c>
      <c r="D42" s="50">
        <v>15.75</v>
      </c>
      <c r="E42" s="50">
        <v>15.95</v>
      </c>
      <c r="F42" s="50">
        <v>328</v>
      </c>
      <c r="G42" s="50">
        <v>17443</v>
      </c>
      <c r="H42" s="23">
        <v>200</v>
      </c>
      <c r="I42" s="50">
        <v>1.64</v>
      </c>
      <c r="J42" s="51" t="s">
        <v>76</v>
      </c>
      <c r="K42" s="50">
        <v>1.6</v>
      </c>
      <c r="L42" s="50">
        <v>1.64</v>
      </c>
      <c r="M42" s="50">
        <v>5594</v>
      </c>
      <c r="N42" s="50">
        <v>28919</v>
      </c>
      <c r="O42" s="52">
        <v>19</v>
      </c>
      <c r="P42" s="46">
        <v>0.32758113331134209</v>
      </c>
      <c r="U42" s="26">
        <f t="shared" si="0"/>
        <v>200</v>
      </c>
      <c r="V42" s="26">
        <f t="shared" si="1"/>
        <v>15.85</v>
      </c>
      <c r="W42">
        <f t="shared" si="2"/>
        <v>19</v>
      </c>
      <c r="X42" s="25">
        <f t="shared" si="3"/>
        <v>0.32758113331134209</v>
      </c>
    </row>
    <row r="43" spans="1:24" ht="15" thickBot="1">
      <c r="A43" s="48">
        <v>45884</v>
      </c>
      <c r="B43" s="49">
        <v>13.8</v>
      </c>
      <c r="C43" s="51" t="s">
        <v>64</v>
      </c>
      <c r="D43" s="50">
        <v>13.7</v>
      </c>
      <c r="E43" s="50">
        <v>13.9</v>
      </c>
      <c r="F43" s="50">
        <v>488</v>
      </c>
      <c r="G43" s="50">
        <v>169</v>
      </c>
      <c r="H43" s="23">
        <v>202.5</v>
      </c>
      <c r="I43" s="50">
        <v>2.09</v>
      </c>
      <c r="J43" s="51" t="s">
        <v>26</v>
      </c>
      <c r="K43" s="50">
        <v>2.04</v>
      </c>
      <c r="L43" s="50">
        <v>2.14</v>
      </c>
      <c r="M43" s="50">
        <v>169</v>
      </c>
      <c r="N43" s="50">
        <v>350</v>
      </c>
      <c r="O43" s="52">
        <v>19</v>
      </c>
      <c r="P43" s="46">
        <v>0.32174396483223799</v>
      </c>
      <c r="U43" s="26">
        <f t="shared" si="0"/>
        <v>202.5</v>
      </c>
      <c r="V43" s="26">
        <f t="shared" si="1"/>
        <v>13.8</v>
      </c>
      <c r="W43">
        <f t="shared" si="2"/>
        <v>19</v>
      </c>
      <c r="X43" s="25">
        <f t="shared" si="3"/>
        <v>0.32174396483223799</v>
      </c>
    </row>
    <row r="44" spans="1:24" ht="15" thickBot="1">
      <c r="A44" s="48">
        <v>45884</v>
      </c>
      <c r="B44" s="49">
        <v>11.9</v>
      </c>
      <c r="C44" s="51" t="s">
        <v>32</v>
      </c>
      <c r="D44" s="50">
        <v>11.8</v>
      </c>
      <c r="E44" s="50">
        <v>12</v>
      </c>
      <c r="F44" s="50">
        <v>320</v>
      </c>
      <c r="G44" s="50">
        <v>19200</v>
      </c>
      <c r="H44" s="23">
        <v>205</v>
      </c>
      <c r="I44" s="50">
        <v>2.67</v>
      </c>
      <c r="J44" s="51" t="s">
        <v>77</v>
      </c>
      <c r="K44" s="50">
        <v>2.64</v>
      </c>
      <c r="L44" s="50">
        <v>2.74</v>
      </c>
      <c r="M44" s="50">
        <v>1804</v>
      </c>
      <c r="N44" s="50">
        <v>18130</v>
      </c>
      <c r="O44" s="52">
        <v>19</v>
      </c>
      <c r="P44" s="46">
        <v>0.31871296076448913</v>
      </c>
      <c r="U44" s="26">
        <f t="shared" si="0"/>
        <v>205</v>
      </c>
      <c r="V44" s="26">
        <f t="shared" si="1"/>
        <v>11.9</v>
      </c>
      <c r="W44">
        <f t="shared" si="2"/>
        <v>19</v>
      </c>
      <c r="X44" s="25">
        <f t="shared" si="3"/>
        <v>0.31871296076448913</v>
      </c>
    </row>
    <row r="45" spans="1:24" ht="15" thickBot="1">
      <c r="A45" s="48">
        <v>45884</v>
      </c>
      <c r="B45" s="49">
        <v>9.9499999999999993</v>
      </c>
      <c r="C45" s="51" t="s">
        <v>37</v>
      </c>
      <c r="D45" s="50">
        <v>10.050000000000001</v>
      </c>
      <c r="E45" s="50">
        <v>10.199999999999999</v>
      </c>
      <c r="F45" s="50">
        <v>139</v>
      </c>
      <c r="G45" s="50">
        <v>312</v>
      </c>
      <c r="H45" s="23">
        <v>207.5</v>
      </c>
      <c r="I45" s="50">
        <v>3.39</v>
      </c>
      <c r="J45" s="53" t="s">
        <v>78</v>
      </c>
      <c r="K45" s="50">
        <v>3.35</v>
      </c>
      <c r="L45" s="50">
        <v>3.45</v>
      </c>
      <c r="M45" s="50">
        <v>620</v>
      </c>
      <c r="N45" s="50">
        <v>921</v>
      </c>
      <c r="O45" s="52">
        <v>19</v>
      </c>
      <c r="P45" s="46">
        <v>0.30530335972590278</v>
      </c>
      <c r="U45" s="26">
        <f t="shared" si="0"/>
        <v>207.5</v>
      </c>
      <c r="V45" s="26">
        <f t="shared" si="1"/>
        <v>9.9499999999999993</v>
      </c>
      <c r="W45">
        <f t="shared" si="2"/>
        <v>19</v>
      </c>
      <c r="X45" s="25">
        <f t="shared" si="3"/>
        <v>0.30530335972590278</v>
      </c>
    </row>
    <row r="46" spans="1:24" ht="15" thickBot="1">
      <c r="A46" s="48">
        <v>45884</v>
      </c>
      <c r="B46" s="49">
        <v>8.5</v>
      </c>
      <c r="C46" s="51" t="s">
        <v>27</v>
      </c>
      <c r="D46" s="50">
        <v>8.4</v>
      </c>
      <c r="E46" s="50">
        <v>8.5500000000000007</v>
      </c>
      <c r="F46" s="50">
        <v>2557</v>
      </c>
      <c r="G46" s="50">
        <v>30179</v>
      </c>
      <c r="H46" s="23">
        <v>210</v>
      </c>
      <c r="I46" s="50">
        <v>4.25</v>
      </c>
      <c r="J46" s="51" t="s">
        <v>64</v>
      </c>
      <c r="K46" s="50">
        <v>4.2</v>
      </c>
      <c r="L46" s="50">
        <v>4.3</v>
      </c>
      <c r="M46" s="50">
        <v>1583</v>
      </c>
      <c r="N46" s="50">
        <v>22074</v>
      </c>
      <c r="O46" s="52">
        <v>19</v>
      </c>
      <c r="P46" s="46">
        <v>0.31247384148375396</v>
      </c>
      <c r="U46" s="26">
        <f t="shared" si="0"/>
        <v>210</v>
      </c>
      <c r="V46" s="26">
        <f t="shared" si="1"/>
        <v>8.5</v>
      </c>
      <c r="W46">
        <f t="shared" si="2"/>
        <v>19</v>
      </c>
      <c r="X46" s="25">
        <f t="shared" si="3"/>
        <v>0.31247384148375396</v>
      </c>
    </row>
    <row r="47" spans="1:24" ht="15" thickBot="1">
      <c r="A47" s="48">
        <v>45884</v>
      </c>
      <c r="B47" s="49">
        <v>7.03</v>
      </c>
      <c r="C47" s="51" t="s">
        <v>66</v>
      </c>
      <c r="D47" s="50">
        <v>6.95</v>
      </c>
      <c r="E47" s="50">
        <v>7.05</v>
      </c>
      <c r="F47" s="50">
        <v>1563</v>
      </c>
      <c r="G47" s="50">
        <v>1093</v>
      </c>
      <c r="H47" s="23">
        <v>212.5</v>
      </c>
      <c r="I47" s="50">
        <v>5.28</v>
      </c>
      <c r="J47" s="51" t="s">
        <v>28</v>
      </c>
      <c r="K47" s="50">
        <v>5.2</v>
      </c>
      <c r="L47" s="50">
        <v>5.35</v>
      </c>
      <c r="M47" s="50">
        <v>832</v>
      </c>
      <c r="N47" s="50">
        <v>1128</v>
      </c>
      <c r="O47" s="52">
        <v>19</v>
      </c>
      <c r="P47" s="46">
        <v>0.30962283836682392</v>
      </c>
      <c r="U47" s="26">
        <f t="shared" si="0"/>
        <v>212.5</v>
      </c>
      <c r="V47" s="26">
        <f t="shared" si="1"/>
        <v>7.03</v>
      </c>
      <c r="W47">
        <f t="shared" si="2"/>
        <v>19</v>
      </c>
      <c r="X47" s="25">
        <f t="shared" si="3"/>
        <v>0.30962283836682392</v>
      </c>
    </row>
    <row r="48" spans="1:24" ht="15" thickBot="1">
      <c r="A48" s="48">
        <v>45884</v>
      </c>
      <c r="B48" s="49">
        <v>5.71</v>
      </c>
      <c r="C48" s="51" t="s">
        <v>40</v>
      </c>
      <c r="D48" s="50">
        <v>5.6</v>
      </c>
      <c r="E48" s="50">
        <v>5.75</v>
      </c>
      <c r="F48" s="50">
        <v>7839</v>
      </c>
      <c r="G48" s="50">
        <v>30483</v>
      </c>
      <c r="H48" s="23">
        <v>215</v>
      </c>
      <c r="I48" s="50">
        <v>6.5</v>
      </c>
      <c r="J48" s="51" t="s">
        <v>28</v>
      </c>
      <c r="K48" s="50">
        <v>6.4</v>
      </c>
      <c r="L48" s="50">
        <v>6.55</v>
      </c>
      <c r="M48" s="50">
        <v>852</v>
      </c>
      <c r="N48" s="50">
        <v>7051</v>
      </c>
      <c r="O48" s="52">
        <v>19</v>
      </c>
      <c r="P48" s="46">
        <v>0.30622760229553447</v>
      </c>
      <c r="U48" s="26">
        <f t="shared" si="0"/>
        <v>215</v>
      </c>
      <c r="V48" s="26">
        <f t="shared" si="1"/>
        <v>5.71</v>
      </c>
      <c r="W48">
        <f t="shared" si="2"/>
        <v>19</v>
      </c>
      <c r="X48" s="25">
        <f t="shared" si="3"/>
        <v>0.30622760229553447</v>
      </c>
    </row>
    <row r="49" spans="1:24" ht="15" thickBot="1">
      <c r="A49" s="48">
        <v>45884</v>
      </c>
      <c r="B49" s="49">
        <v>4.5199999999999996</v>
      </c>
      <c r="C49" s="51" t="s">
        <v>34</v>
      </c>
      <c r="D49" s="50">
        <v>4.45</v>
      </c>
      <c r="E49" s="50">
        <v>4.5999999999999996</v>
      </c>
      <c r="F49" s="50">
        <v>1737</v>
      </c>
      <c r="G49" s="50">
        <v>1809</v>
      </c>
      <c r="H49" s="23">
        <v>217.5</v>
      </c>
      <c r="I49" s="50">
        <v>7.8</v>
      </c>
      <c r="J49" s="53" t="s">
        <v>79</v>
      </c>
      <c r="K49" s="50">
        <v>7.75</v>
      </c>
      <c r="L49" s="50">
        <v>7.9</v>
      </c>
      <c r="M49" s="50">
        <v>90</v>
      </c>
      <c r="N49" s="50">
        <v>241</v>
      </c>
      <c r="O49" s="52">
        <v>19</v>
      </c>
      <c r="P49" s="46">
        <v>0.30108516839109684</v>
      </c>
      <c r="U49" s="26">
        <f t="shared" si="0"/>
        <v>217.5</v>
      </c>
      <c r="V49" s="26">
        <f t="shared" si="1"/>
        <v>4.5199999999999996</v>
      </c>
      <c r="W49">
        <f t="shared" si="2"/>
        <v>19</v>
      </c>
      <c r="X49" s="25">
        <f t="shared" si="3"/>
        <v>0.30108516839109684</v>
      </c>
    </row>
    <row r="50" spans="1:24" ht="15" thickBot="1">
      <c r="A50" s="48">
        <v>45884</v>
      </c>
      <c r="B50" s="49">
        <v>3.55</v>
      </c>
      <c r="C50" s="51" t="s">
        <v>41</v>
      </c>
      <c r="D50" s="50">
        <v>3.5</v>
      </c>
      <c r="E50" s="50">
        <v>3.6</v>
      </c>
      <c r="F50" s="50">
        <v>5358</v>
      </c>
      <c r="G50" s="50">
        <v>44732</v>
      </c>
      <c r="H50" s="23">
        <v>220</v>
      </c>
      <c r="I50" s="50">
        <v>9.65</v>
      </c>
      <c r="J50" s="53" t="s">
        <v>80</v>
      </c>
      <c r="K50" s="50">
        <v>9.1999999999999993</v>
      </c>
      <c r="L50" s="50">
        <v>9.4499999999999993</v>
      </c>
      <c r="M50" s="50">
        <v>97</v>
      </c>
      <c r="N50" s="50">
        <v>5848</v>
      </c>
      <c r="O50" s="52">
        <v>19</v>
      </c>
      <c r="P50" s="46">
        <v>0.29886806418998452</v>
      </c>
      <c r="U50" s="26">
        <f t="shared" si="0"/>
        <v>220</v>
      </c>
      <c r="V50" s="26">
        <f t="shared" si="1"/>
        <v>3.55</v>
      </c>
      <c r="W50">
        <f t="shared" si="2"/>
        <v>19</v>
      </c>
      <c r="X50" s="25">
        <f t="shared" si="3"/>
        <v>0.29886806418998452</v>
      </c>
    </row>
    <row r="51" spans="1:24" ht="15" thickBot="1">
      <c r="A51" s="48">
        <v>45884</v>
      </c>
      <c r="B51" s="49">
        <v>2.71</v>
      </c>
      <c r="C51" s="51" t="s">
        <v>30</v>
      </c>
      <c r="D51" s="50">
        <v>2.68</v>
      </c>
      <c r="E51" s="50">
        <v>2.77</v>
      </c>
      <c r="F51" s="50">
        <v>966</v>
      </c>
      <c r="G51" s="50">
        <v>677</v>
      </c>
      <c r="H51" s="23">
        <v>222.5</v>
      </c>
      <c r="I51" s="50">
        <v>11.04</v>
      </c>
      <c r="J51" s="53" t="s">
        <v>81</v>
      </c>
      <c r="K51" s="50">
        <v>10.55</v>
      </c>
      <c r="L51" s="50">
        <v>11.5</v>
      </c>
      <c r="M51" s="50">
        <v>16</v>
      </c>
      <c r="N51" s="50">
        <v>33</v>
      </c>
      <c r="O51" s="52">
        <v>19</v>
      </c>
      <c r="P51" s="46">
        <v>0.29515458182962728</v>
      </c>
      <c r="U51" s="26">
        <f t="shared" si="0"/>
        <v>222.5</v>
      </c>
      <c r="V51" s="26">
        <f t="shared" si="1"/>
        <v>2.71</v>
      </c>
      <c r="W51">
        <f t="shared" si="2"/>
        <v>19</v>
      </c>
      <c r="X51" s="25">
        <f t="shared" si="3"/>
        <v>0.29515458182962728</v>
      </c>
    </row>
    <row r="52" spans="1:24" ht="15" thickBot="1">
      <c r="A52" s="48">
        <v>45884</v>
      </c>
      <c r="B52" s="49">
        <v>2.08</v>
      </c>
      <c r="C52" s="51" t="s">
        <v>66</v>
      </c>
      <c r="D52" s="50">
        <v>2.04</v>
      </c>
      <c r="E52" s="50">
        <v>2.08</v>
      </c>
      <c r="F52" s="50">
        <v>3547</v>
      </c>
      <c r="G52" s="50">
        <v>34175</v>
      </c>
      <c r="H52" s="23">
        <v>225</v>
      </c>
      <c r="I52" s="50">
        <v>13.3</v>
      </c>
      <c r="J52" s="53" t="s">
        <v>82</v>
      </c>
      <c r="K52" s="50">
        <v>12.65</v>
      </c>
      <c r="L52" s="50">
        <v>13.05</v>
      </c>
      <c r="M52" s="50">
        <v>98</v>
      </c>
      <c r="N52" s="50">
        <v>4278</v>
      </c>
      <c r="O52" s="52">
        <v>19</v>
      </c>
      <c r="P52" s="46">
        <v>0.29530577212398024</v>
      </c>
      <c r="U52" s="26">
        <f t="shared" si="0"/>
        <v>225</v>
      </c>
      <c r="V52" s="26">
        <f t="shared" si="1"/>
        <v>2.08</v>
      </c>
      <c r="W52">
        <f t="shared" si="2"/>
        <v>19</v>
      </c>
      <c r="X52" s="25">
        <f t="shared" si="3"/>
        <v>0.29530577212398024</v>
      </c>
    </row>
    <row r="53" spans="1:24" ht="15" thickBot="1">
      <c r="A53" s="48">
        <v>45884</v>
      </c>
      <c r="B53" s="49">
        <v>1.54</v>
      </c>
      <c r="C53" s="51" t="s">
        <v>64</v>
      </c>
      <c r="D53" s="50">
        <v>1.53</v>
      </c>
      <c r="E53" s="50">
        <v>1.56</v>
      </c>
      <c r="F53" s="50">
        <v>299</v>
      </c>
      <c r="G53" s="50">
        <v>1481</v>
      </c>
      <c r="H53" s="23">
        <v>227.5</v>
      </c>
      <c r="I53" s="50">
        <v>14.6</v>
      </c>
      <c r="J53" s="53" t="s">
        <v>78</v>
      </c>
      <c r="K53" s="50">
        <v>14.5</v>
      </c>
      <c r="L53" s="50">
        <v>15.2</v>
      </c>
      <c r="M53" s="50">
        <v>22</v>
      </c>
      <c r="N53" s="50">
        <v>62</v>
      </c>
      <c r="O53" s="52">
        <v>19</v>
      </c>
      <c r="P53" s="46">
        <v>0.29306855565642487</v>
      </c>
      <c r="U53" s="26">
        <f t="shared" si="0"/>
        <v>227.5</v>
      </c>
      <c r="V53" s="26">
        <f t="shared" si="1"/>
        <v>1.54</v>
      </c>
      <c r="W53">
        <f t="shared" si="2"/>
        <v>19</v>
      </c>
      <c r="X53" s="25">
        <f t="shared" si="3"/>
        <v>0.29306855565642487</v>
      </c>
    </row>
    <row r="54" spans="1:24" ht="15" thickBot="1">
      <c r="A54" s="48">
        <v>45884</v>
      </c>
      <c r="B54" s="49">
        <v>1.1499999999999999</v>
      </c>
      <c r="C54" s="51" t="s">
        <v>28</v>
      </c>
      <c r="D54" s="50">
        <v>1.1299999999999999</v>
      </c>
      <c r="E54" s="50">
        <v>1.17</v>
      </c>
      <c r="F54" s="50">
        <v>5014</v>
      </c>
      <c r="G54" s="50">
        <v>65465</v>
      </c>
      <c r="H54" s="23">
        <v>230</v>
      </c>
      <c r="I54" s="50">
        <v>17.21</v>
      </c>
      <c r="J54" s="53" t="s">
        <v>83</v>
      </c>
      <c r="K54" s="50">
        <v>16.8</v>
      </c>
      <c r="L54" s="50">
        <v>17.149999999999999</v>
      </c>
      <c r="M54" s="50">
        <v>60</v>
      </c>
      <c r="N54" s="50">
        <v>1883</v>
      </c>
      <c r="O54" s="52">
        <v>19</v>
      </c>
      <c r="P54" s="46">
        <v>0.29378111342382213</v>
      </c>
      <c r="U54" s="26">
        <f t="shared" si="0"/>
        <v>230</v>
      </c>
      <c r="V54" s="26">
        <f t="shared" si="1"/>
        <v>1.1499999999999999</v>
      </c>
      <c r="W54">
        <f t="shared" si="2"/>
        <v>19</v>
      </c>
      <c r="X54" s="25">
        <f t="shared" si="3"/>
        <v>0.29378111342382213</v>
      </c>
    </row>
    <row r="55" spans="1:24" ht="15" thickBot="1">
      <c r="A55" s="48">
        <v>45884</v>
      </c>
      <c r="B55" s="49">
        <v>0.84</v>
      </c>
      <c r="C55" s="51" t="s">
        <v>32</v>
      </c>
      <c r="D55" s="50">
        <v>0.84</v>
      </c>
      <c r="E55" s="50">
        <v>0.87</v>
      </c>
      <c r="F55" s="50">
        <v>196</v>
      </c>
      <c r="G55" s="50">
        <v>1024</v>
      </c>
      <c r="H55" s="23">
        <v>232.5</v>
      </c>
      <c r="I55" s="50">
        <v>18</v>
      </c>
      <c r="J55" s="50" t="s">
        <v>19</v>
      </c>
      <c r="K55" s="50">
        <v>18.95</v>
      </c>
      <c r="L55" s="50">
        <v>19.55</v>
      </c>
      <c r="M55" s="50" t="s">
        <v>19</v>
      </c>
      <c r="N55" s="50">
        <v>8</v>
      </c>
      <c r="O55" s="52">
        <v>19</v>
      </c>
      <c r="P55" s="46">
        <v>0.29375952853473225</v>
      </c>
      <c r="U55" s="26">
        <f t="shared" si="0"/>
        <v>232.5</v>
      </c>
      <c r="V55" s="26">
        <f t="shared" si="1"/>
        <v>0.84</v>
      </c>
      <c r="W55">
        <f t="shared" si="2"/>
        <v>19</v>
      </c>
      <c r="X55" s="25">
        <f t="shared" si="3"/>
        <v>0.29375952853473225</v>
      </c>
    </row>
    <row r="56" spans="1:24" ht="15" thickBot="1">
      <c r="A56" s="48">
        <v>45884</v>
      </c>
      <c r="B56" s="49">
        <v>0.64</v>
      </c>
      <c r="C56" s="51" t="s">
        <v>63</v>
      </c>
      <c r="D56" s="50">
        <v>0.62</v>
      </c>
      <c r="E56" s="50">
        <v>0.65</v>
      </c>
      <c r="F56" s="50">
        <v>2032</v>
      </c>
      <c r="G56" s="50">
        <v>20468</v>
      </c>
      <c r="H56" s="23">
        <v>235</v>
      </c>
      <c r="I56" s="50">
        <v>21.12</v>
      </c>
      <c r="J56" s="53" t="s">
        <v>57</v>
      </c>
      <c r="K56" s="50">
        <v>21.3</v>
      </c>
      <c r="L56" s="50">
        <v>21.6</v>
      </c>
      <c r="M56" s="50">
        <v>2</v>
      </c>
      <c r="N56" s="50">
        <v>749</v>
      </c>
      <c r="O56" s="52">
        <v>19</v>
      </c>
      <c r="P56" s="46">
        <v>0.2980928144869926</v>
      </c>
      <c r="U56" s="26">
        <f t="shared" si="0"/>
        <v>235</v>
      </c>
      <c r="V56" s="26">
        <f t="shared" si="1"/>
        <v>0.64</v>
      </c>
      <c r="W56">
        <f t="shared" si="2"/>
        <v>19</v>
      </c>
      <c r="X56" s="25">
        <f t="shared" si="3"/>
        <v>0.2980928144869926</v>
      </c>
    </row>
    <row r="57" spans="1:24" ht="15" thickBot="1">
      <c r="A57" s="48">
        <v>45891</v>
      </c>
      <c r="B57" s="49">
        <v>20.6</v>
      </c>
      <c r="C57" s="51" t="s">
        <v>38</v>
      </c>
      <c r="D57" s="50">
        <v>20.55</v>
      </c>
      <c r="E57" s="50">
        <v>20.8</v>
      </c>
      <c r="F57" s="50">
        <v>141</v>
      </c>
      <c r="G57" s="50">
        <v>369</v>
      </c>
      <c r="H57" s="23">
        <v>195</v>
      </c>
      <c r="I57" s="50">
        <v>1.28</v>
      </c>
      <c r="J57" s="51" t="s">
        <v>24</v>
      </c>
      <c r="K57" s="50">
        <v>1.24</v>
      </c>
      <c r="L57" s="50">
        <v>1.28</v>
      </c>
      <c r="M57" s="50">
        <v>106</v>
      </c>
      <c r="N57" s="50">
        <v>1267</v>
      </c>
      <c r="O57" s="52">
        <v>26</v>
      </c>
      <c r="P57" s="46">
        <v>0.31258852242681689</v>
      </c>
      <c r="U57" s="26">
        <f t="shared" si="0"/>
        <v>195</v>
      </c>
      <c r="V57" s="26">
        <f t="shared" si="1"/>
        <v>20.6</v>
      </c>
      <c r="W57">
        <f t="shared" si="2"/>
        <v>26</v>
      </c>
      <c r="X57" s="25">
        <f t="shared" si="3"/>
        <v>0.31258852242681689</v>
      </c>
    </row>
    <row r="58" spans="1:24" ht="15" thickBot="1">
      <c r="A58" s="48">
        <v>45891</v>
      </c>
      <c r="B58" s="49">
        <v>16.14</v>
      </c>
      <c r="C58" s="51" t="s">
        <v>84</v>
      </c>
      <c r="D58" s="50">
        <v>16.3</v>
      </c>
      <c r="E58" s="50">
        <v>16.55</v>
      </c>
      <c r="F58" s="50">
        <v>116</v>
      </c>
      <c r="G58" s="50">
        <v>1077</v>
      </c>
      <c r="H58" s="23">
        <v>200</v>
      </c>
      <c r="I58" s="50">
        <v>2.0099999999999998</v>
      </c>
      <c r="J58" s="51" t="s">
        <v>63</v>
      </c>
      <c r="K58" s="50">
        <v>2</v>
      </c>
      <c r="L58" s="50">
        <v>2.08</v>
      </c>
      <c r="M58" s="50">
        <v>194</v>
      </c>
      <c r="N58" s="50">
        <v>1142</v>
      </c>
      <c r="O58" s="52">
        <v>26</v>
      </c>
      <c r="P58" s="46">
        <v>0.2902319229163422</v>
      </c>
      <c r="U58" s="26">
        <f t="shared" si="0"/>
        <v>200</v>
      </c>
      <c r="V58" s="26">
        <f t="shared" si="1"/>
        <v>16.14</v>
      </c>
      <c r="W58">
        <f t="shared" si="2"/>
        <v>26</v>
      </c>
      <c r="X58" s="25">
        <f t="shared" si="3"/>
        <v>0.2902319229163422</v>
      </c>
    </row>
    <row r="59" spans="1:24" ht="15" thickBot="1">
      <c r="A59" s="48">
        <v>45891</v>
      </c>
      <c r="B59" s="49">
        <v>12.43</v>
      </c>
      <c r="C59" s="51" t="s">
        <v>85</v>
      </c>
      <c r="D59" s="50">
        <v>12.4</v>
      </c>
      <c r="E59" s="50">
        <v>12.65</v>
      </c>
      <c r="F59" s="50">
        <v>146</v>
      </c>
      <c r="G59" s="50">
        <v>278</v>
      </c>
      <c r="H59" s="23">
        <v>205</v>
      </c>
      <c r="I59" s="50">
        <v>3.15</v>
      </c>
      <c r="J59" s="50" t="s">
        <v>19</v>
      </c>
      <c r="K59" s="50">
        <v>3.1</v>
      </c>
      <c r="L59" s="50">
        <v>3.2</v>
      </c>
      <c r="M59" s="50">
        <v>371</v>
      </c>
      <c r="N59" s="50">
        <v>703</v>
      </c>
      <c r="O59" s="52">
        <v>26</v>
      </c>
      <c r="P59" s="46">
        <v>0.29390867867418885</v>
      </c>
      <c r="U59" s="26">
        <f t="shared" si="0"/>
        <v>205</v>
      </c>
      <c r="V59" s="26">
        <f t="shared" si="1"/>
        <v>12.43</v>
      </c>
      <c r="W59">
        <f t="shared" si="2"/>
        <v>26</v>
      </c>
      <c r="X59" s="25">
        <f t="shared" si="3"/>
        <v>0.29390867867418885</v>
      </c>
    </row>
    <row r="60" spans="1:24" ht="15" thickBot="1">
      <c r="A60" s="48">
        <v>45891</v>
      </c>
      <c r="B60" s="49">
        <v>9.1999999999999993</v>
      </c>
      <c r="C60" s="51" t="s">
        <v>27</v>
      </c>
      <c r="D60" s="50">
        <v>9.1</v>
      </c>
      <c r="E60" s="50">
        <v>9.25</v>
      </c>
      <c r="F60" s="50">
        <v>411</v>
      </c>
      <c r="G60" s="50">
        <v>1278</v>
      </c>
      <c r="H60" s="23">
        <v>210</v>
      </c>
      <c r="I60" s="50">
        <v>4.75</v>
      </c>
      <c r="J60" s="51" t="s">
        <v>32</v>
      </c>
      <c r="K60" s="50">
        <v>4.7</v>
      </c>
      <c r="L60" s="50">
        <v>4.9000000000000004</v>
      </c>
      <c r="M60" s="50">
        <v>898</v>
      </c>
      <c r="N60" s="50">
        <v>1549</v>
      </c>
      <c r="O60" s="52">
        <v>26</v>
      </c>
      <c r="P60" s="46">
        <v>0.29421955059048333</v>
      </c>
      <c r="U60" s="26">
        <f t="shared" si="0"/>
        <v>210</v>
      </c>
      <c r="V60" s="26">
        <f t="shared" si="1"/>
        <v>9.1999999999999993</v>
      </c>
      <c r="W60">
        <f t="shared" si="2"/>
        <v>26</v>
      </c>
      <c r="X60" s="25">
        <f t="shared" si="3"/>
        <v>0.29421955059048333</v>
      </c>
    </row>
    <row r="61" spans="1:24" ht="15" thickBot="1">
      <c r="A61" s="48">
        <v>45891</v>
      </c>
      <c r="B61" s="49">
        <v>6.37</v>
      </c>
      <c r="C61" s="51" t="s">
        <v>33</v>
      </c>
      <c r="D61" s="50">
        <v>6.3</v>
      </c>
      <c r="E61" s="50">
        <v>6.4</v>
      </c>
      <c r="F61" s="50">
        <v>1677</v>
      </c>
      <c r="G61" s="50">
        <v>3729</v>
      </c>
      <c r="H61" s="23">
        <v>215</v>
      </c>
      <c r="I61" s="50">
        <v>7.2</v>
      </c>
      <c r="J61" s="51" t="s">
        <v>86</v>
      </c>
      <c r="K61" s="50">
        <v>6.9</v>
      </c>
      <c r="L61" s="50">
        <v>7.05</v>
      </c>
      <c r="M61" s="50">
        <v>83</v>
      </c>
      <c r="N61" s="50">
        <v>251</v>
      </c>
      <c r="O61" s="52">
        <v>26</v>
      </c>
      <c r="P61" s="46">
        <v>0.28669828703092165</v>
      </c>
      <c r="U61" s="26">
        <f t="shared" si="0"/>
        <v>215</v>
      </c>
      <c r="V61" s="26">
        <f t="shared" si="1"/>
        <v>6.37</v>
      </c>
      <c r="W61">
        <f t="shared" si="2"/>
        <v>26</v>
      </c>
      <c r="X61" s="25">
        <f t="shared" si="3"/>
        <v>0.28669828703092165</v>
      </c>
    </row>
    <row r="62" spans="1:24" ht="15" thickBot="1">
      <c r="A62" s="48">
        <v>45891</v>
      </c>
      <c r="B62" s="49">
        <v>4.1500000000000004</v>
      </c>
      <c r="C62" s="51" t="s">
        <v>37</v>
      </c>
      <c r="D62" s="50">
        <v>4.0999999999999996</v>
      </c>
      <c r="E62" s="50">
        <v>4.2</v>
      </c>
      <c r="F62" s="50">
        <v>1065</v>
      </c>
      <c r="G62" s="50">
        <v>4555</v>
      </c>
      <c r="H62" s="23">
        <v>220</v>
      </c>
      <c r="I62" s="50">
        <v>9.9499999999999993</v>
      </c>
      <c r="J62" s="53" t="s">
        <v>87</v>
      </c>
      <c r="K62" s="50">
        <v>9.75</v>
      </c>
      <c r="L62" s="50">
        <v>10.15</v>
      </c>
      <c r="M62" s="50">
        <v>156</v>
      </c>
      <c r="N62" s="50">
        <v>1322</v>
      </c>
      <c r="O62" s="52">
        <v>26</v>
      </c>
      <c r="P62" s="46">
        <v>0.27993902530823106</v>
      </c>
      <c r="U62" s="26">
        <f t="shared" si="0"/>
        <v>220</v>
      </c>
      <c r="V62" s="26">
        <f t="shared" si="1"/>
        <v>4.1500000000000004</v>
      </c>
      <c r="W62">
        <f t="shared" si="2"/>
        <v>26</v>
      </c>
      <c r="X62" s="25">
        <f t="shared" si="3"/>
        <v>0.27993902530823106</v>
      </c>
    </row>
    <row r="63" spans="1:24" ht="15" thickBot="1">
      <c r="A63" s="48">
        <v>45891</v>
      </c>
      <c r="B63" s="49">
        <v>2.56</v>
      </c>
      <c r="C63" s="51" t="s">
        <v>35</v>
      </c>
      <c r="D63" s="50">
        <v>2.54</v>
      </c>
      <c r="E63" s="50">
        <v>2.59</v>
      </c>
      <c r="F63" s="50">
        <v>689</v>
      </c>
      <c r="G63" s="50">
        <v>2840</v>
      </c>
      <c r="H63" s="23">
        <v>225</v>
      </c>
      <c r="I63" s="50">
        <v>12.8</v>
      </c>
      <c r="J63" s="51" t="s">
        <v>27</v>
      </c>
      <c r="K63" s="50">
        <v>13.1</v>
      </c>
      <c r="L63" s="50">
        <v>13.8</v>
      </c>
      <c r="M63" s="50">
        <v>2</v>
      </c>
      <c r="N63" s="50">
        <v>33</v>
      </c>
      <c r="O63" s="52">
        <v>26</v>
      </c>
      <c r="P63" s="46">
        <v>0.27562366300182917</v>
      </c>
      <c r="U63" s="26">
        <f t="shared" si="0"/>
        <v>225</v>
      </c>
      <c r="V63" s="26">
        <f t="shared" si="1"/>
        <v>2.56</v>
      </c>
      <c r="W63">
        <f t="shared" si="2"/>
        <v>26</v>
      </c>
      <c r="X63" s="25">
        <f t="shared" si="3"/>
        <v>0.27562366300182917</v>
      </c>
    </row>
    <row r="64" spans="1:24" ht="15" thickBot="1">
      <c r="A64" s="48">
        <v>45891</v>
      </c>
      <c r="B64" s="49">
        <v>1.5</v>
      </c>
      <c r="C64" s="51" t="s">
        <v>32</v>
      </c>
      <c r="D64" s="50">
        <v>1.44</v>
      </c>
      <c r="E64" s="50">
        <v>1.53</v>
      </c>
      <c r="F64" s="50">
        <v>363</v>
      </c>
      <c r="G64" s="50">
        <v>4900</v>
      </c>
      <c r="H64" s="23">
        <v>230</v>
      </c>
      <c r="I64" s="50">
        <v>16.8</v>
      </c>
      <c r="J64" s="53" t="s">
        <v>88</v>
      </c>
      <c r="K64" s="50">
        <v>17</v>
      </c>
      <c r="L64" s="50">
        <v>17.45</v>
      </c>
      <c r="M64" s="50">
        <v>4</v>
      </c>
      <c r="N64" s="50">
        <v>76</v>
      </c>
      <c r="O64" s="52">
        <v>26</v>
      </c>
      <c r="P64" s="46">
        <v>0.27316100680396138</v>
      </c>
      <c r="U64" s="26">
        <f t="shared" si="0"/>
        <v>230</v>
      </c>
      <c r="V64" s="26">
        <f t="shared" si="1"/>
        <v>1.5</v>
      </c>
      <c r="W64">
        <f t="shared" si="2"/>
        <v>26</v>
      </c>
      <c r="X64" s="25">
        <f t="shared" si="3"/>
        <v>0.27316100680396138</v>
      </c>
    </row>
    <row r="65" spans="1:24" ht="15" thickBot="1">
      <c r="A65" s="48">
        <v>45891</v>
      </c>
      <c r="B65" s="49">
        <v>0.88</v>
      </c>
      <c r="C65" s="51" t="s">
        <v>33</v>
      </c>
      <c r="D65" s="50">
        <v>0.86</v>
      </c>
      <c r="E65" s="50">
        <v>0.89</v>
      </c>
      <c r="F65" s="50">
        <v>1879</v>
      </c>
      <c r="G65" s="50">
        <v>2043</v>
      </c>
      <c r="H65" s="23">
        <v>235</v>
      </c>
      <c r="I65" s="50">
        <v>21.42</v>
      </c>
      <c r="J65" s="51" t="s">
        <v>89</v>
      </c>
      <c r="K65" s="50">
        <v>21.05</v>
      </c>
      <c r="L65" s="50">
        <v>22.5</v>
      </c>
      <c r="M65" s="50">
        <v>2</v>
      </c>
      <c r="N65" s="50">
        <v>3</v>
      </c>
      <c r="O65" s="52">
        <v>26</v>
      </c>
      <c r="P65" s="46">
        <v>0.27575374658144575</v>
      </c>
      <c r="U65" s="26">
        <f t="shared" si="0"/>
        <v>235</v>
      </c>
      <c r="V65" s="26">
        <f t="shared" si="1"/>
        <v>0.88</v>
      </c>
      <c r="W65">
        <f t="shared" si="2"/>
        <v>26</v>
      </c>
      <c r="X65" s="25">
        <f t="shared" si="3"/>
        <v>0.27575374658144575</v>
      </c>
    </row>
    <row r="66" spans="1:24" ht="15" thickBot="1">
      <c r="A66" s="48">
        <v>45898</v>
      </c>
      <c r="B66" s="49">
        <v>21.1</v>
      </c>
      <c r="C66" s="51" t="s">
        <v>90</v>
      </c>
      <c r="D66" s="50">
        <v>21.05</v>
      </c>
      <c r="E66" s="50">
        <v>21.3</v>
      </c>
      <c r="F66" s="50">
        <v>23</v>
      </c>
      <c r="G66" s="50">
        <v>53</v>
      </c>
      <c r="H66" s="23">
        <v>195</v>
      </c>
      <c r="I66" s="50">
        <v>1.59</v>
      </c>
      <c r="J66" s="51" t="s">
        <v>91</v>
      </c>
      <c r="K66" s="50">
        <v>1.55</v>
      </c>
      <c r="L66" s="50">
        <v>1.65</v>
      </c>
      <c r="M66" s="50">
        <v>95</v>
      </c>
      <c r="N66" s="50">
        <v>457</v>
      </c>
      <c r="O66" s="52">
        <v>33</v>
      </c>
      <c r="P66" s="46">
        <v>0.30368871430504052</v>
      </c>
      <c r="U66" s="26">
        <f t="shared" si="0"/>
        <v>195</v>
      </c>
      <c r="V66" s="26">
        <f t="shared" si="1"/>
        <v>21.1</v>
      </c>
      <c r="W66">
        <f t="shared" si="2"/>
        <v>33</v>
      </c>
      <c r="X66" s="25">
        <f t="shared" si="3"/>
        <v>0.30368871430504052</v>
      </c>
    </row>
    <row r="67" spans="1:24" ht="15" thickBot="1">
      <c r="A67" s="48">
        <v>45898</v>
      </c>
      <c r="B67" s="49">
        <v>16.95</v>
      </c>
      <c r="C67" s="51" t="s">
        <v>92</v>
      </c>
      <c r="D67" s="50">
        <v>16.899999999999999</v>
      </c>
      <c r="E67" s="50">
        <v>17.100000000000001</v>
      </c>
      <c r="F67" s="50">
        <v>40</v>
      </c>
      <c r="G67" s="50">
        <v>120</v>
      </c>
      <c r="H67" s="23">
        <v>200</v>
      </c>
      <c r="I67" s="50">
        <v>2.4</v>
      </c>
      <c r="J67" s="51" t="s">
        <v>76</v>
      </c>
      <c r="K67" s="50">
        <v>2.31</v>
      </c>
      <c r="L67" s="50">
        <v>2.4700000000000002</v>
      </c>
      <c r="M67" s="50">
        <v>301</v>
      </c>
      <c r="N67" s="50">
        <v>678</v>
      </c>
      <c r="O67" s="52">
        <v>33</v>
      </c>
      <c r="P67" s="46">
        <v>0.29621113069784416</v>
      </c>
      <c r="U67" s="26">
        <f t="shared" ref="U67:U130" si="4">H67</f>
        <v>200</v>
      </c>
      <c r="V67" s="26">
        <f t="shared" ref="V67:V130" si="5">B67</f>
        <v>16.95</v>
      </c>
      <c r="W67">
        <f t="shared" ref="W67:W130" si="6">O67</f>
        <v>33</v>
      </c>
      <c r="X67" s="25">
        <f t="shared" ref="X67:X130" si="7">P67</f>
        <v>0.29621113069784416</v>
      </c>
    </row>
    <row r="68" spans="1:24" ht="15" thickBot="1">
      <c r="A68" s="48">
        <v>45898</v>
      </c>
      <c r="B68" s="49">
        <v>13.2</v>
      </c>
      <c r="C68" s="51" t="s">
        <v>93</v>
      </c>
      <c r="D68" s="50">
        <v>13.1</v>
      </c>
      <c r="E68" s="50">
        <v>13.35</v>
      </c>
      <c r="F68" s="50">
        <v>24</v>
      </c>
      <c r="G68" s="50">
        <v>150</v>
      </c>
      <c r="H68" s="23">
        <v>205</v>
      </c>
      <c r="I68" s="50">
        <v>3.72</v>
      </c>
      <c r="J68" s="51" t="s">
        <v>61</v>
      </c>
      <c r="K68" s="50">
        <v>3.55</v>
      </c>
      <c r="L68" s="50">
        <v>3.65</v>
      </c>
      <c r="M68" s="50">
        <v>109</v>
      </c>
      <c r="N68" s="50">
        <v>1080</v>
      </c>
      <c r="O68" s="52">
        <v>33</v>
      </c>
      <c r="P68" s="46">
        <v>0.2907052687721845</v>
      </c>
      <c r="U68" s="26">
        <f t="shared" si="4"/>
        <v>205</v>
      </c>
      <c r="V68" s="26">
        <f t="shared" si="5"/>
        <v>13.2</v>
      </c>
      <c r="W68">
        <f t="shared" si="6"/>
        <v>33</v>
      </c>
      <c r="X68" s="25">
        <f t="shared" si="7"/>
        <v>0.2907052687721845</v>
      </c>
    </row>
    <row r="69" spans="1:24" ht="15" thickBot="1">
      <c r="A69" s="48">
        <v>45898</v>
      </c>
      <c r="B69" s="49">
        <v>9.85</v>
      </c>
      <c r="C69" s="51" t="s">
        <v>27</v>
      </c>
      <c r="D69" s="50">
        <v>9.65</v>
      </c>
      <c r="E69" s="50">
        <v>10</v>
      </c>
      <c r="F69" s="50">
        <v>205</v>
      </c>
      <c r="G69" s="50">
        <v>1057</v>
      </c>
      <c r="H69" s="23">
        <v>210</v>
      </c>
      <c r="I69" s="50">
        <v>5.29</v>
      </c>
      <c r="J69" s="51" t="s">
        <v>66</v>
      </c>
      <c r="K69" s="50">
        <v>5.2</v>
      </c>
      <c r="L69" s="50">
        <v>5.35</v>
      </c>
      <c r="M69" s="50">
        <v>42</v>
      </c>
      <c r="N69" s="50">
        <v>564</v>
      </c>
      <c r="O69" s="52">
        <v>33</v>
      </c>
      <c r="P69" s="46">
        <v>0.28316223448523675</v>
      </c>
      <c r="U69" s="26">
        <f t="shared" si="4"/>
        <v>210</v>
      </c>
      <c r="V69" s="26">
        <f t="shared" si="5"/>
        <v>9.85</v>
      </c>
      <c r="W69">
        <f t="shared" si="6"/>
        <v>33</v>
      </c>
      <c r="X69" s="25">
        <f t="shared" si="7"/>
        <v>0.28316223448523675</v>
      </c>
    </row>
    <row r="70" spans="1:24" ht="15" thickBot="1">
      <c r="A70" s="48">
        <v>45898</v>
      </c>
      <c r="B70" s="49">
        <v>7.03</v>
      </c>
      <c r="C70" s="51" t="s">
        <v>64</v>
      </c>
      <c r="D70" s="50">
        <v>6.95</v>
      </c>
      <c r="E70" s="50">
        <v>7.1</v>
      </c>
      <c r="F70" s="50">
        <v>1316</v>
      </c>
      <c r="G70" s="50">
        <v>2300</v>
      </c>
      <c r="H70" s="23">
        <v>215</v>
      </c>
      <c r="I70" s="50">
        <v>7.55</v>
      </c>
      <c r="J70" s="51" t="s">
        <v>76</v>
      </c>
      <c r="K70" s="50">
        <v>7.25</v>
      </c>
      <c r="L70" s="50">
        <v>7.55</v>
      </c>
      <c r="M70" s="50">
        <v>351</v>
      </c>
      <c r="N70" s="50">
        <v>276</v>
      </c>
      <c r="O70" s="52">
        <v>33</v>
      </c>
      <c r="P70" s="46">
        <v>0.27657798806055273</v>
      </c>
      <c r="U70" s="26">
        <f t="shared" si="4"/>
        <v>215</v>
      </c>
      <c r="V70" s="26">
        <f t="shared" si="5"/>
        <v>7.03</v>
      </c>
      <c r="W70">
        <f t="shared" si="6"/>
        <v>33</v>
      </c>
      <c r="X70" s="25">
        <f t="shared" si="7"/>
        <v>0.27657798806055273</v>
      </c>
    </row>
    <row r="71" spans="1:24" ht="15" thickBot="1">
      <c r="A71" s="48">
        <v>45898</v>
      </c>
      <c r="B71" s="49">
        <v>4.8</v>
      </c>
      <c r="C71" s="51" t="s">
        <v>32</v>
      </c>
      <c r="D71" s="50">
        <v>4.7</v>
      </c>
      <c r="E71" s="50">
        <v>4.9000000000000004</v>
      </c>
      <c r="F71" s="50">
        <v>958</v>
      </c>
      <c r="G71" s="50">
        <v>1295</v>
      </c>
      <c r="H71" s="23">
        <v>220</v>
      </c>
      <c r="I71" s="50">
        <v>10.45</v>
      </c>
      <c r="J71" s="53" t="s">
        <v>94</v>
      </c>
      <c r="K71" s="50">
        <v>10.15</v>
      </c>
      <c r="L71" s="50">
        <v>10.65</v>
      </c>
      <c r="M71" s="50">
        <v>145</v>
      </c>
      <c r="N71" s="50">
        <v>221</v>
      </c>
      <c r="O71" s="52">
        <v>33</v>
      </c>
      <c r="P71" s="46">
        <v>0.2717988445674891</v>
      </c>
      <c r="U71" s="26">
        <f t="shared" si="4"/>
        <v>220</v>
      </c>
      <c r="V71" s="26">
        <f t="shared" si="5"/>
        <v>4.8</v>
      </c>
      <c r="W71">
        <f t="shared" si="6"/>
        <v>33</v>
      </c>
      <c r="X71" s="25">
        <f t="shared" si="7"/>
        <v>0.2717988445674891</v>
      </c>
    </row>
    <row r="72" spans="1:24" ht="15" thickBot="1">
      <c r="A72" s="48">
        <v>45898</v>
      </c>
      <c r="B72" s="49">
        <v>3.09</v>
      </c>
      <c r="C72" s="51" t="s">
        <v>64</v>
      </c>
      <c r="D72" s="50">
        <v>3.05</v>
      </c>
      <c r="E72" s="50">
        <v>3.1</v>
      </c>
      <c r="F72" s="50">
        <v>208</v>
      </c>
      <c r="G72" s="50">
        <v>1035</v>
      </c>
      <c r="H72" s="23">
        <v>225</v>
      </c>
      <c r="I72" s="50">
        <v>13.11</v>
      </c>
      <c r="J72" s="50" t="s">
        <v>19</v>
      </c>
      <c r="K72" s="50">
        <v>13.15</v>
      </c>
      <c r="L72" s="50">
        <v>13.85</v>
      </c>
      <c r="M72" s="50" t="s">
        <v>19</v>
      </c>
      <c r="N72" s="50">
        <v>14</v>
      </c>
      <c r="O72" s="52">
        <v>33</v>
      </c>
      <c r="P72" s="46">
        <v>0.2664643213562532</v>
      </c>
      <c r="U72" s="26">
        <f t="shared" si="4"/>
        <v>225</v>
      </c>
      <c r="V72" s="26">
        <f t="shared" si="5"/>
        <v>3.09</v>
      </c>
      <c r="W72">
        <f t="shared" si="6"/>
        <v>33</v>
      </c>
      <c r="X72" s="25">
        <f t="shared" si="7"/>
        <v>0.2664643213562532</v>
      </c>
    </row>
    <row r="73" spans="1:24" ht="15" thickBot="1">
      <c r="A73" s="48">
        <v>45898</v>
      </c>
      <c r="B73" s="49">
        <v>1.92</v>
      </c>
      <c r="C73" s="51" t="s">
        <v>40</v>
      </c>
      <c r="D73" s="50">
        <v>1.81</v>
      </c>
      <c r="E73" s="50">
        <v>1.93</v>
      </c>
      <c r="F73" s="50">
        <v>824</v>
      </c>
      <c r="G73" s="50">
        <v>1715</v>
      </c>
      <c r="H73" s="23">
        <v>230</v>
      </c>
      <c r="I73" s="50">
        <v>16.95</v>
      </c>
      <c r="J73" s="50" t="s">
        <v>19</v>
      </c>
      <c r="K73" s="50">
        <v>17.3</v>
      </c>
      <c r="L73" s="50">
        <v>17.7</v>
      </c>
      <c r="M73" s="50" t="s">
        <v>19</v>
      </c>
      <c r="N73" s="50">
        <v>45</v>
      </c>
      <c r="O73" s="52">
        <v>33</v>
      </c>
      <c r="P73" s="46">
        <v>0.26407700378183724</v>
      </c>
      <c r="U73" s="26">
        <f t="shared" si="4"/>
        <v>230</v>
      </c>
      <c r="V73" s="26">
        <f t="shared" si="5"/>
        <v>1.92</v>
      </c>
      <c r="W73">
        <f t="shared" si="6"/>
        <v>33</v>
      </c>
      <c r="X73" s="25">
        <f t="shared" si="7"/>
        <v>0.26407700378183724</v>
      </c>
    </row>
    <row r="74" spans="1:24" ht="15" thickBot="1">
      <c r="A74" s="48">
        <v>45898</v>
      </c>
      <c r="B74" s="49">
        <v>1.18</v>
      </c>
      <c r="C74" s="51" t="s">
        <v>30</v>
      </c>
      <c r="D74" s="50">
        <v>1.1399999999999999</v>
      </c>
      <c r="E74" s="50">
        <v>1.25</v>
      </c>
      <c r="F74" s="50">
        <v>1104</v>
      </c>
      <c r="G74" s="50">
        <v>776</v>
      </c>
      <c r="H74" s="23">
        <v>235</v>
      </c>
      <c r="I74" s="50">
        <v>21.95</v>
      </c>
      <c r="J74" s="53" t="s">
        <v>81</v>
      </c>
      <c r="K74" s="50">
        <v>21.5</v>
      </c>
      <c r="L74" s="50">
        <v>22.1</v>
      </c>
      <c r="M74" s="50">
        <v>2</v>
      </c>
      <c r="N74" s="50">
        <v>2</v>
      </c>
      <c r="O74" s="52">
        <v>33</v>
      </c>
      <c r="P74" s="46">
        <v>0.26515450194747137</v>
      </c>
      <c r="U74" s="26">
        <f t="shared" si="4"/>
        <v>235</v>
      </c>
      <c r="V74" s="26">
        <f t="shared" si="5"/>
        <v>1.18</v>
      </c>
      <c r="W74">
        <f t="shared" si="6"/>
        <v>33</v>
      </c>
      <c r="X74" s="25">
        <f t="shared" si="7"/>
        <v>0.26515450194747137</v>
      </c>
    </row>
    <row r="75" spans="1:24" ht="15" thickBot="1">
      <c r="A75" s="48">
        <v>45901</v>
      </c>
      <c r="B75" s="49">
        <v>21.5</v>
      </c>
      <c r="C75" s="51" t="s">
        <v>95</v>
      </c>
      <c r="D75" s="50">
        <v>21.05</v>
      </c>
      <c r="E75" s="50">
        <v>21.95</v>
      </c>
      <c r="F75" s="50">
        <v>23</v>
      </c>
      <c r="G75" s="50">
        <v>7</v>
      </c>
      <c r="H75" s="23">
        <v>195</v>
      </c>
      <c r="I75" s="50">
        <v>1.88</v>
      </c>
      <c r="J75" s="51" t="s">
        <v>59</v>
      </c>
      <c r="K75" s="50">
        <v>1.65</v>
      </c>
      <c r="L75" s="50">
        <v>1.95</v>
      </c>
      <c r="M75" s="50">
        <v>39</v>
      </c>
      <c r="N75" s="50">
        <v>23</v>
      </c>
      <c r="O75" s="52">
        <v>36</v>
      </c>
      <c r="P75" s="46">
        <v>0.31285514407708631</v>
      </c>
      <c r="U75" s="26">
        <f t="shared" si="4"/>
        <v>195</v>
      </c>
      <c r="V75" s="26">
        <f t="shared" si="5"/>
        <v>21.5</v>
      </c>
      <c r="W75">
        <f t="shared" si="6"/>
        <v>36</v>
      </c>
      <c r="X75" s="25">
        <f t="shared" si="7"/>
        <v>0.31285514407708631</v>
      </c>
    </row>
    <row r="76" spans="1:24" ht="15" thickBot="1">
      <c r="A76" s="48">
        <v>45901</v>
      </c>
      <c r="B76" s="49">
        <v>17.23</v>
      </c>
      <c r="C76" s="51" t="s">
        <v>96</v>
      </c>
      <c r="D76" s="50">
        <v>17.100000000000001</v>
      </c>
      <c r="E76" s="50">
        <v>18.25</v>
      </c>
      <c r="F76" s="50">
        <v>15</v>
      </c>
      <c r="G76" s="50">
        <v>10</v>
      </c>
      <c r="H76" s="23">
        <v>200</v>
      </c>
      <c r="I76" s="54">
        <v>2.69</v>
      </c>
      <c r="J76" s="55" t="s">
        <v>97</v>
      </c>
      <c r="K76" s="54">
        <v>2.5099999999999998</v>
      </c>
      <c r="L76" s="54">
        <v>2.94</v>
      </c>
      <c r="M76" s="54">
        <v>39</v>
      </c>
      <c r="N76" s="54">
        <v>6</v>
      </c>
      <c r="O76" s="52">
        <v>36</v>
      </c>
      <c r="P76" s="46">
        <v>0.29520552185063725</v>
      </c>
      <c r="U76" s="26">
        <f t="shared" si="4"/>
        <v>200</v>
      </c>
      <c r="V76" s="26">
        <f t="shared" si="5"/>
        <v>17.23</v>
      </c>
      <c r="W76">
        <f t="shared" si="6"/>
        <v>36</v>
      </c>
      <c r="X76" s="25">
        <f t="shared" si="7"/>
        <v>0.29520552185063725</v>
      </c>
    </row>
    <row r="77" spans="1:24" ht="15" thickBot="1">
      <c r="A77" s="48">
        <v>45901</v>
      </c>
      <c r="B77" s="49">
        <v>13.55</v>
      </c>
      <c r="C77" s="51" t="s">
        <v>98</v>
      </c>
      <c r="D77" s="50">
        <v>13.4</v>
      </c>
      <c r="E77" s="50">
        <v>13.8</v>
      </c>
      <c r="F77" s="50">
        <v>33</v>
      </c>
      <c r="G77" s="50">
        <v>1</v>
      </c>
      <c r="H77" s="23">
        <v>205</v>
      </c>
      <c r="I77" s="50">
        <v>4</v>
      </c>
      <c r="J77" s="51" t="s">
        <v>74</v>
      </c>
      <c r="K77" s="50">
        <v>3.8</v>
      </c>
      <c r="L77" s="50">
        <v>4</v>
      </c>
      <c r="M77" s="50">
        <v>28</v>
      </c>
      <c r="N77" s="50">
        <v>5</v>
      </c>
      <c r="O77" s="52">
        <v>36</v>
      </c>
      <c r="P77" s="46">
        <v>0.29126690795700744</v>
      </c>
      <c r="U77" s="26">
        <f t="shared" si="4"/>
        <v>205</v>
      </c>
      <c r="V77" s="26">
        <f t="shared" si="5"/>
        <v>13.55</v>
      </c>
      <c r="W77">
        <f t="shared" si="6"/>
        <v>36</v>
      </c>
      <c r="X77" s="25">
        <f t="shared" si="7"/>
        <v>0.29126690795700744</v>
      </c>
    </row>
    <row r="78" spans="1:24" ht="15" thickBot="1">
      <c r="A78" s="48">
        <v>45901</v>
      </c>
      <c r="B78" s="49">
        <v>10.19</v>
      </c>
      <c r="C78" s="51" t="s">
        <v>99</v>
      </c>
      <c r="D78" s="50">
        <v>10.25</v>
      </c>
      <c r="E78" s="50">
        <v>10.7</v>
      </c>
      <c r="F78" s="50">
        <v>98</v>
      </c>
      <c r="G78" s="50">
        <v>16</v>
      </c>
      <c r="H78" s="23">
        <v>210</v>
      </c>
      <c r="I78" s="50">
        <v>5.66</v>
      </c>
      <c r="J78" s="53" t="s">
        <v>100</v>
      </c>
      <c r="K78" s="50">
        <v>5.4</v>
      </c>
      <c r="L78" s="50">
        <v>5.9</v>
      </c>
      <c r="M78" s="50">
        <v>39</v>
      </c>
      <c r="N78" s="50">
        <v>11</v>
      </c>
      <c r="O78" s="52">
        <v>36</v>
      </c>
      <c r="P78" s="46">
        <v>0.2825173463018163</v>
      </c>
      <c r="U78" s="26">
        <f t="shared" si="4"/>
        <v>210</v>
      </c>
      <c r="V78" s="26">
        <f t="shared" si="5"/>
        <v>10.19</v>
      </c>
      <c r="W78">
        <f t="shared" si="6"/>
        <v>36</v>
      </c>
      <c r="X78" s="25">
        <f t="shared" si="7"/>
        <v>0.2825173463018163</v>
      </c>
    </row>
    <row r="79" spans="1:24" ht="15" thickBot="1">
      <c r="A79" s="48">
        <v>45901</v>
      </c>
      <c r="B79" s="49">
        <v>7.6</v>
      </c>
      <c r="C79" s="51" t="s">
        <v>27</v>
      </c>
      <c r="D79" s="50">
        <v>7.35</v>
      </c>
      <c r="E79" s="50">
        <v>7.65</v>
      </c>
      <c r="F79" s="50">
        <v>242</v>
      </c>
      <c r="G79" s="50">
        <v>111</v>
      </c>
      <c r="H79" s="23">
        <v>215</v>
      </c>
      <c r="I79" s="50">
        <v>7.6</v>
      </c>
      <c r="J79" s="51" t="s">
        <v>101</v>
      </c>
      <c r="K79" s="50">
        <v>7.55</v>
      </c>
      <c r="L79" s="50">
        <v>8.1</v>
      </c>
      <c r="M79" s="50">
        <v>21</v>
      </c>
      <c r="N79" s="50">
        <v>4</v>
      </c>
      <c r="O79" s="52">
        <v>36</v>
      </c>
      <c r="P79" s="46">
        <v>0.28451541237517392</v>
      </c>
      <c r="U79" s="26">
        <f t="shared" si="4"/>
        <v>215</v>
      </c>
      <c r="V79" s="26">
        <f t="shared" si="5"/>
        <v>7.6</v>
      </c>
      <c r="W79">
        <f t="shared" si="6"/>
        <v>36</v>
      </c>
      <c r="X79" s="25">
        <f t="shared" si="7"/>
        <v>0.28451541237517392</v>
      </c>
    </row>
    <row r="80" spans="1:24" ht="15" thickBot="1">
      <c r="A80" s="48">
        <v>45901</v>
      </c>
      <c r="B80" s="49">
        <v>5.29</v>
      </c>
      <c r="C80" s="51" t="s">
        <v>64</v>
      </c>
      <c r="D80" s="50">
        <v>5.05</v>
      </c>
      <c r="E80" s="50">
        <v>5.55</v>
      </c>
      <c r="F80" s="50">
        <v>179</v>
      </c>
      <c r="G80" s="50">
        <v>17</v>
      </c>
      <c r="H80" s="23">
        <v>220</v>
      </c>
      <c r="I80" s="50">
        <v>10.45</v>
      </c>
      <c r="J80" s="50" t="s">
        <v>19</v>
      </c>
      <c r="K80" s="50">
        <v>10.25</v>
      </c>
      <c r="L80" s="50">
        <v>10.85</v>
      </c>
      <c r="M80" s="50">
        <v>1</v>
      </c>
      <c r="N80" s="50">
        <v>5</v>
      </c>
      <c r="O80" s="52">
        <v>36</v>
      </c>
      <c r="P80" s="46">
        <v>0.27774354899349618</v>
      </c>
      <c r="U80" s="26">
        <f t="shared" si="4"/>
        <v>220</v>
      </c>
      <c r="V80" s="26">
        <f t="shared" si="5"/>
        <v>5.29</v>
      </c>
      <c r="W80">
        <f t="shared" si="6"/>
        <v>36</v>
      </c>
      <c r="X80" s="25">
        <f t="shared" si="7"/>
        <v>0.27774354899349618</v>
      </c>
    </row>
    <row r="81" spans="1:24" ht="15" thickBot="1">
      <c r="A81" s="48">
        <v>45901</v>
      </c>
      <c r="B81" s="49">
        <v>3.47</v>
      </c>
      <c r="C81" s="51" t="s">
        <v>102</v>
      </c>
      <c r="D81" s="50">
        <v>3.25</v>
      </c>
      <c r="E81" s="50">
        <v>3.75</v>
      </c>
      <c r="F81" s="50">
        <v>70</v>
      </c>
      <c r="G81" s="50">
        <v>50</v>
      </c>
      <c r="H81" s="23">
        <v>225</v>
      </c>
      <c r="I81" s="50">
        <v>13.65</v>
      </c>
      <c r="J81" s="51" t="s">
        <v>74</v>
      </c>
      <c r="K81" s="50">
        <v>13.6</v>
      </c>
      <c r="L81" s="50">
        <v>14.15</v>
      </c>
      <c r="M81" s="50">
        <v>298</v>
      </c>
      <c r="N81" s="50">
        <v>10</v>
      </c>
      <c r="O81" s="52">
        <v>36</v>
      </c>
      <c r="P81" s="46">
        <v>0.27024099456598133</v>
      </c>
      <c r="U81" s="26">
        <f t="shared" si="4"/>
        <v>225</v>
      </c>
      <c r="V81" s="26">
        <f t="shared" si="5"/>
        <v>3.47</v>
      </c>
      <c r="W81">
        <f t="shared" si="6"/>
        <v>36</v>
      </c>
      <c r="X81" s="25">
        <f t="shared" si="7"/>
        <v>0.27024099456598133</v>
      </c>
    </row>
    <row r="82" spans="1:24" ht="15" thickBot="1">
      <c r="A82" s="48">
        <v>45901</v>
      </c>
      <c r="B82" s="49">
        <v>2.23</v>
      </c>
      <c r="C82" s="51" t="s">
        <v>30</v>
      </c>
      <c r="D82" s="50">
        <v>2.2000000000000002</v>
      </c>
      <c r="E82" s="50">
        <v>2.4700000000000002</v>
      </c>
      <c r="F82" s="50">
        <v>169</v>
      </c>
      <c r="G82" s="50">
        <v>41</v>
      </c>
      <c r="H82" s="23">
        <v>230</v>
      </c>
      <c r="I82" s="50">
        <v>17.100000000000001</v>
      </c>
      <c r="J82" s="50" t="s">
        <v>19</v>
      </c>
      <c r="K82" s="50">
        <v>15.85</v>
      </c>
      <c r="L82" s="50">
        <v>18.5</v>
      </c>
      <c r="M82" s="50" t="s">
        <v>19</v>
      </c>
      <c r="N82" s="50">
        <v>1</v>
      </c>
      <c r="O82" s="52">
        <v>36</v>
      </c>
      <c r="P82" s="46">
        <v>0.26769343673170309</v>
      </c>
      <c r="U82" s="26">
        <f t="shared" si="4"/>
        <v>230</v>
      </c>
      <c r="V82" s="26">
        <f t="shared" si="5"/>
        <v>2.23</v>
      </c>
      <c r="W82">
        <f t="shared" si="6"/>
        <v>36</v>
      </c>
      <c r="X82" s="25">
        <f t="shared" si="7"/>
        <v>0.26769343673170309</v>
      </c>
    </row>
    <row r="83" spans="1:24" ht="15" thickBot="1">
      <c r="A83" s="48">
        <v>45905</v>
      </c>
      <c r="B83" s="49">
        <v>1.4</v>
      </c>
      <c r="C83" s="51" t="s">
        <v>37</v>
      </c>
      <c r="D83" s="50">
        <v>1.21</v>
      </c>
      <c r="E83" s="50">
        <v>1.46</v>
      </c>
      <c r="F83" s="50">
        <v>40</v>
      </c>
      <c r="G83" s="50">
        <v>9</v>
      </c>
      <c r="H83" s="23">
        <v>235</v>
      </c>
      <c r="I83" s="50" t="s">
        <v>19</v>
      </c>
      <c r="J83" s="50" t="s">
        <v>19</v>
      </c>
      <c r="K83" s="50">
        <v>20.45</v>
      </c>
      <c r="L83" s="50">
        <v>23.7</v>
      </c>
      <c r="M83" s="50" t="s">
        <v>19</v>
      </c>
      <c r="N83" s="50" t="s">
        <v>19</v>
      </c>
      <c r="O83" s="52">
        <v>40</v>
      </c>
      <c r="P83" s="46">
        <v>0.25263296413206932</v>
      </c>
      <c r="U83" s="26">
        <f t="shared" si="4"/>
        <v>235</v>
      </c>
      <c r="V83" s="26">
        <f t="shared" si="5"/>
        <v>1.4</v>
      </c>
      <c r="W83">
        <f t="shared" si="6"/>
        <v>40</v>
      </c>
      <c r="X83" s="25">
        <f t="shared" si="7"/>
        <v>0.25263296413206932</v>
      </c>
    </row>
    <row r="84" spans="1:24" ht="15" thickBot="1">
      <c r="A84" s="48">
        <v>45919</v>
      </c>
      <c r="B84" s="49">
        <v>22.55</v>
      </c>
      <c r="C84" s="51" t="s">
        <v>103</v>
      </c>
      <c r="D84" s="50">
        <v>22.5</v>
      </c>
      <c r="E84" s="50">
        <v>22.7</v>
      </c>
      <c r="F84" s="50">
        <v>82</v>
      </c>
      <c r="G84" s="50">
        <v>2687</v>
      </c>
      <c r="H84" s="23">
        <v>195</v>
      </c>
      <c r="I84" s="50">
        <v>2.52</v>
      </c>
      <c r="J84" s="51" t="s">
        <v>61</v>
      </c>
      <c r="K84" s="50">
        <v>2.46</v>
      </c>
      <c r="L84" s="50">
        <v>2.5299999999999998</v>
      </c>
      <c r="M84" s="50">
        <v>800</v>
      </c>
      <c r="N84" s="50">
        <v>25135</v>
      </c>
      <c r="O84" s="52">
        <v>54</v>
      </c>
      <c r="P84" s="46">
        <v>0.28961391126922997</v>
      </c>
      <c r="U84" s="26">
        <f t="shared" si="4"/>
        <v>195</v>
      </c>
      <c r="V84" s="26">
        <f t="shared" si="5"/>
        <v>22.55</v>
      </c>
      <c r="W84">
        <f t="shared" si="6"/>
        <v>54</v>
      </c>
      <c r="X84" s="25">
        <f t="shared" si="7"/>
        <v>0.28961391126922997</v>
      </c>
    </row>
    <row r="85" spans="1:24" ht="15" thickBot="1">
      <c r="A85" s="48">
        <v>45919</v>
      </c>
      <c r="B85" s="49">
        <v>18.55</v>
      </c>
      <c r="C85" s="51" t="s">
        <v>104</v>
      </c>
      <c r="D85" s="50">
        <v>18.5</v>
      </c>
      <c r="E85" s="50">
        <v>18.7</v>
      </c>
      <c r="F85" s="50">
        <v>112</v>
      </c>
      <c r="G85" s="50">
        <v>10004</v>
      </c>
      <c r="H85" s="23">
        <v>200</v>
      </c>
      <c r="I85" s="50">
        <v>3.48</v>
      </c>
      <c r="J85" s="51" t="s">
        <v>41</v>
      </c>
      <c r="K85" s="50">
        <v>3.4</v>
      </c>
      <c r="L85" s="50">
        <v>3.55</v>
      </c>
      <c r="M85" s="50">
        <v>2001</v>
      </c>
      <c r="N85" s="50">
        <v>30107</v>
      </c>
      <c r="O85" s="52">
        <v>54</v>
      </c>
      <c r="P85" s="46">
        <v>0.2811606786540024</v>
      </c>
      <c r="U85" s="26">
        <f t="shared" si="4"/>
        <v>200</v>
      </c>
      <c r="V85" s="26">
        <f t="shared" si="5"/>
        <v>18.55</v>
      </c>
      <c r="W85">
        <f t="shared" si="6"/>
        <v>54</v>
      </c>
      <c r="X85" s="25">
        <f t="shared" si="7"/>
        <v>0.2811606786540024</v>
      </c>
    </row>
    <row r="86" spans="1:24" ht="15" thickBot="1">
      <c r="A86" s="48">
        <v>45919</v>
      </c>
      <c r="B86" s="49">
        <v>14.9</v>
      </c>
      <c r="C86" s="51" t="s">
        <v>105</v>
      </c>
      <c r="D86" s="50">
        <v>14.85</v>
      </c>
      <c r="E86" s="50">
        <v>15</v>
      </c>
      <c r="F86" s="50">
        <v>881</v>
      </c>
      <c r="G86" s="50">
        <v>7581</v>
      </c>
      <c r="H86" s="23">
        <v>205</v>
      </c>
      <c r="I86" s="50">
        <v>4.87</v>
      </c>
      <c r="J86" s="51" t="s">
        <v>86</v>
      </c>
      <c r="K86" s="50">
        <v>4.7</v>
      </c>
      <c r="L86" s="50">
        <v>4.8499999999999996</v>
      </c>
      <c r="M86" s="50">
        <v>492</v>
      </c>
      <c r="N86" s="50">
        <v>12898</v>
      </c>
      <c r="O86" s="52">
        <v>54</v>
      </c>
      <c r="P86" s="46">
        <v>0.27424407568905784</v>
      </c>
      <c r="U86" s="26">
        <f t="shared" si="4"/>
        <v>205</v>
      </c>
      <c r="V86" s="26">
        <f t="shared" si="5"/>
        <v>14.9</v>
      </c>
      <c r="W86">
        <f t="shared" si="6"/>
        <v>54</v>
      </c>
      <c r="X86" s="25">
        <f t="shared" si="7"/>
        <v>0.27424407568905784</v>
      </c>
    </row>
    <row r="87" spans="1:24" ht="15" thickBot="1">
      <c r="A87" s="48">
        <v>45919</v>
      </c>
      <c r="B87" s="49">
        <v>11.55</v>
      </c>
      <c r="C87" s="51" t="s">
        <v>32</v>
      </c>
      <c r="D87" s="50">
        <v>11.4</v>
      </c>
      <c r="E87" s="50">
        <v>11.65</v>
      </c>
      <c r="F87" s="50">
        <v>616</v>
      </c>
      <c r="G87" s="50">
        <v>15463</v>
      </c>
      <c r="H87" s="23">
        <v>210</v>
      </c>
      <c r="I87" s="50">
        <v>6.5</v>
      </c>
      <c r="J87" s="51" t="s">
        <v>63</v>
      </c>
      <c r="K87" s="50">
        <v>6.4</v>
      </c>
      <c r="L87" s="50">
        <v>6.55</v>
      </c>
      <c r="M87" s="50">
        <v>577</v>
      </c>
      <c r="N87" s="50">
        <v>10817</v>
      </c>
      <c r="O87" s="52">
        <v>54</v>
      </c>
      <c r="P87" s="46">
        <v>0.26507315978894153</v>
      </c>
      <c r="U87" s="26">
        <f t="shared" si="4"/>
        <v>210</v>
      </c>
      <c r="V87" s="26">
        <f t="shared" si="5"/>
        <v>11.55</v>
      </c>
      <c r="W87">
        <f t="shared" si="6"/>
        <v>54</v>
      </c>
      <c r="X87" s="25">
        <f t="shared" si="7"/>
        <v>0.26507315978894153</v>
      </c>
    </row>
    <row r="88" spans="1:24" ht="15" thickBot="1">
      <c r="A88" s="48">
        <v>45919</v>
      </c>
      <c r="B88" s="49">
        <v>8.75</v>
      </c>
      <c r="C88" s="51" t="s">
        <v>27</v>
      </c>
      <c r="D88" s="50">
        <v>8.6</v>
      </c>
      <c r="E88" s="50">
        <v>8.8000000000000007</v>
      </c>
      <c r="F88" s="50">
        <v>3212</v>
      </c>
      <c r="G88" s="50">
        <v>22115</v>
      </c>
      <c r="H88" s="23">
        <v>215</v>
      </c>
      <c r="I88" s="50">
        <v>8.6</v>
      </c>
      <c r="J88" s="53" t="s">
        <v>106</v>
      </c>
      <c r="K88" s="50">
        <v>8.6</v>
      </c>
      <c r="L88" s="50">
        <v>8.75</v>
      </c>
      <c r="M88" s="50">
        <v>1063</v>
      </c>
      <c r="N88" s="50">
        <v>8877</v>
      </c>
      <c r="O88" s="52">
        <v>54</v>
      </c>
      <c r="P88" s="46">
        <v>0.26011866507467879</v>
      </c>
      <c r="U88" s="26">
        <f t="shared" si="4"/>
        <v>215</v>
      </c>
      <c r="V88" s="26">
        <f t="shared" si="5"/>
        <v>8.75</v>
      </c>
      <c r="W88">
        <f t="shared" si="6"/>
        <v>54</v>
      </c>
      <c r="X88" s="25">
        <f t="shared" si="7"/>
        <v>0.26011866507467879</v>
      </c>
    </row>
    <row r="89" spans="1:24" ht="15" thickBot="1">
      <c r="A89" s="48">
        <v>45919</v>
      </c>
      <c r="B89" s="49">
        <v>6.37</v>
      </c>
      <c r="C89" s="51" t="s">
        <v>40</v>
      </c>
      <c r="D89" s="50">
        <v>6.3</v>
      </c>
      <c r="E89" s="50">
        <v>6.4</v>
      </c>
      <c r="F89" s="50">
        <v>3797</v>
      </c>
      <c r="G89" s="50">
        <v>28078</v>
      </c>
      <c r="H89" s="23">
        <v>220</v>
      </c>
      <c r="I89" s="50">
        <v>11.55</v>
      </c>
      <c r="J89" s="53" t="s">
        <v>107</v>
      </c>
      <c r="K89" s="50">
        <v>11.2</v>
      </c>
      <c r="L89" s="50">
        <v>11.45</v>
      </c>
      <c r="M89" s="50">
        <v>136</v>
      </c>
      <c r="N89" s="50">
        <v>7345</v>
      </c>
      <c r="O89" s="52">
        <v>54</v>
      </c>
      <c r="P89" s="46">
        <v>0.25423529757886487</v>
      </c>
      <c r="U89" s="26">
        <f t="shared" si="4"/>
        <v>220</v>
      </c>
      <c r="V89" s="26">
        <f t="shared" si="5"/>
        <v>6.37</v>
      </c>
      <c r="W89">
        <f t="shared" si="6"/>
        <v>54</v>
      </c>
      <c r="X89" s="25">
        <f t="shared" si="7"/>
        <v>0.25423529757886487</v>
      </c>
    </row>
    <row r="90" spans="1:24" ht="15" thickBot="1">
      <c r="A90" s="48">
        <v>45919</v>
      </c>
      <c r="B90" s="49">
        <v>4.45</v>
      </c>
      <c r="C90" s="51" t="s">
        <v>30</v>
      </c>
      <c r="D90" s="50">
        <v>4.45</v>
      </c>
      <c r="E90" s="50">
        <v>4.55</v>
      </c>
      <c r="F90" s="50">
        <v>2352</v>
      </c>
      <c r="G90" s="50">
        <v>19665</v>
      </c>
      <c r="H90" s="23">
        <v>225</v>
      </c>
      <c r="I90" s="50">
        <v>14.55</v>
      </c>
      <c r="J90" s="53" t="s">
        <v>88</v>
      </c>
      <c r="K90" s="50">
        <v>14.4</v>
      </c>
      <c r="L90" s="50">
        <v>14.65</v>
      </c>
      <c r="M90" s="50">
        <v>39</v>
      </c>
      <c r="N90" s="50">
        <v>8616</v>
      </c>
      <c r="O90" s="52">
        <v>54</v>
      </c>
      <c r="P90" s="46">
        <v>0.24853621850611551</v>
      </c>
      <c r="U90" s="26">
        <f t="shared" si="4"/>
        <v>225</v>
      </c>
      <c r="V90" s="26">
        <f t="shared" si="5"/>
        <v>4.45</v>
      </c>
      <c r="W90">
        <f t="shared" si="6"/>
        <v>54</v>
      </c>
      <c r="X90" s="25">
        <f t="shared" si="7"/>
        <v>0.24853621850611551</v>
      </c>
    </row>
    <row r="91" spans="1:24" ht="15" thickBot="1">
      <c r="A91" s="48">
        <v>45919</v>
      </c>
      <c r="B91" s="49">
        <v>3.05</v>
      </c>
      <c r="C91" s="51" t="s">
        <v>40</v>
      </c>
      <c r="D91" s="50">
        <v>3</v>
      </c>
      <c r="E91" s="50">
        <v>3.1</v>
      </c>
      <c r="F91" s="50">
        <v>2541</v>
      </c>
      <c r="G91" s="50">
        <v>28660</v>
      </c>
      <c r="H91" s="23">
        <v>230</v>
      </c>
      <c r="I91" s="50">
        <v>18.18</v>
      </c>
      <c r="J91" s="53" t="s">
        <v>108</v>
      </c>
      <c r="K91" s="50">
        <v>18</v>
      </c>
      <c r="L91" s="50">
        <v>18.350000000000001</v>
      </c>
      <c r="M91" s="50">
        <v>135</v>
      </c>
      <c r="N91" s="50">
        <v>2370</v>
      </c>
      <c r="O91" s="52">
        <v>54</v>
      </c>
      <c r="P91" s="46">
        <v>0.24603751635094545</v>
      </c>
      <c r="U91" s="26">
        <f t="shared" si="4"/>
        <v>230</v>
      </c>
      <c r="V91" s="26">
        <f t="shared" si="5"/>
        <v>3.05</v>
      </c>
      <c r="W91">
        <f t="shared" si="6"/>
        <v>54</v>
      </c>
      <c r="X91" s="25">
        <f t="shared" si="7"/>
        <v>0.24603751635094545</v>
      </c>
    </row>
    <row r="92" spans="1:24" ht="15" thickBot="1">
      <c r="A92" s="48">
        <v>45919</v>
      </c>
      <c r="B92" s="49">
        <v>2.06</v>
      </c>
      <c r="C92" s="51" t="s">
        <v>63</v>
      </c>
      <c r="D92" s="50">
        <v>2.04</v>
      </c>
      <c r="E92" s="50">
        <v>2.08</v>
      </c>
      <c r="F92" s="50">
        <v>1786</v>
      </c>
      <c r="G92" s="50">
        <v>16458</v>
      </c>
      <c r="H92" s="23">
        <v>235</v>
      </c>
      <c r="I92" s="50">
        <v>22.55</v>
      </c>
      <c r="J92" s="53" t="s">
        <v>109</v>
      </c>
      <c r="K92" s="50">
        <v>22.05</v>
      </c>
      <c r="L92" s="50">
        <v>22.5</v>
      </c>
      <c r="M92" s="50">
        <v>6</v>
      </c>
      <c r="N92" s="50">
        <v>2111</v>
      </c>
      <c r="O92" s="52">
        <v>54</v>
      </c>
      <c r="P92" s="46">
        <v>0.24561943887909574</v>
      </c>
      <c r="U92" s="26">
        <f t="shared" si="4"/>
        <v>235</v>
      </c>
      <c r="V92" s="26">
        <f t="shared" si="5"/>
        <v>2.06</v>
      </c>
      <c r="W92">
        <f t="shared" si="6"/>
        <v>54</v>
      </c>
      <c r="X92" s="25">
        <f t="shared" si="7"/>
        <v>0.24561943887909574</v>
      </c>
    </row>
    <row r="93" spans="1:24" ht="15" thickBot="1">
      <c r="A93" s="48">
        <v>45947</v>
      </c>
      <c r="B93" s="49">
        <v>24.3</v>
      </c>
      <c r="C93" s="51" t="s">
        <v>110</v>
      </c>
      <c r="D93" s="50">
        <v>24.25</v>
      </c>
      <c r="E93" s="50">
        <v>24.45</v>
      </c>
      <c r="F93" s="50">
        <v>104</v>
      </c>
      <c r="G93" s="50">
        <v>1905</v>
      </c>
      <c r="H93" s="23">
        <v>195</v>
      </c>
      <c r="I93" s="50">
        <v>3.61</v>
      </c>
      <c r="J93" s="53" t="s">
        <v>100</v>
      </c>
      <c r="K93" s="50">
        <v>3.55</v>
      </c>
      <c r="L93" s="50">
        <v>3.65</v>
      </c>
      <c r="M93" s="50">
        <v>146</v>
      </c>
      <c r="N93" s="50">
        <v>5378</v>
      </c>
      <c r="O93" s="52">
        <v>82</v>
      </c>
      <c r="P93" s="46">
        <v>0.27949943455347015</v>
      </c>
      <c r="U93" s="26">
        <f t="shared" si="4"/>
        <v>195</v>
      </c>
      <c r="V93" s="26">
        <f t="shared" si="5"/>
        <v>24.3</v>
      </c>
      <c r="W93">
        <f t="shared" si="6"/>
        <v>82</v>
      </c>
      <c r="X93" s="25">
        <f t="shared" si="7"/>
        <v>0.27949943455347015</v>
      </c>
    </row>
    <row r="94" spans="1:24" ht="15" thickBot="1">
      <c r="A94" s="48">
        <v>45947</v>
      </c>
      <c r="B94" s="49">
        <v>20.3</v>
      </c>
      <c r="C94" s="51" t="s">
        <v>72</v>
      </c>
      <c r="D94" s="50">
        <v>20.399999999999999</v>
      </c>
      <c r="E94" s="50">
        <v>20.6</v>
      </c>
      <c r="F94" s="50">
        <v>723</v>
      </c>
      <c r="G94" s="50">
        <v>3515</v>
      </c>
      <c r="H94" s="23">
        <v>200</v>
      </c>
      <c r="I94" s="50">
        <v>4.72</v>
      </c>
      <c r="J94" s="51" t="s">
        <v>26</v>
      </c>
      <c r="K94" s="50">
        <v>4.6500000000000004</v>
      </c>
      <c r="L94" s="50">
        <v>4.75</v>
      </c>
      <c r="M94" s="50">
        <v>215</v>
      </c>
      <c r="N94" s="50">
        <v>9370</v>
      </c>
      <c r="O94" s="52">
        <v>82</v>
      </c>
      <c r="P94" s="46">
        <v>0.26738777887026632</v>
      </c>
      <c r="U94" s="26">
        <f t="shared" si="4"/>
        <v>200</v>
      </c>
      <c r="V94" s="26">
        <f t="shared" si="5"/>
        <v>20.3</v>
      </c>
      <c r="W94">
        <f t="shared" si="6"/>
        <v>82</v>
      </c>
      <c r="X94" s="25">
        <f t="shared" si="7"/>
        <v>0.26738777887026632</v>
      </c>
    </row>
    <row r="95" spans="1:24" ht="15" thickBot="1">
      <c r="A95" s="48">
        <v>45947</v>
      </c>
      <c r="B95" s="49">
        <v>16.95</v>
      </c>
      <c r="C95" s="51" t="s">
        <v>86</v>
      </c>
      <c r="D95" s="50">
        <v>16.8</v>
      </c>
      <c r="E95" s="50">
        <v>17</v>
      </c>
      <c r="F95" s="50">
        <v>81</v>
      </c>
      <c r="G95" s="50">
        <v>2683</v>
      </c>
      <c r="H95" s="23">
        <v>205</v>
      </c>
      <c r="I95" s="50">
        <v>6.09</v>
      </c>
      <c r="J95" s="51" t="s">
        <v>64</v>
      </c>
      <c r="K95" s="50">
        <v>6.05</v>
      </c>
      <c r="L95" s="50">
        <v>6.15</v>
      </c>
      <c r="M95" s="50">
        <v>294</v>
      </c>
      <c r="N95" s="50">
        <v>4994</v>
      </c>
      <c r="O95" s="52">
        <v>82</v>
      </c>
      <c r="P95" s="46">
        <v>0.26667217220437966</v>
      </c>
      <c r="U95" s="26">
        <f t="shared" si="4"/>
        <v>205</v>
      </c>
      <c r="V95" s="26">
        <f t="shared" si="5"/>
        <v>16.95</v>
      </c>
      <c r="W95">
        <f t="shared" si="6"/>
        <v>82</v>
      </c>
      <c r="X95" s="25">
        <f t="shared" si="7"/>
        <v>0.26667217220437966</v>
      </c>
    </row>
    <row r="96" spans="1:24" ht="15" thickBot="1">
      <c r="A96" s="48">
        <v>45947</v>
      </c>
      <c r="B96" s="49">
        <v>13.75</v>
      </c>
      <c r="C96" s="51" t="s">
        <v>77</v>
      </c>
      <c r="D96" s="50">
        <v>13.5</v>
      </c>
      <c r="E96" s="50">
        <v>13.75</v>
      </c>
      <c r="F96" s="50">
        <v>245</v>
      </c>
      <c r="G96" s="50">
        <v>5750</v>
      </c>
      <c r="H96" s="23">
        <v>210</v>
      </c>
      <c r="I96" s="50">
        <v>7.84</v>
      </c>
      <c r="J96" s="51" t="s">
        <v>71</v>
      </c>
      <c r="K96" s="50">
        <v>7.75</v>
      </c>
      <c r="L96" s="50">
        <v>7.9</v>
      </c>
      <c r="M96" s="50">
        <v>943</v>
      </c>
      <c r="N96" s="50">
        <v>5931</v>
      </c>
      <c r="O96" s="52">
        <v>82</v>
      </c>
      <c r="P96" s="46">
        <v>0.26083077729952819</v>
      </c>
      <c r="U96" s="26">
        <f t="shared" si="4"/>
        <v>210</v>
      </c>
      <c r="V96" s="26">
        <f t="shared" si="5"/>
        <v>13.75</v>
      </c>
      <c r="W96">
        <f t="shared" si="6"/>
        <v>82</v>
      </c>
      <c r="X96" s="25">
        <f t="shared" si="7"/>
        <v>0.26083077729952819</v>
      </c>
    </row>
    <row r="97" spans="1:24" ht="15" thickBot="1">
      <c r="A97" s="48">
        <v>45947</v>
      </c>
      <c r="B97" s="49">
        <v>10.8</v>
      </c>
      <c r="C97" s="51" t="s">
        <v>63</v>
      </c>
      <c r="D97" s="50">
        <v>10.6</v>
      </c>
      <c r="E97" s="50">
        <v>10.85</v>
      </c>
      <c r="F97" s="50">
        <v>1274</v>
      </c>
      <c r="G97" s="50">
        <v>5152</v>
      </c>
      <c r="H97" s="23">
        <v>215</v>
      </c>
      <c r="I97" s="50">
        <v>10.199999999999999</v>
      </c>
      <c r="J97" s="53" t="s">
        <v>111</v>
      </c>
      <c r="K97" s="50">
        <v>9.9</v>
      </c>
      <c r="L97" s="50">
        <v>10.050000000000001</v>
      </c>
      <c r="M97" s="50">
        <v>802</v>
      </c>
      <c r="N97" s="50">
        <v>2627</v>
      </c>
      <c r="O97" s="52">
        <v>82</v>
      </c>
      <c r="P97" s="46">
        <v>0.25260757636646713</v>
      </c>
      <c r="U97" s="26">
        <f t="shared" si="4"/>
        <v>215</v>
      </c>
      <c r="V97" s="26">
        <f t="shared" si="5"/>
        <v>10.8</v>
      </c>
      <c r="W97">
        <f t="shared" si="6"/>
        <v>82</v>
      </c>
      <c r="X97" s="25">
        <f t="shared" si="7"/>
        <v>0.25260757636646713</v>
      </c>
    </row>
    <row r="98" spans="1:24" ht="15" thickBot="1">
      <c r="A98" s="48">
        <v>45947</v>
      </c>
      <c r="B98" s="49">
        <v>8.25</v>
      </c>
      <c r="C98" s="51" t="s">
        <v>32</v>
      </c>
      <c r="D98" s="50">
        <v>8.1999999999999993</v>
      </c>
      <c r="E98" s="50">
        <v>8.35</v>
      </c>
      <c r="F98" s="50">
        <v>843</v>
      </c>
      <c r="G98" s="50">
        <v>13595</v>
      </c>
      <c r="H98" s="23">
        <v>220</v>
      </c>
      <c r="I98" s="50">
        <v>12.65</v>
      </c>
      <c r="J98" s="53" t="s">
        <v>111</v>
      </c>
      <c r="K98" s="50">
        <v>12.45</v>
      </c>
      <c r="L98" s="50">
        <v>12.65</v>
      </c>
      <c r="M98" s="50">
        <v>329</v>
      </c>
      <c r="N98" s="50">
        <v>1929</v>
      </c>
      <c r="O98" s="52">
        <v>82</v>
      </c>
      <c r="P98" s="46">
        <v>0.24520175676814379</v>
      </c>
      <c r="U98" s="26">
        <f t="shared" si="4"/>
        <v>220</v>
      </c>
      <c r="V98" s="26">
        <f t="shared" si="5"/>
        <v>8.25</v>
      </c>
      <c r="W98">
        <f t="shared" si="6"/>
        <v>82</v>
      </c>
      <c r="X98" s="25">
        <f t="shared" si="7"/>
        <v>0.24520175676814379</v>
      </c>
    </row>
    <row r="99" spans="1:24" ht="15" thickBot="1">
      <c r="A99" s="48">
        <v>45947</v>
      </c>
      <c r="B99" s="49">
        <v>6.2</v>
      </c>
      <c r="C99" s="51" t="s">
        <v>27</v>
      </c>
      <c r="D99" s="50">
        <v>6.15</v>
      </c>
      <c r="E99" s="50">
        <v>6.25</v>
      </c>
      <c r="F99" s="50">
        <v>645</v>
      </c>
      <c r="G99" s="50">
        <v>10344</v>
      </c>
      <c r="H99" s="23">
        <v>225</v>
      </c>
      <c r="I99" s="50">
        <v>15.62</v>
      </c>
      <c r="J99" s="53" t="s">
        <v>112</v>
      </c>
      <c r="K99" s="50">
        <v>15.4</v>
      </c>
      <c r="L99" s="50">
        <v>15.7</v>
      </c>
      <c r="M99" s="50">
        <v>143</v>
      </c>
      <c r="N99" s="50">
        <v>1010</v>
      </c>
      <c r="O99" s="52">
        <v>82</v>
      </c>
      <c r="P99" s="46">
        <v>0.24074579960214063</v>
      </c>
      <c r="U99" s="26">
        <f t="shared" si="4"/>
        <v>225</v>
      </c>
      <c r="V99" s="26">
        <f t="shared" si="5"/>
        <v>6.2</v>
      </c>
      <c r="W99">
        <f t="shared" si="6"/>
        <v>82</v>
      </c>
      <c r="X99" s="25">
        <f t="shared" si="7"/>
        <v>0.24074579960214063</v>
      </c>
    </row>
    <row r="100" spans="1:24" ht="15" thickBot="1">
      <c r="A100" s="48">
        <v>45947</v>
      </c>
      <c r="B100" s="49">
        <v>4.5199999999999996</v>
      </c>
      <c r="C100" s="51" t="s">
        <v>41</v>
      </c>
      <c r="D100" s="50">
        <v>4.5</v>
      </c>
      <c r="E100" s="50">
        <v>4.5999999999999996</v>
      </c>
      <c r="F100" s="50">
        <v>1686</v>
      </c>
      <c r="G100" s="50">
        <v>12427</v>
      </c>
      <c r="H100" s="23">
        <v>230</v>
      </c>
      <c r="I100" s="50">
        <v>19.25</v>
      </c>
      <c r="J100" s="53" t="s">
        <v>113</v>
      </c>
      <c r="K100" s="50">
        <v>18.850000000000001</v>
      </c>
      <c r="L100" s="50">
        <v>19.3</v>
      </c>
      <c r="M100" s="50">
        <v>225</v>
      </c>
      <c r="N100" s="50">
        <v>2215</v>
      </c>
      <c r="O100" s="52">
        <v>82</v>
      </c>
      <c r="P100" s="46">
        <v>0.23628352869474675</v>
      </c>
      <c r="U100" s="26">
        <f t="shared" si="4"/>
        <v>230</v>
      </c>
      <c r="V100" s="26">
        <f t="shared" si="5"/>
        <v>4.5199999999999996</v>
      </c>
      <c r="W100">
        <f t="shared" si="6"/>
        <v>82</v>
      </c>
      <c r="X100" s="25">
        <f t="shared" si="7"/>
        <v>0.23628352869474675</v>
      </c>
    </row>
    <row r="101" spans="1:24" ht="15" thickBot="1">
      <c r="A101" s="48">
        <v>45947</v>
      </c>
      <c r="B101" s="49">
        <v>3.25</v>
      </c>
      <c r="C101" s="51" t="s">
        <v>36</v>
      </c>
      <c r="D101" s="50">
        <v>3.2</v>
      </c>
      <c r="E101" s="50">
        <v>3.3</v>
      </c>
      <c r="F101" s="50">
        <v>227</v>
      </c>
      <c r="G101" s="50">
        <v>8697</v>
      </c>
      <c r="H101" s="23">
        <v>235</v>
      </c>
      <c r="I101" s="50">
        <v>22.97</v>
      </c>
      <c r="J101" s="53" t="s">
        <v>114</v>
      </c>
      <c r="K101" s="50">
        <v>22.7</v>
      </c>
      <c r="L101" s="50">
        <v>23.3</v>
      </c>
      <c r="M101" s="50">
        <v>14</v>
      </c>
      <c r="N101" s="50">
        <v>1316</v>
      </c>
      <c r="O101" s="52">
        <v>82</v>
      </c>
      <c r="P101" s="46">
        <v>0.23380519965923452</v>
      </c>
      <c r="U101" s="26">
        <f t="shared" si="4"/>
        <v>235</v>
      </c>
      <c r="V101" s="26">
        <f t="shared" si="5"/>
        <v>3.25</v>
      </c>
      <c r="W101">
        <f t="shared" si="6"/>
        <v>82</v>
      </c>
      <c r="X101" s="25">
        <f t="shared" si="7"/>
        <v>0.23380519965923452</v>
      </c>
    </row>
    <row r="102" spans="1:24" ht="15" thickBot="1">
      <c r="A102" s="48">
        <v>45982</v>
      </c>
      <c r="B102" s="49">
        <v>26.55</v>
      </c>
      <c r="C102" s="51" t="s">
        <v>104</v>
      </c>
      <c r="D102" s="50">
        <v>26.4</v>
      </c>
      <c r="E102" s="50">
        <v>26.6</v>
      </c>
      <c r="F102" s="50">
        <v>7</v>
      </c>
      <c r="G102" s="50">
        <v>529</v>
      </c>
      <c r="H102" s="23">
        <v>195</v>
      </c>
      <c r="I102" s="50">
        <v>5.19</v>
      </c>
      <c r="J102" s="51" t="s">
        <v>71</v>
      </c>
      <c r="K102" s="50">
        <v>5.05</v>
      </c>
      <c r="L102" s="50">
        <v>5.2</v>
      </c>
      <c r="M102" s="50">
        <v>86</v>
      </c>
      <c r="N102" s="50">
        <v>2039</v>
      </c>
      <c r="O102" s="52">
        <v>117</v>
      </c>
      <c r="P102" s="46">
        <v>0.27969833699452196</v>
      </c>
      <c r="U102" s="26">
        <f t="shared" si="4"/>
        <v>195</v>
      </c>
      <c r="V102" s="26">
        <f t="shared" si="5"/>
        <v>26.55</v>
      </c>
      <c r="W102">
        <f t="shared" si="6"/>
        <v>117</v>
      </c>
      <c r="X102" s="25">
        <f t="shared" si="7"/>
        <v>0.27969833699452196</v>
      </c>
    </row>
    <row r="103" spans="1:24" ht="15" thickBot="1">
      <c r="A103" s="48">
        <v>45982</v>
      </c>
      <c r="B103" s="49">
        <v>22.58</v>
      </c>
      <c r="C103" s="51" t="s">
        <v>115</v>
      </c>
      <c r="D103" s="50">
        <v>22.7</v>
      </c>
      <c r="E103" s="50">
        <v>22.9</v>
      </c>
      <c r="F103" s="50">
        <v>34</v>
      </c>
      <c r="G103" s="50">
        <v>1319</v>
      </c>
      <c r="H103" s="23">
        <v>200</v>
      </c>
      <c r="I103" s="50">
        <v>6.35</v>
      </c>
      <c r="J103" s="51" t="s">
        <v>32</v>
      </c>
      <c r="K103" s="50">
        <v>6.3</v>
      </c>
      <c r="L103" s="50">
        <v>6.45</v>
      </c>
      <c r="M103" s="50">
        <v>53</v>
      </c>
      <c r="N103" s="50">
        <v>3646</v>
      </c>
      <c r="O103" s="52">
        <v>117</v>
      </c>
      <c r="P103" s="46">
        <v>0.26630175511635801</v>
      </c>
      <c r="U103" s="26">
        <f t="shared" si="4"/>
        <v>200</v>
      </c>
      <c r="V103" s="26">
        <f t="shared" si="5"/>
        <v>22.58</v>
      </c>
      <c r="W103">
        <f t="shared" si="6"/>
        <v>117</v>
      </c>
      <c r="X103" s="25">
        <f t="shared" si="7"/>
        <v>0.26630175511635801</v>
      </c>
    </row>
    <row r="104" spans="1:24" ht="15" thickBot="1">
      <c r="A104" s="48">
        <v>45982</v>
      </c>
      <c r="B104" s="49">
        <v>19.399999999999999</v>
      </c>
      <c r="C104" s="51" t="s">
        <v>29</v>
      </c>
      <c r="D104" s="50">
        <v>19.3</v>
      </c>
      <c r="E104" s="50">
        <v>19.45</v>
      </c>
      <c r="F104" s="50">
        <v>76</v>
      </c>
      <c r="G104" s="50">
        <v>1270</v>
      </c>
      <c r="H104" s="23">
        <v>205</v>
      </c>
      <c r="I104" s="50">
        <v>7.95</v>
      </c>
      <c r="J104" s="53" t="s">
        <v>116</v>
      </c>
      <c r="K104" s="50">
        <v>7.85</v>
      </c>
      <c r="L104" s="50">
        <v>7.95</v>
      </c>
      <c r="M104" s="50">
        <v>103</v>
      </c>
      <c r="N104" s="50">
        <v>1907</v>
      </c>
      <c r="O104" s="52">
        <v>117</v>
      </c>
      <c r="P104" s="46">
        <v>0.26661307955636415</v>
      </c>
      <c r="U104" s="26">
        <f t="shared" si="4"/>
        <v>205</v>
      </c>
      <c r="V104" s="26">
        <f t="shared" si="5"/>
        <v>19.399999999999999</v>
      </c>
      <c r="W104">
        <f t="shared" si="6"/>
        <v>117</v>
      </c>
      <c r="X104" s="25">
        <f t="shared" si="7"/>
        <v>0.26661307955636415</v>
      </c>
    </row>
    <row r="105" spans="1:24" ht="15" thickBot="1">
      <c r="A105" s="48">
        <v>45982</v>
      </c>
      <c r="B105" s="49">
        <v>16.21</v>
      </c>
      <c r="C105" s="51" t="s">
        <v>41</v>
      </c>
      <c r="D105" s="50">
        <v>16.149999999999999</v>
      </c>
      <c r="E105" s="50">
        <v>16.3</v>
      </c>
      <c r="F105" s="50">
        <v>118</v>
      </c>
      <c r="G105" s="50">
        <v>2181</v>
      </c>
      <c r="H105" s="23">
        <v>210</v>
      </c>
      <c r="I105" s="50">
        <v>9.9499999999999993</v>
      </c>
      <c r="J105" s="53" t="s">
        <v>88</v>
      </c>
      <c r="K105" s="50">
        <v>9.65</v>
      </c>
      <c r="L105" s="50">
        <v>9.8000000000000007</v>
      </c>
      <c r="M105" s="50">
        <v>25</v>
      </c>
      <c r="N105" s="50">
        <v>1572</v>
      </c>
      <c r="O105" s="52">
        <v>117</v>
      </c>
      <c r="P105" s="46">
        <v>0.26020589746952216</v>
      </c>
      <c r="U105" s="26">
        <f t="shared" si="4"/>
        <v>210</v>
      </c>
      <c r="V105" s="26">
        <f t="shared" si="5"/>
        <v>16.21</v>
      </c>
      <c r="W105">
        <f t="shared" si="6"/>
        <v>117</v>
      </c>
      <c r="X105" s="25">
        <f t="shared" si="7"/>
        <v>0.26020589746952216</v>
      </c>
    </row>
    <row r="106" spans="1:24" ht="15" thickBot="1">
      <c r="A106" s="48">
        <v>45982</v>
      </c>
      <c r="B106" s="49">
        <v>13.35</v>
      </c>
      <c r="C106" s="51" t="s">
        <v>32</v>
      </c>
      <c r="D106" s="50">
        <v>13.3</v>
      </c>
      <c r="E106" s="50">
        <v>13.4</v>
      </c>
      <c r="F106" s="50">
        <v>322</v>
      </c>
      <c r="G106" s="50">
        <v>3047</v>
      </c>
      <c r="H106" s="23">
        <v>215</v>
      </c>
      <c r="I106" s="50">
        <v>12.05</v>
      </c>
      <c r="J106" s="51" t="s">
        <v>45</v>
      </c>
      <c r="K106" s="50">
        <v>11.8</v>
      </c>
      <c r="L106" s="50">
        <v>11.95</v>
      </c>
      <c r="M106" s="50">
        <v>65</v>
      </c>
      <c r="N106" s="50">
        <v>576</v>
      </c>
      <c r="O106" s="52">
        <v>117</v>
      </c>
      <c r="P106" s="46">
        <v>0.25475907885842325</v>
      </c>
      <c r="U106" s="26">
        <f t="shared" si="4"/>
        <v>215</v>
      </c>
      <c r="V106" s="26">
        <f t="shared" si="5"/>
        <v>13.35</v>
      </c>
      <c r="W106">
        <f t="shared" si="6"/>
        <v>117</v>
      </c>
      <c r="X106" s="25">
        <f t="shared" si="7"/>
        <v>0.25475907885842325</v>
      </c>
    </row>
    <row r="107" spans="1:24" ht="15" thickBot="1">
      <c r="A107" s="48">
        <v>45982</v>
      </c>
      <c r="B107" s="49">
        <v>10.8</v>
      </c>
      <c r="C107" s="51" t="s">
        <v>37</v>
      </c>
      <c r="D107" s="50">
        <v>10.75</v>
      </c>
      <c r="E107" s="50">
        <v>10.9</v>
      </c>
      <c r="F107" s="50">
        <v>2413</v>
      </c>
      <c r="G107" s="50">
        <v>5922</v>
      </c>
      <c r="H107" s="23">
        <v>220</v>
      </c>
      <c r="I107" s="50">
        <v>14.4</v>
      </c>
      <c r="J107" s="53" t="s">
        <v>117</v>
      </c>
      <c r="K107" s="50">
        <v>14.25</v>
      </c>
      <c r="L107" s="50">
        <v>14.45</v>
      </c>
      <c r="M107" s="50">
        <v>220</v>
      </c>
      <c r="N107" s="50">
        <v>281</v>
      </c>
      <c r="O107" s="52">
        <v>117</v>
      </c>
      <c r="P107" s="46">
        <v>0.24946284760463522</v>
      </c>
      <c r="U107" s="26">
        <f t="shared" si="4"/>
        <v>220</v>
      </c>
      <c r="V107" s="26">
        <f t="shared" si="5"/>
        <v>10.8</v>
      </c>
      <c r="W107">
        <f t="shared" si="6"/>
        <v>117</v>
      </c>
      <c r="X107" s="25">
        <f t="shared" si="7"/>
        <v>0.24946284760463522</v>
      </c>
    </row>
    <row r="108" spans="1:24" ht="15" thickBot="1">
      <c r="A108" s="48">
        <v>45982</v>
      </c>
      <c r="B108" s="49">
        <v>8.5500000000000007</v>
      </c>
      <c r="C108" s="51" t="s">
        <v>21</v>
      </c>
      <c r="D108" s="50">
        <v>8.5500000000000007</v>
      </c>
      <c r="E108" s="50">
        <v>8.65</v>
      </c>
      <c r="F108" s="50">
        <v>80</v>
      </c>
      <c r="G108" s="50">
        <v>1848</v>
      </c>
      <c r="H108" s="23">
        <v>225</v>
      </c>
      <c r="I108" s="50">
        <v>16.920000000000002</v>
      </c>
      <c r="J108" s="51" t="s">
        <v>77</v>
      </c>
      <c r="K108" s="50">
        <v>17.100000000000001</v>
      </c>
      <c r="L108" s="50">
        <v>17.3</v>
      </c>
      <c r="M108" s="50">
        <v>2</v>
      </c>
      <c r="N108" s="50">
        <v>42</v>
      </c>
      <c r="O108" s="52">
        <v>117</v>
      </c>
      <c r="P108" s="46">
        <v>0.24393105493439446</v>
      </c>
      <c r="U108" s="26">
        <f t="shared" si="4"/>
        <v>225</v>
      </c>
      <c r="V108" s="26">
        <f t="shared" si="5"/>
        <v>8.5500000000000007</v>
      </c>
      <c r="W108">
        <f t="shared" si="6"/>
        <v>117</v>
      </c>
      <c r="X108" s="25">
        <f t="shared" si="7"/>
        <v>0.24393105493439446</v>
      </c>
    </row>
    <row r="109" spans="1:24" ht="15" thickBot="1">
      <c r="A109" s="48">
        <v>45982</v>
      </c>
      <c r="B109" s="49">
        <v>6.69</v>
      </c>
      <c r="C109" s="51" t="s">
        <v>34</v>
      </c>
      <c r="D109" s="50">
        <v>6.65</v>
      </c>
      <c r="E109" s="50">
        <v>6.8</v>
      </c>
      <c r="F109" s="50">
        <v>126</v>
      </c>
      <c r="G109" s="50">
        <v>4091</v>
      </c>
      <c r="H109" s="23">
        <v>230</v>
      </c>
      <c r="I109" s="50">
        <v>20.65</v>
      </c>
      <c r="J109" s="53" t="s">
        <v>69</v>
      </c>
      <c r="K109" s="50">
        <v>20.25</v>
      </c>
      <c r="L109" s="50">
        <v>20.8</v>
      </c>
      <c r="M109" s="50">
        <v>9</v>
      </c>
      <c r="N109" s="50">
        <v>93</v>
      </c>
      <c r="O109" s="52">
        <v>117</v>
      </c>
      <c r="P109" s="46">
        <v>0.24007909305910133</v>
      </c>
      <c r="U109" s="26">
        <f t="shared" si="4"/>
        <v>230</v>
      </c>
      <c r="V109" s="26">
        <f t="shared" si="5"/>
        <v>6.69</v>
      </c>
      <c r="W109">
        <f t="shared" si="6"/>
        <v>117</v>
      </c>
      <c r="X109" s="25">
        <f t="shared" si="7"/>
        <v>0.24007909305910133</v>
      </c>
    </row>
    <row r="110" spans="1:24" ht="15" thickBot="1">
      <c r="A110" s="48">
        <v>45982</v>
      </c>
      <c r="B110" s="49">
        <v>5.2</v>
      </c>
      <c r="C110" s="51" t="s">
        <v>31</v>
      </c>
      <c r="D110" s="50">
        <v>5.0999999999999996</v>
      </c>
      <c r="E110" s="50">
        <v>5.25</v>
      </c>
      <c r="F110" s="50">
        <v>444</v>
      </c>
      <c r="G110" s="50">
        <v>3884</v>
      </c>
      <c r="H110" s="23">
        <v>235</v>
      </c>
      <c r="I110" s="50">
        <v>24.25</v>
      </c>
      <c r="J110" s="53" t="s">
        <v>80</v>
      </c>
      <c r="K110" s="50">
        <v>23.8</v>
      </c>
      <c r="L110" s="50">
        <v>24.7</v>
      </c>
      <c r="M110" s="50">
        <v>13</v>
      </c>
      <c r="N110" s="50">
        <v>68</v>
      </c>
      <c r="O110" s="52">
        <v>117</v>
      </c>
      <c r="P110" s="46">
        <v>0.23796102485098322</v>
      </c>
      <c r="U110" s="26">
        <f t="shared" si="4"/>
        <v>235</v>
      </c>
      <c r="V110" s="26">
        <f t="shared" si="5"/>
        <v>5.2</v>
      </c>
      <c r="W110">
        <f t="shared" si="6"/>
        <v>117</v>
      </c>
      <c r="X110" s="25">
        <f t="shared" si="7"/>
        <v>0.23796102485098322</v>
      </c>
    </row>
    <row r="111" spans="1:24" ht="15" thickBot="1">
      <c r="A111" s="48">
        <v>46010</v>
      </c>
      <c r="B111" s="49">
        <v>27.9</v>
      </c>
      <c r="C111" s="51" t="s">
        <v>118</v>
      </c>
      <c r="D111" s="50">
        <v>27.85</v>
      </c>
      <c r="E111" s="50">
        <v>28.05</v>
      </c>
      <c r="F111" s="50">
        <v>15</v>
      </c>
      <c r="G111" s="50">
        <v>2617</v>
      </c>
      <c r="H111" s="23">
        <v>195</v>
      </c>
      <c r="I111" s="50">
        <v>6</v>
      </c>
      <c r="J111" s="51" t="s">
        <v>27</v>
      </c>
      <c r="K111" s="50">
        <v>5.9</v>
      </c>
      <c r="L111" s="50">
        <v>6</v>
      </c>
      <c r="M111" s="50">
        <v>110</v>
      </c>
      <c r="N111" s="50">
        <v>17402</v>
      </c>
      <c r="O111" s="52">
        <v>145</v>
      </c>
      <c r="P111" s="46">
        <v>0.27231908091236601</v>
      </c>
      <c r="U111" s="26">
        <f t="shared" si="4"/>
        <v>195</v>
      </c>
      <c r="V111" s="26">
        <f t="shared" si="5"/>
        <v>27.9</v>
      </c>
      <c r="W111">
        <f t="shared" si="6"/>
        <v>145</v>
      </c>
      <c r="X111" s="25">
        <f t="shared" si="7"/>
        <v>0.27231908091236601</v>
      </c>
    </row>
    <row r="112" spans="1:24" ht="15" thickBot="1">
      <c r="A112" s="48">
        <v>46010</v>
      </c>
      <c r="B112" s="49">
        <v>24.08</v>
      </c>
      <c r="C112" s="51" t="s">
        <v>115</v>
      </c>
      <c r="D112" s="50">
        <v>24.2</v>
      </c>
      <c r="E112" s="50">
        <v>24.4</v>
      </c>
      <c r="F112" s="50">
        <v>69</v>
      </c>
      <c r="G112" s="50">
        <v>7244</v>
      </c>
      <c r="H112" s="23">
        <v>200</v>
      </c>
      <c r="I112" s="50">
        <v>7.25</v>
      </c>
      <c r="J112" s="51" t="s">
        <v>63</v>
      </c>
      <c r="K112" s="50">
        <v>7.25</v>
      </c>
      <c r="L112" s="50">
        <v>7.35</v>
      </c>
      <c r="M112" s="50">
        <v>55</v>
      </c>
      <c r="N112" s="50">
        <v>18337</v>
      </c>
      <c r="O112" s="52">
        <v>145</v>
      </c>
      <c r="P112" s="46">
        <v>0.26220548912309988</v>
      </c>
      <c r="U112" s="26">
        <f t="shared" si="4"/>
        <v>200</v>
      </c>
      <c r="V112" s="26">
        <f t="shared" si="5"/>
        <v>24.08</v>
      </c>
      <c r="W112">
        <f t="shared" si="6"/>
        <v>145</v>
      </c>
      <c r="X112" s="25">
        <f t="shared" si="7"/>
        <v>0.26220548912309988</v>
      </c>
    </row>
    <row r="113" spans="1:24" ht="15" thickBot="1">
      <c r="A113" s="48">
        <v>46010</v>
      </c>
      <c r="B113" s="49">
        <v>20.81</v>
      </c>
      <c r="C113" s="51" t="s">
        <v>119</v>
      </c>
      <c r="D113" s="50">
        <v>20.85</v>
      </c>
      <c r="E113" s="50">
        <v>21</v>
      </c>
      <c r="F113" s="50">
        <v>39</v>
      </c>
      <c r="G113" s="50">
        <v>4214</v>
      </c>
      <c r="H113" s="23">
        <v>205</v>
      </c>
      <c r="I113" s="50">
        <v>8.9499999999999993</v>
      </c>
      <c r="J113" s="50" t="s">
        <v>19</v>
      </c>
      <c r="K113" s="50">
        <v>8.75</v>
      </c>
      <c r="L113" s="50">
        <v>8.9</v>
      </c>
      <c r="M113" s="50">
        <v>22</v>
      </c>
      <c r="N113" s="50">
        <v>5420</v>
      </c>
      <c r="O113" s="52">
        <v>145</v>
      </c>
      <c r="P113" s="46">
        <v>0.25943904056779477</v>
      </c>
      <c r="U113" s="26">
        <f t="shared" si="4"/>
        <v>205</v>
      </c>
      <c r="V113" s="26">
        <f t="shared" si="5"/>
        <v>20.81</v>
      </c>
      <c r="W113">
        <f t="shared" si="6"/>
        <v>145</v>
      </c>
      <c r="X113" s="25">
        <f t="shared" si="7"/>
        <v>0.25943904056779477</v>
      </c>
    </row>
    <row r="114" spans="1:24" ht="15" thickBot="1">
      <c r="A114" s="48">
        <v>46010</v>
      </c>
      <c r="B114" s="49">
        <v>17.75</v>
      </c>
      <c r="C114" s="51" t="s">
        <v>36</v>
      </c>
      <c r="D114" s="50">
        <v>17.7</v>
      </c>
      <c r="E114" s="50">
        <v>17.850000000000001</v>
      </c>
      <c r="F114" s="50">
        <v>334</v>
      </c>
      <c r="G114" s="50">
        <v>7553</v>
      </c>
      <c r="H114" s="23">
        <v>210</v>
      </c>
      <c r="I114" s="50">
        <v>10.6</v>
      </c>
      <c r="J114" s="51" t="s">
        <v>31</v>
      </c>
      <c r="K114" s="50">
        <v>10.6</v>
      </c>
      <c r="L114" s="50">
        <v>10.75</v>
      </c>
      <c r="M114" s="50">
        <v>153</v>
      </c>
      <c r="N114" s="50">
        <v>5189</v>
      </c>
      <c r="O114" s="52">
        <v>145</v>
      </c>
      <c r="P114" s="46">
        <v>0.25569790700419442</v>
      </c>
      <c r="U114" s="26">
        <f t="shared" si="4"/>
        <v>210</v>
      </c>
      <c r="V114" s="26">
        <f t="shared" si="5"/>
        <v>17.75</v>
      </c>
      <c r="W114">
        <f t="shared" si="6"/>
        <v>145</v>
      </c>
      <c r="X114" s="25">
        <f t="shared" si="7"/>
        <v>0.25569790700419442</v>
      </c>
    </row>
    <row r="115" spans="1:24" ht="15" thickBot="1">
      <c r="A115" s="48">
        <v>46010</v>
      </c>
      <c r="B115" s="49">
        <v>14.91</v>
      </c>
      <c r="C115" s="51" t="s">
        <v>120</v>
      </c>
      <c r="D115" s="50">
        <v>14.75</v>
      </c>
      <c r="E115" s="50">
        <v>15</v>
      </c>
      <c r="F115" s="50">
        <v>405</v>
      </c>
      <c r="G115" s="50">
        <v>7998</v>
      </c>
      <c r="H115" s="23">
        <v>215</v>
      </c>
      <c r="I115" s="50">
        <v>12.9</v>
      </c>
      <c r="J115" s="51" t="s">
        <v>76</v>
      </c>
      <c r="K115" s="50">
        <v>12.7</v>
      </c>
      <c r="L115" s="50">
        <v>12.9</v>
      </c>
      <c r="M115" s="50">
        <v>71</v>
      </c>
      <c r="N115" s="50">
        <v>6768</v>
      </c>
      <c r="O115" s="52">
        <v>145</v>
      </c>
      <c r="P115" s="46">
        <v>0.25107974806488526</v>
      </c>
      <c r="U115" s="26">
        <f t="shared" si="4"/>
        <v>215</v>
      </c>
      <c r="V115" s="26">
        <f t="shared" si="5"/>
        <v>14.91</v>
      </c>
      <c r="W115">
        <f t="shared" si="6"/>
        <v>145</v>
      </c>
      <c r="X115" s="25">
        <f t="shared" si="7"/>
        <v>0.25107974806488526</v>
      </c>
    </row>
    <row r="116" spans="1:24" ht="15" thickBot="1">
      <c r="A116" s="48">
        <v>46010</v>
      </c>
      <c r="B116" s="49">
        <v>12.35</v>
      </c>
      <c r="C116" s="51" t="s">
        <v>37</v>
      </c>
      <c r="D116" s="50">
        <v>12.25</v>
      </c>
      <c r="E116" s="50">
        <v>12.4</v>
      </c>
      <c r="F116" s="50">
        <v>481</v>
      </c>
      <c r="G116" s="50">
        <v>14156</v>
      </c>
      <c r="H116" s="23">
        <v>220</v>
      </c>
      <c r="I116" s="50">
        <v>14.97</v>
      </c>
      <c r="J116" s="51" t="s">
        <v>71</v>
      </c>
      <c r="K116" s="50">
        <v>15.15</v>
      </c>
      <c r="L116" s="50">
        <v>15.35</v>
      </c>
      <c r="M116" s="50">
        <v>41</v>
      </c>
      <c r="N116" s="50">
        <v>7317</v>
      </c>
      <c r="O116" s="52">
        <v>145</v>
      </c>
      <c r="P116" s="46">
        <v>0.24657367727411938</v>
      </c>
      <c r="U116" s="26">
        <f t="shared" si="4"/>
        <v>220</v>
      </c>
      <c r="V116" s="26">
        <f t="shared" si="5"/>
        <v>12.35</v>
      </c>
      <c r="W116">
        <f t="shared" si="6"/>
        <v>145</v>
      </c>
      <c r="X116" s="25">
        <f t="shared" si="7"/>
        <v>0.24657367727411938</v>
      </c>
    </row>
    <row r="117" spans="1:24" ht="15" thickBot="1">
      <c r="A117" s="48">
        <v>46010</v>
      </c>
      <c r="B117" s="49">
        <v>10.029999999999999</v>
      </c>
      <c r="C117" s="51" t="s">
        <v>35</v>
      </c>
      <c r="D117" s="50">
        <v>10</v>
      </c>
      <c r="E117" s="50">
        <v>10.1</v>
      </c>
      <c r="F117" s="50">
        <v>157</v>
      </c>
      <c r="G117" s="50">
        <v>6848</v>
      </c>
      <c r="H117" s="23">
        <v>225</v>
      </c>
      <c r="I117" s="50">
        <v>18.25</v>
      </c>
      <c r="J117" s="53" t="s">
        <v>121</v>
      </c>
      <c r="K117" s="50">
        <v>17.899999999999999</v>
      </c>
      <c r="L117" s="50">
        <v>18.3</v>
      </c>
      <c r="M117" s="50">
        <v>5</v>
      </c>
      <c r="N117" s="50">
        <v>4656</v>
      </c>
      <c r="O117" s="52">
        <v>145</v>
      </c>
      <c r="P117" s="46">
        <v>0.24131877597158305</v>
      </c>
      <c r="U117" s="26">
        <f t="shared" si="4"/>
        <v>225</v>
      </c>
      <c r="V117" s="26">
        <f t="shared" si="5"/>
        <v>10.029999999999999</v>
      </c>
      <c r="W117">
        <f t="shared" si="6"/>
        <v>145</v>
      </c>
      <c r="X117" s="25">
        <f t="shared" si="7"/>
        <v>0.24131877597158305</v>
      </c>
    </row>
    <row r="118" spans="1:24" ht="15" thickBot="1">
      <c r="A118" s="48">
        <v>46010</v>
      </c>
      <c r="B118" s="49">
        <v>8.1</v>
      </c>
      <c r="C118" s="51" t="s">
        <v>37</v>
      </c>
      <c r="D118" s="50">
        <v>8</v>
      </c>
      <c r="E118" s="50">
        <v>8.15</v>
      </c>
      <c r="F118" s="50">
        <v>716</v>
      </c>
      <c r="G118" s="50">
        <v>8521</v>
      </c>
      <c r="H118" s="23">
        <v>230</v>
      </c>
      <c r="I118" s="50">
        <v>21.35</v>
      </c>
      <c r="J118" s="53" t="s">
        <v>117</v>
      </c>
      <c r="K118" s="50">
        <v>21</v>
      </c>
      <c r="L118" s="50">
        <v>21.45</v>
      </c>
      <c r="M118" s="50">
        <v>37</v>
      </c>
      <c r="N118" s="50">
        <v>1762</v>
      </c>
      <c r="O118" s="52">
        <v>145</v>
      </c>
      <c r="P118" s="46">
        <v>0.23811346736890709</v>
      </c>
      <c r="U118" s="26">
        <f t="shared" si="4"/>
        <v>230</v>
      </c>
      <c r="V118" s="26">
        <f t="shared" si="5"/>
        <v>8.1</v>
      </c>
      <c r="W118">
        <f t="shared" si="6"/>
        <v>145</v>
      </c>
      <c r="X118" s="25">
        <f t="shared" si="7"/>
        <v>0.23811346736890709</v>
      </c>
    </row>
    <row r="119" spans="1:24" ht="15" thickBot="1">
      <c r="A119" s="48">
        <v>46010</v>
      </c>
      <c r="B119" s="49">
        <v>6.4</v>
      </c>
      <c r="C119" s="51" t="s">
        <v>31</v>
      </c>
      <c r="D119" s="50">
        <v>6.25</v>
      </c>
      <c r="E119" s="50">
        <v>6.45</v>
      </c>
      <c r="F119" s="50">
        <v>334</v>
      </c>
      <c r="G119" s="50">
        <v>12147</v>
      </c>
      <c r="H119" s="23">
        <v>235</v>
      </c>
      <c r="I119" s="50">
        <v>24.8</v>
      </c>
      <c r="J119" s="53" t="s">
        <v>122</v>
      </c>
      <c r="K119" s="50">
        <v>24.45</v>
      </c>
      <c r="L119" s="50">
        <v>25.05</v>
      </c>
      <c r="M119" s="50">
        <v>9</v>
      </c>
      <c r="N119" s="50">
        <v>2182</v>
      </c>
      <c r="O119" s="52">
        <v>145</v>
      </c>
      <c r="P119" s="46">
        <v>0.23410098520176792</v>
      </c>
      <c r="U119" s="26">
        <f t="shared" si="4"/>
        <v>235</v>
      </c>
      <c r="V119" s="26">
        <f t="shared" si="5"/>
        <v>6.4</v>
      </c>
      <c r="W119">
        <f t="shared" si="6"/>
        <v>145</v>
      </c>
      <c r="X119" s="25">
        <f t="shared" si="7"/>
        <v>0.23410098520176792</v>
      </c>
    </row>
    <row r="120" spans="1:24" ht="15" thickBot="1">
      <c r="A120" s="48">
        <v>46038</v>
      </c>
      <c r="B120" s="49">
        <v>29.13</v>
      </c>
      <c r="C120" s="51" t="s">
        <v>123</v>
      </c>
      <c r="D120" s="50">
        <v>29.1</v>
      </c>
      <c r="E120" s="50">
        <v>29.5</v>
      </c>
      <c r="F120" s="50">
        <v>15</v>
      </c>
      <c r="G120" s="50">
        <v>7051</v>
      </c>
      <c r="H120" s="23">
        <v>195</v>
      </c>
      <c r="I120" s="50">
        <v>6.75</v>
      </c>
      <c r="J120" s="50" t="s">
        <v>19</v>
      </c>
      <c r="K120" s="50">
        <v>6.6</v>
      </c>
      <c r="L120" s="50">
        <v>6.75</v>
      </c>
      <c r="M120" s="50">
        <v>344</v>
      </c>
      <c r="N120" s="50">
        <v>19592</v>
      </c>
      <c r="O120" s="52">
        <v>173</v>
      </c>
      <c r="P120" s="46">
        <v>0.26589795912508768</v>
      </c>
      <c r="U120" s="26">
        <f t="shared" si="4"/>
        <v>195</v>
      </c>
      <c r="V120" s="26">
        <f t="shared" si="5"/>
        <v>29.13</v>
      </c>
      <c r="W120">
        <f t="shared" si="6"/>
        <v>173</v>
      </c>
      <c r="X120" s="25">
        <f t="shared" si="7"/>
        <v>0.26589795912508768</v>
      </c>
    </row>
    <row r="121" spans="1:24" ht="15" thickBot="1">
      <c r="A121" s="48">
        <v>46038</v>
      </c>
      <c r="B121" s="49">
        <v>25.8</v>
      </c>
      <c r="C121" s="51" t="s">
        <v>37</v>
      </c>
      <c r="D121" s="50">
        <v>25.65</v>
      </c>
      <c r="E121" s="50">
        <v>25.9</v>
      </c>
      <c r="F121" s="50">
        <v>3448</v>
      </c>
      <c r="G121" s="50">
        <v>21700</v>
      </c>
      <c r="H121" s="23">
        <v>200</v>
      </c>
      <c r="I121" s="50">
        <v>8.07</v>
      </c>
      <c r="J121" s="51" t="s">
        <v>32</v>
      </c>
      <c r="K121" s="50">
        <v>8</v>
      </c>
      <c r="L121" s="50">
        <v>8.1999999999999993</v>
      </c>
      <c r="M121" s="50">
        <v>304</v>
      </c>
      <c r="N121" s="50">
        <v>40380</v>
      </c>
      <c r="O121" s="52">
        <v>173</v>
      </c>
      <c r="P121" s="46">
        <v>0.26547662764111435</v>
      </c>
      <c r="U121" s="26">
        <f t="shared" si="4"/>
        <v>200</v>
      </c>
      <c r="V121" s="26">
        <f t="shared" si="5"/>
        <v>25.8</v>
      </c>
      <c r="W121">
        <f t="shared" si="6"/>
        <v>173</v>
      </c>
      <c r="X121" s="25">
        <f t="shared" si="7"/>
        <v>0.26547662764111435</v>
      </c>
    </row>
    <row r="122" spans="1:24" ht="15" thickBot="1">
      <c r="A122" s="48">
        <v>46038</v>
      </c>
      <c r="B122" s="49">
        <v>22.45</v>
      </c>
      <c r="C122" s="51" t="s">
        <v>31</v>
      </c>
      <c r="D122" s="50">
        <v>22.3</v>
      </c>
      <c r="E122" s="50">
        <v>22.55</v>
      </c>
      <c r="F122" s="50">
        <v>237</v>
      </c>
      <c r="G122" s="50">
        <v>5638</v>
      </c>
      <c r="H122" s="23">
        <v>205</v>
      </c>
      <c r="I122" s="50">
        <v>9.77</v>
      </c>
      <c r="J122" s="53" t="s">
        <v>106</v>
      </c>
      <c r="K122" s="50">
        <v>9.5500000000000007</v>
      </c>
      <c r="L122" s="50">
        <v>9.75</v>
      </c>
      <c r="M122" s="50">
        <v>381</v>
      </c>
      <c r="N122" s="50">
        <v>10322</v>
      </c>
      <c r="O122" s="52">
        <v>173</v>
      </c>
      <c r="P122" s="46">
        <v>0.26016753736267551</v>
      </c>
      <c r="U122" s="26">
        <f t="shared" si="4"/>
        <v>205</v>
      </c>
      <c r="V122" s="26">
        <f t="shared" si="5"/>
        <v>22.45</v>
      </c>
      <c r="W122">
        <f t="shared" si="6"/>
        <v>173</v>
      </c>
      <c r="X122" s="25">
        <f t="shared" si="7"/>
        <v>0.26016753736267551</v>
      </c>
    </row>
    <row r="123" spans="1:24" ht="15" thickBot="1">
      <c r="A123" s="48">
        <v>46038</v>
      </c>
      <c r="B123" s="49">
        <v>19.3</v>
      </c>
      <c r="C123" s="51" t="s">
        <v>36</v>
      </c>
      <c r="D123" s="50">
        <v>19.25</v>
      </c>
      <c r="E123" s="50">
        <v>19.399999999999999</v>
      </c>
      <c r="F123" s="50">
        <v>441</v>
      </c>
      <c r="G123" s="50">
        <v>11770</v>
      </c>
      <c r="H123" s="23">
        <v>210</v>
      </c>
      <c r="I123" s="50">
        <v>11.57</v>
      </c>
      <c r="J123" s="53" t="s">
        <v>57</v>
      </c>
      <c r="K123" s="50">
        <v>11.45</v>
      </c>
      <c r="L123" s="50">
        <v>11.7</v>
      </c>
      <c r="M123" s="50">
        <v>353</v>
      </c>
      <c r="N123" s="50">
        <v>32005</v>
      </c>
      <c r="O123" s="52">
        <v>173</v>
      </c>
      <c r="P123" s="46">
        <v>0.2544822247082808</v>
      </c>
      <c r="U123" s="26">
        <f t="shared" si="4"/>
        <v>210</v>
      </c>
      <c r="V123" s="26">
        <f t="shared" si="5"/>
        <v>19.3</v>
      </c>
      <c r="W123">
        <f t="shared" si="6"/>
        <v>173</v>
      </c>
      <c r="X123" s="25">
        <f t="shared" si="7"/>
        <v>0.2544822247082808</v>
      </c>
    </row>
    <row r="124" spans="1:24" ht="15" thickBot="1">
      <c r="A124" s="48">
        <v>46038</v>
      </c>
      <c r="B124" s="49">
        <v>16.399999999999999</v>
      </c>
      <c r="C124" s="51" t="s">
        <v>36</v>
      </c>
      <c r="D124" s="50">
        <v>16.25</v>
      </c>
      <c r="E124" s="50">
        <v>16.55</v>
      </c>
      <c r="F124" s="50">
        <v>475</v>
      </c>
      <c r="G124" s="50">
        <v>11636</v>
      </c>
      <c r="H124" s="23">
        <v>215</v>
      </c>
      <c r="I124" s="50">
        <v>13.75</v>
      </c>
      <c r="J124" s="53" t="s">
        <v>78</v>
      </c>
      <c r="K124" s="50">
        <v>13.55</v>
      </c>
      <c r="L124" s="50">
        <v>13.7</v>
      </c>
      <c r="M124" s="50">
        <v>40</v>
      </c>
      <c r="N124" s="50">
        <v>11189</v>
      </c>
      <c r="O124" s="52">
        <v>173</v>
      </c>
      <c r="P124" s="46">
        <v>0.24907340743836917</v>
      </c>
      <c r="U124" s="26">
        <f t="shared" si="4"/>
        <v>215</v>
      </c>
      <c r="V124" s="26">
        <f t="shared" si="5"/>
        <v>16.399999999999999</v>
      </c>
      <c r="W124">
        <f t="shared" si="6"/>
        <v>173</v>
      </c>
      <c r="X124" s="25">
        <f t="shared" si="7"/>
        <v>0.24907340743836917</v>
      </c>
    </row>
    <row r="125" spans="1:24" ht="15" thickBot="1">
      <c r="A125" s="48">
        <v>46038</v>
      </c>
      <c r="B125" s="49">
        <v>13.85</v>
      </c>
      <c r="C125" s="51" t="s">
        <v>37</v>
      </c>
      <c r="D125" s="50">
        <v>13.75</v>
      </c>
      <c r="E125" s="50">
        <v>13.95</v>
      </c>
      <c r="F125" s="50">
        <v>708</v>
      </c>
      <c r="G125" s="50">
        <v>18618</v>
      </c>
      <c r="H125" s="23">
        <v>220</v>
      </c>
      <c r="I125" s="50">
        <v>16.2</v>
      </c>
      <c r="J125" s="51" t="s">
        <v>32</v>
      </c>
      <c r="K125" s="50">
        <v>15.95</v>
      </c>
      <c r="L125" s="50">
        <v>16.25</v>
      </c>
      <c r="M125" s="50">
        <v>137</v>
      </c>
      <c r="N125" s="50">
        <v>15159</v>
      </c>
      <c r="O125" s="52">
        <v>173</v>
      </c>
      <c r="P125" s="46">
        <v>0.24540289013890343</v>
      </c>
      <c r="U125" s="26">
        <f t="shared" si="4"/>
        <v>220</v>
      </c>
      <c r="V125" s="26">
        <f t="shared" si="5"/>
        <v>13.85</v>
      </c>
      <c r="W125">
        <f t="shared" si="6"/>
        <v>173</v>
      </c>
      <c r="X125" s="25">
        <f t="shared" si="7"/>
        <v>0.24540289013890343</v>
      </c>
    </row>
    <row r="126" spans="1:24" ht="15" thickBot="1">
      <c r="A126" s="48">
        <v>46038</v>
      </c>
      <c r="B126" s="49">
        <v>11.5</v>
      </c>
      <c r="C126" s="51" t="s">
        <v>21</v>
      </c>
      <c r="D126" s="50">
        <v>11.45</v>
      </c>
      <c r="E126" s="50">
        <v>11.55</v>
      </c>
      <c r="F126" s="50">
        <v>671</v>
      </c>
      <c r="G126" s="50">
        <v>25571</v>
      </c>
      <c r="H126" s="23">
        <v>225</v>
      </c>
      <c r="I126" s="50">
        <v>18.899999999999999</v>
      </c>
      <c r="J126" s="53" t="s">
        <v>124</v>
      </c>
      <c r="K126" s="50">
        <v>18.7</v>
      </c>
      <c r="L126" s="50">
        <v>19</v>
      </c>
      <c r="M126" s="50">
        <v>20</v>
      </c>
      <c r="N126" s="50">
        <v>8535</v>
      </c>
      <c r="O126" s="52">
        <v>173</v>
      </c>
      <c r="P126" s="46">
        <v>0.24078567231142003</v>
      </c>
      <c r="U126" s="26">
        <f t="shared" si="4"/>
        <v>225</v>
      </c>
      <c r="V126" s="26">
        <f t="shared" si="5"/>
        <v>11.5</v>
      </c>
      <c r="W126">
        <f t="shared" si="6"/>
        <v>173</v>
      </c>
      <c r="X126" s="25">
        <f t="shared" si="7"/>
        <v>0.24078567231142003</v>
      </c>
    </row>
    <row r="127" spans="1:24" ht="15" thickBot="1">
      <c r="A127" s="48">
        <v>46038</v>
      </c>
      <c r="B127" s="49">
        <v>9.43</v>
      </c>
      <c r="C127" s="51" t="s">
        <v>25</v>
      </c>
      <c r="D127" s="50">
        <v>9.35</v>
      </c>
      <c r="E127" s="50">
        <v>9.5</v>
      </c>
      <c r="F127" s="50">
        <v>554</v>
      </c>
      <c r="G127" s="50">
        <v>22422</v>
      </c>
      <c r="H127" s="23">
        <v>230</v>
      </c>
      <c r="I127" s="50">
        <v>21.87</v>
      </c>
      <c r="J127" s="53" t="s">
        <v>121</v>
      </c>
      <c r="K127" s="50">
        <v>21.7</v>
      </c>
      <c r="L127" s="50">
        <v>22</v>
      </c>
      <c r="M127" s="50">
        <v>43</v>
      </c>
      <c r="N127" s="50">
        <v>8380</v>
      </c>
      <c r="O127" s="52">
        <v>173</v>
      </c>
      <c r="P127" s="46">
        <v>0.23655500741303073</v>
      </c>
      <c r="U127" s="26">
        <f t="shared" si="4"/>
        <v>230</v>
      </c>
      <c r="V127" s="26">
        <f t="shared" si="5"/>
        <v>9.43</v>
      </c>
      <c r="W127">
        <f t="shared" si="6"/>
        <v>173</v>
      </c>
      <c r="X127" s="25">
        <f t="shared" si="7"/>
        <v>0.23655500741303073</v>
      </c>
    </row>
    <row r="128" spans="1:24" ht="15" thickBot="1">
      <c r="A128" s="48">
        <v>46038</v>
      </c>
      <c r="B128" s="49">
        <v>7.6</v>
      </c>
      <c r="C128" s="51" t="s">
        <v>125</v>
      </c>
      <c r="D128" s="50">
        <v>7.55</v>
      </c>
      <c r="E128" s="50">
        <v>7.7</v>
      </c>
      <c r="F128" s="50">
        <v>201</v>
      </c>
      <c r="G128" s="50">
        <v>23484</v>
      </c>
      <c r="H128" s="23">
        <v>235</v>
      </c>
      <c r="I128" s="50">
        <v>25.22</v>
      </c>
      <c r="J128" s="53" t="s">
        <v>114</v>
      </c>
      <c r="K128" s="50">
        <v>25.05</v>
      </c>
      <c r="L128" s="50">
        <v>25.75</v>
      </c>
      <c r="M128" s="50">
        <v>9</v>
      </c>
      <c r="N128" s="50">
        <v>3788</v>
      </c>
      <c r="O128" s="52">
        <v>173</v>
      </c>
      <c r="P128" s="46">
        <v>0.23206406260760329</v>
      </c>
      <c r="U128" s="26">
        <f t="shared" si="4"/>
        <v>235</v>
      </c>
      <c r="V128" s="26">
        <f t="shared" si="5"/>
        <v>7.6</v>
      </c>
      <c r="W128">
        <f t="shared" si="6"/>
        <v>173</v>
      </c>
      <c r="X128" s="25">
        <f t="shared" si="7"/>
        <v>0.23206406260760329</v>
      </c>
    </row>
    <row r="129" spans="1:24" ht="15" thickBot="1">
      <c r="A129" s="48">
        <v>46073</v>
      </c>
      <c r="B129" s="49">
        <v>30.85</v>
      </c>
      <c r="C129" s="51" t="s">
        <v>126</v>
      </c>
      <c r="D129" s="50">
        <v>30.85</v>
      </c>
      <c r="E129" s="50">
        <v>31.35</v>
      </c>
      <c r="F129" s="50">
        <v>6</v>
      </c>
      <c r="G129" s="50">
        <v>223</v>
      </c>
      <c r="H129" s="23">
        <v>195</v>
      </c>
      <c r="I129" s="50">
        <v>7.8</v>
      </c>
      <c r="J129" s="53" t="s">
        <v>78</v>
      </c>
      <c r="K129" s="50">
        <v>7.7</v>
      </c>
      <c r="L129" s="50">
        <v>8.0500000000000007</v>
      </c>
      <c r="M129" s="50">
        <v>130</v>
      </c>
      <c r="N129" s="50">
        <v>1286</v>
      </c>
      <c r="O129" s="52">
        <v>208</v>
      </c>
      <c r="P129" s="46">
        <v>0.26498413168301199</v>
      </c>
      <c r="U129" s="26">
        <f t="shared" si="4"/>
        <v>195</v>
      </c>
      <c r="V129" s="26">
        <f t="shared" si="5"/>
        <v>30.85</v>
      </c>
      <c r="W129">
        <f t="shared" si="6"/>
        <v>208</v>
      </c>
      <c r="X129" s="25">
        <f t="shared" si="7"/>
        <v>0.26498413168301199</v>
      </c>
    </row>
    <row r="130" spans="1:24" ht="15" thickBot="1">
      <c r="A130" s="48">
        <v>46073</v>
      </c>
      <c r="B130" s="49">
        <v>27.5</v>
      </c>
      <c r="C130" s="51" t="s">
        <v>127</v>
      </c>
      <c r="D130" s="50">
        <v>27.4</v>
      </c>
      <c r="E130" s="50">
        <v>27.85</v>
      </c>
      <c r="F130" s="50">
        <v>56</v>
      </c>
      <c r="G130" s="50">
        <v>377</v>
      </c>
      <c r="H130" s="23">
        <v>200</v>
      </c>
      <c r="I130" s="50">
        <v>9.25</v>
      </c>
      <c r="J130" s="51" t="s">
        <v>63</v>
      </c>
      <c r="K130" s="50">
        <v>9.15</v>
      </c>
      <c r="L130" s="50">
        <v>9.4499999999999993</v>
      </c>
      <c r="M130" s="50">
        <v>3</v>
      </c>
      <c r="N130" s="50">
        <v>615</v>
      </c>
      <c r="O130" s="52">
        <v>208</v>
      </c>
      <c r="P130" s="46">
        <v>0.26291422087103905</v>
      </c>
      <c r="U130" s="26">
        <f t="shared" si="4"/>
        <v>200</v>
      </c>
      <c r="V130" s="26">
        <f t="shared" si="5"/>
        <v>27.5</v>
      </c>
      <c r="W130">
        <f t="shared" si="6"/>
        <v>208</v>
      </c>
      <c r="X130" s="25">
        <f t="shared" si="7"/>
        <v>0.26291422087103905</v>
      </c>
    </row>
    <row r="131" spans="1:24" ht="15" thickBot="1">
      <c r="A131" s="48">
        <v>46073</v>
      </c>
      <c r="B131" s="49">
        <v>24.1</v>
      </c>
      <c r="C131" s="51" t="s">
        <v>102</v>
      </c>
      <c r="D131" s="50">
        <v>24.15</v>
      </c>
      <c r="E131" s="50">
        <v>24.55</v>
      </c>
      <c r="F131" s="50">
        <v>10</v>
      </c>
      <c r="G131" s="50">
        <v>341</v>
      </c>
      <c r="H131" s="23">
        <v>205</v>
      </c>
      <c r="I131" s="50">
        <v>10.95</v>
      </c>
      <c r="J131" s="53" t="s">
        <v>88</v>
      </c>
      <c r="K131" s="50">
        <v>10.8</v>
      </c>
      <c r="L131" s="50">
        <v>11.15</v>
      </c>
      <c r="M131" s="50">
        <v>3</v>
      </c>
      <c r="N131" s="50">
        <v>245</v>
      </c>
      <c r="O131" s="52">
        <v>208</v>
      </c>
      <c r="P131" s="46">
        <v>0.2563957547635517</v>
      </c>
      <c r="U131" s="26">
        <f t="shared" ref="U131:U170" si="8">H131</f>
        <v>205</v>
      </c>
      <c r="V131" s="26">
        <f t="shared" ref="V131:V170" si="9">B131</f>
        <v>24.1</v>
      </c>
      <c r="W131">
        <f t="shared" ref="W131:W170" si="10">O131</f>
        <v>208</v>
      </c>
      <c r="X131" s="25">
        <f t="shared" ref="X131:X170" si="11">P131</f>
        <v>0.2563957547635517</v>
      </c>
    </row>
    <row r="132" spans="1:24" ht="15" thickBot="1">
      <c r="A132" s="48">
        <v>46073</v>
      </c>
      <c r="B132" s="49">
        <v>20.93</v>
      </c>
      <c r="C132" s="51" t="s">
        <v>128</v>
      </c>
      <c r="D132" s="50">
        <v>21.1</v>
      </c>
      <c r="E132" s="50">
        <v>21.35</v>
      </c>
      <c r="F132" s="50">
        <v>41</v>
      </c>
      <c r="G132" s="50">
        <v>303</v>
      </c>
      <c r="H132" s="23">
        <v>210</v>
      </c>
      <c r="I132" s="50">
        <v>12.9</v>
      </c>
      <c r="J132" s="53" t="s">
        <v>78</v>
      </c>
      <c r="K132" s="50">
        <v>12.5</v>
      </c>
      <c r="L132" s="50">
        <v>13.15</v>
      </c>
      <c r="M132" s="50">
        <v>4</v>
      </c>
      <c r="N132" s="50">
        <v>112</v>
      </c>
      <c r="O132" s="52">
        <v>208</v>
      </c>
      <c r="P132" s="46">
        <v>0.2504680682704421</v>
      </c>
      <c r="U132" s="26">
        <f t="shared" si="8"/>
        <v>210</v>
      </c>
      <c r="V132" s="26">
        <f t="shared" si="9"/>
        <v>20.93</v>
      </c>
      <c r="W132">
        <f t="shared" si="10"/>
        <v>208</v>
      </c>
      <c r="X132" s="25">
        <f t="shared" si="11"/>
        <v>0.2504680682704421</v>
      </c>
    </row>
    <row r="133" spans="1:24" ht="15" thickBot="1">
      <c r="A133" s="48">
        <v>46073</v>
      </c>
      <c r="B133" s="49">
        <v>18.350000000000001</v>
      </c>
      <c r="C133" s="51" t="s">
        <v>129</v>
      </c>
      <c r="D133" s="50">
        <v>18.25</v>
      </c>
      <c r="E133" s="50">
        <v>18.850000000000001</v>
      </c>
      <c r="F133" s="50">
        <v>51</v>
      </c>
      <c r="G133" s="50">
        <v>367</v>
      </c>
      <c r="H133" s="23">
        <v>215</v>
      </c>
      <c r="I133" s="50">
        <v>15.03</v>
      </c>
      <c r="J133" s="53" t="s">
        <v>130</v>
      </c>
      <c r="K133" s="50">
        <v>14.8</v>
      </c>
      <c r="L133" s="50">
        <v>15</v>
      </c>
      <c r="M133" s="50">
        <v>43</v>
      </c>
      <c r="N133" s="50">
        <v>156</v>
      </c>
      <c r="O133" s="52">
        <v>208</v>
      </c>
      <c r="P133" s="46">
        <v>0.25050503456369533</v>
      </c>
      <c r="U133" s="26">
        <f t="shared" si="8"/>
        <v>215</v>
      </c>
      <c r="V133" s="26">
        <f t="shared" si="9"/>
        <v>18.350000000000001</v>
      </c>
      <c r="W133">
        <f t="shared" si="10"/>
        <v>208</v>
      </c>
      <c r="X133" s="25">
        <f t="shared" si="11"/>
        <v>0.25050503456369533</v>
      </c>
    </row>
    <row r="134" spans="1:24" ht="15" thickBot="1">
      <c r="A134" s="48">
        <v>46073</v>
      </c>
      <c r="B134" s="49">
        <v>15.87</v>
      </c>
      <c r="C134" s="51" t="s">
        <v>131</v>
      </c>
      <c r="D134" s="50">
        <v>15.7</v>
      </c>
      <c r="E134" s="50">
        <v>15.85</v>
      </c>
      <c r="F134" s="50">
        <v>16</v>
      </c>
      <c r="G134" s="50">
        <v>972</v>
      </c>
      <c r="H134" s="23">
        <v>220</v>
      </c>
      <c r="I134" s="50">
        <v>17.45</v>
      </c>
      <c r="J134" s="53" t="s">
        <v>78</v>
      </c>
      <c r="K134" s="50">
        <v>17.2</v>
      </c>
      <c r="L134" s="50">
        <v>17.600000000000001</v>
      </c>
      <c r="M134" s="50">
        <v>22</v>
      </c>
      <c r="N134" s="50">
        <v>541</v>
      </c>
      <c r="O134" s="52">
        <v>208</v>
      </c>
      <c r="P134" s="46">
        <v>0.24841903620465494</v>
      </c>
      <c r="U134" s="26">
        <f t="shared" si="8"/>
        <v>220</v>
      </c>
      <c r="V134" s="26">
        <f t="shared" si="9"/>
        <v>15.87</v>
      </c>
      <c r="W134">
        <f t="shared" si="10"/>
        <v>208</v>
      </c>
      <c r="X134" s="25">
        <f t="shared" si="11"/>
        <v>0.24841903620465494</v>
      </c>
    </row>
    <row r="135" spans="1:24" ht="15" thickBot="1">
      <c r="A135" s="48">
        <v>46073</v>
      </c>
      <c r="B135" s="49">
        <v>13.63</v>
      </c>
      <c r="C135" s="51" t="s">
        <v>76</v>
      </c>
      <c r="D135" s="50">
        <v>13.35</v>
      </c>
      <c r="E135" s="50">
        <v>13.5</v>
      </c>
      <c r="F135" s="50">
        <v>41</v>
      </c>
      <c r="G135" s="50">
        <v>2113</v>
      </c>
      <c r="H135" s="23">
        <v>225</v>
      </c>
      <c r="I135" s="50">
        <v>20.09</v>
      </c>
      <c r="J135" s="53" t="s">
        <v>132</v>
      </c>
      <c r="K135" s="50">
        <v>19.899999999999999</v>
      </c>
      <c r="L135" s="50">
        <v>20.6</v>
      </c>
      <c r="M135" s="50">
        <v>4</v>
      </c>
      <c r="N135" s="50">
        <v>25</v>
      </c>
      <c r="O135" s="52">
        <v>208</v>
      </c>
      <c r="P135" s="46">
        <v>0.24649252196803903</v>
      </c>
      <c r="U135" s="26">
        <f t="shared" si="8"/>
        <v>225</v>
      </c>
      <c r="V135" s="26">
        <f t="shared" si="9"/>
        <v>13.63</v>
      </c>
      <c r="W135">
        <f t="shared" si="10"/>
        <v>208</v>
      </c>
      <c r="X135" s="25">
        <f t="shared" si="11"/>
        <v>0.24649252196803903</v>
      </c>
    </row>
    <row r="136" spans="1:24" ht="15" thickBot="1">
      <c r="A136" s="48">
        <v>46073</v>
      </c>
      <c r="B136" s="49">
        <v>11.2</v>
      </c>
      <c r="C136" s="51" t="s">
        <v>72</v>
      </c>
      <c r="D136" s="50">
        <v>10.95</v>
      </c>
      <c r="E136" s="50">
        <v>11.35</v>
      </c>
      <c r="F136" s="50">
        <v>5</v>
      </c>
      <c r="G136" s="50">
        <v>711</v>
      </c>
      <c r="H136" s="23">
        <v>230</v>
      </c>
      <c r="I136" s="50">
        <v>23</v>
      </c>
      <c r="J136" s="53" t="s">
        <v>117</v>
      </c>
      <c r="K136" s="50">
        <v>22.8</v>
      </c>
      <c r="L136" s="50">
        <v>24.9</v>
      </c>
      <c r="M136" s="50">
        <v>6</v>
      </c>
      <c r="N136" s="50">
        <v>13</v>
      </c>
      <c r="O136" s="52">
        <v>208</v>
      </c>
      <c r="P136" s="46">
        <v>0.23807234662628496</v>
      </c>
      <c r="U136" s="26">
        <f t="shared" si="8"/>
        <v>230</v>
      </c>
      <c r="V136" s="26">
        <f t="shared" si="9"/>
        <v>11.2</v>
      </c>
      <c r="W136">
        <f t="shared" si="10"/>
        <v>208</v>
      </c>
      <c r="X136" s="25">
        <f t="shared" si="11"/>
        <v>0.23807234662628496</v>
      </c>
    </row>
    <row r="137" spans="1:24" ht="15" thickBot="1">
      <c r="A137" s="48">
        <v>46073</v>
      </c>
      <c r="B137" s="49">
        <v>9.35</v>
      </c>
      <c r="C137" s="51" t="s">
        <v>133</v>
      </c>
      <c r="D137" s="50">
        <v>9.3000000000000007</v>
      </c>
      <c r="E137" s="50">
        <v>9.5</v>
      </c>
      <c r="F137" s="50">
        <v>25</v>
      </c>
      <c r="G137" s="50">
        <v>762</v>
      </c>
      <c r="H137" s="23">
        <v>235</v>
      </c>
      <c r="I137" s="50">
        <v>26.5</v>
      </c>
      <c r="J137" s="53" t="s">
        <v>134</v>
      </c>
      <c r="K137" s="50">
        <v>26.05</v>
      </c>
      <c r="L137" s="50">
        <v>26.4</v>
      </c>
      <c r="M137" s="50">
        <v>10</v>
      </c>
      <c r="N137" s="50">
        <v>17</v>
      </c>
      <c r="O137" s="52">
        <v>208</v>
      </c>
      <c r="P137" s="46">
        <v>0.23509500653912319</v>
      </c>
      <c r="U137" s="26">
        <f t="shared" si="8"/>
        <v>235</v>
      </c>
      <c r="V137" s="26">
        <f t="shared" si="9"/>
        <v>9.35</v>
      </c>
      <c r="W137">
        <f t="shared" si="10"/>
        <v>208</v>
      </c>
      <c r="X137" s="25">
        <f t="shared" si="11"/>
        <v>0.23509500653912319</v>
      </c>
    </row>
    <row r="138" spans="1:24" ht="15" thickBot="1">
      <c r="A138" s="48">
        <v>46101</v>
      </c>
      <c r="B138" s="49">
        <v>31.97</v>
      </c>
      <c r="C138" s="51" t="s">
        <v>89</v>
      </c>
      <c r="D138" s="50">
        <v>32.1</v>
      </c>
      <c r="E138" s="50">
        <v>32.4</v>
      </c>
      <c r="F138" s="50">
        <v>1</v>
      </c>
      <c r="G138" s="50">
        <v>1757</v>
      </c>
      <c r="H138" s="23">
        <v>195</v>
      </c>
      <c r="I138" s="50">
        <v>8.6</v>
      </c>
      <c r="J138" s="53" t="s">
        <v>88</v>
      </c>
      <c r="K138" s="50">
        <v>8.35</v>
      </c>
      <c r="L138" s="50">
        <v>8.5</v>
      </c>
      <c r="M138" s="50">
        <v>4</v>
      </c>
      <c r="N138" s="50">
        <v>6690</v>
      </c>
      <c r="O138" s="52">
        <v>236</v>
      </c>
      <c r="P138" s="46">
        <v>0.26096048108000403</v>
      </c>
      <c r="U138" s="26">
        <f t="shared" si="8"/>
        <v>195</v>
      </c>
      <c r="V138" s="26">
        <f t="shared" si="9"/>
        <v>31.97</v>
      </c>
      <c r="W138">
        <f t="shared" si="10"/>
        <v>236</v>
      </c>
      <c r="X138" s="25">
        <f t="shared" si="11"/>
        <v>0.26096048108000403</v>
      </c>
    </row>
    <row r="139" spans="1:24" ht="15" thickBot="1">
      <c r="A139" s="48">
        <v>46101</v>
      </c>
      <c r="B139" s="49">
        <v>28.65</v>
      </c>
      <c r="C139" s="51" t="s">
        <v>21</v>
      </c>
      <c r="D139" s="50">
        <v>28.7</v>
      </c>
      <c r="E139" s="50">
        <v>28.95</v>
      </c>
      <c r="F139" s="50">
        <v>99</v>
      </c>
      <c r="G139" s="50">
        <v>4788</v>
      </c>
      <c r="H139" s="23">
        <v>200</v>
      </c>
      <c r="I139" s="50">
        <v>10.050000000000001</v>
      </c>
      <c r="J139" s="53" t="s">
        <v>135</v>
      </c>
      <c r="K139" s="50">
        <v>9.85</v>
      </c>
      <c r="L139" s="50">
        <v>10</v>
      </c>
      <c r="M139" s="50">
        <v>11</v>
      </c>
      <c r="N139" s="50">
        <v>6079</v>
      </c>
      <c r="O139" s="52">
        <v>236</v>
      </c>
      <c r="P139" s="46">
        <v>0.25894723062241426</v>
      </c>
      <c r="U139" s="26">
        <f t="shared" si="8"/>
        <v>200</v>
      </c>
      <c r="V139" s="26">
        <f t="shared" si="9"/>
        <v>28.65</v>
      </c>
      <c r="W139">
        <f t="shared" si="10"/>
        <v>236</v>
      </c>
      <c r="X139" s="25">
        <f t="shared" si="11"/>
        <v>0.25894723062241426</v>
      </c>
    </row>
    <row r="140" spans="1:24" ht="15" thickBot="1">
      <c r="A140" s="48">
        <v>46101</v>
      </c>
      <c r="B140" s="49">
        <v>22.5</v>
      </c>
      <c r="C140" s="51" t="s">
        <v>36</v>
      </c>
      <c r="D140" s="50">
        <v>22.4</v>
      </c>
      <c r="E140" s="50">
        <v>22.65</v>
      </c>
      <c r="F140" s="50">
        <v>65</v>
      </c>
      <c r="G140" s="50">
        <v>2993</v>
      </c>
      <c r="H140" s="23">
        <v>210</v>
      </c>
      <c r="I140" s="50">
        <v>13.65</v>
      </c>
      <c r="J140" s="53" t="s">
        <v>79</v>
      </c>
      <c r="K140" s="50">
        <v>13.4</v>
      </c>
      <c r="L140" s="50">
        <v>13.7</v>
      </c>
      <c r="M140" s="50">
        <v>1004</v>
      </c>
      <c r="N140" s="50">
        <v>3730</v>
      </c>
      <c r="O140" s="52">
        <v>236</v>
      </c>
      <c r="P140" s="46">
        <v>0.25310242252662296</v>
      </c>
      <c r="U140" s="26">
        <f t="shared" si="8"/>
        <v>210</v>
      </c>
      <c r="V140" s="26">
        <f t="shared" si="9"/>
        <v>22.5</v>
      </c>
      <c r="W140">
        <f t="shared" si="10"/>
        <v>236</v>
      </c>
      <c r="X140" s="25">
        <f t="shared" si="11"/>
        <v>0.25310242252662296</v>
      </c>
    </row>
    <row r="141" spans="1:24" ht="15" thickBot="1">
      <c r="A141" s="48">
        <v>46101</v>
      </c>
      <c r="B141" s="49">
        <v>17.05</v>
      </c>
      <c r="C141" s="51" t="s">
        <v>102</v>
      </c>
      <c r="D141" s="50">
        <v>16.899999999999999</v>
      </c>
      <c r="E141" s="50">
        <v>17.2</v>
      </c>
      <c r="F141" s="50">
        <v>119</v>
      </c>
      <c r="G141" s="50">
        <v>5075</v>
      </c>
      <c r="H141" s="23">
        <v>220</v>
      </c>
      <c r="I141" s="50">
        <v>18.25</v>
      </c>
      <c r="J141" s="53" t="s">
        <v>134</v>
      </c>
      <c r="K141" s="50">
        <v>17.95</v>
      </c>
      <c r="L141" s="50">
        <v>18.149999999999999</v>
      </c>
      <c r="M141" s="50">
        <v>648</v>
      </c>
      <c r="N141" s="50">
        <v>2923</v>
      </c>
      <c r="O141" s="52">
        <v>236</v>
      </c>
      <c r="P141" s="46">
        <v>0.24536027666557619</v>
      </c>
      <c r="U141" s="26">
        <f t="shared" si="8"/>
        <v>220</v>
      </c>
      <c r="V141" s="26">
        <f t="shared" si="9"/>
        <v>17.05</v>
      </c>
      <c r="W141">
        <f t="shared" si="10"/>
        <v>236</v>
      </c>
      <c r="X141" s="25">
        <f t="shared" si="11"/>
        <v>0.24536027666557619</v>
      </c>
    </row>
    <row r="142" spans="1:24" ht="15" thickBot="1">
      <c r="A142" s="48">
        <v>46101</v>
      </c>
      <c r="B142" s="49">
        <v>12.3</v>
      </c>
      <c r="C142" s="51" t="s">
        <v>123</v>
      </c>
      <c r="D142" s="50">
        <v>12.4</v>
      </c>
      <c r="E142" s="50">
        <v>12.6</v>
      </c>
      <c r="F142" s="50">
        <v>32</v>
      </c>
      <c r="G142" s="50">
        <v>4158</v>
      </c>
      <c r="H142" s="23">
        <v>230</v>
      </c>
      <c r="I142" s="50">
        <v>23.74</v>
      </c>
      <c r="J142" s="53" t="s">
        <v>67</v>
      </c>
      <c r="K142" s="50">
        <v>23.5</v>
      </c>
      <c r="L142" s="50">
        <v>24.05</v>
      </c>
      <c r="M142" s="50">
        <v>7</v>
      </c>
      <c r="N142" s="50">
        <v>1591</v>
      </c>
      <c r="O142" s="52">
        <v>236</v>
      </c>
      <c r="P142" s="46">
        <v>0.23537697896284529</v>
      </c>
      <c r="U142" s="26">
        <f t="shared" si="8"/>
        <v>230</v>
      </c>
      <c r="V142" s="26">
        <f t="shared" si="9"/>
        <v>12.3</v>
      </c>
      <c r="W142">
        <f t="shared" si="10"/>
        <v>236</v>
      </c>
      <c r="X142" s="25">
        <f t="shared" si="11"/>
        <v>0.23537697896284529</v>
      </c>
    </row>
    <row r="143" spans="1:24" ht="15" thickBot="1">
      <c r="A143" s="48">
        <v>46157</v>
      </c>
      <c r="B143" s="49">
        <v>34.9</v>
      </c>
      <c r="C143" s="51" t="s">
        <v>98</v>
      </c>
      <c r="D143" s="50">
        <v>34.35</v>
      </c>
      <c r="E143" s="50">
        <v>35.049999999999997</v>
      </c>
      <c r="F143" s="50">
        <v>2</v>
      </c>
      <c r="G143" s="50">
        <v>139</v>
      </c>
      <c r="H143" s="23">
        <v>195</v>
      </c>
      <c r="I143" s="50">
        <v>9.9</v>
      </c>
      <c r="J143" s="53" t="s">
        <v>79</v>
      </c>
      <c r="K143" s="50">
        <v>9.8000000000000007</v>
      </c>
      <c r="L143" s="50">
        <v>9.9499999999999993</v>
      </c>
      <c r="M143" s="50">
        <v>1</v>
      </c>
      <c r="N143" s="50">
        <v>243</v>
      </c>
      <c r="O143" s="52">
        <v>292</v>
      </c>
      <c r="P143" s="46">
        <v>0.26785688474978614</v>
      </c>
      <c r="U143" s="26">
        <f t="shared" si="8"/>
        <v>195</v>
      </c>
      <c r="V143" s="26">
        <f t="shared" si="9"/>
        <v>34.9</v>
      </c>
      <c r="W143">
        <f t="shared" si="10"/>
        <v>292</v>
      </c>
      <c r="X143" s="25">
        <f t="shared" si="11"/>
        <v>0.26785688474978614</v>
      </c>
    </row>
    <row r="144" spans="1:24" ht="15" thickBot="1">
      <c r="A144" s="48">
        <v>46157</v>
      </c>
      <c r="B144" s="49">
        <v>31.48</v>
      </c>
      <c r="C144" s="51" t="s">
        <v>103</v>
      </c>
      <c r="D144" s="50">
        <v>31.1</v>
      </c>
      <c r="E144" s="50">
        <v>31.75</v>
      </c>
      <c r="F144" s="50">
        <v>6</v>
      </c>
      <c r="G144" s="50">
        <v>198</v>
      </c>
      <c r="H144" s="23">
        <v>200</v>
      </c>
      <c r="I144" s="50">
        <v>11.4</v>
      </c>
      <c r="J144" s="51" t="s">
        <v>65</v>
      </c>
      <c r="K144" s="50">
        <v>11.35</v>
      </c>
      <c r="L144" s="50">
        <v>11.5</v>
      </c>
      <c r="M144" s="50">
        <v>11</v>
      </c>
      <c r="N144" s="50">
        <v>278</v>
      </c>
      <c r="O144" s="52">
        <v>292</v>
      </c>
      <c r="P144" s="46">
        <v>0.26284909192146561</v>
      </c>
      <c r="U144" s="26">
        <f t="shared" si="8"/>
        <v>200</v>
      </c>
      <c r="V144" s="26">
        <f t="shared" si="9"/>
        <v>31.48</v>
      </c>
      <c r="W144">
        <f t="shared" si="10"/>
        <v>292</v>
      </c>
      <c r="X144" s="25">
        <f t="shared" si="11"/>
        <v>0.26284909192146561</v>
      </c>
    </row>
    <row r="145" spans="1:24" ht="15" thickBot="1">
      <c r="A145" s="48">
        <v>46157</v>
      </c>
      <c r="B145" s="49">
        <v>25</v>
      </c>
      <c r="C145" s="51" t="s">
        <v>98</v>
      </c>
      <c r="D145" s="50">
        <v>25.05</v>
      </c>
      <c r="E145" s="50">
        <v>25.35</v>
      </c>
      <c r="F145" s="50">
        <v>82</v>
      </c>
      <c r="G145" s="50">
        <v>538</v>
      </c>
      <c r="H145" s="23">
        <v>210</v>
      </c>
      <c r="I145" s="50">
        <v>15.13</v>
      </c>
      <c r="J145" s="51" t="s">
        <v>120</v>
      </c>
      <c r="K145" s="50">
        <v>15</v>
      </c>
      <c r="L145" s="50">
        <v>15.65</v>
      </c>
      <c r="M145" s="50">
        <v>26</v>
      </c>
      <c r="N145" s="50">
        <v>541</v>
      </c>
      <c r="O145" s="52">
        <v>292</v>
      </c>
      <c r="P145" s="46">
        <v>0.25123695390841005</v>
      </c>
      <c r="U145" s="26">
        <f t="shared" si="8"/>
        <v>210</v>
      </c>
      <c r="V145" s="26">
        <f t="shared" si="9"/>
        <v>25</v>
      </c>
      <c r="W145">
        <f t="shared" si="10"/>
        <v>292</v>
      </c>
      <c r="X145" s="25">
        <f t="shared" si="11"/>
        <v>0.25123695390841005</v>
      </c>
    </row>
    <row r="146" spans="1:24" ht="15" thickBot="1">
      <c r="A146" s="48">
        <v>46157</v>
      </c>
      <c r="B146" s="49">
        <v>20.05</v>
      </c>
      <c r="C146" s="51" t="s">
        <v>74</v>
      </c>
      <c r="D146" s="50">
        <v>19.2</v>
      </c>
      <c r="E146" s="50">
        <v>19.850000000000001</v>
      </c>
      <c r="F146" s="50">
        <v>3</v>
      </c>
      <c r="G146" s="50">
        <v>402</v>
      </c>
      <c r="H146" s="23">
        <v>220</v>
      </c>
      <c r="I146" s="50">
        <v>19.77</v>
      </c>
      <c r="J146" s="53" t="s">
        <v>136</v>
      </c>
      <c r="K146" s="50">
        <v>19.55</v>
      </c>
      <c r="L146" s="50">
        <v>20.2</v>
      </c>
      <c r="M146" s="50">
        <v>2</v>
      </c>
      <c r="N146" s="50">
        <v>79</v>
      </c>
      <c r="O146" s="52">
        <v>292</v>
      </c>
      <c r="P146" s="46">
        <v>0.25082448130385931</v>
      </c>
      <c r="U146" s="26">
        <f t="shared" si="8"/>
        <v>220</v>
      </c>
      <c r="V146" s="26">
        <f t="shared" si="9"/>
        <v>20.05</v>
      </c>
      <c r="W146">
        <f t="shared" si="10"/>
        <v>292</v>
      </c>
      <c r="X146" s="25">
        <f t="shared" si="11"/>
        <v>0.25082448130385931</v>
      </c>
    </row>
    <row r="147" spans="1:24" ht="15" thickBot="1">
      <c r="A147" s="48">
        <v>46157</v>
      </c>
      <c r="B147" s="49">
        <v>15.31</v>
      </c>
      <c r="C147" s="51" t="s">
        <v>137</v>
      </c>
      <c r="D147" s="50">
        <v>14.6</v>
      </c>
      <c r="E147" s="50">
        <v>15.25</v>
      </c>
      <c r="F147" s="50">
        <v>3</v>
      </c>
      <c r="G147" s="50">
        <v>240</v>
      </c>
      <c r="H147" s="23">
        <v>230</v>
      </c>
      <c r="I147" s="50">
        <v>25.2</v>
      </c>
      <c r="J147" s="53" t="s">
        <v>138</v>
      </c>
      <c r="K147" s="50">
        <v>24.95</v>
      </c>
      <c r="L147" s="50">
        <v>26.25</v>
      </c>
      <c r="M147" s="50">
        <v>13</v>
      </c>
      <c r="N147" s="50">
        <v>18</v>
      </c>
      <c r="O147" s="52">
        <v>292</v>
      </c>
      <c r="P147" s="46">
        <v>0.24314608658985318</v>
      </c>
      <c r="U147" s="26">
        <f t="shared" si="8"/>
        <v>230</v>
      </c>
      <c r="V147" s="26">
        <f t="shared" si="9"/>
        <v>15.31</v>
      </c>
      <c r="W147">
        <f t="shared" si="10"/>
        <v>292</v>
      </c>
      <c r="X147" s="25">
        <f t="shared" si="11"/>
        <v>0.24314608658985318</v>
      </c>
    </row>
    <row r="148" spans="1:24" ht="15" thickBot="1">
      <c r="A148" s="48">
        <v>46191</v>
      </c>
      <c r="B148" s="49">
        <v>35.94</v>
      </c>
      <c r="C148" s="51" t="s">
        <v>139</v>
      </c>
      <c r="D148" s="50">
        <v>35.85</v>
      </c>
      <c r="E148" s="50">
        <v>36.200000000000003</v>
      </c>
      <c r="F148" s="50">
        <v>44</v>
      </c>
      <c r="G148" s="50">
        <v>2746</v>
      </c>
      <c r="H148" s="23">
        <v>195</v>
      </c>
      <c r="I148" s="50">
        <v>10.64</v>
      </c>
      <c r="J148" s="53" t="s">
        <v>57</v>
      </c>
      <c r="K148" s="50">
        <v>10.5</v>
      </c>
      <c r="L148" s="50">
        <v>10.7</v>
      </c>
      <c r="M148" s="50">
        <v>42</v>
      </c>
      <c r="N148" s="50">
        <v>5282</v>
      </c>
      <c r="O148" s="52">
        <v>326</v>
      </c>
      <c r="P148" s="46">
        <v>0.26135844571062694</v>
      </c>
      <c r="U148" s="26">
        <f t="shared" si="8"/>
        <v>195</v>
      </c>
      <c r="V148" s="26">
        <f t="shared" si="9"/>
        <v>35.94</v>
      </c>
      <c r="W148">
        <f t="shared" si="10"/>
        <v>326</v>
      </c>
      <c r="X148" s="25">
        <f t="shared" si="11"/>
        <v>0.26135844571062694</v>
      </c>
    </row>
    <row r="149" spans="1:24" ht="15" thickBot="1">
      <c r="A149" s="48">
        <v>46191</v>
      </c>
      <c r="B149" s="49">
        <v>32.450000000000003</v>
      </c>
      <c r="C149" s="51" t="s">
        <v>102</v>
      </c>
      <c r="D149" s="50">
        <v>32.6</v>
      </c>
      <c r="E149" s="50">
        <v>32.9</v>
      </c>
      <c r="F149" s="50">
        <v>91</v>
      </c>
      <c r="G149" s="50">
        <v>7847</v>
      </c>
      <c r="H149" s="23">
        <v>200</v>
      </c>
      <c r="I149" s="50">
        <v>12.33</v>
      </c>
      <c r="J149" s="53" t="s">
        <v>140</v>
      </c>
      <c r="K149" s="50">
        <v>12.1</v>
      </c>
      <c r="L149" s="50">
        <v>12.25</v>
      </c>
      <c r="M149" s="50">
        <v>5</v>
      </c>
      <c r="N149" s="50">
        <v>6355</v>
      </c>
      <c r="O149" s="52">
        <v>326</v>
      </c>
      <c r="P149" s="46">
        <v>0.25536856686744841</v>
      </c>
      <c r="U149" s="26">
        <f t="shared" si="8"/>
        <v>200</v>
      </c>
      <c r="V149" s="26">
        <f t="shared" si="9"/>
        <v>32.450000000000003</v>
      </c>
      <c r="W149">
        <f t="shared" si="10"/>
        <v>326</v>
      </c>
      <c r="X149" s="25">
        <f t="shared" si="11"/>
        <v>0.25536856686744841</v>
      </c>
    </row>
    <row r="150" spans="1:24" ht="15" thickBot="1">
      <c r="A150" s="48">
        <v>46191</v>
      </c>
      <c r="B150" s="49">
        <v>29.6</v>
      </c>
      <c r="C150" s="51" t="s">
        <v>127</v>
      </c>
      <c r="D150" s="50">
        <v>29.35</v>
      </c>
      <c r="E150" s="50">
        <v>29.7</v>
      </c>
      <c r="F150" s="50">
        <v>40</v>
      </c>
      <c r="G150" s="50">
        <v>4182</v>
      </c>
      <c r="H150" s="23">
        <v>205</v>
      </c>
      <c r="I150" s="50">
        <v>14.08</v>
      </c>
      <c r="J150" s="50" t="s">
        <v>19</v>
      </c>
      <c r="K150" s="50">
        <v>13.7</v>
      </c>
      <c r="L150" s="50">
        <v>14.5</v>
      </c>
      <c r="M150" s="50" t="s">
        <v>19</v>
      </c>
      <c r="N150" s="50">
        <v>2929</v>
      </c>
      <c r="O150" s="52">
        <v>326</v>
      </c>
      <c r="P150" s="46">
        <v>0.25623477231937575</v>
      </c>
      <c r="U150" s="26">
        <f t="shared" si="8"/>
        <v>205</v>
      </c>
      <c r="V150" s="26">
        <f t="shared" si="9"/>
        <v>29.6</v>
      </c>
      <c r="W150">
        <f t="shared" si="10"/>
        <v>326</v>
      </c>
      <c r="X150" s="25">
        <f t="shared" si="11"/>
        <v>0.25623477231937575</v>
      </c>
    </row>
    <row r="151" spans="1:24" ht="15" thickBot="1">
      <c r="A151" s="48">
        <v>46191</v>
      </c>
      <c r="B151" s="49">
        <v>26.6</v>
      </c>
      <c r="C151" s="51" t="s">
        <v>141</v>
      </c>
      <c r="D151" s="50">
        <v>26.4</v>
      </c>
      <c r="E151" s="50">
        <v>26.7</v>
      </c>
      <c r="F151" s="50">
        <v>132</v>
      </c>
      <c r="G151" s="50">
        <v>6768</v>
      </c>
      <c r="H151" s="23">
        <v>210</v>
      </c>
      <c r="I151" s="50">
        <v>15.9</v>
      </c>
      <c r="J151" s="53" t="s">
        <v>142</v>
      </c>
      <c r="K151" s="50">
        <v>15.8</v>
      </c>
      <c r="L151" s="50">
        <v>16.05</v>
      </c>
      <c r="M151" s="50">
        <v>327</v>
      </c>
      <c r="N151" s="50">
        <v>3934</v>
      </c>
      <c r="O151" s="52">
        <v>326</v>
      </c>
      <c r="P151" s="46">
        <v>0.25258963401196621</v>
      </c>
      <c r="U151" s="26">
        <f t="shared" si="8"/>
        <v>210</v>
      </c>
      <c r="V151" s="26">
        <f t="shared" si="9"/>
        <v>26.6</v>
      </c>
      <c r="W151">
        <f t="shared" si="10"/>
        <v>326</v>
      </c>
      <c r="X151" s="25">
        <f t="shared" si="11"/>
        <v>0.25258963401196621</v>
      </c>
    </row>
    <row r="152" spans="1:24" ht="15" thickBot="1">
      <c r="A152" s="48">
        <v>46191</v>
      </c>
      <c r="B152" s="49">
        <v>23.6</v>
      </c>
      <c r="C152" s="51" t="s">
        <v>143</v>
      </c>
      <c r="D152" s="50">
        <v>23.55</v>
      </c>
      <c r="E152" s="50">
        <v>23.9</v>
      </c>
      <c r="F152" s="50">
        <v>137</v>
      </c>
      <c r="G152" s="50">
        <v>4245</v>
      </c>
      <c r="H152" s="23">
        <v>215</v>
      </c>
      <c r="I152" s="50">
        <v>18.2</v>
      </c>
      <c r="J152" s="51" t="s">
        <v>74</v>
      </c>
      <c r="K152" s="50">
        <v>17.899999999999999</v>
      </c>
      <c r="L152" s="50">
        <v>18.3</v>
      </c>
      <c r="M152" s="50">
        <v>134</v>
      </c>
      <c r="N152" s="50">
        <v>1915</v>
      </c>
      <c r="O152" s="52">
        <v>326</v>
      </c>
      <c r="P152" s="46">
        <v>0.24679634451697391</v>
      </c>
      <c r="U152" s="26">
        <f t="shared" si="8"/>
        <v>215</v>
      </c>
      <c r="V152" s="26">
        <f t="shared" si="9"/>
        <v>23.6</v>
      </c>
      <c r="W152">
        <f t="shared" si="10"/>
        <v>326</v>
      </c>
      <c r="X152" s="25">
        <f t="shared" si="11"/>
        <v>0.24679634451697391</v>
      </c>
    </row>
    <row r="153" spans="1:24" ht="15" thickBot="1">
      <c r="A153" s="48">
        <v>46191</v>
      </c>
      <c r="B153" s="49">
        <v>21.18</v>
      </c>
      <c r="C153" s="51" t="s">
        <v>35</v>
      </c>
      <c r="D153" s="50">
        <v>21.05</v>
      </c>
      <c r="E153" s="50">
        <v>21.25</v>
      </c>
      <c r="F153" s="50">
        <v>68</v>
      </c>
      <c r="G153" s="50">
        <v>6348</v>
      </c>
      <c r="H153" s="23">
        <v>220</v>
      </c>
      <c r="I153" s="50">
        <v>20.54</v>
      </c>
      <c r="J153" s="53" t="s">
        <v>114</v>
      </c>
      <c r="K153" s="50">
        <v>20.25</v>
      </c>
      <c r="L153" s="50">
        <v>20.6</v>
      </c>
      <c r="M153" s="50">
        <v>63</v>
      </c>
      <c r="N153" s="50">
        <v>2753</v>
      </c>
      <c r="O153" s="52">
        <v>326</v>
      </c>
      <c r="P153" s="46">
        <v>0.24618282544579617</v>
      </c>
      <c r="U153" s="26">
        <f t="shared" si="8"/>
        <v>220</v>
      </c>
      <c r="V153" s="26">
        <f t="shared" si="9"/>
        <v>21.18</v>
      </c>
      <c r="W153">
        <f t="shared" si="10"/>
        <v>326</v>
      </c>
      <c r="X153" s="25">
        <f t="shared" si="11"/>
        <v>0.24618282544579617</v>
      </c>
    </row>
    <row r="154" spans="1:24" ht="15" thickBot="1">
      <c r="A154" s="48">
        <v>46191</v>
      </c>
      <c r="B154" s="49">
        <v>18.55</v>
      </c>
      <c r="C154" s="51" t="s">
        <v>104</v>
      </c>
      <c r="D154" s="50">
        <v>18.5</v>
      </c>
      <c r="E154" s="50">
        <v>18.850000000000001</v>
      </c>
      <c r="F154" s="50">
        <v>31</v>
      </c>
      <c r="G154" s="50">
        <v>4241</v>
      </c>
      <c r="H154" s="23">
        <v>225</v>
      </c>
      <c r="I154" s="50">
        <v>23</v>
      </c>
      <c r="J154" s="53" t="s">
        <v>106</v>
      </c>
      <c r="K154" s="50">
        <v>22.85</v>
      </c>
      <c r="L154" s="50">
        <v>23.05</v>
      </c>
      <c r="M154" s="50">
        <v>13</v>
      </c>
      <c r="N154" s="50">
        <v>1752</v>
      </c>
      <c r="O154" s="52">
        <v>326</v>
      </c>
      <c r="P154" s="46">
        <v>0.24070844522765542</v>
      </c>
      <c r="U154" s="26">
        <f t="shared" si="8"/>
        <v>225</v>
      </c>
      <c r="V154" s="26">
        <f t="shared" si="9"/>
        <v>18.55</v>
      </c>
      <c r="W154">
        <f t="shared" si="10"/>
        <v>326</v>
      </c>
      <c r="X154" s="25">
        <f t="shared" si="11"/>
        <v>0.24070844522765542</v>
      </c>
    </row>
    <row r="155" spans="1:24" ht="15" thickBot="1">
      <c r="A155" s="48">
        <v>46191</v>
      </c>
      <c r="B155" s="49">
        <v>16.350000000000001</v>
      </c>
      <c r="C155" s="51" t="s">
        <v>144</v>
      </c>
      <c r="D155" s="50">
        <v>16.399999999999999</v>
      </c>
      <c r="E155" s="50">
        <v>16.600000000000001</v>
      </c>
      <c r="F155" s="50">
        <v>117</v>
      </c>
      <c r="G155" s="50">
        <v>12451</v>
      </c>
      <c r="H155" s="23">
        <v>230</v>
      </c>
      <c r="I155" s="50">
        <v>25.67</v>
      </c>
      <c r="J155" s="53" t="s">
        <v>135</v>
      </c>
      <c r="K155" s="50">
        <v>25.6</v>
      </c>
      <c r="L155" s="50">
        <v>26</v>
      </c>
      <c r="M155" s="50">
        <v>6</v>
      </c>
      <c r="N155" s="50">
        <v>2068</v>
      </c>
      <c r="O155" s="52">
        <v>326</v>
      </c>
      <c r="P155" s="46">
        <v>0.23834899218325362</v>
      </c>
      <c r="U155" s="26">
        <f t="shared" si="8"/>
        <v>230</v>
      </c>
      <c r="V155" s="26">
        <f t="shared" si="9"/>
        <v>16.350000000000001</v>
      </c>
      <c r="W155">
        <f t="shared" si="10"/>
        <v>326</v>
      </c>
      <c r="X155" s="25">
        <f t="shared" si="11"/>
        <v>0.23834899218325362</v>
      </c>
    </row>
    <row r="156" spans="1:24" ht="15" thickBot="1">
      <c r="A156" s="48">
        <v>46191</v>
      </c>
      <c r="B156" s="49">
        <v>14.45</v>
      </c>
      <c r="C156" s="51" t="s">
        <v>21</v>
      </c>
      <c r="D156" s="50">
        <v>14.25</v>
      </c>
      <c r="E156" s="50">
        <v>14.55</v>
      </c>
      <c r="F156" s="50">
        <v>130</v>
      </c>
      <c r="G156" s="50">
        <v>6079</v>
      </c>
      <c r="H156" s="23">
        <v>235</v>
      </c>
      <c r="I156" s="50">
        <v>29</v>
      </c>
      <c r="J156" s="53" t="s">
        <v>69</v>
      </c>
      <c r="K156" s="50">
        <v>28.65</v>
      </c>
      <c r="L156" s="50">
        <v>29.45</v>
      </c>
      <c r="M156" s="50">
        <v>6</v>
      </c>
      <c r="N156" s="50">
        <v>617</v>
      </c>
      <c r="O156" s="52">
        <v>326</v>
      </c>
      <c r="P156" s="46">
        <v>0.23749607708016934</v>
      </c>
      <c r="U156" s="26">
        <f t="shared" si="8"/>
        <v>235</v>
      </c>
      <c r="V156" s="26">
        <f t="shared" si="9"/>
        <v>14.45</v>
      </c>
      <c r="W156">
        <f t="shared" si="10"/>
        <v>326</v>
      </c>
      <c r="X156" s="25">
        <f t="shared" si="11"/>
        <v>0.23749607708016934</v>
      </c>
    </row>
    <row r="157" spans="1:24" ht="15" thickBot="1">
      <c r="A157" s="48">
        <v>46283</v>
      </c>
      <c r="B157" s="49">
        <v>39.630000000000003</v>
      </c>
      <c r="C157" s="51" t="s">
        <v>145</v>
      </c>
      <c r="D157" s="50">
        <v>39.35</v>
      </c>
      <c r="E157" s="50">
        <v>39.9</v>
      </c>
      <c r="F157" s="50">
        <v>9</v>
      </c>
      <c r="G157" s="50">
        <v>737</v>
      </c>
      <c r="H157" s="23">
        <v>195</v>
      </c>
      <c r="I157" s="50">
        <v>12.6</v>
      </c>
      <c r="J157" s="51" t="s">
        <v>34</v>
      </c>
      <c r="K157" s="50">
        <v>12.5</v>
      </c>
      <c r="L157" s="50">
        <v>12.65</v>
      </c>
      <c r="M157" s="50">
        <v>5</v>
      </c>
      <c r="N157" s="50">
        <v>539</v>
      </c>
      <c r="O157" s="52">
        <v>418</v>
      </c>
      <c r="P157" s="46">
        <v>0.26176024098734602</v>
      </c>
      <c r="U157" s="26">
        <f t="shared" si="8"/>
        <v>195</v>
      </c>
      <c r="V157" s="26">
        <f t="shared" si="9"/>
        <v>39.630000000000003</v>
      </c>
      <c r="W157">
        <f t="shared" si="10"/>
        <v>418</v>
      </c>
      <c r="X157" s="25">
        <f t="shared" si="11"/>
        <v>0.26176024098734602</v>
      </c>
    </row>
    <row r="158" spans="1:24" ht="15" thickBot="1">
      <c r="A158" s="48">
        <v>46283</v>
      </c>
      <c r="B158" s="49">
        <v>36.24</v>
      </c>
      <c r="C158" s="51" t="s">
        <v>146</v>
      </c>
      <c r="D158" s="50">
        <v>36</v>
      </c>
      <c r="E158" s="50">
        <v>36.450000000000003</v>
      </c>
      <c r="F158" s="50">
        <v>508</v>
      </c>
      <c r="G158" s="50">
        <v>1419</v>
      </c>
      <c r="H158" s="23">
        <v>200</v>
      </c>
      <c r="I158" s="50">
        <v>14.39</v>
      </c>
      <c r="J158" s="51" t="s">
        <v>71</v>
      </c>
      <c r="K158" s="50">
        <v>14.15</v>
      </c>
      <c r="L158" s="50">
        <v>14.55</v>
      </c>
      <c r="M158" s="50">
        <v>72</v>
      </c>
      <c r="N158" s="50">
        <v>1119</v>
      </c>
      <c r="O158" s="52">
        <v>418</v>
      </c>
      <c r="P158" s="46">
        <v>0.2565276762521162</v>
      </c>
      <c r="U158" s="26">
        <f t="shared" si="8"/>
        <v>200</v>
      </c>
      <c r="V158" s="26">
        <f t="shared" si="9"/>
        <v>36.24</v>
      </c>
      <c r="W158">
        <f t="shared" si="10"/>
        <v>418</v>
      </c>
      <c r="X158" s="25">
        <f t="shared" si="11"/>
        <v>0.2565276762521162</v>
      </c>
    </row>
    <row r="159" spans="1:24" ht="15" thickBot="1">
      <c r="A159" s="48">
        <v>46283</v>
      </c>
      <c r="B159" s="49">
        <v>33.200000000000003</v>
      </c>
      <c r="C159" s="51" t="s">
        <v>118</v>
      </c>
      <c r="D159" s="50">
        <v>33.200000000000003</v>
      </c>
      <c r="E159" s="50">
        <v>33.4</v>
      </c>
      <c r="F159" s="50">
        <v>17</v>
      </c>
      <c r="G159" s="50">
        <v>429</v>
      </c>
      <c r="H159" s="23">
        <v>205</v>
      </c>
      <c r="I159" s="50">
        <v>16.170000000000002</v>
      </c>
      <c r="J159" s="53" t="s">
        <v>106</v>
      </c>
      <c r="K159" s="50">
        <v>15.95</v>
      </c>
      <c r="L159" s="50">
        <v>16.149999999999999</v>
      </c>
      <c r="M159" s="50">
        <v>3</v>
      </c>
      <c r="N159" s="50">
        <v>339</v>
      </c>
      <c r="O159" s="52">
        <v>418</v>
      </c>
      <c r="P159" s="46">
        <v>0.25406784580663644</v>
      </c>
      <c r="U159" s="26">
        <f t="shared" si="8"/>
        <v>205</v>
      </c>
      <c r="V159" s="26">
        <f t="shared" si="9"/>
        <v>33.200000000000003</v>
      </c>
      <c r="W159">
        <f t="shared" si="10"/>
        <v>418</v>
      </c>
      <c r="X159" s="25">
        <f t="shared" si="11"/>
        <v>0.25406784580663644</v>
      </c>
    </row>
    <row r="160" spans="1:24" ht="15" thickBot="1">
      <c r="A160" s="48">
        <v>46283</v>
      </c>
      <c r="B160" s="49">
        <v>30.3</v>
      </c>
      <c r="C160" s="51" t="s">
        <v>118</v>
      </c>
      <c r="D160" s="50">
        <v>30.2</v>
      </c>
      <c r="E160" s="50">
        <v>30.5</v>
      </c>
      <c r="F160" s="50">
        <v>30</v>
      </c>
      <c r="G160" s="50">
        <v>1969</v>
      </c>
      <c r="H160" s="23">
        <v>210</v>
      </c>
      <c r="I160" s="50">
        <v>18.09</v>
      </c>
      <c r="J160" s="53" t="s">
        <v>147</v>
      </c>
      <c r="K160" s="50">
        <v>17.899999999999999</v>
      </c>
      <c r="L160" s="50">
        <v>18.149999999999999</v>
      </c>
      <c r="M160" s="50">
        <v>52</v>
      </c>
      <c r="N160" s="50">
        <v>793</v>
      </c>
      <c r="O160" s="52">
        <v>418</v>
      </c>
      <c r="P160" s="46">
        <v>0.25151573503810842</v>
      </c>
      <c r="U160" s="26">
        <f t="shared" si="8"/>
        <v>210</v>
      </c>
      <c r="V160" s="26">
        <f t="shared" si="9"/>
        <v>30.3</v>
      </c>
      <c r="W160">
        <f t="shared" si="10"/>
        <v>418</v>
      </c>
      <c r="X160" s="25">
        <f t="shared" si="11"/>
        <v>0.25151573503810842</v>
      </c>
    </row>
    <row r="161" spans="1:24" ht="15" thickBot="1">
      <c r="A161" s="48">
        <v>46283</v>
      </c>
      <c r="B161" s="49">
        <v>27.5</v>
      </c>
      <c r="C161" s="51" t="s">
        <v>31</v>
      </c>
      <c r="D161" s="50">
        <v>27.35</v>
      </c>
      <c r="E161" s="50">
        <v>27.7</v>
      </c>
      <c r="F161" s="50">
        <v>27</v>
      </c>
      <c r="G161" s="50">
        <v>461</v>
      </c>
      <c r="H161" s="23">
        <v>215</v>
      </c>
      <c r="I161" s="50">
        <v>20.399999999999999</v>
      </c>
      <c r="J161" s="53" t="s">
        <v>117</v>
      </c>
      <c r="K161" s="50">
        <v>20.100000000000001</v>
      </c>
      <c r="L161" s="50">
        <v>20.3</v>
      </c>
      <c r="M161" s="50">
        <v>96</v>
      </c>
      <c r="N161" s="50">
        <v>270</v>
      </c>
      <c r="O161" s="52">
        <v>418</v>
      </c>
      <c r="P161" s="46">
        <v>0.24839338906763092</v>
      </c>
      <c r="U161" s="26">
        <f t="shared" si="8"/>
        <v>215</v>
      </c>
      <c r="V161" s="26">
        <f t="shared" si="9"/>
        <v>27.5</v>
      </c>
      <c r="W161">
        <f t="shared" si="10"/>
        <v>418</v>
      </c>
      <c r="X161" s="25">
        <f t="shared" si="11"/>
        <v>0.24839338906763092</v>
      </c>
    </row>
    <row r="162" spans="1:24" ht="15" thickBot="1">
      <c r="A162" s="48">
        <v>46283</v>
      </c>
      <c r="B162" s="49">
        <v>25.13</v>
      </c>
      <c r="C162" s="51" t="s">
        <v>115</v>
      </c>
      <c r="D162" s="50">
        <v>24.7</v>
      </c>
      <c r="E162" s="50">
        <v>25.15</v>
      </c>
      <c r="F162" s="50">
        <v>5</v>
      </c>
      <c r="G162" s="50">
        <v>1430</v>
      </c>
      <c r="H162" s="23">
        <v>220</v>
      </c>
      <c r="I162" s="50">
        <v>22.44</v>
      </c>
      <c r="J162" s="53" t="s">
        <v>140</v>
      </c>
      <c r="K162" s="50">
        <v>22.4</v>
      </c>
      <c r="L162" s="50">
        <v>22.65</v>
      </c>
      <c r="M162" s="50">
        <v>58</v>
      </c>
      <c r="N162" s="50">
        <v>94</v>
      </c>
      <c r="O162" s="52">
        <v>418</v>
      </c>
      <c r="P162" s="46">
        <v>0.24839767493548306</v>
      </c>
      <c r="U162" s="26">
        <f t="shared" si="8"/>
        <v>220</v>
      </c>
      <c r="V162" s="26">
        <f t="shared" si="9"/>
        <v>25.13</v>
      </c>
      <c r="W162">
        <f t="shared" si="10"/>
        <v>418</v>
      </c>
      <c r="X162" s="25">
        <f t="shared" si="11"/>
        <v>0.24839767493548306</v>
      </c>
    </row>
    <row r="163" spans="1:24" ht="15" thickBot="1">
      <c r="A163" s="48">
        <v>46283</v>
      </c>
      <c r="B163" s="49">
        <v>22.74</v>
      </c>
      <c r="C163" s="51" t="s">
        <v>148</v>
      </c>
      <c r="D163" s="50">
        <v>22.25</v>
      </c>
      <c r="E163" s="50">
        <v>22.7</v>
      </c>
      <c r="F163" s="50">
        <v>10</v>
      </c>
      <c r="G163" s="50">
        <v>469</v>
      </c>
      <c r="H163" s="23">
        <v>225</v>
      </c>
      <c r="I163" s="50">
        <v>25.21</v>
      </c>
      <c r="J163" s="53" t="s">
        <v>136</v>
      </c>
      <c r="K163" s="50">
        <v>24.55</v>
      </c>
      <c r="L163" s="50">
        <v>25.6</v>
      </c>
      <c r="M163" s="50">
        <v>26</v>
      </c>
      <c r="N163" s="50">
        <v>172</v>
      </c>
      <c r="O163" s="52">
        <v>418</v>
      </c>
      <c r="P163" s="46">
        <v>0.24641934902427309</v>
      </c>
      <c r="U163" s="26">
        <f t="shared" si="8"/>
        <v>225</v>
      </c>
      <c r="V163" s="26">
        <f t="shared" si="9"/>
        <v>22.74</v>
      </c>
      <c r="W163">
        <f t="shared" si="10"/>
        <v>418</v>
      </c>
      <c r="X163" s="25">
        <f t="shared" si="11"/>
        <v>0.24641934902427309</v>
      </c>
    </row>
    <row r="164" spans="1:24" ht="15" thickBot="1">
      <c r="A164" s="48">
        <v>46283</v>
      </c>
      <c r="B164" s="49">
        <v>20.3</v>
      </c>
      <c r="C164" s="51" t="s">
        <v>104</v>
      </c>
      <c r="D164" s="50">
        <v>20</v>
      </c>
      <c r="E164" s="50">
        <v>20.45</v>
      </c>
      <c r="F164" s="50">
        <v>12</v>
      </c>
      <c r="G164" s="50">
        <v>1265</v>
      </c>
      <c r="H164" s="23">
        <v>230</v>
      </c>
      <c r="I164" s="50">
        <v>27.95</v>
      </c>
      <c r="J164" s="53" t="s">
        <v>135</v>
      </c>
      <c r="K164" s="50">
        <v>27.4</v>
      </c>
      <c r="L164" s="50">
        <v>28.3</v>
      </c>
      <c r="M164" s="50">
        <v>2</v>
      </c>
      <c r="N164" s="50">
        <v>13</v>
      </c>
      <c r="O164" s="52">
        <v>418</v>
      </c>
      <c r="P164" s="46">
        <v>0.24223117298959723</v>
      </c>
      <c r="U164" s="26">
        <f t="shared" si="8"/>
        <v>230</v>
      </c>
      <c r="V164" s="26">
        <f t="shared" si="9"/>
        <v>20.3</v>
      </c>
      <c r="W164">
        <f t="shared" si="10"/>
        <v>418</v>
      </c>
      <c r="X164" s="25">
        <f t="shared" si="11"/>
        <v>0.24223117298959723</v>
      </c>
    </row>
    <row r="165" spans="1:24" ht="15" thickBot="1">
      <c r="A165" s="48">
        <v>46283</v>
      </c>
      <c r="B165" s="49">
        <v>18.29</v>
      </c>
      <c r="C165" s="51" t="s">
        <v>91</v>
      </c>
      <c r="D165" s="50">
        <v>18.05</v>
      </c>
      <c r="E165" s="50">
        <v>18.3</v>
      </c>
      <c r="F165" s="50">
        <v>13</v>
      </c>
      <c r="G165" s="50">
        <v>688</v>
      </c>
      <c r="H165" s="23">
        <v>235</v>
      </c>
      <c r="I165" s="50">
        <v>30.85</v>
      </c>
      <c r="J165" s="53" t="s">
        <v>142</v>
      </c>
      <c r="K165" s="50">
        <v>30.3</v>
      </c>
      <c r="L165" s="50">
        <v>31.25</v>
      </c>
      <c r="M165" s="50">
        <v>6</v>
      </c>
      <c r="N165" s="50">
        <v>18</v>
      </c>
      <c r="O165" s="52">
        <v>418</v>
      </c>
      <c r="P165" s="46">
        <v>0.24108138818381966</v>
      </c>
      <c r="U165" s="26">
        <f t="shared" si="8"/>
        <v>235</v>
      </c>
      <c r="V165" s="26">
        <f t="shared" si="9"/>
        <v>18.29</v>
      </c>
      <c r="W165">
        <f t="shared" si="10"/>
        <v>418</v>
      </c>
      <c r="X165" s="25">
        <f t="shared" si="11"/>
        <v>0.24108138818381966</v>
      </c>
    </row>
    <row r="166" spans="1:24" ht="15" thickBot="1">
      <c r="A166" s="48">
        <v>46374</v>
      </c>
      <c r="B166" s="49">
        <v>42.5</v>
      </c>
      <c r="C166" s="51" t="s">
        <v>95</v>
      </c>
      <c r="D166" s="50">
        <v>42.35</v>
      </c>
      <c r="E166" s="50">
        <v>42.85</v>
      </c>
      <c r="F166" s="50">
        <v>10</v>
      </c>
      <c r="G166" s="50">
        <v>1448</v>
      </c>
      <c r="H166" s="23">
        <v>195</v>
      </c>
      <c r="I166" s="50">
        <v>14.44</v>
      </c>
      <c r="J166" s="53" t="s">
        <v>97</v>
      </c>
      <c r="K166" s="50">
        <v>14.2</v>
      </c>
      <c r="L166" s="50">
        <v>14.4</v>
      </c>
      <c r="M166" s="50">
        <v>2</v>
      </c>
      <c r="N166" s="50">
        <v>1656</v>
      </c>
      <c r="O166" s="52">
        <v>509</v>
      </c>
      <c r="P166" s="46">
        <v>0.25588153301726319</v>
      </c>
      <c r="U166" s="26">
        <f t="shared" si="8"/>
        <v>195</v>
      </c>
      <c r="V166" s="26">
        <f t="shared" si="9"/>
        <v>42.5</v>
      </c>
      <c r="W166">
        <f t="shared" si="10"/>
        <v>509</v>
      </c>
      <c r="X166" s="25">
        <f t="shared" si="11"/>
        <v>0.25588153301726319</v>
      </c>
    </row>
    <row r="167" spans="1:24" ht="15" thickBot="1">
      <c r="A167" s="48">
        <v>46374</v>
      </c>
      <c r="B167" s="49">
        <v>39.5</v>
      </c>
      <c r="C167" s="51" t="s">
        <v>32</v>
      </c>
      <c r="D167" s="50">
        <v>39.25</v>
      </c>
      <c r="E167" s="50">
        <v>39.799999999999997</v>
      </c>
      <c r="F167" s="50">
        <v>31</v>
      </c>
      <c r="G167" s="50">
        <v>5885</v>
      </c>
      <c r="H167" s="23">
        <v>200</v>
      </c>
      <c r="I167" s="50">
        <v>16.13</v>
      </c>
      <c r="J167" s="53" t="s">
        <v>140</v>
      </c>
      <c r="K167" s="50">
        <v>15.9</v>
      </c>
      <c r="L167" s="50">
        <v>16.350000000000001</v>
      </c>
      <c r="M167" s="50">
        <v>10</v>
      </c>
      <c r="N167" s="50">
        <v>8463</v>
      </c>
      <c r="O167" s="52">
        <v>509</v>
      </c>
      <c r="P167" s="46">
        <v>0.25509593888245918</v>
      </c>
      <c r="U167" s="26">
        <f t="shared" si="8"/>
        <v>200</v>
      </c>
      <c r="V167" s="26">
        <f t="shared" si="9"/>
        <v>39.5</v>
      </c>
      <c r="W167">
        <f t="shared" si="10"/>
        <v>509</v>
      </c>
      <c r="X167" s="25">
        <f t="shared" si="11"/>
        <v>0.25509593888245918</v>
      </c>
    </row>
    <row r="168" spans="1:24" ht="15" thickBot="1">
      <c r="A168" s="48">
        <v>46374</v>
      </c>
      <c r="B168" s="49">
        <v>33.799999999999997</v>
      </c>
      <c r="C168" s="51" t="s">
        <v>127</v>
      </c>
      <c r="D168" s="50">
        <v>33.549999999999997</v>
      </c>
      <c r="E168" s="50">
        <v>33.9</v>
      </c>
      <c r="F168" s="50">
        <v>23</v>
      </c>
      <c r="G168" s="50">
        <v>6105</v>
      </c>
      <c r="H168" s="23">
        <v>210</v>
      </c>
      <c r="I168" s="50">
        <v>19.98</v>
      </c>
      <c r="J168" s="53" t="s">
        <v>149</v>
      </c>
      <c r="K168" s="50">
        <v>19.75</v>
      </c>
      <c r="L168" s="50">
        <v>20.2</v>
      </c>
      <c r="M168" s="50">
        <v>7</v>
      </c>
      <c r="N168" s="50">
        <v>2199</v>
      </c>
      <c r="O168" s="52">
        <v>509</v>
      </c>
      <c r="P168" s="46">
        <v>0.25216702919676365</v>
      </c>
      <c r="U168" s="26">
        <f t="shared" si="8"/>
        <v>210</v>
      </c>
      <c r="V168" s="26">
        <f t="shared" si="9"/>
        <v>33.799999999999997</v>
      </c>
      <c r="W168">
        <f t="shared" si="10"/>
        <v>509</v>
      </c>
      <c r="X168" s="25">
        <f t="shared" si="11"/>
        <v>0.25216702919676365</v>
      </c>
    </row>
    <row r="169" spans="1:24" ht="15" thickBot="1">
      <c r="A169" s="48">
        <v>46374</v>
      </c>
      <c r="B169" s="49">
        <v>28.39</v>
      </c>
      <c r="C169" s="51" t="s">
        <v>150</v>
      </c>
      <c r="D169" s="50">
        <v>28.15</v>
      </c>
      <c r="E169" s="50">
        <v>28.6</v>
      </c>
      <c r="F169" s="50">
        <v>10</v>
      </c>
      <c r="G169" s="50">
        <v>3241</v>
      </c>
      <c r="H169" s="23">
        <v>220</v>
      </c>
      <c r="I169" s="50">
        <v>24.47</v>
      </c>
      <c r="J169" s="51" t="s">
        <v>59</v>
      </c>
      <c r="K169" s="50">
        <v>24.25</v>
      </c>
      <c r="L169" s="50">
        <v>24.5</v>
      </c>
      <c r="M169" s="50">
        <v>6</v>
      </c>
      <c r="N169" s="50">
        <v>6601</v>
      </c>
      <c r="O169" s="52">
        <v>509</v>
      </c>
      <c r="P169" s="46">
        <v>0.24655458140980396</v>
      </c>
      <c r="U169" s="26">
        <f t="shared" si="8"/>
        <v>220</v>
      </c>
      <c r="V169" s="26">
        <f t="shared" si="9"/>
        <v>28.39</v>
      </c>
      <c r="W169">
        <f t="shared" si="10"/>
        <v>509</v>
      </c>
      <c r="X169" s="25">
        <f t="shared" si="11"/>
        <v>0.24655458140980396</v>
      </c>
    </row>
    <row r="170" spans="1:24" ht="15" thickBot="1">
      <c r="A170" s="48">
        <v>46374</v>
      </c>
      <c r="B170" s="49">
        <v>23.55</v>
      </c>
      <c r="C170" s="51" t="s">
        <v>58</v>
      </c>
      <c r="D170" s="50">
        <v>23.45</v>
      </c>
      <c r="E170" s="50">
        <v>23.9</v>
      </c>
      <c r="F170" s="50">
        <v>34</v>
      </c>
      <c r="G170" s="50">
        <v>5414</v>
      </c>
      <c r="H170" s="23">
        <v>230</v>
      </c>
      <c r="I170" s="50">
        <v>29.85</v>
      </c>
      <c r="J170" s="53" t="s">
        <v>67</v>
      </c>
      <c r="K170" s="50">
        <v>29.25</v>
      </c>
      <c r="L170" s="50">
        <v>30</v>
      </c>
      <c r="M170" s="50">
        <v>14</v>
      </c>
      <c r="N170" s="50">
        <v>2246</v>
      </c>
      <c r="O170" s="52">
        <v>509</v>
      </c>
      <c r="P170" s="46">
        <v>0.24130000105324856</v>
      </c>
      <c r="U170" s="26">
        <f t="shared" si="8"/>
        <v>230</v>
      </c>
      <c r="V170" s="26">
        <f t="shared" si="9"/>
        <v>23.55</v>
      </c>
      <c r="W170">
        <f t="shared" si="10"/>
        <v>509</v>
      </c>
      <c r="X170" s="25">
        <f t="shared" si="11"/>
        <v>0.24130000105324856</v>
      </c>
    </row>
    <row r="171" spans="1:24">
      <c r="A171" s="21"/>
    </row>
  </sheetData>
  <dataValidations disablePrompts="1" count="1">
    <dataValidation type="list" allowBlank="1" showInputMessage="1" showErrorMessage="1" sqref="S8:T8" xr:uid="{0A93A3A0-BB39-42A8-A9EA-6421436FF1CB}">
      <formula1>"Call,Put"</formula1>
    </dataValidation>
  </dataValidations>
  <hyperlinks>
    <hyperlink ref="H3" r:id="rId1" display="https://www.nasdaq.com/market-activity/stocks/aapl/option-chain/call-put-options/aapl--250801c00192500" xr:uid="{83136DD7-63D6-46A4-B474-EDDA2E6006AD}"/>
    <hyperlink ref="H4" r:id="rId2" display="https://www.nasdaq.com/market-activity/stocks/aapl/option-chain/call-put-options/aapl--250801c00195000" xr:uid="{5EADFEBE-4726-4FA4-AEB6-224938772764}"/>
    <hyperlink ref="H5" r:id="rId3" display="https://www.nasdaq.com/market-activity/stocks/aapl/option-chain/call-put-options/aapl--250801c00197500" xr:uid="{0F3AE233-6647-4029-80F5-85FE18BC8A47}"/>
    <hyperlink ref="H6" r:id="rId4" display="https://www.nasdaq.com/market-activity/stocks/aapl/option-chain/call-put-options/aapl--250801c00200000" xr:uid="{1B786E27-ABD1-4C32-8D55-92346ED19E64}"/>
    <hyperlink ref="H7" r:id="rId5" display="https://www.nasdaq.com/market-activity/stocks/aapl/option-chain/call-put-options/aapl--250801c00202500" xr:uid="{9EE139D9-D9CC-4ED0-B7C9-DF613F144441}"/>
    <hyperlink ref="H8" r:id="rId6" display="https://www.nasdaq.com/market-activity/stocks/aapl/option-chain/call-put-options/aapl--250801c00205000" xr:uid="{D5D06C71-F91C-4967-B4E8-DEB6CA0FEE29}"/>
    <hyperlink ref="H9" r:id="rId7" display="https://www.nasdaq.com/market-activity/stocks/aapl/option-chain/call-put-options/aapl--250801c00207500" xr:uid="{A99BD6EE-432A-453B-A080-9592A2914712}"/>
    <hyperlink ref="H10" r:id="rId8" display="https://www.nasdaq.com/market-activity/stocks/aapl/option-chain/call-put-options/aapl--250801c00210000" xr:uid="{996325D5-833C-4CE5-B35B-4B3D8973A85B}"/>
    <hyperlink ref="H11" r:id="rId9" display="https://www.nasdaq.com/market-activity/stocks/aapl/option-chain/call-put-options/aapl--250801c00212500" xr:uid="{5D7F0AA8-6A5E-45B0-A434-6E3340C7F74E}"/>
    <hyperlink ref="H12" r:id="rId10" display="https://www.nasdaq.com/market-activity/stocks/aapl/option-chain/call-put-options/aapl--250801c00215000" xr:uid="{53EA5BEF-3592-40AB-B949-F7B816B2F9B3}"/>
    <hyperlink ref="H13" r:id="rId11" display="https://www.nasdaq.com/market-activity/stocks/aapl/option-chain/call-put-options/aapl--250801c00217500" xr:uid="{FD7A5F66-11A4-4117-8145-0168BDCD4993}"/>
    <hyperlink ref="H14" r:id="rId12" display="https://www.nasdaq.com/market-activity/stocks/aapl/option-chain/call-put-options/aapl--250801c00220000" xr:uid="{AAD578D4-2D0B-4F29-8130-3B47835861C8}"/>
    <hyperlink ref="H15" r:id="rId13" display="https://www.nasdaq.com/market-activity/stocks/aapl/option-chain/call-put-options/aapl--250801c00222500" xr:uid="{4B533D09-6631-46FE-ADE9-DFCC331B9301}"/>
    <hyperlink ref="H16" r:id="rId14" display="https://www.nasdaq.com/market-activity/stocks/aapl/option-chain/call-put-options/aapl--250801c00225000" xr:uid="{5690529D-CC2F-41E4-B27F-5EEE6FC63D29}"/>
    <hyperlink ref="H17" r:id="rId15" display="https://www.nasdaq.com/market-activity/stocks/aapl/option-chain/call-put-options/aapl--250801c00227500" xr:uid="{15A9A7B9-15DF-4FD1-AF3A-2C42450E898F}"/>
    <hyperlink ref="H18" r:id="rId16" display="https://www.nasdaq.com/market-activity/stocks/aapl/option-chain/call-put-options/aapl--250801c00230000" xr:uid="{5605B2BA-63DE-4E3A-8A51-A8FF9B4F9BB8}"/>
    <hyperlink ref="H19" r:id="rId17" display="https://www.nasdaq.com/market-activity/stocks/aapl/option-chain/call-put-options/aapl--250801c00232500" xr:uid="{33614625-22C0-4F6C-AD38-3B3683F8CEA8}"/>
    <hyperlink ref="H20" r:id="rId18" display="https://www.nasdaq.com/market-activity/stocks/aapl/option-chain/call-put-options/aapl--250801c00235000" xr:uid="{5F9A6527-E959-4371-A05F-251B4EAD71FC}"/>
    <hyperlink ref="H21" r:id="rId19" display="https://www.nasdaq.com/market-activity/stocks/aapl/option-chain/call-put-options/aapl--250808c00192500" xr:uid="{94A7C6A3-D817-423A-84C4-670ACB6AACFA}"/>
    <hyperlink ref="H22" r:id="rId20" display="https://www.nasdaq.com/market-activity/stocks/aapl/option-chain/call-put-options/aapl--250808c00195000" xr:uid="{EBE89478-2E8E-44E1-B59B-A6D1E2F1C2F3}"/>
    <hyperlink ref="H23" r:id="rId21" display="https://www.nasdaq.com/market-activity/stocks/aapl/option-chain/call-put-options/aapl--250808c00197500" xr:uid="{F4CEBDA8-3537-4B1A-BA4A-45B19553CEA2}"/>
    <hyperlink ref="H24" r:id="rId22" display="https://www.nasdaq.com/market-activity/stocks/aapl/option-chain/call-put-options/aapl--250808c00200000" xr:uid="{06420E6C-1B90-45FE-986F-26D20DCD5E3E}"/>
    <hyperlink ref="H25" r:id="rId23" display="https://www.nasdaq.com/market-activity/stocks/aapl/option-chain/call-put-options/aapl--250808c00202500" xr:uid="{59131CE2-B1C5-4E16-874B-0EBCD95E8D20}"/>
    <hyperlink ref="H26" r:id="rId24" display="https://www.nasdaq.com/market-activity/stocks/aapl/option-chain/call-put-options/aapl--250808c00205000" xr:uid="{54BA7A80-9757-4852-9EA7-D8D5DBBFCA92}"/>
    <hyperlink ref="H27" r:id="rId25" display="https://www.nasdaq.com/market-activity/stocks/aapl/option-chain/call-put-options/aapl--250808c00207500" xr:uid="{C76454E2-545E-44BB-84C7-27B216E5103C}"/>
    <hyperlink ref="H28" r:id="rId26" display="https://www.nasdaq.com/market-activity/stocks/aapl/option-chain/call-put-options/aapl--250808c00210000" xr:uid="{FAB7EDF6-84F8-4C97-8A83-4668E61002A0}"/>
    <hyperlink ref="H29" r:id="rId27" display="https://www.nasdaq.com/market-activity/stocks/aapl/option-chain/call-put-options/aapl--250808c00212500" xr:uid="{D8133256-8B49-46AF-8163-CA7B3648AA8D}"/>
    <hyperlink ref="H30" r:id="rId28" display="https://www.nasdaq.com/market-activity/stocks/aapl/option-chain/call-put-options/aapl--250808c00215000" xr:uid="{60AD7593-4003-4439-A7C6-188D4119A7E2}"/>
    <hyperlink ref="H31" r:id="rId29" display="https://www.nasdaq.com/market-activity/stocks/aapl/option-chain/call-put-options/aapl--250808c00217500" xr:uid="{9063C46E-A092-4243-B092-2B9D34EDB7EE}"/>
    <hyperlink ref="H32" r:id="rId30" display="https://www.nasdaq.com/market-activity/stocks/aapl/option-chain/call-put-options/aapl--250808c00220000" xr:uid="{6FACE35C-2D08-40B5-9A3F-6A50E5BA4311}"/>
    <hyperlink ref="H33" r:id="rId31" display="https://www.nasdaq.com/market-activity/stocks/aapl/option-chain/call-put-options/aapl--250808c00222500" xr:uid="{FF08485C-4E5D-4FB3-B2FA-67DCF80217C3}"/>
    <hyperlink ref="H34" r:id="rId32" display="https://www.nasdaq.com/market-activity/stocks/aapl/option-chain/call-put-options/aapl--250808c00225000" xr:uid="{D4151A1F-D5D8-4160-9002-90FA66AF54E1}"/>
    <hyperlink ref="H35" r:id="rId33" display="https://www.nasdaq.com/market-activity/stocks/aapl/option-chain/call-put-options/aapl--250808c00227500" xr:uid="{B32A6479-207B-4F2C-B20E-A8D773D0CC0F}"/>
    <hyperlink ref="H36" r:id="rId34" display="https://www.nasdaq.com/market-activity/stocks/aapl/option-chain/call-put-options/aapl--250808c00230000" xr:uid="{E6145023-4CE4-4C9A-94E3-8A469B2AA4A9}"/>
    <hyperlink ref="H37" r:id="rId35" display="https://www.nasdaq.com/market-activity/stocks/aapl/option-chain/call-put-options/aapl--250808c00232500" xr:uid="{A7C4DA36-80B5-45B2-8DD3-97333D6511CC}"/>
    <hyperlink ref="H38" r:id="rId36" display="https://www.nasdaq.com/market-activity/stocks/aapl/option-chain/call-put-options/aapl--250808c00235000" xr:uid="{3BBF6CC1-EF9A-4645-97E2-FEB6F3C88CFA}"/>
    <hyperlink ref="H39" r:id="rId37" display="https://www.nasdaq.com/market-activity/stocks/aapl/option-chain/call-put-options/aapl--250815c00192500" xr:uid="{E186F0FA-D37A-4BBF-AD2D-D4C3A4FF671A}"/>
    <hyperlink ref="H40" r:id="rId38" display="https://www.nasdaq.com/market-activity/stocks/aapl/option-chain/call-put-options/aapl--250815c00195000" xr:uid="{D440BA54-08C1-4AFC-80F2-0B43BAB545B6}"/>
    <hyperlink ref="H41" r:id="rId39" display="https://www.nasdaq.com/market-activity/stocks/aapl/option-chain/call-put-options/aapl--250815c00197500" xr:uid="{B30D324E-BBB3-4B28-BDBC-9907BBFB51B4}"/>
    <hyperlink ref="H42" r:id="rId40" display="https://www.nasdaq.com/market-activity/stocks/aapl/option-chain/call-put-options/aapl--250815c00200000" xr:uid="{7331253B-A28F-4022-917E-6559E9E83904}"/>
    <hyperlink ref="H43" r:id="rId41" display="https://www.nasdaq.com/market-activity/stocks/aapl/option-chain/call-put-options/aapl--250815c00202500" xr:uid="{C5A1700F-2FCC-42A7-8F8B-5FEB4EE1927C}"/>
    <hyperlink ref="H44" r:id="rId42" display="https://www.nasdaq.com/market-activity/stocks/aapl/option-chain/call-put-options/aapl--250815c00205000" xr:uid="{FD25B25C-441D-497D-9AD1-7739E42B96A2}"/>
    <hyperlink ref="H45" r:id="rId43" display="https://www.nasdaq.com/market-activity/stocks/aapl/option-chain/call-put-options/aapl--250815c00207500" xr:uid="{63211B97-4D24-4C27-AB86-045DB1CC682E}"/>
    <hyperlink ref="H46" r:id="rId44" display="https://www.nasdaq.com/market-activity/stocks/aapl/option-chain/call-put-options/aapl--250815c00210000" xr:uid="{3E94C47D-9CE5-4F7C-9F8A-EF22B65C6EE6}"/>
    <hyperlink ref="H47" r:id="rId45" display="https://www.nasdaq.com/market-activity/stocks/aapl/option-chain/call-put-options/aapl--250815c00212500" xr:uid="{AD5253AB-5B3E-4EFF-A203-E95D3FB2088C}"/>
    <hyperlink ref="H48" r:id="rId46" display="https://www.nasdaq.com/market-activity/stocks/aapl/option-chain/call-put-options/aapl--250815c00215000" xr:uid="{E05788DE-A019-493F-B1CE-5C5DE6219188}"/>
    <hyperlink ref="H49" r:id="rId47" display="https://www.nasdaq.com/market-activity/stocks/aapl/option-chain/call-put-options/aapl--250815c00217500" xr:uid="{75E2950F-4718-45A9-A45E-1D5B2AAF120A}"/>
    <hyperlink ref="H50" r:id="rId48" display="https://www.nasdaq.com/market-activity/stocks/aapl/option-chain/call-put-options/aapl--250815c00220000" xr:uid="{D14F7553-C6E0-4CCA-9E79-E8D3481E8025}"/>
    <hyperlink ref="H51" r:id="rId49" display="https://www.nasdaq.com/market-activity/stocks/aapl/option-chain/call-put-options/aapl--250815c00222500" xr:uid="{FBFA1980-BA5D-4A96-A72A-A58AA80D96B2}"/>
    <hyperlink ref="H52" r:id="rId50" display="https://www.nasdaq.com/market-activity/stocks/aapl/option-chain/call-put-options/aapl--250815c00225000" xr:uid="{3C39A17F-51C9-43DC-8D93-ADBCE4FF986E}"/>
    <hyperlink ref="H53" r:id="rId51" display="https://www.nasdaq.com/market-activity/stocks/aapl/option-chain/call-put-options/aapl--250815c00227500" xr:uid="{DC093811-6470-44B3-B56A-86216F1B16E6}"/>
    <hyperlink ref="H54" r:id="rId52" display="https://www.nasdaq.com/market-activity/stocks/aapl/option-chain/call-put-options/aapl--250815c00230000" xr:uid="{50F2D6D8-F519-4AF5-BE78-36829EC654EF}"/>
    <hyperlink ref="H55" r:id="rId53" display="https://www.nasdaq.com/market-activity/stocks/aapl/option-chain/call-put-options/aapl--250815c00232500" xr:uid="{68758BE1-93C6-49DE-9EC8-701DAC3B3CBF}"/>
    <hyperlink ref="H56" r:id="rId54" display="https://www.nasdaq.com/market-activity/stocks/aapl/option-chain/call-put-options/aapl--250815c00235000" xr:uid="{893DB5CD-3609-4152-A0BB-B335BC9C7DD6}"/>
    <hyperlink ref="H57" r:id="rId55" display="https://www.nasdaq.com/market-activity/stocks/aapl/option-chain/call-put-options/aapl--250822c00195000" xr:uid="{4A2CC684-4299-4BE7-B025-F73F33D0ABE8}"/>
    <hyperlink ref="H58" r:id="rId56" display="https://www.nasdaq.com/market-activity/stocks/aapl/option-chain/call-put-options/aapl--250822c00200000" xr:uid="{3812BAF0-E49E-44FD-B6DB-218475D42883}"/>
    <hyperlink ref="H59" r:id="rId57" display="https://www.nasdaq.com/market-activity/stocks/aapl/option-chain/call-put-options/aapl--250822c00205000" xr:uid="{04B603C5-DD8B-4899-9AB9-2E6FFDB8365E}"/>
    <hyperlink ref="H60" r:id="rId58" display="https://www.nasdaq.com/market-activity/stocks/aapl/option-chain/call-put-options/aapl--250822c00210000" xr:uid="{93F2EF66-853E-428F-8781-E5BB8966BB29}"/>
    <hyperlink ref="H61" r:id="rId59" display="https://www.nasdaq.com/market-activity/stocks/aapl/option-chain/call-put-options/aapl--250822c00215000" xr:uid="{25A69040-CCE0-453D-95F7-FD2883AB78C8}"/>
    <hyperlink ref="H62" r:id="rId60" display="https://www.nasdaq.com/market-activity/stocks/aapl/option-chain/call-put-options/aapl--250822c00220000" xr:uid="{DDF6AE77-5502-4AC3-B0D1-A480AD399926}"/>
    <hyperlink ref="H63" r:id="rId61" display="https://www.nasdaq.com/market-activity/stocks/aapl/option-chain/call-put-options/aapl--250822c00225000" xr:uid="{F5D505FD-F1D4-4544-9266-DEE7CAB50380}"/>
    <hyperlink ref="H64" r:id="rId62" display="https://www.nasdaq.com/market-activity/stocks/aapl/option-chain/call-put-options/aapl--250822c00230000" xr:uid="{11310489-E2BE-4A7A-B5A6-04864D60D1D6}"/>
    <hyperlink ref="H65" r:id="rId63" display="https://www.nasdaq.com/market-activity/stocks/aapl/option-chain/call-put-options/aapl--250822c00235000" xr:uid="{FF90C917-B04D-4995-A003-70F0E9E90EF1}"/>
    <hyperlink ref="H66" r:id="rId64" display="https://www.nasdaq.com/market-activity/stocks/aapl/option-chain/call-put-options/aapl--250829c00195000" xr:uid="{CB99265A-2C7C-4704-8325-1918E9875ACB}"/>
    <hyperlink ref="H67" r:id="rId65" display="https://www.nasdaq.com/market-activity/stocks/aapl/option-chain/call-put-options/aapl--250829c00200000" xr:uid="{40FA650E-CCE7-4F24-8A8B-CEDA9C11082B}"/>
    <hyperlink ref="H68" r:id="rId66" display="https://www.nasdaq.com/market-activity/stocks/aapl/option-chain/call-put-options/aapl--250829c00205000" xr:uid="{493CEB10-715B-4513-ACF3-BA9BF86FAB27}"/>
    <hyperlink ref="H69" r:id="rId67" display="https://www.nasdaq.com/market-activity/stocks/aapl/option-chain/call-put-options/aapl--250829c00210000" xr:uid="{F27C76D8-5E92-421B-AA3B-12CDD188E68E}"/>
    <hyperlink ref="H70" r:id="rId68" display="https://www.nasdaq.com/market-activity/stocks/aapl/option-chain/call-put-options/aapl--250829c00215000" xr:uid="{AA138F92-578C-4913-BD6F-E3441C42DA8B}"/>
    <hyperlink ref="H71" r:id="rId69" display="https://www.nasdaq.com/market-activity/stocks/aapl/option-chain/call-put-options/aapl--250829c00220000" xr:uid="{0385D2F6-CCA1-4031-9A8F-9ADD7854AB6E}"/>
    <hyperlink ref="H72" r:id="rId70" display="https://www.nasdaq.com/market-activity/stocks/aapl/option-chain/call-put-options/aapl--250829c00225000" xr:uid="{E33A6103-87A7-44DC-8124-6B15A07E0B5E}"/>
    <hyperlink ref="H73" r:id="rId71" display="https://www.nasdaq.com/market-activity/stocks/aapl/option-chain/call-put-options/aapl--250829c00230000" xr:uid="{E960048B-C774-40D8-8EFD-E0DEBFB8AB33}"/>
    <hyperlink ref="H74" r:id="rId72" display="https://www.nasdaq.com/market-activity/stocks/aapl/option-chain/call-put-options/aapl--250829c00235000" xr:uid="{B8AEE473-E922-427E-81BA-A3F6A24A9309}"/>
    <hyperlink ref="H75" r:id="rId73" display="https://www.nasdaq.com/market-activity/stocks/aapl/option-chain/call-put-options/aapl--250905c00195000" xr:uid="{EE9D787B-934E-4E17-B453-37DC4F8E4BC1}"/>
    <hyperlink ref="H76" r:id="rId74" display="https://www.nasdaq.com/market-activity/stocks/aapl/option-chain/call-put-options/aapl--250905c00200000" xr:uid="{FAFDE14D-B8A0-4D95-A0E0-BEC618A8DFFF}"/>
    <hyperlink ref="H77" r:id="rId75" display="https://www.nasdaq.com/market-activity/stocks/aapl/option-chain/call-put-options/aapl--250905c00205000" xr:uid="{4BB2A761-275E-48A4-9E35-03D551D505D3}"/>
    <hyperlink ref="H78" r:id="rId76" display="https://www.nasdaq.com/market-activity/stocks/aapl/option-chain/call-put-options/aapl--250905c00210000" xr:uid="{9A634917-0BBD-40FC-855E-7E37FF90444D}"/>
    <hyperlink ref="H79" r:id="rId77" display="https://www.nasdaq.com/market-activity/stocks/aapl/option-chain/call-put-options/aapl--250905c00215000" xr:uid="{84245BF3-E27D-46B1-97CE-169AD5E72DB0}"/>
    <hyperlink ref="H80" r:id="rId78" display="https://www.nasdaq.com/market-activity/stocks/aapl/option-chain/call-put-options/aapl--250905c00220000" xr:uid="{594F93EF-1846-4353-BE4B-2024D6779F91}"/>
    <hyperlink ref="H81" r:id="rId79" display="https://www.nasdaq.com/market-activity/stocks/aapl/option-chain/call-put-options/aapl--250905c00225000" xr:uid="{56D5A74A-6C03-45D1-9024-D5157B7E7CA2}"/>
    <hyperlink ref="H82" r:id="rId80" display="https://www.nasdaq.com/market-activity/stocks/aapl/option-chain/call-put-options/aapl--250905c00230000" xr:uid="{E0B5CE3E-9114-4936-AA93-FA327A27EE55}"/>
    <hyperlink ref="H83" r:id="rId81" display="https://www.nasdaq.com/market-activity/stocks/aapl/option-chain/call-put-options/aapl--250905c00235000" xr:uid="{860C6DC8-1400-474F-BBAD-D5E330D3C9B8}"/>
    <hyperlink ref="H84" r:id="rId82" display="https://www.nasdaq.com/market-activity/stocks/aapl/option-chain/call-put-options/aapl--250919c00195000" xr:uid="{44ED6D49-96AA-4E66-ADBD-ED255481B0CA}"/>
    <hyperlink ref="H85" r:id="rId83" display="https://www.nasdaq.com/market-activity/stocks/aapl/option-chain/call-put-options/aapl--250919c00200000" xr:uid="{6A175AE1-A165-4D12-BE43-F5A4AE0FFAA9}"/>
    <hyperlink ref="H86" r:id="rId84" display="https://www.nasdaq.com/market-activity/stocks/aapl/option-chain/call-put-options/aapl--250919c00205000" xr:uid="{2C3D6027-FABD-432A-BEC2-51A01D1D049E}"/>
    <hyperlink ref="H87" r:id="rId85" display="https://www.nasdaq.com/market-activity/stocks/aapl/option-chain/call-put-options/aapl--250919c00210000" xr:uid="{86F2B77E-9BCE-4E18-92A6-36953BE50586}"/>
    <hyperlink ref="H88" r:id="rId86" display="https://www.nasdaq.com/market-activity/stocks/aapl/option-chain/call-put-options/aapl--250919c00215000" xr:uid="{E08D4247-B8D1-474C-A828-AF77C7531900}"/>
    <hyperlink ref="H89" r:id="rId87" display="https://www.nasdaq.com/market-activity/stocks/aapl/option-chain/call-put-options/aapl--250919c00220000" xr:uid="{DE90D190-F433-4713-9C19-05ADC11A2689}"/>
    <hyperlink ref="H90" r:id="rId88" display="https://www.nasdaq.com/market-activity/stocks/aapl/option-chain/call-put-options/aapl--250919c00225000" xr:uid="{346D66B2-8842-4C63-B9D5-9092196828AE}"/>
    <hyperlink ref="H91" r:id="rId89" display="https://www.nasdaq.com/market-activity/stocks/aapl/option-chain/call-put-options/aapl--250919c00230000" xr:uid="{F538EDD9-9D26-492F-8AC5-AAEE3A8BFB24}"/>
    <hyperlink ref="H92" r:id="rId90" display="https://www.nasdaq.com/market-activity/stocks/aapl/option-chain/call-put-options/aapl--250919c00235000" xr:uid="{C2B57DB7-10E1-485E-B08F-AED57711F31F}"/>
    <hyperlink ref="H93" r:id="rId91" display="https://www.nasdaq.com/market-activity/stocks/aapl/option-chain/call-put-options/aapl--251017c00195000" xr:uid="{8D8DF28C-9AE3-431C-A50F-E6C154AD65CB}"/>
    <hyperlink ref="H94" r:id="rId92" display="https://www.nasdaq.com/market-activity/stocks/aapl/option-chain/call-put-options/aapl--251017c00200000" xr:uid="{175E6359-2907-4AF0-8AF0-3431D75FD1FF}"/>
    <hyperlink ref="H95" r:id="rId93" display="https://www.nasdaq.com/market-activity/stocks/aapl/option-chain/call-put-options/aapl--251017c00205000" xr:uid="{70DD3C6B-2D0B-48A6-B204-3EBC21160F84}"/>
    <hyperlink ref="H96" r:id="rId94" display="https://www.nasdaq.com/market-activity/stocks/aapl/option-chain/call-put-options/aapl--251017c00210000" xr:uid="{ADE43C6A-7281-4359-A2FE-B0C07F34648B}"/>
    <hyperlink ref="H97" r:id="rId95" display="https://www.nasdaq.com/market-activity/stocks/aapl/option-chain/call-put-options/aapl--251017c00215000" xr:uid="{D3998AC0-0DDA-4629-AE99-63523B4C0EA2}"/>
    <hyperlink ref="H98" r:id="rId96" display="https://www.nasdaq.com/market-activity/stocks/aapl/option-chain/call-put-options/aapl--251017c00220000" xr:uid="{72B40878-1C51-4D69-A866-13459E6D19CC}"/>
    <hyperlink ref="H99" r:id="rId97" display="https://www.nasdaq.com/market-activity/stocks/aapl/option-chain/call-put-options/aapl--251017c00225000" xr:uid="{8A8B4B69-5E84-45E9-A0ED-29E5224DE6B3}"/>
    <hyperlink ref="H100" r:id="rId98" display="https://www.nasdaq.com/market-activity/stocks/aapl/option-chain/call-put-options/aapl--251017c00230000" xr:uid="{E776BA8F-3338-4C7E-A737-DD3FE68490BD}"/>
    <hyperlink ref="H101" r:id="rId99" display="https://www.nasdaq.com/market-activity/stocks/aapl/option-chain/call-put-options/aapl--251017c00235000" xr:uid="{5AABC34C-3DF3-422B-9FF9-AFC69A1EF040}"/>
    <hyperlink ref="H102" r:id="rId100" display="https://www.nasdaq.com/market-activity/stocks/aapl/option-chain/call-put-options/aapl--251121c00195000" xr:uid="{45D3F10A-BDC5-4BA7-A9CC-875F084BFD2F}"/>
    <hyperlink ref="H103" r:id="rId101" display="https://www.nasdaq.com/market-activity/stocks/aapl/option-chain/call-put-options/aapl--251121c00200000" xr:uid="{0ACC4A3F-C28C-413E-A6E7-562AFAE1A95D}"/>
    <hyperlink ref="H104" r:id="rId102" display="https://www.nasdaq.com/market-activity/stocks/aapl/option-chain/call-put-options/aapl--251121c00205000" xr:uid="{CA567135-C154-44B8-9600-93F4F783668D}"/>
    <hyperlink ref="H105" r:id="rId103" display="https://www.nasdaq.com/market-activity/stocks/aapl/option-chain/call-put-options/aapl--251121c00210000" xr:uid="{0875769A-3091-4FA3-AFB7-EEA84638984B}"/>
    <hyperlink ref="H106" r:id="rId104" display="https://www.nasdaq.com/market-activity/stocks/aapl/option-chain/call-put-options/aapl--251121c00215000" xr:uid="{1E0474C2-B05A-421B-B0B5-743DF853A03C}"/>
    <hyperlink ref="H107" r:id="rId105" display="https://www.nasdaq.com/market-activity/stocks/aapl/option-chain/call-put-options/aapl--251121c00220000" xr:uid="{E67FE15D-ECA7-4FD5-95CD-22E46CE92541}"/>
    <hyperlink ref="H108" r:id="rId106" display="https://www.nasdaq.com/market-activity/stocks/aapl/option-chain/call-put-options/aapl--251121c00225000" xr:uid="{8A7B6A52-AF57-42F3-871D-FE7263024821}"/>
    <hyperlink ref="H109" r:id="rId107" display="https://www.nasdaq.com/market-activity/stocks/aapl/option-chain/call-put-options/aapl--251121c00230000" xr:uid="{C6E37904-BCB1-4D17-8AD8-3E8CF80F4452}"/>
    <hyperlink ref="H110" r:id="rId108" display="https://www.nasdaq.com/market-activity/stocks/aapl/option-chain/call-put-options/aapl--251121c00235000" xr:uid="{05FADF49-7AD4-4718-8EBA-1F8B639238B9}"/>
    <hyperlink ref="H111" r:id="rId109" display="https://www.nasdaq.com/market-activity/stocks/aapl/option-chain/call-put-options/aapl--251219c00195000" xr:uid="{E1E5BD14-9852-4267-BCE1-26B5B65EE7BD}"/>
    <hyperlink ref="H112" r:id="rId110" display="https://www.nasdaq.com/market-activity/stocks/aapl/option-chain/call-put-options/aapl--251219c00200000" xr:uid="{96FB1CF3-8D15-49AB-A2F5-1B61E644D159}"/>
    <hyperlink ref="H113" r:id="rId111" display="https://www.nasdaq.com/market-activity/stocks/aapl/option-chain/call-put-options/aapl--251219c00205000" xr:uid="{84774BA5-113F-48C7-B2B1-B4C8F05307E5}"/>
    <hyperlink ref="H114" r:id="rId112" display="https://www.nasdaq.com/market-activity/stocks/aapl/option-chain/call-put-options/aapl--251219c00210000" xr:uid="{B5BA1261-A05A-43BC-B3BA-A07E2B65207D}"/>
    <hyperlink ref="H115" r:id="rId113" display="https://www.nasdaq.com/market-activity/stocks/aapl/option-chain/call-put-options/aapl--251219c00215000" xr:uid="{02DD9853-DB9A-46A6-B7AF-4EABB58E5864}"/>
    <hyperlink ref="H116" r:id="rId114" display="https://www.nasdaq.com/market-activity/stocks/aapl/option-chain/call-put-options/aapl--251219c00220000" xr:uid="{C2AAAE13-03D5-4E6D-A32E-700C9DF491A6}"/>
    <hyperlink ref="H117" r:id="rId115" display="https://www.nasdaq.com/market-activity/stocks/aapl/option-chain/call-put-options/aapl--251219c00225000" xr:uid="{7EEB3C8B-8DB8-4F25-B21D-0C901B438DA4}"/>
    <hyperlink ref="H118" r:id="rId116" display="https://www.nasdaq.com/market-activity/stocks/aapl/option-chain/call-put-options/aapl--251219c00230000" xr:uid="{BA5D205A-B26E-42D1-B28A-0F80F9207010}"/>
    <hyperlink ref="H119" r:id="rId117" display="https://www.nasdaq.com/market-activity/stocks/aapl/option-chain/call-put-options/aapl--251219c00235000" xr:uid="{C146B081-2936-49D6-9465-507977BDA8D9}"/>
    <hyperlink ref="H120" r:id="rId118" display="https://www.nasdaq.com/market-activity/stocks/aapl/option-chain/call-put-options/aapl--260116c00195000" xr:uid="{94F29EBC-CDC7-4DAD-951F-E94835944B04}"/>
    <hyperlink ref="H121" r:id="rId119" display="https://www.nasdaq.com/market-activity/stocks/aapl/option-chain/call-put-options/aapl--260116c00200000" xr:uid="{AC1CF16D-BB65-44B3-9682-CF9253F8B587}"/>
    <hyperlink ref="H122" r:id="rId120" display="https://www.nasdaq.com/market-activity/stocks/aapl/option-chain/call-put-options/aapl--260116c00205000" xr:uid="{DE95BC5E-AFFD-4347-AC7E-4B2196DD781C}"/>
    <hyperlink ref="H123" r:id="rId121" display="https://www.nasdaq.com/market-activity/stocks/aapl/option-chain/call-put-options/aapl--260116c00210000" xr:uid="{303FFDB4-B6A6-4F63-924F-EBD98974779F}"/>
    <hyperlink ref="H124" r:id="rId122" display="https://www.nasdaq.com/market-activity/stocks/aapl/option-chain/call-put-options/aapl--260116c00215000" xr:uid="{2075AEDB-475E-45B0-8FD5-32E44ED65600}"/>
    <hyperlink ref="H125" r:id="rId123" display="https://www.nasdaq.com/market-activity/stocks/aapl/option-chain/call-put-options/aapl--260116c00220000" xr:uid="{5E5CB084-A4E0-4727-8D18-BF51E2419F14}"/>
    <hyperlink ref="H126" r:id="rId124" display="https://www.nasdaq.com/market-activity/stocks/aapl/option-chain/call-put-options/aapl--260116c00225000" xr:uid="{642D08AF-14B4-426A-9C87-D1338B16BCD8}"/>
    <hyperlink ref="H127" r:id="rId125" display="https://www.nasdaq.com/market-activity/stocks/aapl/option-chain/call-put-options/aapl--260116c00230000" xr:uid="{464BDF1B-121F-4CA7-96C7-35B54D063794}"/>
    <hyperlink ref="H128" r:id="rId126" display="https://www.nasdaq.com/market-activity/stocks/aapl/option-chain/call-put-options/aapl--260116c00235000" xr:uid="{5F79F0BF-8C19-4BDA-A1E4-02C532CA7213}"/>
    <hyperlink ref="H129" r:id="rId127" display="https://www.nasdaq.com/market-activity/stocks/aapl/option-chain/call-put-options/aapl--260220c00195000" xr:uid="{8F3BAC09-A048-49B7-B79F-A8D770CEC286}"/>
    <hyperlink ref="H130" r:id="rId128" display="https://www.nasdaq.com/market-activity/stocks/aapl/option-chain/call-put-options/aapl--260220c00200000" xr:uid="{139B63D9-1258-4464-A343-2AE188978572}"/>
    <hyperlink ref="H131" r:id="rId129" display="https://www.nasdaq.com/market-activity/stocks/aapl/option-chain/call-put-options/aapl--260220c00205000" xr:uid="{D020E9FF-3472-4031-AAFD-50B1C3B93C87}"/>
    <hyperlink ref="H132" r:id="rId130" display="https://www.nasdaq.com/market-activity/stocks/aapl/option-chain/call-put-options/aapl--260220c00210000" xr:uid="{2EA827BC-2357-4F60-B7EB-2413DF21DD73}"/>
    <hyperlink ref="H133" r:id="rId131" display="https://www.nasdaq.com/market-activity/stocks/aapl/option-chain/call-put-options/aapl--260220c00215000" xr:uid="{49CA70D4-CD04-41CB-9F3C-0C16C5DB7CC9}"/>
    <hyperlink ref="H134" r:id="rId132" display="https://www.nasdaq.com/market-activity/stocks/aapl/option-chain/call-put-options/aapl--260220c00220000" xr:uid="{AE60C181-0D92-482B-BFCC-AA8DEDDA992A}"/>
    <hyperlink ref="H135" r:id="rId133" display="https://www.nasdaq.com/market-activity/stocks/aapl/option-chain/call-put-options/aapl--260220c00225000" xr:uid="{1AD592DF-7847-407D-BDF0-5334419E0470}"/>
    <hyperlink ref="H136" r:id="rId134" display="https://www.nasdaq.com/market-activity/stocks/aapl/option-chain/call-put-options/aapl--260220c00230000" xr:uid="{D30EDEC6-70B1-44B2-96F6-43113FA63904}"/>
    <hyperlink ref="H137" r:id="rId135" display="https://www.nasdaq.com/market-activity/stocks/aapl/option-chain/call-put-options/aapl--260220c00235000" xr:uid="{002E8270-0083-4509-BFCC-1BE3CA6DCD79}"/>
    <hyperlink ref="H138" r:id="rId136" display="https://www.nasdaq.com/market-activity/stocks/aapl/option-chain/call-put-options/aapl--260320c00195000" xr:uid="{403292C8-6AA7-40EA-AA47-E56B28D141F3}"/>
    <hyperlink ref="H139" r:id="rId137" display="https://www.nasdaq.com/market-activity/stocks/aapl/option-chain/call-put-options/aapl--260320c00200000" xr:uid="{C87FF1A9-4E46-4B52-835C-64BA670B1100}"/>
    <hyperlink ref="H140" r:id="rId138" display="https://www.nasdaq.com/market-activity/stocks/aapl/option-chain/call-put-options/aapl--260320c00210000" xr:uid="{6452C04F-C6DC-45E4-99F9-B741551EA634}"/>
    <hyperlink ref="H141" r:id="rId139" display="https://www.nasdaq.com/market-activity/stocks/aapl/option-chain/call-put-options/aapl--260320c00220000" xr:uid="{5F4995F4-16AC-4062-9F75-0B9DEEE33BB2}"/>
    <hyperlink ref="H142" r:id="rId140" display="https://www.nasdaq.com/market-activity/stocks/aapl/option-chain/call-put-options/aapl--260320c00230000" xr:uid="{D15EFAF2-44FC-42C0-8BDD-582AD9590F51}"/>
    <hyperlink ref="H143" r:id="rId141" display="https://www.nasdaq.com/market-activity/stocks/aapl/option-chain/call-put-options/aapl--260515c00195000" xr:uid="{DAA1473D-8EF7-446D-B0C0-2D66A09345F3}"/>
    <hyperlink ref="H144" r:id="rId142" display="https://www.nasdaq.com/market-activity/stocks/aapl/option-chain/call-put-options/aapl--260515c00200000" xr:uid="{F0AEB6A0-4A64-4B3D-85BF-99884CE1BAC3}"/>
    <hyperlink ref="H145" r:id="rId143" display="https://www.nasdaq.com/market-activity/stocks/aapl/option-chain/call-put-options/aapl--260515c00210000" xr:uid="{80748BE2-C48D-459A-AFA2-33A43C37FC29}"/>
    <hyperlink ref="H146" r:id="rId144" display="https://www.nasdaq.com/market-activity/stocks/aapl/option-chain/call-put-options/aapl--260515c00220000" xr:uid="{2A6E94E4-D6B1-45AE-85A7-9125286D4265}"/>
    <hyperlink ref="H147" r:id="rId145" display="https://www.nasdaq.com/market-activity/stocks/aapl/option-chain/call-put-options/aapl--260515c00230000" xr:uid="{4A77B75C-4C68-4153-B31C-F55706305F1D}"/>
    <hyperlink ref="H148" r:id="rId146" display="https://www.nasdaq.com/market-activity/stocks/aapl/option-chain/call-put-options/aapl--260618c00195000" xr:uid="{F985161F-4125-4D15-B570-3084FAC019E7}"/>
    <hyperlink ref="H149" r:id="rId147" display="https://www.nasdaq.com/market-activity/stocks/aapl/option-chain/call-put-options/aapl--260618c00200000" xr:uid="{0890094C-6F80-4DA2-8512-B810F0044046}"/>
    <hyperlink ref="H150" r:id="rId148" display="https://www.nasdaq.com/market-activity/stocks/aapl/option-chain/call-put-options/aapl--260618c00205000" xr:uid="{10E9CC6E-033E-472B-A9D4-3B51354BA63C}"/>
    <hyperlink ref="H151" r:id="rId149" display="https://www.nasdaq.com/market-activity/stocks/aapl/option-chain/call-put-options/aapl--260618c00210000" xr:uid="{3AC700DE-5861-4AAF-89CF-AEFDA36A1B62}"/>
    <hyperlink ref="H152" r:id="rId150" display="https://www.nasdaq.com/market-activity/stocks/aapl/option-chain/call-put-options/aapl--260618c00215000" xr:uid="{283A5237-A3CD-41B6-BF19-B0BCB98BC500}"/>
    <hyperlink ref="H153" r:id="rId151" display="https://www.nasdaq.com/market-activity/stocks/aapl/option-chain/call-put-options/aapl--260618c00220000" xr:uid="{62D26951-7C2D-4003-877C-03BC5C7FC8E5}"/>
    <hyperlink ref="H154" r:id="rId152" display="https://www.nasdaq.com/market-activity/stocks/aapl/option-chain/call-put-options/aapl--260618c00225000" xr:uid="{77D1A1B8-8647-4FCB-9D79-40A3F5B1B851}"/>
    <hyperlink ref="H155" r:id="rId153" display="https://www.nasdaq.com/market-activity/stocks/aapl/option-chain/call-put-options/aapl--260618c00230000" xr:uid="{CED2D7B2-2076-4D2C-816C-5860248083E5}"/>
    <hyperlink ref="H156" r:id="rId154" display="https://www.nasdaq.com/market-activity/stocks/aapl/option-chain/call-put-options/aapl--260618c00235000" xr:uid="{69AF6647-45DE-4C38-A744-55ECFDCCE4B9}"/>
    <hyperlink ref="H157" r:id="rId155" display="https://www.nasdaq.com/market-activity/stocks/aapl/option-chain/call-put-options/aapl--260918c00195000" xr:uid="{95A63844-A067-494A-827D-2747D0096746}"/>
    <hyperlink ref="H158" r:id="rId156" display="https://www.nasdaq.com/market-activity/stocks/aapl/option-chain/call-put-options/aapl--260918c00200000" xr:uid="{61A146C0-63AD-4100-A028-632299FAAA99}"/>
    <hyperlink ref="H159" r:id="rId157" display="https://www.nasdaq.com/market-activity/stocks/aapl/option-chain/call-put-options/aapl--260918c00205000" xr:uid="{692DF4CC-AD25-43BF-91B4-152777F2C751}"/>
    <hyperlink ref="H160" r:id="rId158" display="https://www.nasdaq.com/market-activity/stocks/aapl/option-chain/call-put-options/aapl--260918c00210000" xr:uid="{4E626599-C403-4ED2-AF4B-5E366D60FB72}"/>
    <hyperlink ref="H161" r:id="rId159" display="https://www.nasdaq.com/market-activity/stocks/aapl/option-chain/call-put-options/aapl--260918c00215000" xr:uid="{E058F538-372F-4BA8-A136-0AB5D7EF9D31}"/>
    <hyperlink ref="H162" r:id="rId160" display="https://www.nasdaq.com/market-activity/stocks/aapl/option-chain/call-put-options/aapl--260918c00220000" xr:uid="{09E53D93-FCF2-4275-8803-3832C92D425E}"/>
    <hyperlink ref="H163" r:id="rId161" display="https://www.nasdaq.com/market-activity/stocks/aapl/option-chain/call-put-options/aapl--260918c00225000" xr:uid="{0696C9FD-49DF-49A7-8749-3D9E7879C381}"/>
    <hyperlink ref="H164" r:id="rId162" display="https://www.nasdaq.com/market-activity/stocks/aapl/option-chain/call-put-options/aapl--260918c00230000" xr:uid="{6360610E-F985-4EF2-B4C3-FA1C274DF82C}"/>
    <hyperlink ref="H165" r:id="rId163" display="https://www.nasdaq.com/market-activity/stocks/aapl/option-chain/call-put-options/aapl--260918c00235000" xr:uid="{C9D818CA-CF09-4F32-85F0-9CD241D7E3E9}"/>
    <hyperlink ref="H166" r:id="rId164" display="https://www.nasdaq.com/market-activity/stocks/aapl/option-chain/call-put-options/aapl--261218c00195000" xr:uid="{271E53AD-E642-4047-BA0B-6B80D57B400C}"/>
    <hyperlink ref="H167" r:id="rId165" display="https://www.nasdaq.com/market-activity/stocks/aapl/option-chain/call-put-options/aapl--261218c00200000" xr:uid="{5B6BC65D-830D-4557-9262-AB331CC6128C}"/>
    <hyperlink ref="H168" r:id="rId166" display="https://www.nasdaq.com/market-activity/stocks/aapl/option-chain/call-put-options/aapl--261218c00210000" xr:uid="{7B8DCEB5-935C-4A7B-8F18-D0EA40E1F024}"/>
    <hyperlink ref="H169" r:id="rId167" display="https://www.nasdaq.com/market-activity/stocks/aapl/option-chain/call-put-options/aapl--261218c00220000" xr:uid="{CCA27892-3DBB-4AA6-95D9-7EC6CD7866F8}"/>
    <hyperlink ref="H170" r:id="rId168" display="https://www.nasdaq.com/market-activity/stocks/aapl/option-chain/call-put-options/aapl--261218c00230000" xr:uid="{F97164D6-E39F-413A-992D-17ED7BC3766A}"/>
  </hyperlinks>
  <pageMargins left="0.7" right="0.7" top="0.75" bottom="0.75" header="0.3" footer="0.3"/>
  <legacyDrawing r:id="rId16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1ED2B-3EDC-4743-87A0-F76FF46C0C5D}">
  <sheetPr codeName="Hoja5"/>
  <dimension ref="A2:AR191"/>
  <sheetViews>
    <sheetView topLeftCell="M1" zoomScale="85" zoomScaleNormal="85" workbookViewId="0">
      <selection activeCell="V32" sqref="V32"/>
    </sheetView>
  </sheetViews>
  <sheetFormatPr defaultColWidth="10.90625" defaultRowHeight="14.5"/>
  <cols>
    <col min="1" max="1" width="39.26953125" bestFit="1" customWidth="1"/>
    <col min="2" max="2" width="29.7265625" bestFit="1" customWidth="1"/>
    <col min="3" max="19" width="10.26953125" bestFit="1" customWidth="1"/>
    <col min="20" max="20" width="16.7265625" bestFit="1" customWidth="1"/>
    <col min="23" max="32" width="11.453125" customWidth="1"/>
    <col min="43" max="43" width="25.7265625" bestFit="1" customWidth="1"/>
    <col min="44" max="44" width="34.54296875" customWidth="1"/>
  </cols>
  <sheetData>
    <row r="2" spans="1:44">
      <c r="V2" s="57" t="s">
        <v>157</v>
      </c>
    </row>
    <row r="3" spans="1:44">
      <c r="A3" s="27" t="s">
        <v>155</v>
      </c>
      <c r="B3" s="27" t="s">
        <v>152</v>
      </c>
      <c r="V3" s="43" t="s">
        <v>156</v>
      </c>
      <c r="W3" s="43" t="s">
        <v>151</v>
      </c>
    </row>
    <row r="4" spans="1:44">
      <c r="A4" s="27" t="s">
        <v>154</v>
      </c>
      <c r="B4">
        <v>5</v>
      </c>
      <c r="C4">
        <v>12</v>
      </c>
      <c r="D4">
        <v>19</v>
      </c>
      <c r="E4">
        <v>26</v>
      </c>
      <c r="F4">
        <v>33</v>
      </c>
      <c r="G4">
        <v>36</v>
      </c>
      <c r="H4">
        <v>40</v>
      </c>
      <c r="I4">
        <v>54</v>
      </c>
      <c r="J4">
        <v>82</v>
      </c>
      <c r="K4">
        <v>117</v>
      </c>
      <c r="L4">
        <v>145</v>
      </c>
      <c r="M4">
        <v>173</v>
      </c>
      <c r="N4">
        <v>208</v>
      </c>
      <c r="O4">
        <v>236</v>
      </c>
      <c r="P4">
        <v>292</v>
      </c>
      <c r="Q4">
        <v>326</v>
      </c>
      <c r="R4">
        <v>418</v>
      </c>
      <c r="S4">
        <v>509</v>
      </c>
      <c r="T4" t="s">
        <v>153</v>
      </c>
      <c r="W4" s="42">
        <v>5</v>
      </c>
      <c r="X4" s="42">
        <v>12</v>
      </c>
      <c r="Y4" s="42">
        <v>19</v>
      </c>
      <c r="Z4" s="42">
        <v>26</v>
      </c>
      <c r="AA4" s="42">
        <v>33</v>
      </c>
      <c r="AB4" s="42">
        <v>36</v>
      </c>
      <c r="AC4" s="42">
        <v>40</v>
      </c>
      <c r="AD4" s="42">
        <v>54</v>
      </c>
      <c r="AE4" s="42">
        <v>82</v>
      </c>
      <c r="AF4" s="42">
        <v>117</v>
      </c>
      <c r="AG4" s="42">
        <v>145</v>
      </c>
      <c r="AH4" s="42">
        <v>173</v>
      </c>
      <c r="AI4" s="42">
        <v>208</v>
      </c>
      <c r="AJ4" s="42">
        <v>236</v>
      </c>
      <c r="AK4" s="42">
        <v>292</v>
      </c>
      <c r="AL4" s="42">
        <v>326</v>
      </c>
      <c r="AM4" s="42">
        <v>418</v>
      </c>
      <c r="AN4" s="42">
        <v>509</v>
      </c>
      <c r="AQ4" s="10" t="s">
        <v>13</v>
      </c>
      <c r="AR4" s="32">
        <v>213.88</v>
      </c>
    </row>
    <row r="5" spans="1:44">
      <c r="A5" s="28">
        <v>192.5</v>
      </c>
      <c r="B5" s="29">
        <v>0.51426175021191667</v>
      </c>
      <c r="C5" s="29">
        <v>0.33782475354560276</v>
      </c>
      <c r="D5" s="29">
        <v>0.34757757940575412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>
        <v>0.39988802772109117</v>
      </c>
      <c r="V5" s="40">
        <v>19.02</v>
      </c>
      <c r="W5" s="41">
        <v>0.32233555139738296</v>
      </c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Q5" s="10" t="s">
        <v>9</v>
      </c>
      <c r="AR5" s="32">
        <v>195</v>
      </c>
    </row>
    <row r="6" spans="1:44">
      <c r="A6" s="30">
        <v>21.7</v>
      </c>
      <c r="B6" s="29">
        <v>0.51426175021191667</v>
      </c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>
        <v>0.51426175021191667</v>
      </c>
      <c r="V6" s="40">
        <v>19.62</v>
      </c>
      <c r="W6" s="41">
        <v>0.59574947379049792</v>
      </c>
      <c r="X6" s="41">
        <v>0.35746475668942485</v>
      </c>
      <c r="Y6" s="41">
        <v>0.25723229760375443</v>
      </c>
      <c r="Z6" s="41">
        <v>0.18560487189579947</v>
      </c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Q6" s="10" t="s">
        <v>10</v>
      </c>
      <c r="AR6" s="33">
        <v>0.25588125510073451</v>
      </c>
    </row>
    <row r="7" spans="1:44">
      <c r="A7" s="30">
        <v>21.88</v>
      </c>
      <c r="B7" s="29"/>
      <c r="C7" s="29">
        <v>0.33782475354560276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>
        <v>0.33782475354560276</v>
      </c>
      <c r="V7" s="40">
        <v>20.14</v>
      </c>
      <c r="W7" s="41">
        <v>0.70883746038981177</v>
      </c>
      <c r="X7" s="41">
        <v>0.43848812571944834</v>
      </c>
      <c r="Y7" s="41">
        <v>0.33186893834855763</v>
      </c>
      <c r="Z7" s="41">
        <v>0.26779856075615033</v>
      </c>
      <c r="AA7" s="41">
        <v>0.22131736091169585</v>
      </c>
      <c r="AB7" s="41">
        <v>0.20417010238145361</v>
      </c>
      <c r="AC7" s="41">
        <v>0.18255604533055805</v>
      </c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Q7" s="10" t="s">
        <v>14</v>
      </c>
      <c r="AR7" s="39">
        <v>4.4999999999999998E-2</v>
      </c>
    </row>
    <row r="8" spans="1:44">
      <c r="A8" s="30">
        <v>22.5</v>
      </c>
      <c r="B8" s="29"/>
      <c r="C8" s="29"/>
      <c r="D8" s="29">
        <v>0.34757757940575412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>
        <v>0.34757757940575412</v>
      </c>
      <c r="V8" s="40">
        <v>20.6</v>
      </c>
      <c r="W8" s="41">
        <v>0.79233811294528811</v>
      </c>
      <c r="X8" s="41">
        <v>0.49539197176619137</v>
      </c>
      <c r="Y8" s="41">
        <v>0.3801559185448789</v>
      </c>
      <c r="Z8" s="41">
        <v>0.3125861252779068</v>
      </c>
      <c r="AA8" s="41">
        <v>0.26554589018743452</v>
      </c>
      <c r="AB8" s="41">
        <v>0.24901967403935413</v>
      </c>
      <c r="AC8" s="41">
        <v>0.2292694863485184</v>
      </c>
      <c r="AD8" s="41">
        <v>0.17205551607023634</v>
      </c>
      <c r="AE8" s="41"/>
      <c r="AF8" s="41"/>
      <c r="AG8" s="41"/>
      <c r="AH8" s="41"/>
      <c r="AI8" s="41"/>
      <c r="AJ8" s="41"/>
      <c r="AK8" s="41"/>
      <c r="AL8" s="41"/>
      <c r="AM8" s="41"/>
      <c r="AN8" s="41"/>
      <c r="AQ8" s="10" t="s">
        <v>8</v>
      </c>
      <c r="AR8" s="32">
        <v>509</v>
      </c>
    </row>
    <row r="9" spans="1:44">
      <c r="A9" s="56">
        <v>195</v>
      </c>
      <c r="B9" s="29">
        <v>0.32229584619384211</v>
      </c>
      <c r="C9" s="29">
        <v>0.35746338160578234</v>
      </c>
      <c r="D9" s="29">
        <v>0.33187090252801732</v>
      </c>
      <c r="E9" s="29">
        <v>0.31258852242681689</v>
      </c>
      <c r="F9" s="29">
        <v>0.30368871430504052</v>
      </c>
      <c r="G9" s="29">
        <v>0.31285514407708631</v>
      </c>
      <c r="H9" s="29"/>
      <c r="I9" s="29">
        <v>0.28961391126922997</v>
      </c>
      <c r="J9" s="29">
        <v>0.27949943455347015</v>
      </c>
      <c r="K9" s="29">
        <v>0.27969833699452196</v>
      </c>
      <c r="L9" s="29">
        <v>0.27231908091236601</v>
      </c>
      <c r="M9" s="29">
        <v>0.26589795912508768</v>
      </c>
      <c r="N9" s="29">
        <v>0.26498413168301199</v>
      </c>
      <c r="O9" s="29">
        <v>0.26096048108000403</v>
      </c>
      <c r="P9" s="29">
        <v>0.26785688474978614</v>
      </c>
      <c r="Q9" s="29">
        <v>0.26135844571062694</v>
      </c>
      <c r="R9" s="29">
        <v>0.26176024098734602</v>
      </c>
      <c r="S9" s="29">
        <v>0.25588153301726319</v>
      </c>
      <c r="T9" s="29">
        <v>0.28827017360113533</v>
      </c>
      <c r="V9" s="40">
        <v>21.1</v>
      </c>
      <c r="W9" s="41">
        <v>0.87409983154360926</v>
      </c>
      <c r="X9" s="41">
        <v>0.55008993594032107</v>
      </c>
      <c r="Y9" s="41">
        <v>0.42545014957136423</v>
      </c>
      <c r="Z9" s="41">
        <v>0.35319945459759172</v>
      </c>
      <c r="AA9" s="41">
        <v>0.30368858210152072</v>
      </c>
      <c r="AB9" s="41">
        <v>0.2865607777203098</v>
      </c>
      <c r="AC9" s="41">
        <v>0.26637291478995007</v>
      </c>
      <c r="AD9" s="41">
        <v>0.21106997393380972</v>
      </c>
      <c r="AE9" s="41">
        <v>0.12731465563736968</v>
      </c>
      <c r="AF9" s="41"/>
      <c r="AG9" s="41"/>
      <c r="AH9" s="41"/>
      <c r="AI9" s="41"/>
      <c r="AJ9" s="41"/>
      <c r="AK9" s="41"/>
      <c r="AL9" s="41"/>
      <c r="AM9" s="41"/>
      <c r="AN9" s="41"/>
      <c r="AQ9" s="10" t="s">
        <v>11</v>
      </c>
      <c r="AR9" s="32" t="s">
        <v>16</v>
      </c>
    </row>
    <row r="10" spans="1:44">
      <c r="A10" s="30">
        <v>19.02</v>
      </c>
      <c r="B10" s="29">
        <v>0.32229584619384211</v>
      </c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>
        <v>0.32229584619384211</v>
      </c>
      <c r="V10" s="40">
        <v>21.5</v>
      </c>
      <c r="W10" s="41">
        <v>0.93519203043807175</v>
      </c>
      <c r="X10" s="41">
        <v>0.5905793407781651</v>
      </c>
      <c r="Y10" s="41">
        <v>0.45858533668264428</v>
      </c>
      <c r="Z10" s="41">
        <v>0.38247585244219057</v>
      </c>
      <c r="AA10" s="41">
        <v>0.33066965749513477</v>
      </c>
      <c r="AB10" s="41">
        <v>0.31285507327422951</v>
      </c>
      <c r="AC10" s="41">
        <v>0.29196023311986685</v>
      </c>
      <c r="AD10" s="41">
        <v>0.23565779282195523</v>
      </c>
      <c r="AE10" s="41">
        <v>0.15933419166251825</v>
      </c>
      <c r="AF10" s="41"/>
      <c r="AG10" s="41"/>
      <c r="AH10" s="41"/>
      <c r="AI10" s="41"/>
      <c r="AJ10" s="41"/>
      <c r="AK10" s="41"/>
      <c r="AL10" s="41"/>
      <c r="AM10" s="41"/>
      <c r="AN10" s="41"/>
      <c r="AQ10" s="10" t="s">
        <v>11</v>
      </c>
      <c r="AR10" s="32" t="b">
        <f>IF(AR9="Call",TRUE,FALSE)</f>
        <v>1</v>
      </c>
    </row>
    <row r="11" spans="1:44">
      <c r="A11" s="30">
        <v>19.62</v>
      </c>
      <c r="B11" s="29"/>
      <c r="C11" s="29">
        <v>0.35746338160578234</v>
      </c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>
        <v>0.35746338160578234</v>
      </c>
      <c r="V11" s="40">
        <v>22.55</v>
      </c>
      <c r="W11" s="41">
        <v>1.0841591096019814</v>
      </c>
      <c r="X11" s="41">
        <v>0.68851377003655456</v>
      </c>
      <c r="Y11" s="41">
        <v>0.53798381253542316</v>
      </c>
      <c r="Z11" s="41">
        <v>0.45184847854653964</v>
      </c>
      <c r="AA11" s="41">
        <v>0.39374558739733034</v>
      </c>
      <c r="AB11" s="41">
        <v>0.37391733154160295</v>
      </c>
      <c r="AC11" s="41">
        <v>0.35079917655908449</v>
      </c>
      <c r="AD11" s="41">
        <v>0.28961268244534472</v>
      </c>
      <c r="AE11" s="41">
        <v>0.21275433898827106</v>
      </c>
      <c r="AF11" s="41">
        <v>0.1483509617511298</v>
      </c>
      <c r="AG11" s="41">
        <v>9.5770718034267302E-2</v>
      </c>
      <c r="AH11" s="41"/>
      <c r="AI11" s="41"/>
      <c r="AJ11" s="41"/>
      <c r="AK11" s="41"/>
      <c r="AL11" s="41"/>
      <c r="AM11" s="41"/>
      <c r="AN11" s="41"/>
      <c r="AQ11" s="10" t="s">
        <v>17</v>
      </c>
      <c r="AR11" s="38" cm="1">
        <f t="array" ref="AR11">bs(AR4,AR5,AR6,AR7,AR8,AR10)</f>
        <v>42.499991384420284</v>
      </c>
    </row>
    <row r="12" spans="1:44">
      <c r="A12" s="30">
        <v>20.14</v>
      </c>
      <c r="B12" s="29"/>
      <c r="C12" s="29"/>
      <c r="D12" s="29">
        <v>0.33187090252801732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>
        <v>0.33187090252801732</v>
      </c>
      <c r="V12" s="40">
        <v>24.3</v>
      </c>
      <c r="W12" s="41">
        <v>1.3116475469025792</v>
      </c>
      <c r="X12" s="41">
        <v>0.8369483691895897</v>
      </c>
      <c r="Y12" s="41">
        <v>0.65730581046354408</v>
      </c>
      <c r="Z12" s="41">
        <v>0.55510247503112742</v>
      </c>
      <c r="AA12" s="41">
        <v>0.48659797584113784</v>
      </c>
      <c r="AB12" s="41">
        <v>0.46334030577704677</v>
      </c>
      <c r="AC12" s="41">
        <v>0.43632185548584457</v>
      </c>
      <c r="AD12" s="41">
        <v>0.36554462175526009</v>
      </c>
      <c r="AE12" s="41">
        <v>0.27949969693914001</v>
      </c>
      <c r="AF12" s="41">
        <v>0.21410178770483693</v>
      </c>
      <c r="AG12" s="41">
        <v>0.1759527327866254</v>
      </c>
      <c r="AH12" s="41">
        <v>0.14323179279588633</v>
      </c>
      <c r="AI12" s="41">
        <v>0.10122095343671365</v>
      </c>
      <c r="AJ12" s="41"/>
      <c r="AK12" s="41"/>
      <c r="AL12" s="41"/>
      <c r="AM12" s="41"/>
      <c r="AN12" s="41"/>
    </row>
    <row r="13" spans="1:44">
      <c r="A13" s="30">
        <v>20.6</v>
      </c>
      <c r="B13" s="29"/>
      <c r="C13" s="29"/>
      <c r="D13" s="29"/>
      <c r="E13" s="29">
        <v>0.31258852242681689</v>
      </c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>
        <v>0.31258852242681689</v>
      </c>
      <c r="V13" s="40">
        <v>26.55</v>
      </c>
      <c r="W13" s="41">
        <v>1.5849277624273244</v>
      </c>
      <c r="X13" s="41">
        <v>1.0144576051071996</v>
      </c>
      <c r="Y13" s="41">
        <v>0.79930196158319466</v>
      </c>
      <c r="Z13" s="41">
        <v>0.67732093070299348</v>
      </c>
      <c r="AA13" s="41">
        <v>0.59586116053875071</v>
      </c>
      <c r="AB13" s="41">
        <v>0.5682851458561643</v>
      </c>
      <c r="AC13" s="41">
        <v>0.53631302594287567</v>
      </c>
      <c r="AD13" s="41">
        <v>0.45300351919044729</v>
      </c>
      <c r="AE13" s="41">
        <v>0.35319815809857652</v>
      </c>
      <c r="AF13" s="41">
        <v>0.27969818834181154</v>
      </c>
      <c r="AG13" s="41">
        <v>0.23895192368415627</v>
      </c>
      <c r="AH13" s="41">
        <v>0.20666475052670599</v>
      </c>
      <c r="AI13" s="41">
        <v>0.17322139130016082</v>
      </c>
      <c r="AJ13" s="41">
        <v>0.14955368518878767</v>
      </c>
      <c r="AK13" s="41">
        <v>0.10240085849304713</v>
      </c>
      <c r="AL13" s="41"/>
      <c r="AM13" s="41"/>
      <c r="AN13" s="41"/>
    </row>
    <row r="14" spans="1:44">
      <c r="A14" s="30">
        <v>21.1</v>
      </c>
      <c r="B14" s="29"/>
      <c r="C14" s="29"/>
      <c r="D14" s="29"/>
      <c r="E14" s="29"/>
      <c r="F14" s="29">
        <v>0.30368871430504052</v>
      </c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>
        <v>0.30368871430504052</v>
      </c>
      <c r="V14" s="40">
        <v>27.9</v>
      </c>
      <c r="W14" s="41">
        <v>1.7431252927428826</v>
      </c>
      <c r="X14" s="41">
        <v>1.1170145713612538</v>
      </c>
      <c r="Y14" s="41">
        <v>0.88117115259358858</v>
      </c>
      <c r="Z14" s="41">
        <v>0.7476315554420222</v>
      </c>
      <c r="AA14" s="41">
        <v>0.65857068370005645</v>
      </c>
      <c r="AB14" s="41">
        <v>0.62845038941012277</v>
      </c>
      <c r="AC14" s="41">
        <v>0.59355422453009743</v>
      </c>
      <c r="AD14" s="41">
        <v>0.50278735359782212</v>
      </c>
      <c r="AE14" s="41">
        <v>0.39455968424016569</v>
      </c>
      <c r="AF14" s="41">
        <v>0.31557486663693218</v>
      </c>
      <c r="AG14" s="41">
        <v>0.27231912321182317</v>
      </c>
      <c r="AH14" s="41">
        <v>0.23854625461535797</v>
      </c>
      <c r="AI14" s="41">
        <v>0.20439802294743406</v>
      </c>
      <c r="AJ14" s="41">
        <v>0.18115259467483172</v>
      </c>
      <c r="AK14" s="41">
        <v>0.14035893712123709</v>
      </c>
      <c r="AL14" s="41">
        <v>0.11631531315073691</v>
      </c>
      <c r="AM14" s="41"/>
      <c r="AN14" s="41"/>
    </row>
    <row r="15" spans="1:44">
      <c r="A15" s="30">
        <v>21.5</v>
      </c>
      <c r="B15" s="29"/>
      <c r="C15" s="29"/>
      <c r="D15" s="29"/>
      <c r="E15" s="29"/>
      <c r="F15" s="29"/>
      <c r="G15" s="29">
        <v>0.31285514407708631</v>
      </c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>
        <v>0.31285514407708631</v>
      </c>
      <c r="V15" s="40">
        <v>29.13</v>
      </c>
      <c r="W15" s="41">
        <v>1.8848237682978541</v>
      </c>
      <c r="X15" s="41">
        <v>1.2088013050693203</v>
      </c>
      <c r="Y15" s="41">
        <v>0.95437843194888294</v>
      </c>
      <c r="Z15" s="41">
        <v>0.81044501465569929</v>
      </c>
      <c r="AA15" s="41">
        <v>0.71453879455353575</v>
      </c>
      <c r="AB15" s="41">
        <v>0.68212549118907417</v>
      </c>
      <c r="AC15" s="41">
        <v>0.64459038960481918</v>
      </c>
      <c r="AD15" s="41">
        <v>0.54707785262634123</v>
      </c>
      <c r="AE15" s="41">
        <v>0.43116402653953884</v>
      </c>
      <c r="AF15" s="41">
        <v>0.34704895090665921</v>
      </c>
      <c r="AG15" s="41">
        <v>0.3013166659280056</v>
      </c>
      <c r="AH15" s="41">
        <v>0.26589812830312587</v>
      </c>
      <c r="AI15" s="41">
        <v>0.23051470850005254</v>
      </c>
      <c r="AJ15" s="41">
        <v>0.20683381975417073</v>
      </c>
      <c r="AK15" s="41">
        <v>0.16683865328544156</v>
      </c>
      <c r="AL15" s="41">
        <v>0.14520307736147819</v>
      </c>
      <c r="AM15" s="41">
        <v>7.9631429962549072E-2</v>
      </c>
      <c r="AN15" s="41"/>
    </row>
    <row r="16" spans="1:44">
      <c r="A16" s="30">
        <v>22.55</v>
      </c>
      <c r="B16" s="29"/>
      <c r="C16" s="29"/>
      <c r="D16" s="29"/>
      <c r="E16" s="29"/>
      <c r="F16" s="29"/>
      <c r="G16" s="29"/>
      <c r="H16" s="29"/>
      <c r="I16" s="29">
        <v>0.28961391126922997</v>
      </c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>
        <v>0.28961391126922997</v>
      </c>
      <c r="V16" s="40">
        <v>30.85</v>
      </c>
      <c r="W16" s="41">
        <v>2.0801668571843592</v>
      </c>
      <c r="X16" s="41">
        <v>1.3352534367183506</v>
      </c>
      <c r="Y16" s="41">
        <v>1.0551659264185842</v>
      </c>
      <c r="Z16" s="41">
        <v>0.89686171093525946</v>
      </c>
      <c r="AA16" s="41">
        <v>0.79148085152771452</v>
      </c>
      <c r="AB16" s="41">
        <v>0.75589102590120816</v>
      </c>
      <c r="AC16" s="41">
        <v>0.71469783604125747</v>
      </c>
      <c r="AD16" s="41">
        <v>0.60781591215588793</v>
      </c>
      <c r="AE16" s="41">
        <v>0.48116560294332317</v>
      </c>
      <c r="AF16" s="41">
        <v>0.38977796422944383</v>
      </c>
      <c r="AG16" s="41">
        <v>0.34043418668161873</v>
      </c>
      <c r="AH16" s="41">
        <v>0.30249797605581613</v>
      </c>
      <c r="AI16" s="41">
        <v>0.26498409668834466</v>
      </c>
      <c r="AJ16" s="41">
        <v>0.24020769162405459</v>
      </c>
      <c r="AK16" s="41">
        <v>0.19941434728018292</v>
      </c>
      <c r="AL16" s="41">
        <v>0.17831618534461938</v>
      </c>
      <c r="AM16" s="41">
        <v>0.12728047315043631</v>
      </c>
      <c r="AN16" s="41"/>
    </row>
    <row r="17" spans="1:40">
      <c r="A17" s="30">
        <v>24.3</v>
      </c>
      <c r="B17" s="29"/>
      <c r="C17" s="29"/>
      <c r="D17" s="29"/>
      <c r="E17" s="29"/>
      <c r="F17" s="29"/>
      <c r="G17" s="29"/>
      <c r="H17" s="29"/>
      <c r="I17" s="29"/>
      <c r="J17" s="29">
        <v>0.27949943455347015</v>
      </c>
      <c r="K17" s="29"/>
      <c r="L17" s="29"/>
      <c r="M17" s="29"/>
      <c r="N17" s="29"/>
      <c r="O17" s="29"/>
      <c r="P17" s="29"/>
      <c r="Q17" s="29"/>
      <c r="R17" s="29"/>
      <c r="S17" s="29"/>
      <c r="T17" s="29">
        <v>0.27949943455347015</v>
      </c>
      <c r="V17" s="40">
        <v>31.97</v>
      </c>
      <c r="W17" s="41">
        <v>2.2060486596364246</v>
      </c>
      <c r="X17" s="41">
        <v>1.4167034842265664</v>
      </c>
      <c r="Y17" s="41">
        <v>1.1200538237690298</v>
      </c>
      <c r="Z17" s="41">
        <v>0.95246976666245642</v>
      </c>
      <c r="AA17" s="41">
        <v>0.84096629891453301</v>
      </c>
      <c r="AB17" s="41">
        <v>0.80332256465337704</v>
      </c>
      <c r="AC17" s="41">
        <v>0.7597630733354791</v>
      </c>
      <c r="AD17" s="41">
        <v>0.64681318716837244</v>
      </c>
      <c r="AE17" s="41">
        <v>0.51318605683226137</v>
      </c>
      <c r="AF17" s="41">
        <v>0.41703065930647354</v>
      </c>
      <c r="AG17" s="41">
        <v>0.36528322034024807</v>
      </c>
      <c r="AH17" s="41">
        <v>0.3256328333544371</v>
      </c>
      <c r="AI17" s="41">
        <v>0.28659910907970437</v>
      </c>
      <c r="AJ17" s="41">
        <v>0.26096103868166554</v>
      </c>
      <c r="AK17" s="41">
        <v>0.21915227457180866</v>
      </c>
      <c r="AL17" s="41">
        <v>0.19785097367504634</v>
      </c>
      <c r="AM17" s="41">
        <v>0.14842140702165454</v>
      </c>
      <c r="AN17" s="41">
        <v>0.10069268585150359</v>
      </c>
    </row>
    <row r="18" spans="1:40">
      <c r="A18" s="30">
        <v>26.55</v>
      </c>
      <c r="B18" s="29"/>
      <c r="C18" s="29"/>
      <c r="D18" s="29"/>
      <c r="E18" s="29"/>
      <c r="F18" s="29"/>
      <c r="G18" s="29"/>
      <c r="H18" s="29"/>
      <c r="I18" s="29"/>
      <c r="J18" s="29"/>
      <c r="K18" s="29">
        <v>0.27969833699452196</v>
      </c>
      <c r="L18" s="29"/>
      <c r="M18" s="29"/>
      <c r="N18" s="29"/>
      <c r="O18" s="29"/>
      <c r="P18" s="29"/>
      <c r="Q18" s="29"/>
      <c r="R18" s="29"/>
      <c r="S18" s="29"/>
      <c r="T18" s="29">
        <v>0.27969833699452196</v>
      </c>
      <c r="V18" s="40">
        <v>34.9</v>
      </c>
      <c r="W18" s="41">
        <v>2.5319793035556111</v>
      </c>
      <c r="X18" s="41">
        <v>1.6274985357739749</v>
      </c>
      <c r="Y18" s="41">
        <v>1.2879081576407283</v>
      </c>
      <c r="Z18" s="41">
        <v>1.09624994105357</v>
      </c>
      <c r="AA18" s="41">
        <v>0.96885246145903603</v>
      </c>
      <c r="AB18" s="41">
        <v>0.92587405222068619</v>
      </c>
      <c r="AC18" s="41">
        <v>0.87616614787008595</v>
      </c>
      <c r="AD18" s="41">
        <v>0.74743217287643315</v>
      </c>
      <c r="AE18" s="41">
        <v>0.59559969718666483</v>
      </c>
      <c r="AF18" s="41">
        <v>0.48691636074300554</v>
      </c>
      <c r="AG18" s="41">
        <v>0.42878046281117593</v>
      </c>
      <c r="AH18" s="41">
        <v>0.38450198699618165</v>
      </c>
      <c r="AI18" s="41">
        <v>0.34124657934314889</v>
      </c>
      <c r="AJ18" s="41">
        <v>0.31309343195557016</v>
      </c>
      <c r="AK18" s="41">
        <v>0.26785657857139672</v>
      </c>
      <c r="AL18" s="41">
        <v>0.24529278060167414</v>
      </c>
      <c r="AM18" s="41">
        <v>0.19531679081780862</v>
      </c>
      <c r="AN18" s="41">
        <v>0.15463146499701994</v>
      </c>
    </row>
    <row r="19" spans="1:40">
      <c r="A19" s="30">
        <v>27.9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>
        <v>0.27231908091236601</v>
      </c>
      <c r="M19" s="29"/>
      <c r="N19" s="29"/>
      <c r="O19" s="29"/>
      <c r="P19" s="29"/>
      <c r="Q19" s="29"/>
      <c r="R19" s="29"/>
      <c r="S19" s="29"/>
      <c r="T19" s="29">
        <v>0.27231908091236601</v>
      </c>
      <c r="V19" s="40">
        <v>35.94</v>
      </c>
      <c r="W19" s="41">
        <v>2.6468120604962344</v>
      </c>
      <c r="X19" s="41">
        <v>1.7017421589126045</v>
      </c>
      <c r="Y19" s="41">
        <v>1.3470077789210722</v>
      </c>
      <c r="Z19" s="41">
        <v>1.1468556594642365</v>
      </c>
      <c r="AA19" s="41">
        <v>1.0138477928103871</v>
      </c>
      <c r="AB19" s="41">
        <v>0.96898560933899514</v>
      </c>
      <c r="AC19" s="41">
        <v>0.91710600428860289</v>
      </c>
      <c r="AD19" s="41">
        <v>0.78279444174603074</v>
      </c>
      <c r="AE19" s="41">
        <v>0.62451370333788692</v>
      </c>
      <c r="AF19" s="41">
        <v>0.51137352370806444</v>
      </c>
      <c r="AG19" s="41">
        <v>0.45094840024991195</v>
      </c>
      <c r="AH19" s="41">
        <v>0.40499705126936641</v>
      </c>
      <c r="AI19" s="41">
        <v>0.36019273555408132</v>
      </c>
      <c r="AJ19" s="41">
        <v>0.33109495783678089</v>
      </c>
      <c r="AK19" s="41">
        <v>0.28449696035326355</v>
      </c>
      <c r="AL19" s="41">
        <v>0.26135834078006576</v>
      </c>
      <c r="AM19" s="41">
        <v>0.21054649722407065</v>
      </c>
      <c r="AN19" s="41">
        <v>0.17007586090575091</v>
      </c>
    </row>
    <row r="20" spans="1:40">
      <c r="A20" s="30">
        <v>29.13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>
        <v>0.26589795912508768</v>
      </c>
      <c r="N20" s="29"/>
      <c r="O20" s="29"/>
      <c r="P20" s="29"/>
      <c r="Q20" s="29"/>
      <c r="R20" s="29"/>
      <c r="S20" s="29"/>
      <c r="T20" s="29">
        <v>0.26589795912508768</v>
      </c>
      <c r="V20" s="40">
        <v>39.630000000000003</v>
      </c>
      <c r="W20" s="41">
        <v>3.0520421869720624</v>
      </c>
      <c r="X20" s="41">
        <v>1.9636706863846096</v>
      </c>
      <c r="Y20" s="41">
        <v>1.5554533969318305</v>
      </c>
      <c r="Z20" s="41">
        <v>1.3252942155582224</v>
      </c>
      <c r="AA20" s="41">
        <v>1.1724590775368118</v>
      </c>
      <c r="AB20" s="41">
        <v>1.1209377218920082</v>
      </c>
      <c r="AC20" s="41">
        <v>1.0613795923320397</v>
      </c>
      <c r="AD20" s="41">
        <v>0.90733267960395503</v>
      </c>
      <c r="AE20" s="41">
        <v>0.72620644830045411</v>
      </c>
      <c r="AF20" s="41">
        <v>0.5972239163117814</v>
      </c>
      <c r="AG20" s="41">
        <v>0.52862784573469157</v>
      </c>
      <c r="AH20" s="41">
        <v>0.47667021737354204</v>
      </c>
      <c r="AI20" s="41">
        <v>0.42625585679507821</v>
      </c>
      <c r="AJ20" s="41">
        <v>0.39369301661561967</v>
      </c>
      <c r="AK20" s="41">
        <v>0.34196704877144651</v>
      </c>
      <c r="AL20" s="41">
        <v>0.31655150908981544</v>
      </c>
      <c r="AM20" s="41">
        <v>0.26176016362257992</v>
      </c>
      <c r="AN20" s="41">
        <v>0.21988542633827166</v>
      </c>
    </row>
    <row r="21" spans="1:40">
      <c r="A21" s="30">
        <v>30.85</v>
      </c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>
        <v>0.26498413168301199</v>
      </c>
      <c r="O21" s="29"/>
      <c r="P21" s="29"/>
      <c r="Q21" s="29"/>
      <c r="R21" s="29"/>
      <c r="S21" s="29"/>
      <c r="T21" s="29">
        <v>0.26498413168301199</v>
      </c>
      <c r="V21" s="40">
        <v>42.5</v>
      </c>
      <c r="W21" s="41">
        <v>3.3658155822947164</v>
      </c>
      <c r="X21" s="41">
        <v>2.1664309357943363</v>
      </c>
      <c r="Y21" s="41">
        <v>1.7167685451430925</v>
      </c>
      <c r="Z21" s="41">
        <v>1.4633485664565902</v>
      </c>
      <c r="AA21" s="41">
        <v>1.2951405062177244</v>
      </c>
      <c r="AB21" s="41">
        <v>1.2384540529210424</v>
      </c>
      <c r="AC21" s="41">
        <v>1.1729390382570544</v>
      </c>
      <c r="AD21" s="41">
        <v>1.0035739893650344</v>
      </c>
      <c r="AE21" s="41">
        <v>0.80469084136459001</v>
      </c>
      <c r="AF21" s="41">
        <v>0.66336005942523091</v>
      </c>
      <c r="AG21" s="41">
        <v>0.58836924914718092</v>
      </c>
      <c r="AH21" s="41">
        <v>0.53168941142312109</v>
      </c>
      <c r="AI21" s="41">
        <v>0.47683367991620584</v>
      </c>
      <c r="AJ21" s="41">
        <v>0.44150143419914245</v>
      </c>
      <c r="AK21" s="41">
        <v>0.38560146520413657</v>
      </c>
      <c r="AL21" s="41">
        <v>0.35827236861245737</v>
      </c>
      <c r="AM21" s="41">
        <v>0.29983250127183542</v>
      </c>
      <c r="AN21" s="41">
        <v>0.25588125510073451</v>
      </c>
    </row>
    <row r="22" spans="1:40">
      <c r="A22" s="30">
        <v>31.97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>
        <v>0.26096048108000403</v>
      </c>
      <c r="P22" s="29"/>
      <c r="Q22" s="29"/>
      <c r="R22" s="29"/>
      <c r="S22" s="29"/>
      <c r="T22" s="29">
        <v>0.26096048108000403</v>
      </c>
      <c r="V22" s="28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</row>
    <row r="23" spans="1:40">
      <c r="A23" s="30">
        <v>34.9</v>
      </c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>
        <v>0.26785688474978614</v>
      </c>
      <c r="Q23" s="29"/>
      <c r="R23" s="29"/>
      <c r="S23" s="29"/>
      <c r="T23" s="29">
        <v>0.26785688474978614</v>
      </c>
      <c r="V23" s="28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58" t="s">
        <v>160</v>
      </c>
      <c r="AJ23" s="43" t="s">
        <v>158</v>
      </c>
      <c r="AK23" s="29"/>
      <c r="AL23" s="29"/>
      <c r="AM23" s="29"/>
      <c r="AN23" s="29"/>
    </row>
    <row r="24" spans="1:40">
      <c r="A24" s="30">
        <v>35.94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>
        <v>0.26135844571062694</v>
      </c>
      <c r="R24" s="29"/>
      <c r="S24" s="29"/>
      <c r="T24" s="29">
        <v>0.26135844571062694</v>
      </c>
      <c r="V24" s="28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43" t="s">
        <v>159</v>
      </c>
      <c r="AK24" s="29"/>
      <c r="AL24" s="29"/>
      <c r="AM24" s="29"/>
      <c r="AN24" s="29"/>
    </row>
    <row r="25" spans="1:40">
      <c r="A25" s="30">
        <v>39.630000000000003</v>
      </c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>
        <v>0.26176024098734602</v>
      </c>
      <c r="S25" s="29"/>
      <c r="T25" s="29">
        <v>0.26176024098734602</v>
      </c>
      <c r="V25" s="59" t="s">
        <v>161</v>
      </c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</row>
    <row r="26" spans="1:40">
      <c r="A26" s="30">
        <v>42.5</v>
      </c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>
        <v>0.25588153301726319</v>
      </c>
      <c r="T26" s="29">
        <v>0.25588153301726319</v>
      </c>
      <c r="V26" s="28" t="s">
        <v>162</v>
      </c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</row>
    <row r="27" spans="1:40">
      <c r="A27" s="28">
        <v>197.5</v>
      </c>
      <c r="B27" s="29">
        <v>0.41706345268211459</v>
      </c>
      <c r="C27" s="29">
        <v>0.34361543798129512</v>
      </c>
      <c r="D27" s="29">
        <v>0.29591150159517099</v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>
        <v>0.35219679741952686</v>
      </c>
      <c r="V27" s="28" t="s">
        <v>163</v>
      </c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</row>
    <row r="28" spans="1:40">
      <c r="A28" s="30">
        <v>16.72</v>
      </c>
      <c r="B28" s="29">
        <v>0.41706345268211459</v>
      </c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>
        <v>0.41706345268211459</v>
      </c>
      <c r="V28" s="28" t="s">
        <v>164</v>
      </c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</row>
    <row r="29" spans="1:40">
      <c r="A29" s="30">
        <v>17.27</v>
      </c>
      <c r="B29" s="29"/>
      <c r="C29" s="29">
        <v>0.34361543798129512</v>
      </c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>
        <v>0.34361543798129512</v>
      </c>
      <c r="V29" s="28" t="s">
        <v>165</v>
      </c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</row>
    <row r="30" spans="1:40">
      <c r="A30" s="30">
        <v>17.62</v>
      </c>
      <c r="B30" s="29"/>
      <c r="C30" s="29"/>
      <c r="D30" s="29">
        <v>0.29591150159517099</v>
      </c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>
        <v>0.29591150159517099</v>
      </c>
      <c r="V30" s="28" t="s">
        <v>166</v>
      </c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</row>
    <row r="31" spans="1:40">
      <c r="A31" s="28">
        <v>200</v>
      </c>
      <c r="B31" s="29">
        <v>0.47687182700064695</v>
      </c>
      <c r="C31" s="29">
        <v>0.37567033816950884</v>
      </c>
      <c r="D31" s="29">
        <v>0.32758113331134209</v>
      </c>
      <c r="E31" s="29">
        <v>0.2902319229163422</v>
      </c>
      <c r="F31" s="29">
        <v>0.29621113069784416</v>
      </c>
      <c r="G31" s="29">
        <v>0.29520552185063725</v>
      </c>
      <c r="H31" s="29"/>
      <c r="I31" s="29">
        <v>0.2811606786540024</v>
      </c>
      <c r="J31" s="29">
        <v>0.26738777887026632</v>
      </c>
      <c r="K31" s="29">
        <v>0.26630175511635801</v>
      </c>
      <c r="L31" s="29">
        <v>0.26220548912309988</v>
      </c>
      <c r="M31" s="29">
        <v>0.26547662764111435</v>
      </c>
      <c r="N31" s="29">
        <v>0.26291422087103905</v>
      </c>
      <c r="O31" s="29">
        <v>0.25894723062241426</v>
      </c>
      <c r="P31" s="29">
        <v>0.26284909192146561</v>
      </c>
      <c r="Q31" s="29">
        <v>0.25536856686744841</v>
      </c>
      <c r="R31" s="29">
        <v>0.2565276762521162</v>
      </c>
      <c r="S31" s="29">
        <v>0.25509593888245918</v>
      </c>
      <c r="T31" s="29">
        <v>0.29152981933930028</v>
      </c>
      <c r="V31" s="28" t="s">
        <v>167</v>
      </c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</row>
    <row r="32" spans="1:40">
      <c r="A32" s="30">
        <v>14.65</v>
      </c>
      <c r="B32" s="29">
        <v>0.47687182700064695</v>
      </c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>
        <v>0.47687182700064695</v>
      </c>
      <c r="V32" s="28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</row>
    <row r="33" spans="1:40">
      <c r="A33" s="30">
        <v>15.36</v>
      </c>
      <c r="B33" s="29"/>
      <c r="C33" s="29">
        <v>0.37567033816950884</v>
      </c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>
        <v>0.37567033816950884</v>
      </c>
      <c r="V33" s="28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</row>
    <row r="34" spans="1:40">
      <c r="A34" s="30">
        <v>15.85</v>
      </c>
      <c r="B34" s="29"/>
      <c r="C34" s="29"/>
      <c r="D34" s="29">
        <v>0.32758113331134209</v>
      </c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>
        <v>0.32758113331134209</v>
      </c>
      <c r="V34" s="28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</row>
    <row r="35" spans="1:40">
      <c r="A35" s="30">
        <v>16.14</v>
      </c>
      <c r="B35" s="29"/>
      <c r="C35" s="29"/>
      <c r="D35" s="29"/>
      <c r="E35" s="29">
        <v>0.2902319229163422</v>
      </c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>
        <v>0.2902319229163422</v>
      </c>
      <c r="V35" s="28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</row>
    <row r="36" spans="1:40">
      <c r="A36" s="30">
        <v>16.95</v>
      </c>
      <c r="B36" s="29"/>
      <c r="C36" s="29"/>
      <c r="D36" s="29"/>
      <c r="E36" s="29"/>
      <c r="F36" s="29">
        <v>0.29621113069784416</v>
      </c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>
        <v>0.29621113069784416</v>
      </c>
      <c r="V36" s="28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</row>
    <row r="37" spans="1:40">
      <c r="A37" s="30">
        <v>17.23</v>
      </c>
      <c r="B37" s="29"/>
      <c r="C37" s="29"/>
      <c r="D37" s="29"/>
      <c r="E37" s="29"/>
      <c r="F37" s="29"/>
      <c r="G37" s="29">
        <v>0.29520552185063725</v>
      </c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>
        <v>0.29520552185063725</v>
      </c>
      <c r="V37" s="28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</row>
    <row r="38" spans="1:40">
      <c r="A38" s="30">
        <v>18.55</v>
      </c>
      <c r="B38" s="29"/>
      <c r="C38" s="29"/>
      <c r="D38" s="29"/>
      <c r="E38" s="29"/>
      <c r="F38" s="29"/>
      <c r="G38" s="29"/>
      <c r="H38" s="29"/>
      <c r="I38" s="29">
        <v>0.2811606786540024</v>
      </c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>
        <v>0.2811606786540024</v>
      </c>
      <c r="V38" s="28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</row>
    <row r="39" spans="1:40">
      <c r="A39" s="30">
        <v>20.3</v>
      </c>
      <c r="B39" s="29"/>
      <c r="C39" s="29"/>
      <c r="D39" s="29"/>
      <c r="E39" s="29"/>
      <c r="F39" s="29"/>
      <c r="G39" s="29"/>
      <c r="H39" s="29"/>
      <c r="I39" s="29"/>
      <c r="J39" s="29">
        <v>0.26738777887026632</v>
      </c>
      <c r="K39" s="29"/>
      <c r="L39" s="29"/>
      <c r="M39" s="29"/>
      <c r="N39" s="29"/>
      <c r="O39" s="29"/>
      <c r="P39" s="29"/>
      <c r="Q39" s="29"/>
      <c r="R39" s="29"/>
      <c r="S39" s="29"/>
      <c r="T39" s="29">
        <v>0.26738777887026632</v>
      </c>
      <c r="V39" s="28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</row>
    <row r="40" spans="1:40">
      <c r="A40" s="30">
        <v>22.58</v>
      </c>
      <c r="B40" s="29"/>
      <c r="C40" s="29"/>
      <c r="D40" s="29"/>
      <c r="E40" s="29"/>
      <c r="F40" s="29"/>
      <c r="G40" s="29"/>
      <c r="H40" s="29"/>
      <c r="I40" s="29"/>
      <c r="J40" s="29"/>
      <c r="K40" s="29">
        <v>0.26630175511635801</v>
      </c>
      <c r="L40" s="29"/>
      <c r="M40" s="29"/>
      <c r="N40" s="29"/>
      <c r="O40" s="29"/>
      <c r="P40" s="29"/>
      <c r="Q40" s="29"/>
      <c r="R40" s="29"/>
      <c r="S40" s="29"/>
      <c r="T40" s="29">
        <v>0.26630175511635801</v>
      </c>
      <c r="V40" s="28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</row>
    <row r="41" spans="1:40">
      <c r="A41" s="30">
        <v>24.08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>
        <v>0.26220548912309988</v>
      </c>
      <c r="M41" s="29"/>
      <c r="N41" s="29"/>
      <c r="O41" s="29"/>
      <c r="P41" s="29"/>
      <c r="Q41" s="29"/>
      <c r="R41" s="29"/>
      <c r="S41" s="29"/>
      <c r="T41" s="29">
        <v>0.26220548912309988</v>
      </c>
      <c r="V41" s="28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</row>
    <row r="42" spans="1:40">
      <c r="A42" s="30">
        <v>25.8</v>
      </c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>
        <v>0.26547662764111435</v>
      </c>
      <c r="N42" s="29"/>
      <c r="O42" s="29"/>
      <c r="P42" s="29"/>
      <c r="Q42" s="29"/>
      <c r="R42" s="29"/>
      <c r="S42" s="29"/>
      <c r="T42" s="29">
        <v>0.26547662764111435</v>
      </c>
      <c r="V42" s="28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</row>
    <row r="43" spans="1:40">
      <c r="A43" s="30">
        <v>27.5</v>
      </c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>
        <v>0.26291422087103905</v>
      </c>
      <c r="O43" s="29"/>
      <c r="P43" s="29"/>
      <c r="Q43" s="29"/>
      <c r="R43" s="29"/>
      <c r="S43" s="29"/>
      <c r="T43" s="29">
        <v>0.26291422087103905</v>
      </c>
      <c r="V43" s="28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</row>
    <row r="44" spans="1:40">
      <c r="A44" s="30">
        <v>28.65</v>
      </c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>
        <v>0.25894723062241426</v>
      </c>
      <c r="P44" s="29"/>
      <c r="Q44" s="29"/>
      <c r="R44" s="29"/>
      <c r="S44" s="29"/>
      <c r="T44" s="29">
        <v>0.25894723062241426</v>
      </c>
      <c r="V44" s="28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</row>
    <row r="45" spans="1:40">
      <c r="A45" s="30">
        <v>31.48</v>
      </c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>
        <v>0.26284909192146561</v>
      </c>
      <c r="Q45" s="29"/>
      <c r="R45" s="29"/>
      <c r="S45" s="29"/>
      <c r="T45" s="29">
        <v>0.26284909192146561</v>
      </c>
      <c r="V45" s="28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</row>
    <row r="46" spans="1:40">
      <c r="A46" s="30">
        <v>32.450000000000003</v>
      </c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>
        <v>0.25536856686744841</v>
      </c>
      <c r="R46" s="29"/>
      <c r="S46" s="29"/>
      <c r="T46" s="29">
        <v>0.25536856686744841</v>
      </c>
      <c r="V46" s="28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</row>
    <row r="47" spans="1:40">
      <c r="A47" s="30">
        <v>36.24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>
        <v>0.2565276762521162</v>
      </c>
      <c r="S47" s="29"/>
      <c r="T47" s="29">
        <v>0.2565276762521162</v>
      </c>
      <c r="V47" s="28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</row>
    <row r="48" spans="1:40">
      <c r="A48" s="30">
        <v>39.5</v>
      </c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>
        <v>0.25509593888245918</v>
      </c>
      <c r="T48" s="29">
        <v>0.25509593888245918</v>
      </c>
      <c r="V48" s="28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</row>
    <row r="49" spans="1:40">
      <c r="A49" s="28">
        <v>202.5</v>
      </c>
      <c r="B49" s="29">
        <v>0.46672891157084262</v>
      </c>
      <c r="C49" s="29">
        <v>0.36250992093959655</v>
      </c>
      <c r="D49" s="29">
        <v>0.32174396483223799</v>
      </c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>
        <v>0.38366093244755906</v>
      </c>
      <c r="V49" s="28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</row>
    <row r="50" spans="1:40">
      <c r="A50" s="30">
        <v>12.45</v>
      </c>
      <c r="B50" s="29">
        <v>0.46672891157084262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>
        <v>0.46672891157084262</v>
      </c>
      <c r="V50" s="28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</row>
    <row r="51" spans="1:40">
      <c r="A51" s="30">
        <v>13.2</v>
      </c>
      <c r="B51" s="29"/>
      <c r="C51" s="29">
        <v>0.36250992093959655</v>
      </c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>
        <v>0.36250992093959655</v>
      </c>
      <c r="V51" s="28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</row>
    <row r="52" spans="1:40">
      <c r="A52" s="30">
        <v>13.8</v>
      </c>
      <c r="B52" s="29"/>
      <c r="C52" s="29"/>
      <c r="D52" s="29">
        <v>0.32174396483223799</v>
      </c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>
        <v>0.32174396483223799</v>
      </c>
      <c r="V52" s="28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</row>
    <row r="53" spans="1:40">
      <c r="A53" s="28">
        <v>205</v>
      </c>
      <c r="B53" s="29">
        <v>0.45902404964740101</v>
      </c>
      <c r="C53" s="29">
        <v>0.34840104388518545</v>
      </c>
      <c r="D53" s="29">
        <v>0.31871296076448913</v>
      </c>
      <c r="E53" s="29">
        <v>0.29390867867418885</v>
      </c>
      <c r="F53" s="29">
        <v>0.2907052687721845</v>
      </c>
      <c r="G53" s="29">
        <v>0.29126690795700744</v>
      </c>
      <c r="H53" s="29"/>
      <c r="I53" s="29">
        <v>0.27424407568905784</v>
      </c>
      <c r="J53" s="29">
        <v>0.26667217220437966</v>
      </c>
      <c r="K53" s="29">
        <v>0.26661307955636415</v>
      </c>
      <c r="L53" s="29">
        <v>0.25943904056779477</v>
      </c>
      <c r="M53" s="29">
        <v>0.26016753736267551</v>
      </c>
      <c r="N53" s="29">
        <v>0.2563957547635517</v>
      </c>
      <c r="O53" s="29"/>
      <c r="P53" s="29"/>
      <c r="Q53" s="29">
        <v>0.25623477231937575</v>
      </c>
      <c r="R53" s="29">
        <v>0.25406784580663644</v>
      </c>
      <c r="S53" s="29"/>
      <c r="T53" s="29">
        <v>0.29256094199787797</v>
      </c>
      <c r="V53" s="28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</row>
    <row r="54" spans="1:40">
      <c r="A54" s="30">
        <v>10.38</v>
      </c>
      <c r="B54" s="29">
        <v>0.45902404964740101</v>
      </c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>
        <v>0.45902404964740101</v>
      </c>
      <c r="V54" s="28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</row>
    <row r="55" spans="1:40">
      <c r="A55" s="30">
        <v>11.12</v>
      </c>
      <c r="B55" s="29"/>
      <c r="C55" s="29">
        <v>0.34840104388518545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>
        <v>0.34840104388518545</v>
      </c>
      <c r="V55" s="28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</row>
    <row r="56" spans="1:40">
      <c r="A56" s="30">
        <v>11.9</v>
      </c>
      <c r="B56" s="29"/>
      <c r="C56" s="29"/>
      <c r="D56" s="29">
        <v>0.31871296076448913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>
        <v>0.31871296076448913</v>
      </c>
      <c r="V56" s="28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</row>
    <row r="57" spans="1:40">
      <c r="A57" s="30">
        <v>12.43</v>
      </c>
      <c r="B57" s="29"/>
      <c r="C57" s="29"/>
      <c r="D57" s="29"/>
      <c r="E57" s="29">
        <v>0.29390867867418885</v>
      </c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>
        <v>0.29390867867418885</v>
      </c>
      <c r="V57" s="28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</row>
    <row r="58" spans="1:40">
      <c r="A58" s="30">
        <v>13.2</v>
      </c>
      <c r="B58" s="29"/>
      <c r="C58" s="29"/>
      <c r="D58" s="29"/>
      <c r="E58" s="29"/>
      <c r="F58" s="29">
        <v>0.2907052687721845</v>
      </c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>
        <v>0.2907052687721845</v>
      </c>
      <c r="V58" s="28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</row>
    <row r="59" spans="1:40">
      <c r="A59" s="30">
        <v>13.55</v>
      </c>
      <c r="B59" s="29"/>
      <c r="C59" s="29"/>
      <c r="D59" s="29"/>
      <c r="E59" s="29"/>
      <c r="F59" s="29"/>
      <c r="G59" s="29">
        <v>0.29126690795700744</v>
      </c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>
        <v>0.29126690795700744</v>
      </c>
      <c r="V59" s="28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</row>
    <row r="60" spans="1:40">
      <c r="A60" s="30">
        <v>14.9</v>
      </c>
      <c r="B60" s="29"/>
      <c r="C60" s="29"/>
      <c r="D60" s="29"/>
      <c r="E60" s="29"/>
      <c r="F60" s="29"/>
      <c r="G60" s="29"/>
      <c r="H60" s="29"/>
      <c r="I60" s="29">
        <v>0.27424407568905784</v>
      </c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>
        <v>0.27424407568905784</v>
      </c>
      <c r="V60" s="28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</row>
    <row r="61" spans="1:40">
      <c r="A61" s="30">
        <v>16.95</v>
      </c>
      <c r="B61" s="29"/>
      <c r="C61" s="29"/>
      <c r="D61" s="29"/>
      <c r="E61" s="29"/>
      <c r="F61" s="29"/>
      <c r="G61" s="29"/>
      <c r="H61" s="29"/>
      <c r="I61" s="29"/>
      <c r="J61" s="29">
        <v>0.26667217220437966</v>
      </c>
      <c r="K61" s="29"/>
      <c r="L61" s="29"/>
      <c r="M61" s="29"/>
      <c r="N61" s="29"/>
      <c r="O61" s="29"/>
      <c r="P61" s="29"/>
      <c r="Q61" s="29"/>
      <c r="R61" s="29"/>
      <c r="S61" s="29"/>
      <c r="T61" s="29">
        <v>0.26667217220437966</v>
      </c>
      <c r="V61" s="28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</row>
    <row r="62" spans="1:40">
      <c r="A62" s="30">
        <v>19.399999999999999</v>
      </c>
      <c r="B62" s="29"/>
      <c r="C62" s="29"/>
      <c r="D62" s="29"/>
      <c r="E62" s="29"/>
      <c r="F62" s="29"/>
      <c r="G62" s="29"/>
      <c r="H62" s="29"/>
      <c r="I62" s="29"/>
      <c r="J62" s="29"/>
      <c r="K62" s="29">
        <v>0.26661307955636415</v>
      </c>
      <c r="L62" s="29"/>
      <c r="M62" s="29"/>
      <c r="N62" s="29"/>
      <c r="O62" s="29"/>
      <c r="P62" s="29"/>
      <c r="Q62" s="29"/>
      <c r="R62" s="29"/>
      <c r="S62" s="29"/>
      <c r="T62" s="29">
        <v>0.26661307955636415</v>
      </c>
      <c r="V62" s="28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</row>
    <row r="63" spans="1:40">
      <c r="A63" s="30">
        <v>20.81</v>
      </c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>
        <v>0.25943904056779477</v>
      </c>
      <c r="M63" s="29"/>
      <c r="N63" s="29"/>
      <c r="O63" s="29"/>
      <c r="P63" s="29"/>
      <c r="Q63" s="29"/>
      <c r="R63" s="29"/>
      <c r="S63" s="29"/>
      <c r="T63" s="29">
        <v>0.25943904056779477</v>
      </c>
      <c r="V63" s="28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</row>
    <row r="64" spans="1:40">
      <c r="A64" s="30">
        <v>22.45</v>
      </c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>
        <v>0.26016753736267551</v>
      </c>
      <c r="N64" s="29"/>
      <c r="O64" s="29"/>
      <c r="P64" s="29"/>
      <c r="Q64" s="29"/>
      <c r="R64" s="29"/>
      <c r="S64" s="29"/>
      <c r="T64" s="29">
        <v>0.26016753736267551</v>
      </c>
      <c r="V64" s="28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</row>
    <row r="65" spans="1:40">
      <c r="A65" s="30">
        <v>24.1</v>
      </c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>
        <v>0.2563957547635517</v>
      </c>
      <c r="O65" s="29"/>
      <c r="P65" s="29"/>
      <c r="Q65" s="29"/>
      <c r="R65" s="29"/>
      <c r="S65" s="29"/>
      <c r="T65" s="29">
        <v>0.2563957547635517</v>
      </c>
      <c r="V65" s="28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</row>
    <row r="66" spans="1:40">
      <c r="A66" s="30">
        <v>29.6</v>
      </c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>
        <v>0.25623477231937575</v>
      </c>
      <c r="R66" s="29"/>
      <c r="S66" s="29"/>
      <c r="T66" s="29">
        <v>0.25623477231937575</v>
      </c>
      <c r="V66" s="28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</row>
    <row r="67" spans="1:40">
      <c r="A67" s="30">
        <v>33.200000000000003</v>
      </c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>
        <v>0.25406784580663644</v>
      </c>
      <c r="S67" s="29"/>
      <c r="T67" s="29">
        <v>0.25406784580663644</v>
      </c>
      <c r="V67" s="28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</row>
    <row r="68" spans="1:40">
      <c r="A68" s="28">
        <v>207.5</v>
      </c>
      <c r="B68" s="29">
        <v>0.45044048826860716</v>
      </c>
      <c r="C68" s="29">
        <v>0.35649444046707834</v>
      </c>
      <c r="D68" s="29">
        <v>0.30530335972590278</v>
      </c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>
        <v>0.37074609615386273</v>
      </c>
      <c r="V68" s="28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</row>
    <row r="69" spans="1:40">
      <c r="A69" s="30">
        <v>8.4499999999999993</v>
      </c>
      <c r="B69" s="29">
        <v>0.45044048826860716</v>
      </c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>
        <v>0.45044048826860716</v>
      </c>
      <c r="V69" s="28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</row>
    <row r="70" spans="1:40">
      <c r="A70" s="30">
        <v>9.4499999999999993</v>
      </c>
      <c r="B70" s="29"/>
      <c r="C70" s="29">
        <v>0.35649444046707834</v>
      </c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>
        <v>0.35649444046707834</v>
      </c>
      <c r="V70" s="28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</row>
    <row r="71" spans="1:40">
      <c r="A71" s="30">
        <v>9.9499999999999993</v>
      </c>
      <c r="B71" s="29"/>
      <c r="C71" s="29"/>
      <c r="D71" s="29">
        <v>0.30530335972590278</v>
      </c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>
        <v>0.30530335972590278</v>
      </c>
      <c r="V71" s="28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</row>
    <row r="72" spans="1:40">
      <c r="A72" s="28">
        <v>210</v>
      </c>
      <c r="B72" s="29">
        <v>0.45211095219509906</v>
      </c>
      <c r="C72" s="29">
        <v>0.35322652867110993</v>
      </c>
      <c r="D72" s="29">
        <v>0.31247384148375396</v>
      </c>
      <c r="E72" s="29">
        <v>0.29421955059048333</v>
      </c>
      <c r="F72" s="29">
        <v>0.28316223448523675</v>
      </c>
      <c r="G72" s="29">
        <v>0.2825173463018163</v>
      </c>
      <c r="H72" s="29"/>
      <c r="I72" s="29">
        <v>0.26507315978894153</v>
      </c>
      <c r="J72" s="29">
        <v>0.26083077729952819</v>
      </c>
      <c r="K72" s="29">
        <v>0.26020589746952216</v>
      </c>
      <c r="L72" s="29">
        <v>0.25569790700419442</v>
      </c>
      <c r="M72" s="29">
        <v>0.2544822247082808</v>
      </c>
      <c r="N72" s="29">
        <v>0.2504680682704421</v>
      </c>
      <c r="O72" s="29">
        <v>0.25310242252662296</v>
      </c>
      <c r="P72" s="29">
        <v>0.25123695390841005</v>
      </c>
      <c r="Q72" s="29">
        <v>0.25258963401196621</v>
      </c>
      <c r="R72" s="29">
        <v>0.25151573503810842</v>
      </c>
      <c r="S72" s="29">
        <v>0.25216702919676365</v>
      </c>
      <c r="T72" s="29">
        <v>0.28147530958531053</v>
      </c>
      <c r="V72" s="28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</row>
    <row r="73" spans="1:40">
      <c r="A73" s="30">
        <v>6.79</v>
      </c>
      <c r="B73" s="29">
        <v>0.45211095219509906</v>
      </c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>
        <v>0.45211095219509906</v>
      </c>
      <c r="V73" s="28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</row>
    <row r="74" spans="1:40">
      <c r="A74" s="30">
        <v>7.8</v>
      </c>
      <c r="B74" s="29"/>
      <c r="C74" s="29">
        <v>0.35322652867110993</v>
      </c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>
        <v>0.35322652867110993</v>
      </c>
      <c r="V74" s="28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</row>
    <row r="75" spans="1:40">
      <c r="A75" s="30">
        <v>8.5</v>
      </c>
      <c r="B75" s="29"/>
      <c r="C75" s="29"/>
      <c r="D75" s="29">
        <v>0.31247384148375396</v>
      </c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>
        <v>0.31247384148375396</v>
      </c>
      <c r="V75" s="28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</row>
    <row r="76" spans="1:40">
      <c r="A76" s="30">
        <v>9.1999999999999993</v>
      </c>
      <c r="B76" s="29"/>
      <c r="C76" s="29"/>
      <c r="D76" s="29"/>
      <c r="E76" s="29">
        <v>0.29421955059048333</v>
      </c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>
        <v>0.29421955059048333</v>
      </c>
      <c r="V76" s="28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</row>
    <row r="77" spans="1:40">
      <c r="A77" s="30">
        <v>9.85</v>
      </c>
      <c r="B77" s="29"/>
      <c r="C77" s="29"/>
      <c r="D77" s="29"/>
      <c r="E77" s="29"/>
      <c r="F77" s="29">
        <v>0.28316223448523675</v>
      </c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>
        <v>0.28316223448523675</v>
      </c>
      <c r="V77" s="28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</row>
    <row r="78" spans="1:40">
      <c r="A78" s="30">
        <v>10.19</v>
      </c>
      <c r="B78" s="29"/>
      <c r="C78" s="29"/>
      <c r="D78" s="29"/>
      <c r="E78" s="29"/>
      <c r="F78" s="29"/>
      <c r="G78" s="29">
        <v>0.2825173463018163</v>
      </c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>
        <v>0.2825173463018163</v>
      </c>
      <c r="V78" s="28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</row>
    <row r="79" spans="1:40">
      <c r="A79" s="30">
        <v>11.55</v>
      </c>
      <c r="B79" s="29"/>
      <c r="C79" s="29"/>
      <c r="D79" s="29"/>
      <c r="E79" s="29"/>
      <c r="F79" s="29"/>
      <c r="G79" s="29"/>
      <c r="H79" s="29"/>
      <c r="I79" s="29">
        <v>0.26507315978894153</v>
      </c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>
        <v>0.26507315978894153</v>
      </c>
      <c r="V79" s="28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</row>
    <row r="80" spans="1:40">
      <c r="A80" s="30">
        <v>13.75</v>
      </c>
      <c r="B80" s="29"/>
      <c r="C80" s="29"/>
      <c r="D80" s="29"/>
      <c r="E80" s="29"/>
      <c r="F80" s="29"/>
      <c r="G80" s="29"/>
      <c r="H80" s="29"/>
      <c r="I80" s="29"/>
      <c r="J80" s="29">
        <v>0.26083077729952819</v>
      </c>
      <c r="K80" s="29"/>
      <c r="L80" s="29"/>
      <c r="M80" s="29"/>
      <c r="N80" s="29"/>
      <c r="O80" s="29"/>
      <c r="P80" s="29"/>
      <c r="Q80" s="29"/>
      <c r="R80" s="29"/>
      <c r="S80" s="29"/>
      <c r="T80" s="29">
        <v>0.26083077729952819</v>
      </c>
      <c r="V80" s="28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</row>
    <row r="81" spans="1:40">
      <c r="A81" s="30">
        <v>16.21</v>
      </c>
      <c r="B81" s="29"/>
      <c r="C81" s="29"/>
      <c r="D81" s="29"/>
      <c r="E81" s="29"/>
      <c r="F81" s="29"/>
      <c r="G81" s="29"/>
      <c r="H81" s="29"/>
      <c r="I81" s="29"/>
      <c r="J81" s="29"/>
      <c r="K81" s="29">
        <v>0.26020589746952216</v>
      </c>
      <c r="L81" s="29"/>
      <c r="M81" s="29"/>
      <c r="N81" s="29"/>
      <c r="O81" s="29"/>
      <c r="P81" s="29"/>
      <c r="Q81" s="29"/>
      <c r="R81" s="29"/>
      <c r="S81" s="29"/>
      <c r="T81" s="29">
        <v>0.26020589746952216</v>
      </c>
      <c r="V81" s="28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</row>
    <row r="82" spans="1:40">
      <c r="A82" s="30">
        <v>17.75</v>
      </c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>
        <v>0.25569790700419442</v>
      </c>
      <c r="M82" s="29"/>
      <c r="N82" s="29"/>
      <c r="O82" s="29"/>
      <c r="P82" s="29"/>
      <c r="Q82" s="29"/>
      <c r="R82" s="29"/>
      <c r="S82" s="29"/>
      <c r="T82" s="29">
        <v>0.25569790700419442</v>
      </c>
      <c r="V82" s="28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</row>
    <row r="83" spans="1:40">
      <c r="A83" s="30">
        <v>19.3</v>
      </c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>
        <v>0.2544822247082808</v>
      </c>
      <c r="N83" s="29"/>
      <c r="O83" s="29"/>
      <c r="P83" s="29"/>
      <c r="Q83" s="29"/>
      <c r="R83" s="29"/>
      <c r="S83" s="29"/>
      <c r="T83" s="29">
        <v>0.2544822247082808</v>
      </c>
      <c r="V83" s="28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</row>
    <row r="84" spans="1:40">
      <c r="A84" s="30">
        <v>20.93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>
        <v>0.2504680682704421</v>
      </c>
      <c r="O84" s="29"/>
      <c r="P84" s="29"/>
      <c r="Q84" s="29"/>
      <c r="R84" s="29"/>
      <c r="S84" s="29"/>
      <c r="T84" s="29">
        <v>0.2504680682704421</v>
      </c>
      <c r="V84" s="28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</row>
    <row r="85" spans="1:40">
      <c r="A85" s="30">
        <v>22.5</v>
      </c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>
        <v>0.25310242252662296</v>
      </c>
      <c r="P85" s="29"/>
      <c r="Q85" s="29"/>
      <c r="R85" s="29"/>
      <c r="S85" s="29"/>
      <c r="T85" s="29">
        <v>0.25310242252662296</v>
      </c>
      <c r="V85" s="28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</row>
    <row r="86" spans="1:40">
      <c r="A86" s="30">
        <v>25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>
        <v>0.25123695390841005</v>
      </c>
      <c r="Q86" s="29"/>
      <c r="R86" s="29"/>
      <c r="S86" s="29"/>
      <c r="T86" s="29">
        <v>0.25123695390841005</v>
      </c>
      <c r="V86" s="28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</row>
    <row r="87" spans="1:40">
      <c r="A87" s="30">
        <v>26.6</v>
      </c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>
        <v>0.25258963401196621</v>
      </c>
      <c r="R87" s="29"/>
      <c r="S87" s="29"/>
      <c r="T87" s="29">
        <v>0.25258963401196621</v>
      </c>
      <c r="V87" s="28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</row>
    <row r="88" spans="1:40">
      <c r="A88" s="30">
        <v>30.3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>
        <v>0.25151573503810842</v>
      </c>
      <c r="S88" s="29"/>
      <c r="T88" s="29">
        <v>0.25151573503810842</v>
      </c>
      <c r="V88" s="28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</row>
    <row r="89" spans="1:40">
      <c r="A89" s="30">
        <v>33.799999999999997</v>
      </c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>
        <v>0.25216702919676365</v>
      </c>
      <c r="T89" s="29">
        <v>0.25216702919676365</v>
      </c>
      <c r="V89" s="28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</row>
    <row r="90" spans="1:40">
      <c r="A90" s="28">
        <v>212.5</v>
      </c>
      <c r="B90" s="29">
        <v>0.44947112875722028</v>
      </c>
      <c r="C90" s="29">
        <v>0.34731736563810017</v>
      </c>
      <c r="D90" s="29">
        <v>0.30962283836682392</v>
      </c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>
        <v>0.36880377758738153</v>
      </c>
      <c r="V90" s="28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</row>
    <row r="91" spans="1:40">
      <c r="A91" s="30">
        <v>5.3</v>
      </c>
      <c r="B91" s="29">
        <v>0.44947112875722028</v>
      </c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>
        <v>0.44947112875722028</v>
      </c>
      <c r="V91" s="28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</row>
    <row r="92" spans="1:40">
      <c r="A92" s="30">
        <v>6.28</v>
      </c>
      <c r="B92" s="29"/>
      <c r="C92" s="29">
        <v>0.34731736563810017</v>
      </c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>
        <v>0.34731736563810017</v>
      </c>
      <c r="V92" s="28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</row>
    <row r="93" spans="1:40">
      <c r="A93" s="30">
        <v>7.03</v>
      </c>
      <c r="B93" s="29"/>
      <c r="C93" s="29"/>
      <c r="D93" s="29">
        <v>0.30962283836682392</v>
      </c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>
        <v>0.30962283836682392</v>
      </c>
      <c r="V93" s="28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</row>
    <row r="94" spans="1:40">
      <c r="A94" s="28">
        <v>215</v>
      </c>
      <c r="B94" s="29">
        <v>0.44410446750927635</v>
      </c>
      <c r="C94" s="29">
        <v>0.34473235068922431</v>
      </c>
      <c r="D94" s="29">
        <v>0.30622760229553447</v>
      </c>
      <c r="E94" s="29">
        <v>0.28669828703092165</v>
      </c>
      <c r="F94" s="29">
        <v>0.27657798806055273</v>
      </c>
      <c r="G94" s="29">
        <v>0.28451541237517392</v>
      </c>
      <c r="H94" s="29"/>
      <c r="I94" s="29">
        <v>0.26011866507467879</v>
      </c>
      <c r="J94" s="29">
        <v>0.25260757636646713</v>
      </c>
      <c r="K94" s="29">
        <v>0.25475907885842325</v>
      </c>
      <c r="L94" s="29">
        <v>0.25107974806488526</v>
      </c>
      <c r="M94" s="29">
        <v>0.24907340743836917</v>
      </c>
      <c r="N94" s="29">
        <v>0.25050503456369533</v>
      </c>
      <c r="O94" s="29"/>
      <c r="P94" s="29"/>
      <c r="Q94" s="29">
        <v>0.24679634451697391</v>
      </c>
      <c r="R94" s="29">
        <v>0.24839338906763092</v>
      </c>
      <c r="S94" s="29"/>
      <c r="T94" s="29">
        <v>0.28258495370798625</v>
      </c>
      <c r="V94" s="28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</row>
    <row r="95" spans="1:40">
      <c r="A95" s="30">
        <v>4</v>
      </c>
      <c r="B95" s="29">
        <v>0.44410446750927635</v>
      </c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>
        <v>0.44410446750927635</v>
      </c>
      <c r="V95" s="28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</row>
    <row r="96" spans="1:40">
      <c r="A96" s="30">
        <v>4.99</v>
      </c>
      <c r="B96" s="29"/>
      <c r="C96" s="29">
        <v>0.34473235068922431</v>
      </c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>
        <v>0.34473235068922431</v>
      </c>
      <c r="V96" s="28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</row>
    <row r="97" spans="1:40">
      <c r="A97" s="30">
        <v>5.71</v>
      </c>
      <c r="B97" s="29"/>
      <c r="C97" s="29"/>
      <c r="D97" s="29">
        <v>0.30622760229553447</v>
      </c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>
        <v>0.30622760229553447</v>
      </c>
      <c r="V97" s="28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</row>
    <row r="98" spans="1:40">
      <c r="A98" s="30">
        <v>6.37</v>
      </c>
      <c r="B98" s="29"/>
      <c r="C98" s="29"/>
      <c r="D98" s="29"/>
      <c r="E98" s="29">
        <v>0.28669828703092165</v>
      </c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>
        <v>0.28669828703092165</v>
      </c>
      <c r="V98" s="28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</row>
    <row r="99" spans="1:40">
      <c r="A99" s="30">
        <v>7.03</v>
      </c>
      <c r="B99" s="29"/>
      <c r="C99" s="29"/>
      <c r="D99" s="29"/>
      <c r="E99" s="29"/>
      <c r="F99" s="29">
        <v>0.27657798806055273</v>
      </c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>
        <v>0.27657798806055273</v>
      </c>
      <c r="V99" s="28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</row>
    <row r="100" spans="1:40">
      <c r="A100" s="30">
        <v>7.6</v>
      </c>
      <c r="B100" s="29"/>
      <c r="C100" s="29"/>
      <c r="D100" s="29"/>
      <c r="E100" s="29"/>
      <c r="F100" s="29"/>
      <c r="G100" s="29">
        <v>0.28451541237517392</v>
      </c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>
        <v>0.28451541237517392</v>
      </c>
      <c r="V100" s="28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</row>
    <row r="101" spans="1:40">
      <c r="A101" s="30">
        <v>8.75</v>
      </c>
      <c r="B101" s="29"/>
      <c r="C101" s="29"/>
      <c r="D101" s="29"/>
      <c r="E101" s="29"/>
      <c r="F101" s="29"/>
      <c r="G101" s="29"/>
      <c r="H101" s="29"/>
      <c r="I101" s="29">
        <v>0.26011866507467879</v>
      </c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>
        <v>0.26011866507467879</v>
      </c>
      <c r="V101" s="28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</row>
    <row r="102" spans="1:40">
      <c r="A102" s="30">
        <v>10.8</v>
      </c>
      <c r="B102" s="29"/>
      <c r="C102" s="29"/>
      <c r="D102" s="29"/>
      <c r="E102" s="29"/>
      <c r="F102" s="29"/>
      <c r="G102" s="29"/>
      <c r="H102" s="29"/>
      <c r="I102" s="29"/>
      <c r="J102" s="29">
        <v>0.25260757636646713</v>
      </c>
      <c r="K102" s="29"/>
      <c r="L102" s="29"/>
      <c r="M102" s="29"/>
      <c r="N102" s="29"/>
      <c r="O102" s="29"/>
      <c r="P102" s="29"/>
      <c r="Q102" s="29"/>
      <c r="R102" s="29"/>
      <c r="S102" s="29"/>
      <c r="T102" s="29">
        <v>0.25260757636646713</v>
      </c>
      <c r="V102" s="28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</row>
    <row r="103" spans="1:40">
      <c r="A103" s="30">
        <v>13.35</v>
      </c>
      <c r="B103" s="29"/>
      <c r="C103" s="29"/>
      <c r="D103" s="29"/>
      <c r="E103" s="29"/>
      <c r="F103" s="29"/>
      <c r="G103" s="29"/>
      <c r="H103" s="29"/>
      <c r="I103" s="29"/>
      <c r="J103" s="29"/>
      <c r="K103" s="29">
        <v>0.25475907885842325</v>
      </c>
      <c r="L103" s="29"/>
      <c r="M103" s="29"/>
      <c r="N103" s="29"/>
      <c r="O103" s="29"/>
      <c r="P103" s="29"/>
      <c r="Q103" s="29"/>
      <c r="R103" s="29"/>
      <c r="S103" s="29"/>
      <c r="T103" s="29">
        <v>0.25475907885842325</v>
      </c>
      <c r="V103" s="28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</row>
    <row r="104" spans="1:40">
      <c r="A104" s="30">
        <v>14.91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>
        <v>0.25107974806488526</v>
      </c>
      <c r="M104" s="29"/>
      <c r="N104" s="29"/>
      <c r="O104" s="29"/>
      <c r="P104" s="29"/>
      <c r="Q104" s="29"/>
      <c r="R104" s="29"/>
      <c r="S104" s="29"/>
      <c r="T104" s="29">
        <v>0.25107974806488526</v>
      </c>
      <c r="V104" s="28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</row>
    <row r="105" spans="1:40">
      <c r="A105" s="30">
        <v>16.399999999999999</v>
      </c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>
        <v>0.24907340743836917</v>
      </c>
      <c r="N105" s="29"/>
      <c r="O105" s="29"/>
      <c r="P105" s="29"/>
      <c r="Q105" s="29"/>
      <c r="R105" s="29"/>
      <c r="S105" s="29"/>
      <c r="T105" s="29">
        <v>0.24907340743836917</v>
      </c>
      <c r="V105" s="28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</row>
    <row r="106" spans="1:40">
      <c r="A106" s="30">
        <v>18.350000000000001</v>
      </c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>
        <v>0.25050503456369533</v>
      </c>
      <c r="O106" s="29"/>
      <c r="P106" s="29"/>
      <c r="Q106" s="29"/>
      <c r="R106" s="29"/>
      <c r="S106" s="29"/>
      <c r="T106" s="29">
        <v>0.25050503456369533</v>
      </c>
      <c r="V106" s="28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</row>
    <row r="107" spans="1:40">
      <c r="A107" s="30">
        <v>23.6</v>
      </c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>
        <v>0.24679634451697391</v>
      </c>
      <c r="R107" s="29"/>
      <c r="S107" s="29"/>
      <c r="T107" s="29">
        <v>0.24679634451697391</v>
      </c>
      <c r="V107" s="28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</row>
    <row r="108" spans="1:40">
      <c r="A108" s="30">
        <v>27.5</v>
      </c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>
        <v>0.24839338906763092</v>
      </c>
      <c r="S108" s="29"/>
      <c r="T108" s="29">
        <v>0.24839338906763092</v>
      </c>
      <c r="V108" s="28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</row>
    <row r="109" spans="1:40">
      <c r="A109" s="28">
        <v>217.5</v>
      </c>
      <c r="B109" s="29">
        <v>0.44385508728150092</v>
      </c>
      <c r="C109" s="29">
        <v>0.33997142909742611</v>
      </c>
      <c r="D109" s="29">
        <v>0.30108516839109684</v>
      </c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>
        <v>0.36163722825667466</v>
      </c>
      <c r="V109" s="28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</row>
    <row r="110" spans="1:40">
      <c r="A110" s="30">
        <v>2.97</v>
      </c>
      <c r="B110" s="29">
        <v>0.44385508728150092</v>
      </c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>
        <v>0.44385508728150092</v>
      </c>
      <c r="V110" s="28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</row>
    <row r="111" spans="1:40">
      <c r="A111" s="30">
        <v>3.85</v>
      </c>
      <c r="B111" s="29"/>
      <c r="C111" s="29">
        <v>0.33997142909742611</v>
      </c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>
        <v>0.33997142909742611</v>
      </c>
      <c r="V111" s="28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</row>
    <row r="112" spans="1:40">
      <c r="A112" s="30">
        <v>4.5199999999999996</v>
      </c>
      <c r="B112" s="29"/>
      <c r="C112" s="29"/>
      <c r="D112" s="29">
        <v>0.30108516839109684</v>
      </c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>
        <v>0.30108516839109684</v>
      </c>
      <c r="V112" s="28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</row>
    <row r="113" spans="1:40">
      <c r="A113" s="28">
        <v>220</v>
      </c>
      <c r="B113" s="29">
        <v>0.43606912536213838</v>
      </c>
      <c r="C113" s="29">
        <v>0.33641120882564118</v>
      </c>
      <c r="D113" s="29">
        <v>0.29886806418998452</v>
      </c>
      <c r="E113" s="29">
        <v>0.27993902530823106</v>
      </c>
      <c r="F113" s="29">
        <v>0.2717988445674891</v>
      </c>
      <c r="G113" s="29">
        <v>0.27774354899349618</v>
      </c>
      <c r="H113" s="29"/>
      <c r="I113" s="29">
        <v>0.25423529757886487</v>
      </c>
      <c r="J113" s="29">
        <v>0.24520175676814379</v>
      </c>
      <c r="K113" s="29">
        <v>0.24946284760463522</v>
      </c>
      <c r="L113" s="29">
        <v>0.24657367727411938</v>
      </c>
      <c r="M113" s="29">
        <v>0.24540289013890343</v>
      </c>
      <c r="N113" s="29">
        <v>0.24841903620465494</v>
      </c>
      <c r="O113" s="29">
        <v>0.24536027666557619</v>
      </c>
      <c r="P113" s="29">
        <v>0.25082448130385931</v>
      </c>
      <c r="Q113" s="29">
        <v>0.24618282544579617</v>
      </c>
      <c r="R113" s="29">
        <v>0.24839767493548306</v>
      </c>
      <c r="S113" s="29">
        <v>0.24655458140980396</v>
      </c>
      <c r="T113" s="29">
        <v>0.27220265662216592</v>
      </c>
      <c r="V113" s="28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</row>
    <row r="114" spans="1:40">
      <c r="A114" s="30">
        <v>2.08</v>
      </c>
      <c r="B114" s="29">
        <v>0.43606912536213838</v>
      </c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>
        <v>0.43606912536213838</v>
      </c>
      <c r="V114" s="28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</row>
    <row r="115" spans="1:40">
      <c r="A115" s="30">
        <v>2.91</v>
      </c>
      <c r="B115" s="29"/>
      <c r="C115" s="29">
        <v>0.33641120882564118</v>
      </c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>
        <v>0.33641120882564118</v>
      </c>
      <c r="V115" s="28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</row>
    <row r="116" spans="1:40">
      <c r="A116" s="30">
        <v>3.55</v>
      </c>
      <c r="B116" s="29"/>
      <c r="C116" s="29"/>
      <c r="D116" s="29">
        <v>0.29886806418998452</v>
      </c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>
        <v>0.29886806418998452</v>
      </c>
      <c r="V116" s="28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</row>
    <row r="117" spans="1:40">
      <c r="A117" s="30">
        <v>4.1500000000000004</v>
      </c>
      <c r="B117" s="29"/>
      <c r="C117" s="29"/>
      <c r="D117" s="29"/>
      <c r="E117" s="29">
        <v>0.27993902530823106</v>
      </c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>
        <v>0.27993902530823106</v>
      </c>
      <c r="V117" s="28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</row>
    <row r="118" spans="1:40">
      <c r="A118" s="30">
        <v>4.8</v>
      </c>
      <c r="B118" s="29"/>
      <c r="C118" s="29"/>
      <c r="D118" s="29"/>
      <c r="E118" s="29"/>
      <c r="F118" s="29">
        <v>0.2717988445674891</v>
      </c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>
        <v>0.2717988445674891</v>
      </c>
      <c r="V118" s="28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</row>
    <row r="119" spans="1:40">
      <c r="A119" s="30">
        <v>5.29</v>
      </c>
      <c r="B119" s="29"/>
      <c r="C119" s="29"/>
      <c r="D119" s="29"/>
      <c r="E119" s="29"/>
      <c r="F119" s="29"/>
      <c r="G119" s="29">
        <v>0.27774354899349618</v>
      </c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>
        <v>0.27774354899349618</v>
      </c>
      <c r="V119" s="28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</row>
    <row r="120" spans="1:40">
      <c r="A120" s="30">
        <v>6.37</v>
      </c>
      <c r="B120" s="29"/>
      <c r="C120" s="29"/>
      <c r="D120" s="29"/>
      <c r="E120" s="29"/>
      <c r="F120" s="29"/>
      <c r="G120" s="29"/>
      <c r="H120" s="29"/>
      <c r="I120" s="29">
        <v>0.25423529757886487</v>
      </c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>
        <v>0.25423529757886487</v>
      </c>
      <c r="V120" s="28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</row>
    <row r="121" spans="1:40">
      <c r="A121" s="30">
        <v>8.25</v>
      </c>
      <c r="B121" s="29"/>
      <c r="C121" s="29"/>
      <c r="D121" s="29"/>
      <c r="E121" s="29"/>
      <c r="F121" s="29"/>
      <c r="G121" s="29"/>
      <c r="H121" s="29"/>
      <c r="I121" s="29"/>
      <c r="J121" s="29">
        <v>0.24520175676814379</v>
      </c>
      <c r="K121" s="29"/>
      <c r="L121" s="29"/>
      <c r="M121" s="29"/>
      <c r="N121" s="29"/>
      <c r="O121" s="29"/>
      <c r="P121" s="29"/>
      <c r="Q121" s="29"/>
      <c r="R121" s="29"/>
      <c r="S121" s="29"/>
      <c r="T121" s="29">
        <v>0.24520175676814379</v>
      </c>
      <c r="V121" s="28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</row>
    <row r="122" spans="1:40">
      <c r="A122" s="30">
        <v>10.8</v>
      </c>
      <c r="B122" s="29"/>
      <c r="C122" s="29"/>
      <c r="D122" s="29"/>
      <c r="E122" s="29"/>
      <c r="F122" s="29"/>
      <c r="G122" s="29"/>
      <c r="H122" s="29"/>
      <c r="I122" s="29"/>
      <c r="J122" s="29"/>
      <c r="K122" s="29">
        <v>0.24946284760463522</v>
      </c>
      <c r="L122" s="29"/>
      <c r="M122" s="29"/>
      <c r="N122" s="29"/>
      <c r="O122" s="29"/>
      <c r="P122" s="29"/>
      <c r="Q122" s="29"/>
      <c r="R122" s="29"/>
      <c r="S122" s="29"/>
      <c r="T122" s="29">
        <v>0.24946284760463522</v>
      </c>
      <c r="V122" s="28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</row>
    <row r="123" spans="1:40">
      <c r="A123" s="30">
        <v>12.35</v>
      </c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>
        <v>0.24657367727411938</v>
      </c>
      <c r="M123" s="29"/>
      <c r="N123" s="29"/>
      <c r="O123" s="29"/>
      <c r="P123" s="29"/>
      <c r="Q123" s="29"/>
      <c r="R123" s="29"/>
      <c r="S123" s="29"/>
      <c r="T123" s="29">
        <v>0.24657367727411938</v>
      </c>
      <c r="V123" s="28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</row>
    <row r="124" spans="1:40">
      <c r="A124" s="30">
        <v>13.85</v>
      </c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>
        <v>0.24540289013890343</v>
      </c>
      <c r="N124" s="29"/>
      <c r="O124" s="29"/>
      <c r="P124" s="29"/>
      <c r="Q124" s="29"/>
      <c r="R124" s="29"/>
      <c r="S124" s="29"/>
      <c r="T124" s="29">
        <v>0.24540289013890343</v>
      </c>
      <c r="V124" s="28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</row>
    <row r="125" spans="1:40">
      <c r="A125" s="30">
        <v>15.87</v>
      </c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>
        <v>0.24841903620465494</v>
      </c>
      <c r="O125" s="29"/>
      <c r="P125" s="29"/>
      <c r="Q125" s="29"/>
      <c r="R125" s="29"/>
      <c r="S125" s="29"/>
      <c r="T125" s="29">
        <v>0.24841903620465494</v>
      </c>
      <c r="V125" s="28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</row>
    <row r="126" spans="1:40">
      <c r="A126" s="30">
        <v>17.05</v>
      </c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>
        <v>0.24536027666557619</v>
      </c>
      <c r="P126" s="29"/>
      <c r="Q126" s="29"/>
      <c r="R126" s="29"/>
      <c r="S126" s="29"/>
      <c r="T126" s="29">
        <v>0.24536027666557619</v>
      </c>
      <c r="V126" s="28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</row>
    <row r="127" spans="1:40">
      <c r="A127" s="30">
        <v>20.05</v>
      </c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>
        <v>0.25082448130385931</v>
      </c>
      <c r="Q127" s="29"/>
      <c r="R127" s="29"/>
      <c r="S127" s="29"/>
      <c r="T127" s="29">
        <v>0.25082448130385931</v>
      </c>
      <c r="V127" s="28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</row>
    <row r="128" spans="1:40">
      <c r="A128" s="30">
        <v>21.18</v>
      </c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>
        <v>0.24618282544579617</v>
      </c>
      <c r="R128" s="29"/>
      <c r="S128" s="29"/>
      <c r="T128" s="29">
        <v>0.24618282544579617</v>
      </c>
      <c r="V128" s="28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</row>
    <row r="129" spans="1:40">
      <c r="A129" s="30">
        <v>25.13</v>
      </c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>
        <v>0.24839767493548306</v>
      </c>
      <c r="S129" s="29"/>
      <c r="T129" s="29">
        <v>0.24839767493548306</v>
      </c>
      <c r="V129" s="28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</row>
    <row r="130" spans="1:40">
      <c r="A130" s="30">
        <v>28.39</v>
      </c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>
        <v>0.24655458140980396</v>
      </c>
      <c r="T130" s="29">
        <v>0.24655458140980396</v>
      </c>
      <c r="V130" s="28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</row>
    <row r="131" spans="1:40">
      <c r="A131" s="28">
        <v>222.5</v>
      </c>
      <c r="B131" s="29">
        <v>0.4291717849390918</v>
      </c>
      <c r="C131" s="29">
        <v>0.33341672979889658</v>
      </c>
      <c r="D131" s="29">
        <v>0.29515458182962728</v>
      </c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>
        <v>0.35258103218920517</v>
      </c>
      <c r="V131" s="28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</row>
    <row r="132" spans="1:40">
      <c r="A132" s="30">
        <v>1.4</v>
      </c>
      <c r="B132" s="29">
        <v>0.4291717849390918</v>
      </c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>
        <v>0.4291717849390918</v>
      </c>
      <c r="V132" s="28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</row>
    <row r="133" spans="1:40">
      <c r="A133" s="30">
        <v>2.15</v>
      </c>
      <c r="B133" s="29"/>
      <c r="C133" s="29">
        <v>0.33341672979889658</v>
      </c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>
        <v>0.33341672979889658</v>
      </c>
      <c r="V133" s="28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</row>
    <row r="134" spans="1:40">
      <c r="A134" s="30">
        <v>2.71</v>
      </c>
      <c r="B134" s="29"/>
      <c r="C134" s="29"/>
      <c r="D134" s="29">
        <v>0.29515458182962728</v>
      </c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>
        <v>0.29515458182962728</v>
      </c>
      <c r="V134" s="28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</row>
    <row r="135" spans="1:40">
      <c r="A135" s="28">
        <v>225</v>
      </c>
      <c r="B135" s="29">
        <v>0.42565800315557356</v>
      </c>
      <c r="C135" s="29">
        <v>0.33245152625052921</v>
      </c>
      <c r="D135" s="29">
        <v>0.29530577212398024</v>
      </c>
      <c r="E135" s="29">
        <v>0.27562366300182917</v>
      </c>
      <c r="F135" s="29">
        <v>0.2664643213562532</v>
      </c>
      <c r="G135" s="29">
        <v>0.27024099456598133</v>
      </c>
      <c r="H135" s="29"/>
      <c r="I135" s="29">
        <v>0.24853621850611551</v>
      </c>
      <c r="J135" s="29">
        <v>0.24074579960214063</v>
      </c>
      <c r="K135" s="29">
        <v>0.24393105493439446</v>
      </c>
      <c r="L135" s="29">
        <v>0.24131877597158305</v>
      </c>
      <c r="M135" s="29">
        <v>0.24078567231142003</v>
      </c>
      <c r="N135" s="29">
        <v>0.24649252196803903</v>
      </c>
      <c r="O135" s="29"/>
      <c r="P135" s="29"/>
      <c r="Q135" s="29">
        <v>0.24070844522765542</v>
      </c>
      <c r="R135" s="29">
        <v>0.24641934902427309</v>
      </c>
      <c r="S135" s="29"/>
      <c r="T135" s="29">
        <v>0.27247729414284055</v>
      </c>
      <c r="V135" s="28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</row>
    <row r="136" spans="1:40">
      <c r="A136" s="30">
        <v>0.92</v>
      </c>
      <c r="B136" s="29">
        <v>0.42565800315557356</v>
      </c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>
        <v>0.42565800315557356</v>
      </c>
      <c r="V136" s="28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</row>
    <row r="137" spans="1:40">
      <c r="A137" s="30">
        <v>1.57</v>
      </c>
      <c r="B137" s="29"/>
      <c r="C137" s="29">
        <v>0.33245152625052921</v>
      </c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>
        <v>0.33245152625052921</v>
      </c>
      <c r="V137" s="28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</row>
    <row r="138" spans="1:40">
      <c r="A138" s="30">
        <v>2.08</v>
      </c>
      <c r="B138" s="29"/>
      <c r="C138" s="29"/>
      <c r="D138" s="29">
        <v>0.29530577212398024</v>
      </c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>
        <v>0.29530577212398024</v>
      </c>
      <c r="V138" s="28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</row>
    <row r="139" spans="1:40">
      <c r="A139" s="30">
        <v>2.56</v>
      </c>
      <c r="B139" s="29"/>
      <c r="C139" s="29"/>
      <c r="D139" s="29"/>
      <c r="E139" s="29">
        <v>0.27562366300182917</v>
      </c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>
        <v>0.27562366300182917</v>
      </c>
      <c r="V139" s="28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</row>
    <row r="140" spans="1:40">
      <c r="A140" s="30">
        <v>3.09</v>
      </c>
      <c r="B140" s="29"/>
      <c r="C140" s="29"/>
      <c r="D140" s="29"/>
      <c r="E140" s="29"/>
      <c r="F140" s="29">
        <v>0.2664643213562532</v>
      </c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>
        <v>0.2664643213562532</v>
      </c>
      <c r="V140" s="28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</row>
    <row r="141" spans="1:40">
      <c r="A141" s="30">
        <v>3.47</v>
      </c>
      <c r="B141" s="29"/>
      <c r="C141" s="29"/>
      <c r="D141" s="29"/>
      <c r="E141" s="29"/>
      <c r="F141" s="29"/>
      <c r="G141" s="29">
        <v>0.27024099456598133</v>
      </c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>
        <v>0.27024099456598133</v>
      </c>
      <c r="V141" s="28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</row>
    <row r="142" spans="1:40">
      <c r="A142" s="30">
        <v>4.45</v>
      </c>
      <c r="B142" s="29"/>
      <c r="C142" s="29"/>
      <c r="D142" s="29"/>
      <c r="E142" s="29"/>
      <c r="F142" s="29"/>
      <c r="G142" s="29"/>
      <c r="H142" s="29"/>
      <c r="I142" s="29">
        <v>0.24853621850611551</v>
      </c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>
        <v>0.24853621850611551</v>
      </c>
      <c r="V142" s="28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</row>
    <row r="143" spans="1:40">
      <c r="A143" s="30">
        <v>6.2</v>
      </c>
      <c r="B143" s="29"/>
      <c r="C143" s="29"/>
      <c r="D143" s="29"/>
      <c r="E143" s="29"/>
      <c r="F143" s="29"/>
      <c r="G143" s="29"/>
      <c r="H143" s="29"/>
      <c r="I143" s="29"/>
      <c r="J143" s="29">
        <v>0.24074579960214063</v>
      </c>
      <c r="K143" s="29"/>
      <c r="L143" s="29"/>
      <c r="M143" s="29"/>
      <c r="N143" s="29"/>
      <c r="O143" s="29"/>
      <c r="P143" s="29"/>
      <c r="Q143" s="29"/>
      <c r="R143" s="29"/>
      <c r="S143" s="29"/>
      <c r="T143" s="29">
        <v>0.24074579960214063</v>
      </c>
      <c r="V143" s="28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</row>
    <row r="144" spans="1:40">
      <c r="A144" s="30">
        <v>8.5500000000000007</v>
      </c>
      <c r="B144" s="29"/>
      <c r="C144" s="29"/>
      <c r="D144" s="29"/>
      <c r="E144" s="29"/>
      <c r="F144" s="29"/>
      <c r="G144" s="29"/>
      <c r="H144" s="29"/>
      <c r="I144" s="29"/>
      <c r="J144" s="29"/>
      <c r="K144" s="29">
        <v>0.24393105493439446</v>
      </c>
      <c r="L144" s="29"/>
      <c r="M144" s="29"/>
      <c r="N144" s="29"/>
      <c r="O144" s="29"/>
      <c r="P144" s="29"/>
      <c r="Q144" s="29"/>
      <c r="R144" s="29"/>
      <c r="S144" s="29"/>
      <c r="T144" s="29">
        <v>0.24393105493439446</v>
      </c>
      <c r="V144" s="28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</row>
    <row r="145" spans="1:40">
      <c r="A145" s="30">
        <v>10.029999999999999</v>
      </c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>
        <v>0.24131877597158305</v>
      </c>
      <c r="M145" s="29"/>
      <c r="N145" s="29"/>
      <c r="O145" s="29"/>
      <c r="P145" s="29"/>
      <c r="Q145" s="29"/>
      <c r="R145" s="29"/>
      <c r="S145" s="29"/>
      <c r="T145" s="29">
        <v>0.24131877597158305</v>
      </c>
      <c r="V145" s="28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</row>
    <row r="146" spans="1:40">
      <c r="A146" s="30">
        <v>11.5</v>
      </c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>
        <v>0.24078567231142003</v>
      </c>
      <c r="N146" s="29"/>
      <c r="O146" s="29"/>
      <c r="P146" s="29"/>
      <c r="Q146" s="29"/>
      <c r="R146" s="29"/>
      <c r="S146" s="29"/>
      <c r="T146" s="29">
        <v>0.24078567231142003</v>
      </c>
      <c r="V146" s="28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</row>
    <row r="147" spans="1:40">
      <c r="A147" s="30">
        <v>13.63</v>
      </c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>
        <v>0.24649252196803903</v>
      </c>
      <c r="O147" s="29"/>
      <c r="P147" s="29"/>
      <c r="Q147" s="29"/>
      <c r="R147" s="29"/>
      <c r="S147" s="29"/>
      <c r="T147" s="29">
        <v>0.24649252196803903</v>
      </c>
    </row>
    <row r="148" spans="1:40">
      <c r="A148" s="30">
        <v>18.55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>
        <v>0.24070844522765542</v>
      </c>
      <c r="R148" s="29"/>
      <c r="S148" s="29"/>
      <c r="T148" s="29">
        <v>0.24070844522765542</v>
      </c>
    </row>
    <row r="149" spans="1:40">
      <c r="A149" s="30">
        <v>22.74</v>
      </c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>
        <v>0.24641934902427309</v>
      </c>
      <c r="S149" s="29"/>
      <c r="T149" s="29">
        <v>0.24641934902427309</v>
      </c>
    </row>
    <row r="150" spans="1:40">
      <c r="A150" s="28">
        <v>227.5</v>
      </c>
      <c r="B150" s="29">
        <v>0.42814655021837311</v>
      </c>
      <c r="C150" s="29">
        <v>0.33137078710341827</v>
      </c>
      <c r="D150" s="29">
        <v>0.29306855565642487</v>
      </c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>
        <v>0.35086196432607214</v>
      </c>
    </row>
    <row r="151" spans="1:40">
      <c r="A151" s="30">
        <v>0.61</v>
      </c>
      <c r="B151" s="29">
        <v>0.42814655021837311</v>
      </c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>
        <v>0.42814655021837311</v>
      </c>
    </row>
    <row r="152" spans="1:40">
      <c r="A152" s="30">
        <v>1.1200000000000001</v>
      </c>
      <c r="B152" s="29"/>
      <c r="C152" s="29">
        <v>0.33137078710341827</v>
      </c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>
        <v>0.33137078710341827</v>
      </c>
    </row>
    <row r="153" spans="1:40">
      <c r="A153" s="30">
        <v>1.54</v>
      </c>
      <c r="B153" s="29"/>
      <c r="C153" s="29"/>
      <c r="D153" s="29">
        <v>0.29306855565642487</v>
      </c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>
        <v>0.29306855565642487</v>
      </c>
    </row>
    <row r="154" spans="1:40">
      <c r="A154" s="28">
        <v>230</v>
      </c>
      <c r="B154" s="29">
        <v>0.43190584937099319</v>
      </c>
      <c r="C154" s="29">
        <v>0.33021042628561059</v>
      </c>
      <c r="D154" s="29">
        <v>0.29378111342382213</v>
      </c>
      <c r="E154" s="29">
        <v>0.27316100680396138</v>
      </c>
      <c r="F154" s="29">
        <v>0.26407700378183724</v>
      </c>
      <c r="G154" s="29">
        <v>0.26769343673170309</v>
      </c>
      <c r="H154" s="29"/>
      <c r="I154" s="29">
        <v>0.24603751635094545</v>
      </c>
      <c r="J154" s="29">
        <v>0.23628352869474675</v>
      </c>
      <c r="K154" s="29">
        <v>0.24007909305910133</v>
      </c>
      <c r="L154" s="29">
        <v>0.23811346736890709</v>
      </c>
      <c r="M154" s="29">
        <v>0.23655500741303073</v>
      </c>
      <c r="N154" s="29">
        <v>0.23807234662628496</v>
      </c>
      <c r="O154" s="29">
        <v>0.23537697896284529</v>
      </c>
      <c r="P154" s="29">
        <v>0.24314608658985318</v>
      </c>
      <c r="Q154" s="29">
        <v>0.23834899218325362</v>
      </c>
      <c r="R154" s="29">
        <v>0.24223117298959723</v>
      </c>
      <c r="S154" s="29">
        <v>0.24130000105324856</v>
      </c>
      <c r="T154" s="29">
        <v>0.26449253104057308</v>
      </c>
    </row>
    <row r="155" spans="1:40">
      <c r="A155" s="30">
        <v>0.4</v>
      </c>
      <c r="B155" s="29">
        <v>0.43190584937099319</v>
      </c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>
        <v>0.43190584937099319</v>
      </c>
    </row>
    <row r="156" spans="1:40">
      <c r="A156" s="30">
        <v>0.78</v>
      </c>
      <c r="B156" s="29"/>
      <c r="C156" s="29">
        <v>0.33021042628561059</v>
      </c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>
        <v>0.33021042628561059</v>
      </c>
    </row>
    <row r="157" spans="1:40">
      <c r="A157" s="30">
        <v>1.1499999999999999</v>
      </c>
      <c r="B157" s="29"/>
      <c r="C157" s="29"/>
      <c r="D157" s="29">
        <v>0.29378111342382213</v>
      </c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>
        <v>0.29378111342382213</v>
      </c>
    </row>
    <row r="158" spans="1:40">
      <c r="A158" s="30">
        <v>1.5</v>
      </c>
      <c r="B158" s="29"/>
      <c r="C158" s="29"/>
      <c r="D158" s="29"/>
      <c r="E158" s="29">
        <v>0.27316100680396138</v>
      </c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>
        <v>0.27316100680396138</v>
      </c>
    </row>
    <row r="159" spans="1:40">
      <c r="A159" s="30">
        <v>1.92</v>
      </c>
      <c r="B159" s="29"/>
      <c r="C159" s="29"/>
      <c r="D159" s="29"/>
      <c r="E159" s="29"/>
      <c r="F159" s="29">
        <v>0.26407700378183724</v>
      </c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>
        <v>0.26407700378183724</v>
      </c>
    </row>
    <row r="160" spans="1:40">
      <c r="A160" s="30">
        <v>2.23</v>
      </c>
      <c r="B160" s="29"/>
      <c r="C160" s="29"/>
      <c r="D160" s="29"/>
      <c r="E160" s="29"/>
      <c r="F160" s="29"/>
      <c r="G160" s="29">
        <v>0.26769343673170309</v>
      </c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>
        <v>0.26769343673170309</v>
      </c>
    </row>
    <row r="161" spans="1:42">
      <c r="A161" s="30">
        <v>3.05</v>
      </c>
      <c r="B161" s="29"/>
      <c r="C161" s="29"/>
      <c r="D161" s="29"/>
      <c r="E161" s="29"/>
      <c r="F161" s="29"/>
      <c r="G161" s="29"/>
      <c r="H161" s="29"/>
      <c r="I161" s="29">
        <v>0.24603751635094545</v>
      </c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>
        <v>0.24603751635094545</v>
      </c>
    </row>
    <row r="162" spans="1:42">
      <c r="A162" s="30">
        <v>4.5199999999999996</v>
      </c>
      <c r="B162" s="29"/>
      <c r="C162" s="29"/>
      <c r="D162" s="29"/>
      <c r="E162" s="29"/>
      <c r="F162" s="29"/>
      <c r="G162" s="29"/>
      <c r="H162" s="29"/>
      <c r="I162" s="29"/>
      <c r="J162" s="29">
        <v>0.23628352869474675</v>
      </c>
      <c r="K162" s="29"/>
      <c r="L162" s="29"/>
      <c r="M162" s="29"/>
      <c r="N162" s="29"/>
      <c r="O162" s="29"/>
      <c r="P162" s="29"/>
      <c r="Q162" s="29"/>
      <c r="R162" s="29"/>
      <c r="S162" s="29"/>
      <c r="T162" s="29">
        <v>0.23628352869474675</v>
      </c>
    </row>
    <row r="163" spans="1:42">
      <c r="A163" s="30">
        <v>6.69</v>
      </c>
      <c r="B163" s="29"/>
      <c r="C163" s="29"/>
      <c r="D163" s="29"/>
      <c r="E163" s="29"/>
      <c r="F163" s="29"/>
      <c r="G163" s="29"/>
      <c r="H163" s="29"/>
      <c r="I163" s="29"/>
      <c r="J163" s="29"/>
      <c r="K163" s="29">
        <v>0.24007909305910133</v>
      </c>
      <c r="L163" s="29"/>
      <c r="M163" s="29"/>
      <c r="N163" s="29"/>
      <c r="O163" s="29"/>
      <c r="P163" s="29"/>
      <c r="Q163" s="29"/>
      <c r="R163" s="29"/>
      <c r="S163" s="29"/>
      <c r="T163" s="29">
        <v>0.24007909305910133</v>
      </c>
    </row>
    <row r="164" spans="1:42">
      <c r="A164" s="30">
        <v>8.1</v>
      </c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>
        <v>0.23811346736890709</v>
      </c>
      <c r="M164" s="29"/>
      <c r="N164" s="29"/>
      <c r="O164" s="29"/>
      <c r="P164" s="29"/>
      <c r="Q164" s="29"/>
      <c r="R164" s="29"/>
      <c r="S164" s="29"/>
      <c r="T164" s="29">
        <v>0.23811346736890709</v>
      </c>
    </row>
    <row r="165" spans="1:42">
      <c r="A165" s="30">
        <v>9.43</v>
      </c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>
        <v>0.23655500741303073</v>
      </c>
      <c r="N165" s="29"/>
      <c r="O165" s="29"/>
      <c r="P165" s="29"/>
      <c r="Q165" s="29"/>
      <c r="R165" s="29"/>
      <c r="S165" s="29"/>
      <c r="T165" s="29">
        <v>0.23655500741303073</v>
      </c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</row>
    <row r="166" spans="1:42">
      <c r="A166" s="30">
        <v>11.2</v>
      </c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>
        <v>0.23807234662628496</v>
      </c>
      <c r="O166" s="29"/>
      <c r="P166" s="29"/>
      <c r="Q166" s="29"/>
      <c r="R166" s="29"/>
      <c r="S166" s="29"/>
      <c r="T166" s="29">
        <v>0.23807234662628496</v>
      </c>
    </row>
    <row r="167" spans="1:42">
      <c r="A167" s="30">
        <v>12.3</v>
      </c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>
        <v>0.23537697896284529</v>
      </c>
      <c r="P167" s="29"/>
      <c r="Q167" s="29"/>
      <c r="R167" s="29"/>
      <c r="S167" s="29"/>
      <c r="T167" s="29">
        <v>0.23537697896284529</v>
      </c>
    </row>
    <row r="168" spans="1:42">
      <c r="A168" s="30">
        <v>15.31</v>
      </c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>
        <v>0.24314608658985318</v>
      </c>
      <c r="Q168" s="29"/>
      <c r="R168" s="29"/>
      <c r="S168" s="29"/>
      <c r="T168" s="29">
        <v>0.24314608658985318</v>
      </c>
    </row>
    <row r="169" spans="1:42">
      <c r="A169" s="30">
        <v>16.350000000000001</v>
      </c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>
        <v>0.23834899218325362</v>
      </c>
      <c r="R169" s="29"/>
      <c r="S169" s="29"/>
      <c r="T169" s="29">
        <v>0.23834899218325362</v>
      </c>
    </row>
    <row r="170" spans="1:42">
      <c r="A170" s="30">
        <v>20.3</v>
      </c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>
        <v>0.24223117298959723</v>
      </c>
      <c r="S170" s="29"/>
      <c r="T170" s="29">
        <v>0.24223117298959723</v>
      </c>
    </row>
    <row r="171" spans="1:42">
      <c r="A171" s="30">
        <v>23.55</v>
      </c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>
        <v>0.24130000105324856</v>
      </c>
      <c r="T171" s="29">
        <v>0.24130000105324856</v>
      </c>
    </row>
    <row r="172" spans="1:42">
      <c r="A172" s="28">
        <v>232.5</v>
      </c>
      <c r="B172" s="29">
        <v>0.43653199248027819</v>
      </c>
      <c r="C172" s="29">
        <v>0.33514902144318992</v>
      </c>
      <c r="D172" s="29">
        <v>0.29375952853473225</v>
      </c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>
        <v>0.35514684748606679</v>
      </c>
    </row>
    <row r="173" spans="1:42">
      <c r="A173" s="30">
        <v>0.26</v>
      </c>
      <c r="B173" s="29">
        <v>0.43653199248027819</v>
      </c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>
        <v>0.43653199248027819</v>
      </c>
    </row>
    <row r="174" spans="1:42">
      <c r="A174" s="30">
        <v>0.56999999999999995</v>
      </c>
      <c r="B174" s="29"/>
      <c r="C174" s="29">
        <v>0.33514902144318992</v>
      </c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>
        <v>0.33514902144318992</v>
      </c>
    </row>
    <row r="175" spans="1:42">
      <c r="A175" s="30">
        <v>0.84</v>
      </c>
      <c r="B175" s="29"/>
      <c r="C175" s="29"/>
      <c r="D175" s="29">
        <v>0.29375952853473225</v>
      </c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>
        <v>0.29375952853473225</v>
      </c>
    </row>
    <row r="176" spans="1:42">
      <c r="A176" s="28">
        <v>235</v>
      </c>
      <c r="B176" s="29">
        <v>0.44277288830173522</v>
      </c>
      <c r="C176" s="29">
        <v>0.33543328806598766</v>
      </c>
      <c r="D176" s="29">
        <v>0.2980928144869926</v>
      </c>
      <c r="E176" s="29">
        <v>0.27575374658144575</v>
      </c>
      <c r="F176" s="29">
        <v>0.26515450194747137</v>
      </c>
      <c r="G176" s="29"/>
      <c r="H176" s="29">
        <v>0.25263296413206932</v>
      </c>
      <c r="I176" s="29">
        <v>0.24561943887909574</v>
      </c>
      <c r="J176" s="29">
        <v>0.23380519965923452</v>
      </c>
      <c r="K176" s="29">
        <v>0.23796102485098322</v>
      </c>
      <c r="L176" s="29">
        <v>0.23410098520176792</v>
      </c>
      <c r="M176" s="29">
        <v>0.23206406260760329</v>
      </c>
      <c r="N176" s="29">
        <v>0.23509500653912319</v>
      </c>
      <c r="O176" s="29"/>
      <c r="P176" s="29"/>
      <c r="Q176" s="29">
        <v>0.23749607708016934</v>
      </c>
      <c r="R176" s="29">
        <v>0.24108138818381966</v>
      </c>
      <c r="S176" s="29"/>
      <c r="T176" s="29">
        <v>0.26907595617982133</v>
      </c>
    </row>
    <row r="177" spans="1:20">
      <c r="A177" s="30">
        <v>0.17</v>
      </c>
      <c r="B177" s="29">
        <v>0.44277288830173522</v>
      </c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>
        <v>0.44277288830173522</v>
      </c>
    </row>
    <row r="178" spans="1:20">
      <c r="A178" s="30">
        <v>0.39</v>
      </c>
      <c r="B178" s="29"/>
      <c r="C178" s="29">
        <v>0.33543328806598766</v>
      </c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>
        <v>0.33543328806598766</v>
      </c>
    </row>
    <row r="179" spans="1:20">
      <c r="A179" s="30">
        <v>0.64</v>
      </c>
      <c r="B179" s="29"/>
      <c r="C179" s="29"/>
      <c r="D179" s="29">
        <v>0.2980928144869926</v>
      </c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>
        <v>0.2980928144869926</v>
      </c>
    </row>
    <row r="180" spans="1:20">
      <c r="A180" s="30">
        <v>0.88</v>
      </c>
      <c r="B180" s="29"/>
      <c r="C180" s="29"/>
      <c r="D180" s="29"/>
      <c r="E180" s="29">
        <v>0.27575374658144575</v>
      </c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>
        <v>0.27575374658144575</v>
      </c>
    </row>
    <row r="181" spans="1:20">
      <c r="A181" s="30">
        <v>1.18</v>
      </c>
      <c r="B181" s="29"/>
      <c r="C181" s="29"/>
      <c r="D181" s="29"/>
      <c r="E181" s="29"/>
      <c r="F181" s="29">
        <v>0.26515450194747137</v>
      </c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>
        <v>0.26515450194747137</v>
      </c>
    </row>
    <row r="182" spans="1:20">
      <c r="A182" s="30">
        <v>1.4</v>
      </c>
      <c r="B182" s="29"/>
      <c r="C182" s="29"/>
      <c r="D182" s="29"/>
      <c r="E182" s="29"/>
      <c r="F182" s="29"/>
      <c r="G182" s="29"/>
      <c r="H182" s="29">
        <v>0.25263296413206932</v>
      </c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>
        <v>0.25263296413206932</v>
      </c>
    </row>
    <row r="183" spans="1:20">
      <c r="A183" s="30">
        <v>2.06</v>
      </c>
      <c r="B183" s="29"/>
      <c r="C183" s="29"/>
      <c r="D183" s="29"/>
      <c r="E183" s="29"/>
      <c r="F183" s="29"/>
      <c r="G183" s="29"/>
      <c r="H183" s="29"/>
      <c r="I183" s="29">
        <v>0.24561943887909574</v>
      </c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>
        <v>0.24561943887909574</v>
      </c>
    </row>
    <row r="184" spans="1:20">
      <c r="A184" s="30">
        <v>3.25</v>
      </c>
      <c r="B184" s="29"/>
      <c r="C184" s="29"/>
      <c r="D184" s="29"/>
      <c r="E184" s="29"/>
      <c r="F184" s="29"/>
      <c r="G184" s="29"/>
      <c r="H184" s="29"/>
      <c r="I184" s="29"/>
      <c r="J184" s="29">
        <v>0.23380519965923452</v>
      </c>
      <c r="K184" s="29"/>
      <c r="L184" s="29"/>
      <c r="M184" s="29"/>
      <c r="N184" s="29"/>
      <c r="O184" s="29"/>
      <c r="P184" s="29"/>
      <c r="Q184" s="29"/>
      <c r="R184" s="29"/>
      <c r="S184" s="29"/>
      <c r="T184" s="29">
        <v>0.23380519965923452</v>
      </c>
    </row>
    <row r="185" spans="1:20">
      <c r="A185" s="30">
        <v>5.2</v>
      </c>
      <c r="B185" s="29"/>
      <c r="C185" s="29"/>
      <c r="D185" s="29"/>
      <c r="E185" s="29"/>
      <c r="F185" s="29"/>
      <c r="G185" s="29"/>
      <c r="H185" s="29"/>
      <c r="I185" s="29"/>
      <c r="J185" s="29"/>
      <c r="K185" s="29">
        <v>0.23796102485098322</v>
      </c>
      <c r="L185" s="29"/>
      <c r="M185" s="29"/>
      <c r="N185" s="29"/>
      <c r="O185" s="29"/>
      <c r="P185" s="29"/>
      <c r="Q185" s="29"/>
      <c r="R185" s="29"/>
      <c r="S185" s="29"/>
      <c r="T185" s="29">
        <v>0.23796102485098322</v>
      </c>
    </row>
    <row r="186" spans="1:20">
      <c r="A186" s="30">
        <v>6.4</v>
      </c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>
        <v>0.23410098520176792</v>
      </c>
      <c r="M186" s="29"/>
      <c r="N186" s="29"/>
      <c r="O186" s="29"/>
      <c r="P186" s="29"/>
      <c r="Q186" s="29"/>
      <c r="R186" s="29"/>
      <c r="S186" s="29"/>
      <c r="T186" s="29">
        <v>0.23410098520176792</v>
      </c>
    </row>
    <row r="187" spans="1:20">
      <c r="A187" s="30">
        <v>7.6</v>
      </c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>
        <v>0.23206406260760329</v>
      </c>
      <c r="N187" s="29"/>
      <c r="O187" s="29"/>
      <c r="P187" s="29"/>
      <c r="Q187" s="29"/>
      <c r="R187" s="29"/>
      <c r="S187" s="29"/>
      <c r="T187" s="29">
        <v>0.23206406260760329</v>
      </c>
    </row>
    <row r="188" spans="1:20">
      <c r="A188" s="30">
        <v>9.35</v>
      </c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>
        <v>0.23509500653912319</v>
      </c>
      <c r="O188" s="29"/>
      <c r="P188" s="29"/>
      <c r="Q188" s="29"/>
      <c r="R188" s="29"/>
      <c r="S188" s="29"/>
      <c r="T188" s="29">
        <v>0.23509500653912319</v>
      </c>
    </row>
    <row r="189" spans="1:20">
      <c r="A189" s="30">
        <v>14.45</v>
      </c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>
        <v>0.23749607708016934</v>
      </c>
      <c r="R189" s="29"/>
      <c r="S189" s="29"/>
      <c r="T189" s="29">
        <v>0.23749607708016934</v>
      </c>
    </row>
    <row r="190" spans="1:20">
      <c r="A190" s="30">
        <v>18.29</v>
      </c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>
        <v>0.24108138818381966</v>
      </c>
      <c r="S190" s="29"/>
      <c r="T190" s="29">
        <v>0.24108138818381966</v>
      </c>
    </row>
    <row r="191" spans="1:20">
      <c r="A191" s="28" t="s">
        <v>153</v>
      </c>
      <c r="B191" s="29">
        <v>0.44036023084148063</v>
      </c>
      <c r="C191" s="29">
        <v>0.34453722102573248</v>
      </c>
      <c r="D191" s="29">
        <v>0.30811896016364937</v>
      </c>
      <c r="E191" s="29">
        <v>0.28690271148158009</v>
      </c>
      <c r="F191" s="29">
        <v>0.27976000088598996</v>
      </c>
      <c r="G191" s="29">
        <v>0.28525478910661273</v>
      </c>
      <c r="H191" s="29">
        <v>0.25263296413206932</v>
      </c>
      <c r="I191" s="29">
        <v>0.26273766242121466</v>
      </c>
      <c r="J191" s="29">
        <v>0.25367044711315301</v>
      </c>
      <c r="K191" s="29">
        <v>0.25544579649381155</v>
      </c>
      <c r="L191" s="29">
        <v>0.25120535238763531</v>
      </c>
      <c r="M191" s="29">
        <v>0.24998948763849838</v>
      </c>
      <c r="N191" s="29">
        <v>0.25037179127664916</v>
      </c>
      <c r="O191" s="29">
        <v>0.25074947797149255</v>
      </c>
      <c r="P191" s="29">
        <v>0.25518269969467483</v>
      </c>
      <c r="Q191" s="29">
        <v>0.24834267815147401</v>
      </c>
      <c r="R191" s="29">
        <v>0.2500438302538901</v>
      </c>
      <c r="S191" s="29">
        <v>0.25019981671190772</v>
      </c>
      <c r="T191" s="29">
        <v>0.29336818147836868</v>
      </c>
    </row>
  </sheetData>
  <dataValidations disablePrompts="1" count="1">
    <dataValidation type="list" allowBlank="1" showInputMessage="1" showErrorMessage="1" sqref="AR9" xr:uid="{FE513C86-D5AB-4A8C-A28F-A5640E896E33}">
      <formula1>"Call,Put"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3B336-6767-4345-8626-E677F9411649}">
  <sheetPr codeName="Hoja4">
    <tabColor rgb="FF002060"/>
  </sheetPr>
  <dimension ref="B2:B9"/>
  <sheetViews>
    <sheetView zoomScale="115" zoomScaleNormal="115" workbookViewId="0">
      <selection activeCell="B10" sqref="B10"/>
    </sheetView>
  </sheetViews>
  <sheetFormatPr defaultColWidth="11.453125" defaultRowHeight="14.5"/>
  <cols>
    <col min="1" max="1" width="3.7265625" style="8" customWidth="1"/>
    <col min="2" max="2" width="83.453125" style="8" customWidth="1"/>
    <col min="3" max="16384" width="11.453125" style="8"/>
  </cols>
  <sheetData>
    <row r="2" spans="2:2" ht="21">
      <c r="B2" s="7" t="s">
        <v>7</v>
      </c>
    </row>
    <row r="4" spans="2:2">
      <c r="B4" s="9" t="s">
        <v>168</v>
      </c>
    </row>
    <row r="5" spans="2:2">
      <c r="B5" s="9" t="s">
        <v>169</v>
      </c>
    </row>
    <row r="6" spans="2:2">
      <c r="B6" s="9" t="s">
        <v>170</v>
      </c>
    </row>
    <row r="7" spans="2:2">
      <c r="B7" s="9" t="s">
        <v>171</v>
      </c>
    </row>
    <row r="8" spans="2:2">
      <c r="B8" s="9" t="s">
        <v>172</v>
      </c>
    </row>
    <row r="9" spans="2:2">
      <c r="B9" s="9" t="s">
        <v>176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AP</vt:lpstr>
      <vt:lpstr>VI</vt:lpstr>
      <vt:lpstr>Contratos</vt:lpstr>
      <vt:lpstr>Sabana VI</vt:lpstr>
      <vt:lpstr>Conclusiones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 Reyes García</dc:creator>
  <cp:lastModifiedBy>Enrique Garcia</cp:lastModifiedBy>
  <dcterms:created xsi:type="dcterms:W3CDTF">2022-04-17T02:40:33Z</dcterms:created>
  <dcterms:modified xsi:type="dcterms:W3CDTF">2025-08-20T03:50:11Z</dcterms:modified>
</cp:coreProperties>
</file>