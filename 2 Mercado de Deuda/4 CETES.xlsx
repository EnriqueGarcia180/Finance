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arcia\Desktop\AXM_Courses\Finance\2 Mercado de Deuda\"/>
    </mc:Choice>
  </mc:AlternateContent>
  <xr:revisionPtr revIDLastSave="0" documentId="13_ncr:1_{560B7F1D-AD27-4F7B-9AC5-DB747BF17F13}" xr6:coauthVersionLast="47" xr6:coauthVersionMax="47" xr10:uidLastSave="{00000000-0000-0000-0000-000000000000}"/>
  <bookViews>
    <workbookView xWindow="-110" yWindow="-110" windowWidth="19420" windowHeight="11620" xr2:uid="{4CAC92E1-EC5D-48A2-B35A-29D8ACF08975}"/>
  </bookViews>
  <sheets>
    <sheet name="CETES" sheetId="1" r:id="rId1"/>
    <sheet name="28dias" sheetId="2" r:id="rId2"/>
    <sheet name="91dias" sheetId="3" r:id="rId3"/>
    <sheet name="182dias" sheetId="4" r:id="rId4"/>
    <sheet name="364dias" sheetId="5" r:id="rId5"/>
    <sheet name="728dias" sheetId="6" r:id="rId6"/>
  </sheets>
  <definedNames>
    <definedName name="ExternalData_1" localSheetId="3" hidden="1">'182dias'!$A$1:$C$3</definedName>
    <definedName name="ExternalData_1" localSheetId="1" hidden="1">'28dias'!$A$1:$C$3</definedName>
    <definedName name="ExternalData_1" localSheetId="4" hidden="1">'364dias'!$A$1:$C$3</definedName>
    <definedName name="ExternalData_1" localSheetId="5" hidden="1">'728dias'!$A$1:$C$3</definedName>
    <definedName name="ExternalData_1" localSheetId="2" hidden="1">'91dias'!$A$1:$C$3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bservaciones de   Tasa de rendimiento 3_f248868d-2148-40d8-92c0-b54cf182bbc2" name="Observaciones de   Tasa de rendimiento 3" connection="Query - Observaciones de   Tasa de rendimiento 3/"/>
          <x15:modelTable id="Observaciones de   Tasa de rendimiento 3   2_ca21bc39-a631-4890-a5b6-8fbdb6acaf08" name="Observaciones de   Tasa de rendimiento 3   2" connection="Query - Observaciones de   Tasa de rendimiento 3/ (2)"/>
          <x15:modelTable id="Observaciones de   Tasa de rendimiento 3   3_318d70a3-9fd8-4fcf-90b6-ad789e9ed361" name="Observaciones de   Tasa de rendimiento 3   3" connection="Query - Observaciones de   Tasa de rendimiento 3/ (3)"/>
          <x15:modelTable id="Observaciones de   Tasa de rendimiento 3   4_29e98bc2-cee6-462f-8b65-fa473b0a0d6e" name="Observaciones de   Tasa de rendimiento 3   4" connection="Query - Observaciones de   Tasa de rendimiento 3/ (4)"/>
          <x15:modelTable id="Observaciones de   Tasa de rendimiento 3   5_c77d4b9b-896b-4702-95ba-4c03f10a4d43" name="Observaciones de   Tasa de rendimiento 3   5" connection="Query - Observaciones de   Tasa de rendimiento 3/ (5)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 a="1"/>
  <c r="F4" i="1" s="1"/>
  <c r="F37" i="1" s="1"/>
  <c r="F40" i="1" s="1"/>
  <c r="F41" i="1" s="1"/>
  <c r="B4" i="1" a="1"/>
  <c r="B4" i="1" s="1"/>
  <c r="B37" i="1" s="1"/>
  <c r="B40" i="1" s="1"/>
  <c r="E4" i="1" a="1"/>
  <c r="E4" i="1" s="1"/>
  <c r="E37" i="1" s="1"/>
  <c r="E40" i="1" s="1"/>
  <c r="E41" i="1" s="1"/>
  <c r="D4" i="1" a="1"/>
  <c r="D4" i="1" s="1"/>
  <c r="D37" i="1" s="1"/>
  <c r="D40" i="1" s="1"/>
  <c r="D41" i="1" s="1"/>
  <c r="C4" i="1" a="1"/>
  <c r="C4" i="1" s="1"/>
  <c r="C37" i="1" s="1"/>
  <c r="C40" i="1" s="1"/>
  <c r="C41" i="1" s="1"/>
  <c r="R2" i="1"/>
  <c r="W2" i="1"/>
  <c r="U1" i="1"/>
  <c r="W1" i="1"/>
  <c r="I2" i="1"/>
  <c r="I3" i="1" s="1"/>
  <c r="I4" i="1" s="1"/>
  <c r="I5" i="1" s="1"/>
  <c r="B28" i="1"/>
  <c r="C28" i="1"/>
  <c r="D28" i="1"/>
  <c r="E28" i="1"/>
  <c r="F28" i="1"/>
  <c r="B41" i="1" l="1"/>
  <c r="B29" i="1"/>
  <c r="T2" i="1"/>
  <c r="U2" i="1" s="1"/>
  <c r="F29" i="1"/>
  <c r="F30" i="1" s="1"/>
  <c r="I6" i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D29" i="1"/>
  <c r="D30" i="1" s="1"/>
  <c r="B30" i="1"/>
  <c r="C29" i="1"/>
  <c r="C30" i="1" s="1"/>
  <c r="K2" i="1"/>
  <c r="L2" i="1" s="1"/>
  <c r="O2" i="1" s="1"/>
  <c r="E29" i="1" l="1"/>
  <c r="E30" i="1" s="1"/>
  <c r="N2" i="1"/>
  <c r="P2" i="1" s="1"/>
  <c r="M2" i="1"/>
  <c r="Q2" i="1" l="1"/>
  <c r="J3" i="1" s="1"/>
  <c r="K3" i="1" s="1"/>
  <c r="L3" i="1" s="1"/>
  <c r="N3" i="1" s="1"/>
  <c r="M3" i="1" l="1"/>
  <c r="O3" i="1"/>
  <c r="P3" i="1" s="1"/>
  <c r="Q3" i="1" l="1"/>
  <c r="J4" i="1" s="1"/>
  <c r="K4" i="1" l="1"/>
  <c r="L4" i="1" s="1"/>
  <c r="N4" i="1" l="1"/>
  <c r="O4" i="1"/>
  <c r="M4" i="1"/>
  <c r="P4" i="1" l="1"/>
  <c r="Q4" i="1" s="1"/>
  <c r="J5" i="1" s="1"/>
  <c r="K5" i="1" s="1"/>
  <c r="L5" i="1" s="1"/>
  <c r="M5" i="1" l="1"/>
  <c r="N5" i="1"/>
  <c r="O5" i="1"/>
  <c r="P5" i="1" l="1"/>
  <c r="Q5" i="1" s="1"/>
  <c r="J6" i="1" s="1"/>
  <c r="K6" i="1" l="1"/>
  <c r="L6" i="1" s="1"/>
  <c r="M6" i="1" s="1"/>
  <c r="N6" i="1" l="1"/>
  <c r="O6" i="1"/>
  <c r="P6" i="1" l="1"/>
  <c r="Q6" i="1" s="1"/>
  <c r="J7" i="1" s="1"/>
  <c r="K7" i="1" l="1"/>
  <c r="L7" i="1" s="1"/>
  <c r="N7" i="1" l="1"/>
  <c r="O7" i="1"/>
  <c r="M7" i="1"/>
  <c r="P7" i="1" l="1"/>
  <c r="Q7" i="1" s="1"/>
  <c r="J8" i="1" s="1"/>
  <c r="K8" i="1" l="1"/>
  <c r="L8" i="1" s="1"/>
  <c r="M8" i="1" s="1"/>
  <c r="O8" i="1" l="1"/>
  <c r="N8" i="1"/>
  <c r="P8" i="1" l="1"/>
  <c r="Q8" i="1" s="1"/>
  <c r="J9" i="1" s="1"/>
  <c r="K9" i="1" s="1"/>
  <c r="L9" i="1" s="1"/>
  <c r="O9" i="1" l="1"/>
  <c r="N9" i="1"/>
  <c r="M9" i="1"/>
  <c r="P9" i="1" l="1"/>
  <c r="Q9" i="1" s="1"/>
  <c r="J10" i="1" s="1"/>
  <c r="K10" i="1" l="1"/>
  <c r="L10" i="1" s="1"/>
  <c r="M10" i="1" s="1"/>
  <c r="O10" i="1" l="1"/>
  <c r="N10" i="1"/>
  <c r="P10" i="1" l="1"/>
  <c r="Q10" i="1" s="1"/>
  <c r="J11" i="1" s="1"/>
  <c r="K11" i="1" s="1"/>
  <c r="L11" i="1" s="1"/>
  <c r="M11" i="1" s="1"/>
  <c r="O11" i="1" l="1"/>
  <c r="N11" i="1"/>
  <c r="P11" i="1" l="1"/>
  <c r="Q11" i="1" s="1"/>
  <c r="J12" i="1" s="1"/>
  <c r="K12" i="1" s="1"/>
  <c r="L12" i="1" s="1"/>
  <c r="M12" i="1" s="1"/>
  <c r="N12" i="1" l="1"/>
  <c r="O12" i="1"/>
  <c r="P12" i="1" l="1"/>
  <c r="Q12" i="1" s="1"/>
  <c r="J13" i="1" s="1"/>
  <c r="K13" i="1" s="1"/>
  <c r="L13" i="1" s="1"/>
  <c r="M13" i="1" s="1"/>
  <c r="O13" i="1" l="1"/>
  <c r="N13" i="1"/>
  <c r="P13" i="1" s="1"/>
  <c r="Q13" i="1" s="1"/>
  <c r="J14" i="1" s="1"/>
  <c r="K14" i="1" s="1"/>
  <c r="L14" i="1" s="1"/>
  <c r="N14" i="1" s="1"/>
  <c r="O14" i="1" l="1"/>
  <c r="P14" i="1" s="1"/>
  <c r="M14" i="1"/>
  <c r="Q14" i="1" l="1"/>
  <c r="J15" i="1" s="1"/>
  <c r="K15" i="1" s="1"/>
  <c r="L15" i="1" s="1"/>
  <c r="M15" i="1" s="1"/>
  <c r="N15" i="1" l="1"/>
  <c r="O15" i="1"/>
  <c r="P15" i="1" l="1"/>
  <c r="Q15" i="1" s="1"/>
  <c r="J16" i="1" s="1"/>
  <c r="K16" i="1" s="1"/>
  <c r="L16" i="1" s="1"/>
  <c r="M16" i="1" l="1"/>
  <c r="O16" i="1"/>
  <c r="N16" i="1"/>
  <c r="P16" i="1" l="1"/>
  <c r="Q16" i="1" s="1"/>
  <c r="J17" i="1" s="1"/>
  <c r="K17" i="1" s="1"/>
  <c r="L17" i="1" s="1"/>
  <c r="M17" i="1" l="1"/>
  <c r="O17" i="1"/>
  <c r="N17" i="1"/>
  <c r="P17" i="1" l="1"/>
  <c r="Q17" i="1" s="1"/>
  <c r="J18" i="1" s="1"/>
  <c r="K18" i="1" s="1"/>
  <c r="L18" i="1" s="1"/>
  <c r="M18" i="1" l="1"/>
  <c r="N18" i="1"/>
  <c r="O18" i="1"/>
  <c r="P18" i="1" l="1"/>
  <c r="Q18" i="1" s="1"/>
  <c r="J19" i="1" s="1"/>
  <c r="K19" i="1" l="1"/>
  <c r="L19" i="1" s="1"/>
  <c r="M19" i="1" s="1"/>
  <c r="N19" i="1" l="1"/>
  <c r="O19" i="1"/>
  <c r="P19" i="1" l="1"/>
  <c r="Q19" i="1" s="1"/>
  <c r="J20" i="1" s="1"/>
  <c r="K20" i="1" l="1"/>
  <c r="L20" i="1" s="1"/>
  <c r="M20" i="1" s="1"/>
  <c r="O20" i="1" l="1"/>
  <c r="N20" i="1"/>
  <c r="P20" i="1" l="1"/>
  <c r="Q20" i="1" s="1"/>
  <c r="J21" i="1" s="1"/>
  <c r="K21" i="1" s="1"/>
  <c r="L21" i="1" s="1"/>
  <c r="N21" i="1" s="1"/>
  <c r="O21" i="1" l="1"/>
  <c r="P21" i="1" s="1"/>
  <c r="M21" i="1"/>
  <c r="Q21" i="1" l="1"/>
  <c r="J22" i="1" s="1"/>
  <c r="K22" i="1" s="1"/>
  <c r="L22" i="1" s="1"/>
  <c r="M22" i="1" s="1"/>
  <c r="N22" i="1" l="1"/>
  <c r="O22" i="1"/>
  <c r="P22" i="1" s="1"/>
  <c r="Q22" i="1" s="1"/>
  <c r="J23" i="1" s="1"/>
  <c r="K23" i="1" l="1"/>
  <c r="L23" i="1" s="1"/>
  <c r="M23" i="1" s="1"/>
  <c r="N23" i="1" l="1"/>
  <c r="O23" i="1"/>
  <c r="P23" i="1" l="1"/>
  <c r="Q23" i="1" s="1"/>
  <c r="J24" i="1" s="1"/>
  <c r="K24" i="1" l="1"/>
  <c r="L24" i="1" s="1"/>
  <c r="M24" i="1" s="1"/>
  <c r="N24" i="1" l="1"/>
  <c r="O24" i="1"/>
  <c r="P24" i="1" l="1"/>
  <c r="Q24" i="1" s="1"/>
  <c r="J25" i="1" s="1"/>
  <c r="K25" i="1" s="1"/>
  <c r="L25" i="1" s="1"/>
  <c r="M25" i="1" l="1"/>
  <c r="N25" i="1"/>
  <c r="O25" i="1"/>
  <c r="P25" i="1" l="1"/>
  <c r="Q25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F5D1AEF-9DEC-48E8-AF4A-E435A267A9E0}" keepAlive="1" name="ModelConnection_ExternalData_1" description="Data Model" type="5" refreshedVersion="8" minRefreshableVersion="5" saveData="1">
    <dbPr connection="Data Model Connection" command="Observaciones de   Tasa de rendimiento 3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A26D1E2A-3642-4272-A58E-A05D415CBA44}" keepAlive="1" name="ModelConnection_ExternalData_11" description="Data Model" type="5" refreshedVersion="8" minRefreshableVersion="5" saveData="1">
    <dbPr connection="Data Model Connection" command="Observaciones de   Tasa de rendimiento 3   2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EADE7D1F-5027-48E2-B7D8-2CE114EB7E42}" keepAlive="1" name="ModelConnection_ExternalData_12" description="Data Model" type="5" refreshedVersion="8" minRefreshableVersion="5" saveData="1">
    <dbPr connection="Data Model Connection" command="Observaciones de   Tasa de rendimiento 3   3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F2AC345A-11B2-4E0B-8A72-6F8D52B8CEE9}" keepAlive="1" name="ModelConnection_ExternalData_13" description="Data Model" type="5" refreshedVersion="8" minRefreshableVersion="5" saveData="1">
    <dbPr connection="Data Model Connection" command="Observaciones de   Tasa de rendimiento 3   4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D8F4AD5D-013C-41D3-8D9D-CFA4C5B7625C}" keepAlive="1" name="ModelConnection_ExternalData_14" description="Data Model" type="5" refreshedVersion="8" minRefreshableVersion="5" saveData="1">
    <dbPr connection="Data Model Connection" command="Observaciones de   Tasa de rendimiento 3   5" commandType="3"/>
    <extLst>
      <ext xmlns:x15="http://schemas.microsoft.com/office/spreadsheetml/2010/11/main" uri="{DE250136-89BD-433C-8126-D09CA5730AF9}">
        <x15:connection id="" model="1"/>
      </ext>
    </extLst>
  </connection>
  <connection id="6" xr16:uid="{CA2B1B6F-F79D-4098-9EBC-69809282A1DF}" name="Query - Observaciones de   Tasa de rendimiento 3/" description="Connection to the 'Observaciones de   Tasa de rendimiento 3/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7d1e6999-5761-489b-aabb-5ed51eed9996">
          <x15:oledbPr connection="Provider=Microsoft.Mashup.OleDb.1;Data Source=$Workbook$;Location=&quot;Observaciones de   Tasa de rendimiento 3/&quot;;Extended Properties=&quot;&quot;">
            <x15:dbTables>
              <x15:dbTable name="Observaciones de   Tasa de rendimiento 3/"/>
            </x15:dbTables>
          </x15:oledbPr>
        </x15:connection>
      </ext>
    </extLst>
  </connection>
  <connection id="7" xr16:uid="{BB6CB89C-5735-458D-8988-743E8BC9D16A}" name="Query - Observaciones de   Tasa de rendimiento 3/ (2)" description="Connection to the 'Observaciones de   Tasa de rendimiento 3/ (2)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77a72c87-6723-45f7-a9d5-c7c2a03b0438">
          <x15:oledbPr connection="Provider=Microsoft.Mashup.OleDb.1;Data Source=$Workbook$;Location=&quot;Observaciones de   Tasa de rendimiento 3/ (2)&quot;;Extended Properties=&quot;&quot;">
            <x15:dbTables>
              <x15:dbTable name="Observaciones de   Tasa de rendimiento 3/ (2)"/>
            </x15:dbTables>
          </x15:oledbPr>
        </x15:connection>
      </ext>
    </extLst>
  </connection>
  <connection id="8" xr16:uid="{5F175508-B7DD-455D-B2B2-E00E98808970}" name="Query - Observaciones de   Tasa de rendimiento 3/ (3)" description="Connection to the 'Observaciones de   Tasa de rendimiento 3/ (3)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bd2a6d0f-d4a3-4215-9206-31d105cc468e">
          <x15:oledbPr connection="Provider=Microsoft.Mashup.OleDb.1;Data Source=$Workbook$;Location=&quot;Observaciones de   Tasa de rendimiento 3/ (3)&quot;;Extended Properties=&quot;&quot;">
            <x15:dbTables>
              <x15:dbTable name="Observaciones de   Tasa de rendimiento 3/ (3)"/>
            </x15:dbTables>
          </x15:oledbPr>
        </x15:connection>
      </ext>
    </extLst>
  </connection>
  <connection id="9" xr16:uid="{77FDD37C-5FD1-4D9E-839A-E0C0F1BDEC0D}" name="Query - Observaciones de   Tasa de rendimiento 3/ (4)" description="Connection to the 'Observaciones de   Tasa de rendimiento 3/ (4)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f8b12837-448a-44f9-892d-df5992eaa422"/>
      </ext>
    </extLst>
  </connection>
  <connection id="10" xr16:uid="{875FC8E7-B2CE-4CA9-8435-1401227C8997}" name="Query - Observaciones de   Tasa de rendimiento 3/ (5)" description="Connection to the 'Observaciones de   Tasa de rendimiento 3/ (5)' query in the workbook." type="100" refreshedVersion="8" minRefreshableVersion="5" refreshOnLoad="1" saveData="1">
    <extLst>
      <ext xmlns:x15="http://schemas.microsoft.com/office/spreadsheetml/2010/11/main" uri="{DE250136-89BD-433C-8126-D09CA5730AF9}">
        <x15:connection id="c3930c14-bb79-4059-acd9-143d421948bb"/>
      </ext>
    </extLst>
  </connection>
  <connection id="11" xr16:uid="{5057068F-3AB7-465B-8CE9-1CF6D5FAAC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<sst xmlns="http://schemas.openxmlformats.org/spreadsheetml/2006/main" count="91" uniqueCount="61">
  <si>
    <t>Valor de Redencion ( C)</t>
  </si>
  <si>
    <t>Precio CETE</t>
  </si>
  <si>
    <t>Tasa Nominal</t>
  </si>
  <si>
    <t>Plazo (actual) dias</t>
  </si>
  <si>
    <t>1mes</t>
  </si>
  <si>
    <t>3meses</t>
  </si>
  <si>
    <t>6meses</t>
  </si>
  <si>
    <t>1anio</t>
  </si>
  <si>
    <t>2anios</t>
  </si>
  <si>
    <t>periodo</t>
  </si>
  <si>
    <t>MONTO</t>
  </si>
  <si>
    <t>Cantidad CETES</t>
  </si>
  <si>
    <t>Total Invertido</t>
  </si>
  <si>
    <t>Remanente</t>
  </si>
  <si>
    <t>Ganancia Bruta</t>
  </si>
  <si>
    <t>Impuesto</t>
  </si>
  <si>
    <t>Ganancia Real</t>
  </si>
  <si>
    <t>Total a fin de Periodo</t>
  </si>
  <si>
    <t>PLAZO</t>
  </si>
  <si>
    <t>Tasa (Annual)</t>
  </si>
  <si>
    <t>ISR (Anual)</t>
  </si>
  <si>
    <t>Frecuencia</t>
  </si>
  <si>
    <r>
      <t xml:space="preserve">*sobre </t>
    </r>
    <r>
      <rPr>
        <b/>
        <sz val="11"/>
        <color rgb="FF0070C0"/>
        <rFont val="Aptos Narrow"/>
        <family val="2"/>
        <scheme val="minor"/>
      </rPr>
      <t>365</t>
    </r>
    <r>
      <rPr>
        <sz val="11"/>
        <color theme="1"/>
        <rFont val="Aptos Narrow"/>
        <family val="2"/>
        <scheme val="minor"/>
      </rPr>
      <t xml:space="preserve"> dias</t>
    </r>
  </si>
  <si>
    <t>Conclusion:</t>
  </si>
  <si>
    <t>En 1 anio la diferencia es minima comparado con la de 91 dias</t>
  </si>
  <si>
    <t>A 2 anios es la mejor opcion invertir en 364 dias.</t>
  </si>
  <si>
    <t>d: tasa descuento efectiva</t>
  </si>
  <si>
    <t/>
  </si>
  <si>
    <t>Precio Bono por P_t-bill Formula:</t>
  </si>
  <si>
    <r>
      <t xml:space="preserve">Conviene Invertir en periodos de </t>
    </r>
    <r>
      <rPr>
        <b/>
        <sz val="11"/>
        <color rgb="FF00B050"/>
        <rFont val="Aptos Narrow"/>
        <family val="2"/>
        <scheme val="minor"/>
      </rPr>
      <t>364 dias (1 anio)</t>
    </r>
  </si>
  <si>
    <t>P =</t>
  </si>
  <si>
    <t>P_t-bill =</t>
  </si>
  <si>
    <t>dias al anio con base en el PLAZO</t>
  </si>
  <si>
    <r>
      <t xml:space="preserve">Precio </t>
    </r>
    <r>
      <rPr>
        <b/>
        <sz val="11"/>
        <color theme="1"/>
        <rFont val="Aptos Narrow"/>
        <family val="2"/>
        <scheme val="minor"/>
      </rPr>
      <t>Real</t>
    </r>
  </si>
  <si>
    <r>
      <t xml:space="preserve">Total sobre $1000 a </t>
    </r>
    <r>
      <rPr>
        <b/>
        <sz val="11"/>
        <color theme="1"/>
        <rFont val="Aptos Narrow"/>
        <family val="2"/>
        <scheme val="minor"/>
      </rPr>
      <t>un anio</t>
    </r>
  </si>
  <si>
    <r>
      <t xml:space="preserve">Total sobre $1000 a </t>
    </r>
    <r>
      <rPr>
        <b/>
        <sz val="11"/>
        <color theme="1"/>
        <rFont val="Aptos Narrow"/>
        <family val="2"/>
        <scheme val="minor"/>
      </rPr>
      <t>dos anio</t>
    </r>
    <r>
      <rPr>
        <sz val="11"/>
        <color theme="1"/>
        <rFont val="Aptos Narrow"/>
        <family val="2"/>
        <scheme val="minor"/>
      </rPr>
      <t>s</t>
    </r>
  </si>
  <si>
    <r>
      <t xml:space="preserve">diferencia con el Precio </t>
    </r>
    <r>
      <rPr>
        <b/>
        <sz val="11"/>
        <color theme="1"/>
        <rFont val="Aptos Narrow"/>
        <family val="2"/>
        <scheme val="minor"/>
      </rPr>
      <t>CETES directo</t>
    </r>
  </si>
  <si>
    <t xml:space="preserve">https://www.banxico.org.mx/SieInternet/consultarDirectorioInternetAction.do?accion=consultarCuadro&amp;idCuadro=CF107&amp;sector=22&amp;locale=es#:~:text=8.12-,8.10,-Mostrar%20elementos%20de </t>
  </si>
  <si>
    <t>Column1</t>
  </si>
  <si>
    <t>Column2</t>
  </si>
  <si>
    <t>Column3</t>
  </si>
  <si>
    <t>22/05/2025</t>
  </si>
  <si>
    <t>29/05/2025</t>
  </si>
  <si>
    <t>05/06/2025</t>
  </si>
  <si>
    <t>8.15000</t>
  </si>
  <si>
    <t>8.12000</t>
  </si>
  <si>
    <t>8.10000</t>
  </si>
  <si>
    <t>8.24000</t>
  </si>
  <si>
    <t>8.14000</t>
  </si>
  <si>
    <t>8.09000</t>
  </si>
  <si>
    <t>8.16000</t>
  </si>
  <si>
    <t>8.04000</t>
  </si>
  <si>
    <t>8.33000</t>
  </si>
  <si>
    <t>8.55000</t>
  </si>
  <si>
    <t>8.49000</t>
  </si>
  <si>
    <t>CALCULO DEL PRECIO DEL BONO (para confirmar los precios de CETES directo)</t>
  </si>
  <si>
    <r>
      <t xml:space="preserve">*sobre </t>
    </r>
    <r>
      <rPr>
        <b/>
        <sz val="11"/>
        <color rgb="FFFF0000"/>
        <rFont val="Aptos Narrow"/>
        <family val="2"/>
        <scheme val="minor"/>
      </rPr>
      <t>360</t>
    </r>
    <r>
      <rPr>
        <sz val="11"/>
        <color theme="1"/>
        <rFont val="Aptos Narrow"/>
        <family val="2"/>
        <scheme val="minor"/>
      </rPr>
      <t xml:space="preserve"> dias</t>
    </r>
  </si>
  <si>
    <r>
      <t xml:space="preserve">Usando la regla del banquero de </t>
    </r>
    <r>
      <rPr>
        <b/>
        <sz val="11"/>
        <color rgb="FFFF0000"/>
        <rFont val="Aptos Narrow"/>
        <family val="2"/>
        <scheme val="minor"/>
      </rPr>
      <t>360</t>
    </r>
    <r>
      <rPr>
        <sz val="11"/>
        <color theme="1"/>
        <rFont val="Aptos Narrow"/>
        <family val="2"/>
        <scheme val="minor"/>
      </rPr>
      <t xml:space="preserve"> dias por anio</t>
    </r>
  </si>
  <si>
    <t xml:space="preserve">Opcion 1: </t>
  </si>
  <si>
    <t>Precio del Bono por Formula Simple:</t>
  </si>
  <si>
    <t xml:space="preserve">Opcion 2: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</si>
</sst>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170" formatCode="0.000%"/>
    <numFmt numFmtId="173" formatCode="0.0000%"/>
    <numFmt numFmtId="177" formatCode="&quot;$&quot;#,##0.00;[Red]&quot;$&quot;#,##0.00"/>
    <numFmt numFmtId="178" formatCode="&quot;$&quot;#,##0.00"/>
    <numFmt numFmtId="180" formatCode="&quot;$&quot;#,##0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34">
    <xf numFmtId="0" fontId="0" fillId="0" borderId="0" xfId="0"/>
    <xf numFmtId="10" fontId="0" fillId="0" borderId="0" xfId="0" applyNumberFormat="1"/>
    <xf numFmtId="10" fontId="0" fillId="0" borderId="0" xfId="2" applyNumberFormat="1" applyFont="1"/>
    <xf numFmtId="0" fontId="0" fillId="3" borderId="0" xfId="0" applyFill="1"/>
    <xf numFmtId="44" fontId="0" fillId="0" borderId="0" xfId="1" applyFont="1"/>
    <xf numFmtId="0" fontId="0" fillId="0" borderId="0" xfId="0" applyAlignment="1">
      <alignment horizontal="center" vertical="center"/>
    </xf>
    <xf numFmtId="1" fontId="0" fillId="0" borderId="0" xfId="1" applyNumberFormat="1" applyFont="1" applyAlignment="1">
      <alignment horizontal="center" vertical="center"/>
    </xf>
    <xf numFmtId="170" fontId="0" fillId="0" borderId="0" xfId="2" applyNumberFormat="1" applyFont="1"/>
    <xf numFmtId="173" fontId="0" fillId="0" borderId="0" xfId="2" applyNumberFormat="1" applyFont="1"/>
    <xf numFmtId="177" fontId="0" fillId="0" borderId="0" xfId="0" applyNumberFormat="1" applyAlignment="1">
      <alignment horizontal="center" vertical="center"/>
    </xf>
    <xf numFmtId="0" fontId="0" fillId="6" borderId="0" xfId="0" applyFill="1"/>
    <xf numFmtId="10" fontId="0" fillId="2" borderId="0" xfId="0" applyNumberFormat="1" applyFill="1" applyAlignment="1">
      <alignment horizontal="center" vertical="center"/>
    </xf>
    <xf numFmtId="0" fontId="0" fillId="0" borderId="0" xfId="0" quotePrefix="1"/>
    <xf numFmtId="0" fontId="4" fillId="0" borderId="0" xfId="0" applyFont="1"/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/>
    <xf numFmtId="178" fontId="0" fillId="0" borderId="0" xfId="1" applyNumberFormat="1" applyFont="1" applyAlignment="1">
      <alignment horizontal="center"/>
    </xf>
    <xf numFmtId="178" fontId="0" fillId="2" borderId="0" xfId="1" applyNumberFormat="1" applyFont="1" applyFill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178" fontId="0" fillId="3" borderId="0" xfId="1" applyNumberFormat="1" applyFont="1" applyFill="1" applyAlignment="1">
      <alignment horizontal="center" vertical="center"/>
    </xf>
    <xf numFmtId="10" fontId="0" fillId="0" borderId="0" xfId="2" applyNumberFormat="1" applyFont="1" applyAlignment="1">
      <alignment horizontal="center"/>
    </xf>
    <xf numFmtId="178" fontId="0" fillId="4" borderId="0" xfId="0" applyNumberFormat="1" applyFill="1" applyAlignment="1">
      <alignment horizontal="center"/>
    </xf>
    <xf numFmtId="178" fontId="0" fillId="0" borderId="0" xfId="1" applyNumberFormat="1" applyFont="1" applyAlignment="1">
      <alignment horizontal="center" vertical="center"/>
    </xf>
    <xf numFmtId="178" fontId="0" fillId="0" borderId="0" xfId="0" applyNumberFormat="1" applyAlignment="1">
      <alignment horizontal="center"/>
    </xf>
    <xf numFmtId="0" fontId="0" fillId="0" borderId="0" xfId="0" applyNumberFormat="1"/>
    <xf numFmtId="0" fontId="6" fillId="6" borderId="0" xfId="3" applyFill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horizontal="center" vertical="center"/>
    </xf>
    <xf numFmtId="0" fontId="2" fillId="3" borderId="0" xfId="0" applyFont="1" applyFill="1"/>
    <xf numFmtId="0" fontId="9" fillId="0" borderId="0" xfId="0" applyFont="1" applyAlignment="1">
      <alignment horizontal="center"/>
    </xf>
    <xf numFmtId="0" fontId="7" fillId="0" borderId="0" xfId="0" applyFont="1"/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7">
    <dxf>
      <fill>
        <patternFill>
          <bgColor rgb="FF92D050"/>
        </patternFill>
      </fill>
    </dxf>
    <dxf>
      <fill>
        <patternFill>
          <bgColor rgb="FF92D050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148771</xdr:colOff>
      <xdr:row>11</xdr:row>
      <xdr:rowOff>112483</xdr:rowOff>
    </xdr:from>
    <xdr:to>
      <xdr:col>0</xdr:col>
      <xdr:colOff>1886857</xdr:colOff>
      <xdr:row>21</xdr:row>
      <xdr:rowOff>68034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E1EB4-B325-A26C-82DA-202D5D1C73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0656" t="7276" r="19826" b="10359"/>
        <a:stretch/>
      </xdr:blipFill>
      <xdr:spPr>
        <a:xfrm>
          <a:off x="148771" y="2108197"/>
          <a:ext cx="1738086" cy="1769837"/>
        </a:xfrm>
        <a:prstGeom prst="rect">
          <a:avLst/>
        </a:prstGeom>
        <a:ln w="28575">
          <a:solidFill>
            <a:schemeClr val="accent3">
              <a:lumMod val="40000"/>
              <a:lumOff val="60000"/>
            </a:schemeClr>
          </a:solidFill>
        </a:ln>
      </xdr:spPr>
    </xdr:pic>
    <xdr:clientData/>
  </xdr:twoCellAnchor>
  <xdr:twoCellAnchor editAs="oneCell">
    <xdr:from>
      <xdr:col>6</xdr:col>
      <xdr:colOff>45356</xdr:colOff>
      <xdr:row>38</xdr:row>
      <xdr:rowOff>154216</xdr:rowOff>
    </xdr:from>
    <xdr:to>
      <xdr:col>10</xdr:col>
      <xdr:colOff>154213</xdr:colOff>
      <xdr:row>41</xdr:row>
      <xdr:rowOff>121078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5E24BE-7F55-BAF2-2365-6FB99870A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168570" y="6250216"/>
          <a:ext cx="2530929" cy="5111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6</xdr:col>
      <xdr:colOff>81645</xdr:colOff>
      <xdr:row>27</xdr:row>
      <xdr:rowOff>99785</xdr:rowOff>
    </xdr:from>
    <xdr:to>
      <xdr:col>7</xdr:col>
      <xdr:colOff>297599</xdr:colOff>
      <xdr:row>29</xdr:row>
      <xdr:rowOff>90714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B175FFB-E9A3-76E4-029B-D71BBE9B84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78074" y="4816928"/>
          <a:ext cx="823740" cy="35378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9</xdr:col>
      <xdr:colOff>571500</xdr:colOff>
      <xdr:row>27</xdr:row>
      <xdr:rowOff>0</xdr:rowOff>
    </xdr:from>
    <xdr:to>
      <xdr:col>13</xdr:col>
      <xdr:colOff>553357</xdr:colOff>
      <xdr:row>33</xdr:row>
      <xdr:rowOff>27214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D12D8EB7-EFB8-3586-F26A-0467FB361A7A}"/>
            </a:ext>
          </a:extLst>
        </xdr:cNvPr>
        <xdr:cNvSpPr/>
      </xdr:nvSpPr>
      <xdr:spPr>
        <a:xfrm>
          <a:off x="8490857" y="4771571"/>
          <a:ext cx="3147786" cy="752929"/>
        </a:xfrm>
        <a:prstGeom prst="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US" sz="1800"/>
            <a:t>Ejercicio</a:t>
          </a:r>
          <a:r>
            <a:rPr lang="en-US" sz="1800" baseline="0"/>
            <a:t> Personal CETES</a:t>
          </a:r>
          <a:endParaRPr lang="en-US" sz="1800"/>
        </a:p>
      </xdr:txBody>
    </xdr:sp>
    <xdr:clientData/>
  </xdr:twoCellAnchor>
  <xdr:twoCellAnchor editAs="oneCell">
    <xdr:from>
      <xdr:col>6</xdr:col>
      <xdr:colOff>27216</xdr:colOff>
      <xdr:row>35</xdr:row>
      <xdr:rowOff>36285</xdr:rowOff>
    </xdr:from>
    <xdr:to>
      <xdr:col>8</xdr:col>
      <xdr:colOff>136180</xdr:colOff>
      <xdr:row>38</xdr:row>
      <xdr:rowOff>36284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D9A8057-058F-04A9-A2E9-FCBB3B658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150430" y="5769428"/>
          <a:ext cx="1215679" cy="5442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</xdr:col>
      <xdr:colOff>752927</xdr:colOff>
      <xdr:row>32</xdr:row>
      <xdr:rowOff>67434</xdr:rowOff>
    </xdr:from>
    <xdr:to>
      <xdr:col>5</xdr:col>
      <xdr:colOff>355601</xdr:colOff>
      <xdr:row>35</xdr:row>
      <xdr:rowOff>36286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545D905-7D2F-2737-6D0E-00A33A29C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553856" y="5927577"/>
          <a:ext cx="1217388" cy="56756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527050</xdr:colOff>
      <xdr:row>0</xdr:row>
      <xdr:rowOff>62064</xdr:rowOff>
    </xdr:from>
    <xdr:to>
      <xdr:col>13</xdr:col>
      <xdr:colOff>283006</xdr:colOff>
      <xdr:row>16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D1470B-A86C-BE00-CFE3-9179686B5D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94150" y="62064"/>
          <a:ext cx="4632756" cy="292243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5C43F13D-1992-4617-B035-B62740B21FEC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Observaciones de   Tasa de rendimiento 3/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087F6A58-190C-400E-B900-790093AC2728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Observaciones de   Tasa de rendimiento 3/ (2)"/>
    </ext>
  </extLst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99FBFD05-540A-4D31-A4DC-7F0A1E3AADC9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Observaciones de   Tasa de rendimiento 3/ (3)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B8DFC3F6-89A7-4A2E-A571-459EE261CB81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Observaciones de   Tasa de rendimiento 3/ (4)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5" xr16:uid="{62F2795E-DFB9-4E6B-B476-BADF76694ECB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  <extLst>
    <ext xmlns:x15="http://schemas.microsoft.com/office/spreadsheetml/2010/11/main" uri="{883FBD77-0823-4a55-B5E3-86C4891E6966}">
      <x15:queryTable sourceDataName="Query - Observaciones de   Tasa de rendimiento 3/ (5)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BA16FF-E3BE-4174-8620-30C37EF5956E}" name="Observaciones_de___Tasa_de_rendimiento_3" displayName="Observaciones_de___Tasa_de_rendimiento_3" ref="A1:C3" tableType="queryTable" totalsRowShown="0">
  <autoFilter ref="A1:C3" xr:uid="{DEBA16FF-E3BE-4174-8620-30C37EF5956E}"/>
  <tableColumns count="3">
    <tableColumn id="1" xr3:uid="{0C29F0F5-7079-458E-98ED-D03E61B4FCB5}" uniqueName="1" name="Column1" queryTableFieldId="1" dataDxfId="16"/>
    <tableColumn id="2" xr3:uid="{470A73D8-ECE2-4C73-8143-916C870E5CE4}" uniqueName="2" name="Column2" queryTableFieldId="2" dataDxfId="15"/>
    <tableColumn id="3" xr3:uid="{26AACFBA-83C6-4992-A6BC-2E005BA2ABC4}" uniqueName="3" name="Column3" queryTableFieldId="3" dataDxfId="1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F82DF05-FEB7-47C9-80A6-7108CE1E11B9}" name="Observaciones_de___Tasa_de_rendimiento_3___2" displayName="Observaciones_de___Tasa_de_rendimiento_3___2" ref="A1:C3" tableType="queryTable" totalsRowShown="0">
  <autoFilter ref="A1:C3" xr:uid="{CF82DF05-FEB7-47C9-80A6-7108CE1E11B9}"/>
  <tableColumns count="3">
    <tableColumn id="1" xr3:uid="{D5ADECD7-D142-4BB8-A3B3-3E51EBCC96CB}" uniqueName="1" name="Column1" queryTableFieldId="1" dataDxfId="13"/>
    <tableColumn id="2" xr3:uid="{5D0C7E33-65C4-4813-8562-CFCC09E6EF9B}" uniqueName="2" name="Column2" queryTableFieldId="2" dataDxfId="12"/>
    <tableColumn id="3" xr3:uid="{794B8EAE-D86A-4534-9105-A26D27761B83}" uniqueName="3" name="Column3" queryTableFieldId="3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0F8F69E-0D8B-45EB-BC5E-9B83EA466150}" name="Observaciones_de___Tasa_de_rendimiento_3___3" displayName="Observaciones_de___Tasa_de_rendimiento_3___3" ref="A1:C3" tableType="queryTable" totalsRowShown="0">
  <autoFilter ref="A1:C3" xr:uid="{90F8F69E-0D8B-45EB-BC5E-9B83EA466150}"/>
  <tableColumns count="3">
    <tableColumn id="1" xr3:uid="{93ABAB56-4BFA-4F5C-937E-30FEFAD91BCC}" uniqueName="1" name="Column1" queryTableFieldId="1" dataDxfId="10"/>
    <tableColumn id="2" xr3:uid="{59D7B748-6F4C-4FB7-B7E7-E65EBAA1B541}" uniqueName="2" name="Column2" queryTableFieldId="2" dataDxfId="9"/>
    <tableColumn id="3" xr3:uid="{61F94779-35DC-47B0-853B-19F8DEDF112B}" uniqueName="3" name="Column3" queryTableFieldId="3" dataDxfId="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6055653D-A122-407C-8ECC-90E0F07493E7}" name="Observaciones_de___Tasa_de_rendimiento_3___4" displayName="Observaciones_de___Tasa_de_rendimiento_3___4" ref="A1:C3" tableType="queryTable" totalsRowShown="0">
  <autoFilter ref="A1:C3" xr:uid="{6055653D-A122-407C-8ECC-90E0F07493E7}"/>
  <tableColumns count="3">
    <tableColumn id="1" xr3:uid="{85F8040C-EBD5-4806-9332-42BC6E6A0BB9}" uniqueName="1" name="Column1" queryTableFieldId="1" dataDxfId="7"/>
    <tableColumn id="2" xr3:uid="{ECFB6ED8-CB31-4CFE-950B-F11DE7E4A9ED}" uniqueName="2" name="Column2" queryTableFieldId="2" dataDxfId="6"/>
    <tableColumn id="3" xr3:uid="{D946921E-747D-4C17-9E69-00E32AB0AA64}" uniqueName="3" name="Column3" queryTableFieldId="3" dataDxfId="5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6AEEF27-D4EB-428E-87AD-F809F0D5C457}" name="Observaciones_de___Tasa_de_rendimiento_3___5" displayName="Observaciones_de___Tasa_de_rendimiento_3___5" ref="A1:C3" tableType="queryTable" totalsRowShown="0">
  <autoFilter ref="A1:C3" xr:uid="{46AEEF27-D4EB-428E-87AD-F809F0D5C457}"/>
  <tableColumns count="3">
    <tableColumn id="1" xr3:uid="{B58B93E7-ACCE-4C14-9D0C-700D2C420BF5}" uniqueName="1" name="Column1" queryTableFieldId="1" dataDxfId="4"/>
    <tableColumn id="2" xr3:uid="{E6020D37-D9A5-44E5-8D26-60E090DAF9F0}" uniqueName="2" name="Column2" queryTableFieldId="2" dataDxfId="3"/>
    <tableColumn id="3" xr3:uid="{DE30731A-3B3A-4CE2-AAC1-351A774E9122}" uniqueName="3" name="Column3" queryTableFieldId="3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www.banxico.org.mx/SieInternet/consultarDirectorioInternetAction.do?accion=consultarCuadro&amp;idCuadro=CF107&amp;sector=22&amp;locale=e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B3444-6882-4869-8E64-F45F80BBE65A}">
  <dimension ref="A1:W41"/>
  <sheetViews>
    <sheetView tabSelected="1" zoomScale="70" zoomScaleNormal="70" workbookViewId="0">
      <selection activeCell="I28" sqref="I28"/>
    </sheetView>
  </sheetViews>
  <sheetFormatPr defaultRowHeight="14.5" x14ac:dyDescent="0.35"/>
  <cols>
    <col min="1" max="1" width="31.7265625" customWidth="1"/>
    <col min="2" max="2" width="11.81640625" bestFit="1" customWidth="1"/>
    <col min="3" max="3" width="10.90625" bestFit="1" customWidth="1"/>
    <col min="4" max="4" width="13" bestFit="1" customWidth="1"/>
    <col min="5" max="6" width="10.1796875" bestFit="1" customWidth="1"/>
    <col min="8" max="8" width="7.08984375" bestFit="1" customWidth="1"/>
    <col min="9" max="9" width="9.90625" bestFit="1" customWidth="1"/>
    <col min="10" max="10" width="8.90625" bestFit="1" customWidth="1"/>
    <col min="11" max="11" width="13.81640625" bestFit="1" customWidth="1"/>
    <col min="12" max="12" width="12.453125" bestFit="1" customWidth="1"/>
    <col min="13" max="13" width="10.08984375" bestFit="1" customWidth="1"/>
    <col min="14" max="14" width="13.453125" bestFit="1" customWidth="1"/>
    <col min="15" max="15" width="8.36328125" bestFit="1" customWidth="1"/>
    <col min="16" max="16" width="12.7265625" bestFit="1" customWidth="1"/>
    <col min="17" max="17" width="18" bestFit="1" customWidth="1"/>
    <col min="18" max="18" width="10.54296875" bestFit="1" customWidth="1"/>
    <col min="19" max="19" width="6.1796875" bestFit="1" customWidth="1"/>
    <col min="20" max="20" width="12.26953125" bestFit="1" customWidth="1"/>
    <col min="21" max="21" width="13.54296875" bestFit="1" customWidth="1"/>
    <col min="22" max="22" width="9.7265625" bestFit="1" customWidth="1"/>
    <col min="23" max="23" width="13.54296875" bestFit="1" customWidth="1"/>
  </cols>
  <sheetData>
    <row r="1" spans="1:23" x14ac:dyDescent="0.35">
      <c r="A1" t="s">
        <v>3</v>
      </c>
      <c r="B1" s="5">
        <v>28</v>
      </c>
      <c r="C1" s="5">
        <v>91</v>
      </c>
      <c r="D1" s="5">
        <v>182</v>
      </c>
      <c r="E1" s="5">
        <v>364</v>
      </c>
      <c r="F1" s="5">
        <v>728</v>
      </c>
      <c r="H1" s="27" t="s">
        <v>9</v>
      </c>
      <c r="I1" s="27" t="s">
        <v>21</v>
      </c>
      <c r="J1" s="27" t="s">
        <v>10</v>
      </c>
      <c r="K1" s="27" t="s">
        <v>11</v>
      </c>
      <c r="L1" s="27" t="s">
        <v>12</v>
      </c>
      <c r="M1" s="27" t="s">
        <v>13</v>
      </c>
      <c r="N1" s="28" t="s">
        <v>14</v>
      </c>
      <c r="O1" s="28" t="s">
        <v>15</v>
      </c>
      <c r="P1" s="28" t="s">
        <v>16</v>
      </c>
      <c r="Q1" s="28" t="s">
        <v>17</v>
      </c>
      <c r="R1" s="29" t="s">
        <v>1</v>
      </c>
      <c r="S1" s="29" t="s">
        <v>18</v>
      </c>
      <c r="T1" s="30" t="s">
        <v>19</v>
      </c>
      <c r="U1" s="30" t="str">
        <f>_xlfn.CONCAT("Tasa / ",S$2,"  dias")</f>
        <v>Tasa / 28  dias</v>
      </c>
      <c r="V1" s="30" t="s">
        <v>20</v>
      </c>
      <c r="W1" s="30" t="str">
        <f>_xlfn.CONCAT("ISR / ",S$2,"  dias")</f>
        <v>ISR / 28  dias</v>
      </c>
    </row>
    <row r="2" spans="1:23" x14ac:dyDescent="0.35">
      <c r="B2" s="5" t="s">
        <v>4</v>
      </c>
      <c r="C2" s="5" t="s">
        <v>5</v>
      </c>
      <c r="D2" s="5" t="s">
        <v>6</v>
      </c>
      <c r="E2" s="5" t="s">
        <v>7</v>
      </c>
      <c r="F2" s="5" t="s">
        <v>8</v>
      </c>
      <c r="H2" s="5">
        <v>1</v>
      </c>
      <c r="I2" s="5" t="str">
        <f>HLOOKUP(S2,B1:F2,2)</f>
        <v>1mes</v>
      </c>
      <c r="J2" s="17">
        <v>1000</v>
      </c>
      <c r="K2">
        <f>ROUNDDOWN(J2/$R$2,0)</f>
        <v>100</v>
      </c>
      <c r="L2" s="17">
        <f>K2*$R$2</f>
        <v>993</v>
      </c>
      <c r="M2" s="17">
        <f>J2-L2</f>
        <v>7</v>
      </c>
      <c r="N2" s="17">
        <f>L2*$U$2</f>
        <v>6.2559000000000005</v>
      </c>
      <c r="O2" s="17">
        <f>L2*$W$2</f>
        <v>0.38087671232876719</v>
      </c>
      <c r="P2" s="17">
        <f>N2-O2</f>
        <v>5.8750232876712332</v>
      </c>
      <c r="Q2" s="17">
        <f>L2+M2+P2</f>
        <v>1005.8750232876712</v>
      </c>
      <c r="R2" s="4">
        <f>HLOOKUP(S2,B1:F5,5)</f>
        <v>9.93</v>
      </c>
      <c r="S2" s="10">
        <v>28</v>
      </c>
      <c r="T2" s="1">
        <f>HLOOKUP(S2,B1:F5,4)</f>
        <v>8.1000000000000003E-2</v>
      </c>
      <c r="U2" s="7">
        <f>(T2/360)*S2</f>
        <v>6.3E-3</v>
      </c>
      <c r="V2" s="1">
        <v>5.0000000000000001E-3</v>
      </c>
      <c r="W2" s="8">
        <f>(V2/365)*S2</f>
        <v>3.8356164383561648E-4</v>
      </c>
    </row>
    <row r="3" spans="1:23" x14ac:dyDescent="0.35">
      <c r="A3" t="s">
        <v>0</v>
      </c>
      <c r="B3" s="19">
        <v>10</v>
      </c>
      <c r="C3" s="19">
        <v>10</v>
      </c>
      <c r="D3" s="19">
        <v>10</v>
      </c>
      <c r="E3" s="19">
        <v>10</v>
      </c>
      <c r="F3" s="19">
        <v>10</v>
      </c>
      <c r="H3" s="5">
        <v>2</v>
      </c>
      <c r="I3" s="5" t="str">
        <f>I2</f>
        <v>1mes</v>
      </c>
      <c r="J3" s="17">
        <f>Q2</f>
        <v>1005.8750232876712</v>
      </c>
      <c r="K3">
        <f t="shared" ref="K3:K25" si="0">ROUNDDOWN(J3/$R$2,0)</f>
        <v>101</v>
      </c>
      <c r="L3" s="17">
        <f t="shared" ref="L3:L25" si="1">K3*$R$2</f>
        <v>1002.93</v>
      </c>
      <c r="M3" s="17">
        <f t="shared" ref="M3" si="2">J3-L3</f>
        <v>2.9450232876712334</v>
      </c>
      <c r="N3" s="17">
        <f t="shared" ref="N3" si="3">L3*$U$2</f>
        <v>6.3184589999999998</v>
      </c>
      <c r="O3" s="17">
        <f t="shared" ref="O3" si="4">L3*$W$2</f>
        <v>0.38468547945205483</v>
      </c>
      <c r="P3" s="17">
        <f t="shared" ref="P3" si="5">N3-O3</f>
        <v>5.9337735205479447</v>
      </c>
      <c r="Q3" s="17">
        <f t="shared" ref="Q3" si="6">L3+M3+P3</f>
        <v>1011.8087968082191</v>
      </c>
      <c r="U3" t="s">
        <v>56</v>
      </c>
      <c r="W3" t="s">
        <v>22</v>
      </c>
    </row>
    <row r="4" spans="1:23" x14ac:dyDescent="0.35">
      <c r="A4" s="16" t="s">
        <v>2</v>
      </c>
      <c r="B4" s="11" cm="1">
        <f t="array" ref="B4">LOOKUP(2,1/('28dias'!3:3&lt;&gt;""),'28dias'!3:3)/100</f>
        <v>8.1000000000000003E-2</v>
      </c>
      <c r="C4" s="11" cm="1">
        <f t="array" ref="C4">LOOKUP(2,1/('91dias'!3:3&lt;&gt;""),'91dias'!3:3)/100</f>
        <v>8.09E-2</v>
      </c>
      <c r="D4" s="11" cm="1">
        <f t="array" ref="D4">LOOKUP(2,1/('182dias'!3:3&lt;&gt;""),'182dias'!3:3)/100</f>
        <v>8.0399999999999985E-2</v>
      </c>
      <c r="E4" s="11" cm="1">
        <f t="array" ref="E4">LOOKUP(2,1/('364dias'!3:3&lt;&gt;""),'364dias'!3:3)/100</f>
        <v>8.3299999999999999E-2</v>
      </c>
      <c r="F4" s="11" cm="1">
        <f t="array" ref="F4">LOOKUP(2,1/('728dias'!3:3&lt;&gt;""),'728dias'!3:3)/100</f>
        <v>8.4900000000000003E-2</v>
      </c>
      <c r="H4" s="5">
        <v>3</v>
      </c>
      <c r="I4" s="5" t="str">
        <f t="shared" ref="I4:I25" si="7">I3</f>
        <v>1mes</v>
      </c>
      <c r="J4" s="17">
        <f t="shared" ref="J4:J25" si="8">Q3</f>
        <v>1011.8087968082191</v>
      </c>
      <c r="K4">
        <f t="shared" si="0"/>
        <v>101</v>
      </c>
      <c r="L4" s="17">
        <f t="shared" si="1"/>
        <v>1002.93</v>
      </c>
      <c r="M4" s="17">
        <f t="shared" ref="M4:M25" si="9">J4-L4</f>
        <v>8.8787968082191355</v>
      </c>
      <c r="N4" s="17">
        <f t="shared" ref="N4:N25" si="10">L4*$U$2</f>
        <v>6.3184589999999998</v>
      </c>
      <c r="O4" s="17">
        <f t="shared" ref="O4:O25" si="11">L4*$W$2</f>
        <v>0.38468547945205483</v>
      </c>
      <c r="P4" s="17">
        <f t="shared" ref="P4:P25" si="12">N4-O4</f>
        <v>5.9337735205479447</v>
      </c>
      <c r="Q4" s="17">
        <f t="shared" ref="Q4:Q25" si="13">L4+M4+P4</f>
        <v>1017.742570328767</v>
      </c>
    </row>
    <row r="5" spans="1:23" x14ac:dyDescent="0.35">
      <c r="A5" s="16" t="s">
        <v>33</v>
      </c>
      <c r="B5" s="18">
        <v>9.93</v>
      </c>
      <c r="C5" s="18">
        <v>9.7899999999999991</v>
      </c>
      <c r="D5" s="18">
        <v>9.6199999999999992</v>
      </c>
      <c r="E5" s="18">
        <v>9.2200000000000006</v>
      </c>
      <c r="F5" s="18">
        <v>8.57</v>
      </c>
      <c r="H5" s="5">
        <v>4</v>
      </c>
      <c r="I5" s="5" t="str">
        <f t="shared" si="7"/>
        <v>1mes</v>
      </c>
      <c r="J5" s="17">
        <f t="shared" si="8"/>
        <v>1017.742570328767</v>
      </c>
      <c r="K5">
        <f t="shared" si="0"/>
        <v>102</v>
      </c>
      <c r="L5" s="17">
        <f t="shared" si="1"/>
        <v>1012.86</v>
      </c>
      <c r="M5" s="17">
        <f t="shared" si="9"/>
        <v>4.8825703287669739</v>
      </c>
      <c r="N5" s="17">
        <f t="shared" si="10"/>
        <v>6.3810180000000001</v>
      </c>
      <c r="O5" s="17">
        <f t="shared" si="11"/>
        <v>0.38849424657534248</v>
      </c>
      <c r="P5" s="17">
        <f t="shared" si="12"/>
        <v>5.992523753424658</v>
      </c>
      <c r="Q5" s="17">
        <f t="shared" si="13"/>
        <v>1023.7350940821916</v>
      </c>
    </row>
    <row r="6" spans="1:23" x14ac:dyDescent="0.35">
      <c r="H6" s="5">
        <v>5</v>
      </c>
      <c r="I6" s="5" t="str">
        <f t="shared" si="7"/>
        <v>1mes</v>
      </c>
      <c r="J6" s="17">
        <f t="shared" si="8"/>
        <v>1023.7350940821916</v>
      </c>
      <c r="K6">
        <f t="shared" si="0"/>
        <v>103</v>
      </c>
      <c r="L6" s="17">
        <f t="shared" si="1"/>
        <v>1022.79</v>
      </c>
      <c r="M6" s="17">
        <f t="shared" si="9"/>
        <v>0.9450940821916447</v>
      </c>
      <c r="N6" s="17">
        <f t="shared" si="10"/>
        <v>6.4435769999999994</v>
      </c>
      <c r="O6" s="17">
        <f t="shared" si="11"/>
        <v>0.39230301369863019</v>
      </c>
      <c r="P6" s="17">
        <f t="shared" si="12"/>
        <v>6.0512739863013696</v>
      </c>
      <c r="Q6" s="17">
        <f t="shared" si="13"/>
        <v>1029.7863680684929</v>
      </c>
    </row>
    <row r="7" spans="1:23" x14ac:dyDescent="0.35">
      <c r="H7" s="5">
        <v>6</v>
      </c>
      <c r="I7" s="5" t="str">
        <f t="shared" si="7"/>
        <v>1mes</v>
      </c>
      <c r="J7" s="17">
        <f t="shared" si="8"/>
        <v>1029.7863680684929</v>
      </c>
      <c r="K7">
        <f t="shared" si="0"/>
        <v>103</v>
      </c>
      <c r="L7" s="17">
        <f t="shared" si="1"/>
        <v>1022.79</v>
      </c>
      <c r="M7" s="17">
        <f t="shared" si="9"/>
        <v>6.9963680684929841</v>
      </c>
      <c r="N7" s="17">
        <f t="shared" si="10"/>
        <v>6.4435769999999994</v>
      </c>
      <c r="O7" s="17">
        <f t="shared" si="11"/>
        <v>0.39230301369863019</v>
      </c>
      <c r="P7" s="17">
        <f t="shared" si="12"/>
        <v>6.0512739863013696</v>
      </c>
      <c r="Q7" s="17">
        <f t="shared" si="13"/>
        <v>1035.8376420547943</v>
      </c>
    </row>
    <row r="8" spans="1:23" x14ac:dyDescent="0.35">
      <c r="A8" t="s">
        <v>34</v>
      </c>
      <c r="B8" s="17">
        <v>1072.9677892328764</v>
      </c>
      <c r="C8" s="17">
        <v>1078.9594993401827</v>
      </c>
      <c r="D8" s="17">
        <v>1077.0777329863015</v>
      </c>
      <c r="E8" s="17">
        <v>1078.9032797479451</v>
      </c>
      <c r="F8" s="17"/>
      <c r="H8" s="5">
        <v>7</v>
      </c>
      <c r="I8" s="5" t="str">
        <f t="shared" si="7"/>
        <v>1mes</v>
      </c>
      <c r="J8" s="17">
        <f t="shared" si="8"/>
        <v>1035.8376420547943</v>
      </c>
      <c r="K8">
        <f t="shared" si="0"/>
        <v>104</v>
      </c>
      <c r="L8" s="17">
        <f t="shared" si="1"/>
        <v>1032.72</v>
      </c>
      <c r="M8" s="17">
        <f t="shared" si="9"/>
        <v>3.1176420547942598</v>
      </c>
      <c r="N8" s="17">
        <f t="shared" si="10"/>
        <v>6.5061360000000006</v>
      </c>
      <c r="O8" s="17">
        <f t="shared" si="11"/>
        <v>0.39611178082191784</v>
      </c>
      <c r="P8" s="17">
        <f t="shared" si="12"/>
        <v>6.1100242191780829</v>
      </c>
      <c r="Q8" s="17">
        <f t="shared" si="13"/>
        <v>1041.9476662739723</v>
      </c>
    </row>
    <row r="9" spans="1:23" x14ac:dyDescent="0.35">
      <c r="B9" s="23"/>
      <c r="C9" s="23"/>
      <c r="D9" s="23"/>
      <c r="E9" s="23"/>
      <c r="F9" s="23"/>
      <c r="H9" s="5">
        <v>8</v>
      </c>
      <c r="I9" s="5" t="str">
        <f t="shared" si="7"/>
        <v>1mes</v>
      </c>
      <c r="J9" s="17">
        <f t="shared" si="8"/>
        <v>1041.9476662739723</v>
      </c>
      <c r="K9">
        <f t="shared" si="0"/>
        <v>104</v>
      </c>
      <c r="L9" s="17">
        <f t="shared" si="1"/>
        <v>1032.72</v>
      </c>
      <c r="M9" s="17">
        <f t="shared" si="9"/>
        <v>9.2276662739723179</v>
      </c>
      <c r="N9" s="17">
        <f t="shared" si="10"/>
        <v>6.5061360000000006</v>
      </c>
      <c r="O9" s="17">
        <f t="shared" si="11"/>
        <v>0.39611178082191784</v>
      </c>
      <c r="P9" s="17">
        <f t="shared" si="12"/>
        <v>6.1100242191780829</v>
      </c>
      <c r="Q9" s="17">
        <f t="shared" si="13"/>
        <v>1048.0576904931504</v>
      </c>
    </row>
    <row r="10" spans="1:23" x14ac:dyDescent="0.35">
      <c r="A10" t="s">
        <v>35</v>
      </c>
      <c r="B10" s="17">
        <v>1151.2818496575342</v>
      </c>
      <c r="C10" s="17">
        <v>1163.9349605348555</v>
      </c>
      <c r="D10" s="17">
        <v>1160.3950919762558</v>
      </c>
      <c r="E10" s="17">
        <v>1164.3818328082191</v>
      </c>
      <c r="F10" s="24">
        <v>1160.7631852310503</v>
      </c>
      <c r="H10" s="5">
        <v>9</v>
      </c>
      <c r="I10" s="5" t="str">
        <f>I9</f>
        <v>1mes</v>
      </c>
      <c r="J10" s="17">
        <f>Q9</f>
        <v>1048.0576904931504</v>
      </c>
      <c r="K10">
        <f t="shared" si="0"/>
        <v>105</v>
      </c>
      <c r="L10" s="17">
        <f t="shared" si="1"/>
        <v>1042.6499999999999</v>
      </c>
      <c r="M10" s="17">
        <f t="shared" si="9"/>
        <v>5.4076904931505396</v>
      </c>
      <c r="N10" s="17">
        <f t="shared" si="10"/>
        <v>6.5686949999999991</v>
      </c>
      <c r="O10" s="17">
        <f t="shared" si="11"/>
        <v>0.39992054794520548</v>
      </c>
      <c r="P10" s="17">
        <f t="shared" si="12"/>
        <v>6.1687744520547936</v>
      </c>
      <c r="Q10" s="17">
        <f t="shared" si="13"/>
        <v>1054.2264649452052</v>
      </c>
    </row>
    <row r="11" spans="1:23" x14ac:dyDescent="0.35">
      <c r="A11" s="26" t="s">
        <v>37</v>
      </c>
      <c r="B11" s="5"/>
      <c r="C11" s="5"/>
      <c r="D11" s="5"/>
      <c r="E11" s="5"/>
      <c r="F11" s="5"/>
      <c r="H11" s="5">
        <v>10</v>
      </c>
      <c r="I11" s="5" t="str">
        <f t="shared" si="7"/>
        <v>1mes</v>
      </c>
      <c r="J11" s="17">
        <f t="shared" si="8"/>
        <v>1054.2264649452052</v>
      </c>
      <c r="K11">
        <f t="shared" si="0"/>
        <v>106</v>
      </c>
      <c r="L11" s="17">
        <f t="shared" si="1"/>
        <v>1052.58</v>
      </c>
      <c r="M11" s="17">
        <f t="shared" si="9"/>
        <v>1.6464649452052527</v>
      </c>
      <c r="N11" s="17">
        <f t="shared" si="10"/>
        <v>6.6312539999999993</v>
      </c>
      <c r="O11" s="17">
        <f t="shared" si="11"/>
        <v>0.40372931506849319</v>
      </c>
      <c r="P11" s="17">
        <f t="shared" si="12"/>
        <v>6.227524684931506</v>
      </c>
      <c r="Q11" s="17">
        <f t="shared" si="13"/>
        <v>1060.4539896301367</v>
      </c>
    </row>
    <row r="12" spans="1:23" x14ac:dyDescent="0.35">
      <c r="H12" s="5">
        <v>11</v>
      </c>
      <c r="I12" s="5" t="str">
        <f t="shared" si="7"/>
        <v>1mes</v>
      </c>
      <c r="J12" s="17">
        <f t="shared" si="8"/>
        <v>1060.4539896301367</v>
      </c>
      <c r="K12">
        <f t="shared" si="0"/>
        <v>106</v>
      </c>
      <c r="L12" s="17">
        <f t="shared" si="1"/>
        <v>1052.58</v>
      </c>
      <c r="M12" s="17">
        <f t="shared" si="9"/>
        <v>7.873989630136748</v>
      </c>
      <c r="N12" s="17">
        <f t="shared" si="10"/>
        <v>6.6312539999999993</v>
      </c>
      <c r="O12" s="17">
        <f t="shared" si="11"/>
        <v>0.40372931506849319</v>
      </c>
      <c r="P12" s="17">
        <f t="shared" si="12"/>
        <v>6.227524684931506</v>
      </c>
      <c r="Q12" s="17">
        <f t="shared" si="13"/>
        <v>1066.6815143150682</v>
      </c>
    </row>
    <row r="13" spans="1:23" x14ac:dyDescent="0.35">
      <c r="B13" s="13" t="s">
        <v>23</v>
      </c>
      <c r="H13" s="5">
        <v>12</v>
      </c>
      <c r="I13" s="5" t="str">
        <f t="shared" si="7"/>
        <v>1mes</v>
      </c>
      <c r="J13" s="17">
        <f t="shared" si="8"/>
        <v>1066.6815143150682</v>
      </c>
      <c r="K13">
        <f t="shared" si="0"/>
        <v>107</v>
      </c>
      <c r="L13" s="17">
        <f t="shared" si="1"/>
        <v>1062.51</v>
      </c>
      <c r="M13" s="17">
        <f t="shared" si="9"/>
        <v>4.1715143150681797</v>
      </c>
      <c r="N13" s="17">
        <f t="shared" si="10"/>
        <v>6.6938129999999996</v>
      </c>
      <c r="O13" s="17">
        <f t="shared" si="11"/>
        <v>0.40753808219178084</v>
      </c>
      <c r="P13" s="17">
        <f t="shared" si="12"/>
        <v>6.2862749178082185</v>
      </c>
      <c r="Q13" s="17">
        <f t="shared" si="13"/>
        <v>1072.9677892328764</v>
      </c>
    </row>
    <row r="14" spans="1:23" x14ac:dyDescent="0.35">
      <c r="B14" t="s">
        <v>29</v>
      </c>
      <c r="H14" s="5">
        <v>13</v>
      </c>
      <c r="I14" s="5" t="str">
        <f t="shared" si="7"/>
        <v>1mes</v>
      </c>
      <c r="J14" s="17">
        <f t="shared" si="8"/>
        <v>1072.9677892328764</v>
      </c>
      <c r="K14">
        <f t="shared" si="0"/>
        <v>108</v>
      </c>
      <c r="L14" s="17">
        <f t="shared" si="1"/>
        <v>1072.44</v>
      </c>
      <c r="M14" s="17">
        <f t="shared" si="9"/>
        <v>0.52778923287633006</v>
      </c>
      <c r="N14" s="17">
        <f t="shared" si="10"/>
        <v>6.7563720000000007</v>
      </c>
      <c r="O14" s="17">
        <f t="shared" si="11"/>
        <v>0.41134684931506854</v>
      </c>
      <c r="P14" s="17">
        <f t="shared" si="12"/>
        <v>6.3450251506849318</v>
      </c>
      <c r="Q14" s="17">
        <f t="shared" si="13"/>
        <v>1079.3128143835613</v>
      </c>
    </row>
    <row r="15" spans="1:23" x14ac:dyDescent="0.35">
      <c r="B15" t="s">
        <v>24</v>
      </c>
      <c r="H15" s="5">
        <v>14</v>
      </c>
      <c r="I15" s="5" t="str">
        <f t="shared" si="7"/>
        <v>1mes</v>
      </c>
      <c r="J15" s="17">
        <f t="shared" si="8"/>
        <v>1079.3128143835613</v>
      </c>
      <c r="K15">
        <f t="shared" si="0"/>
        <v>108</v>
      </c>
      <c r="L15" s="17">
        <f t="shared" si="1"/>
        <v>1072.44</v>
      </c>
      <c r="M15" s="17">
        <f t="shared" si="9"/>
        <v>6.8728143835612627</v>
      </c>
      <c r="N15" s="17">
        <f t="shared" si="10"/>
        <v>6.7563720000000007</v>
      </c>
      <c r="O15" s="17">
        <f t="shared" si="11"/>
        <v>0.41134684931506854</v>
      </c>
      <c r="P15" s="17">
        <f t="shared" si="12"/>
        <v>6.3450251506849318</v>
      </c>
      <c r="Q15" s="17">
        <f t="shared" si="13"/>
        <v>1085.6578395342462</v>
      </c>
    </row>
    <row r="16" spans="1:23" x14ac:dyDescent="0.35">
      <c r="B16" t="s">
        <v>25</v>
      </c>
      <c r="H16" s="5">
        <v>15</v>
      </c>
      <c r="I16" s="5" t="str">
        <f t="shared" si="7"/>
        <v>1mes</v>
      </c>
      <c r="J16" s="17">
        <f t="shared" si="8"/>
        <v>1085.6578395342462</v>
      </c>
      <c r="K16">
        <f t="shared" si="0"/>
        <v>109</v>
      </c>
      <c r="L16" s="17">
        <f t="shared" si="1"/>
        <v>1082.3699999999999</v>
      </c>
      <c r="M16" s="17">
        <f t="shared" si="9"/>
        <v>3.2878395342463591</v>
      </c>
      <c r="N16" s="17">
        <f t="shared" si="10"/>
        <v>6.8189309999999992</v>
      </c>
      <c r="O16" s="17">
        <f t="shared" si="11"/>
        <v>0.41515561643835619</v>
      </c>
      <c r="P16" s="17">
        <f t="shared" si="12"/>
        <v>6.4037753835616433</v>
      </c>
      <c r="Q16" s="17">
        <f t="shared" si="13"/>
        <v>1092.0616149178079</v>
      </c>
    </row>
    <row r="17" spans="1:17" x14ac:dyDescent="0.35">
      <c r="H17" s="5">
        <v>16</v>
      </c>
      <c r="I17" s="5" t="str">
        <f t="shared" si="7"/>
        <v>1mes</v>
      </c>
      <c r="J17" s="17">
        <f t="shared" si="8"/>
        <v>1092.0616149178079</v>
      </c>
      <c r="K17">
        <f t="shared" si="0"/>
        <v>109</v>
      </c>
      <c r="L17" s="17">
        <f t="shared" si="1"/>
        <v>1082.3699999999999</v>
      </c>
      <c r="M17" s="17">
        <f t="shared" si="9"/>
        <v>9.6916149178080104</v>
      </c>
      <c r="N17" s="17">
        <f t="shared" si="10"/>
        <v>6.8189309999999992</v>
      </c>
      <c r="O17" s="17">
        <f t="shared" si="11"/>
        <v>0.41515561643835619</v>
      </c>
      <c r="P17" s="17">
        <f t="shared" si="12"/>
        <v>6.4037753835616433</v>
      </c>
      <c r="Q17" s="17">
        <f t="shared" si="13"/>
        <v>1098.4653903013696</v>
      </c>
    </row>
    <row r="18" spans="1:17" x14ac:dyDescent="0.35">
      <c r="H18" s="5">
        <v>17</v>
      </c>
      <c r="I18" s="5" t="str">
        <f t="shared" si="7"/>
        <v>1mes</v>
      </c>
      <c r="J18" s="17">
        <f t="shared" si="8"/>
        <v>1098.4653903013696</v>
      </c>
      <c r="K18">
        <f t="shared" si="0"/>
        <v>110</v>
      </c>
      <c r="L18" s="17">
        <f t="shared" si="1"/>
        <v>1092.3</v>
      </c>
      <c r="M18" s="17">
        <f t="shared" si="9"/>
        <v>6.1653903013695981</v>
      </c>
      <c r="N18" s="17">
        <f t="shared" si="10"/>
        <v>6.8814899999999994</v>
      </c>
      <c r="O18" s="17">
        <f t="shared" si="11"/>
        <v>0.41896438356164384</v>
      </c>
      <c r="P18" s="17">
        <f t="shared" si="12"/>
        <v>6.4625256164383558</v>
      </c>
      <c r="Q18" s="17">
        <f t="shared" si="13"/>
        <v>1104.9279159178079</v>
      </c>
    </row>
    <row r="19" spans="1:17" x14ac:dyDescent="0.35">
      <c r="B19" s="5"/>
      <c r="H19" s="5">
        <v>18</v>
      </c>
      <c r="I19" s="5" t="str">
        <f t="shared" si="7"/>
        <v>1mes</v>
      </c>
      <c r="J19" s="17">
        <f t="shared" si="8"/>
        <v>1104.9279159178079</v>
      </c>
      <c r="K19">
        <f t="shared" si="0"/>
        <v>111</v>
      </c>
      <c r="L19" s="17">
        <f t="shared" si="1"/>
        <v>1102.23</v>
      </c>
      <c r="M19" s="17">
        <f t="shared" si="9"/>
        <v>2.6979159178079044</v>
      </c>
      <c r="N19" s="17">
        <f t="shared" si="10"/>
        <v>6.9440490000000006</v>
      </c>
      <c r="O19" s="17">
        <f t="shared" si="11"/>
        <v>0.42277315068493154</v>
      </c>
      <c r="P19" s="17">
        <f t="shared" si="12"/>
        <v>6.5212758493150691</v>
      </c>
      <c r="Q19" s="17">
        <f t="shared" si="13"/>
        <v>1111.449191767123</v>
      </c>
    </row>
    <row r="20" spans="1:17" x14ac:dyDescent="0.35">
      <c r="B20" s="5"/>
      <c r="H20" s="5">
        <v>19</v>
      </c>
      <c r="I20" s="5" t="str">
        <f t="shared" si="7"/>
        <v>1mes</v>
      </c>
      <c r="J20" s="17">
        <f t="shared" si="8"/>
        <v>1111.449191767123</v>
      </c>
      <c r="K20">
        <f t="shared" si="0"/>
        <v>111</v>
      </c>
      <c r="L20" s="17">
        <f t="shared" si="1"/>
        <v>1102.23</v>
      </c>
      <c r="M20" s="17">
        <f t="shared" si="9"/>
        <v>9.219191767122993</v>
      </c>
      <c r="N20" s="17">
        <f t="shared" si="10"/>
        <v>6.9440490000000006</v>
      </c>
      <c r="O20" s="17">
        <f t="shared" si="11"/>
        <v>0.42277315068493154</v>
      </c>
      <c r="P20" s="17">
        <f t="shared" si="12"/>
        <v>6.5212758493150691</v>
      </c>
      <c r="Q20" s="17">
        <f t="shared" si="13"/>
        <v>1117.9704676164381</v>
      </c>
    </row>
    <row r="21" spans="1:17" x14ac:dyDescent="0.35">
      <c r="B21" s="5"/>
      <c r="H21" s="5">
        <v>20</v>
      </c>
      <c r="I21" s="5" t="str">
        <f t="shared" si="7"/>
        <v>1mes</v>
      </c>
      <c r="J21" s="17">
        <f t="shared" si="8"/>
        <v>1117.9704676164381</v>
      </c>
      <c r="K21">
        <f t="shared" si="0"/>
        <v>112</v>
      </c>
      <c r="L21" s="17">
        <f t="shared" si="1"/>
        <v>1112.1599999999999</v>
      </c>
      <c r="M21" s="17">
        <f t="shared" si="9"/>
        <v>5.8104676164382454</v>
      </c>
      <c r="N21" s="17">
        <f t="shared" si="10"/>
        <v>7.0066079999999991</v>
      </c>
      <c r="O21" s="17">
        <f t="shared" si="11"/>
        <v>0.42658191780821919</v>
      </c>
      <c r="P21" s="17">
        <f t="shared" si="12"/>
        <v>6.5800260821917798</v>
      </c>
      <c r="Q21" s="17">
        <f t="shared" si="13"/>
        <v>1124.5504936986299</v>
      </c>
    </row>
    <row r="22" spans="1:17" x14ac:dyDescent="0.35">
      <c r="B22" s="5"/>
      <c r="H22" s="5">
        <v>21</v>
      </c>
      <c r="I22" s="5" t="str">
        <f t="shared" si="7"/>
        <v>1mes</v>
      </c>
      <c r="J22" s="17">
        <f t="shared" si="8"/>
        <v>1124.5504936986299</v>
      </c>
      <c r="K22">
        <f t="shared" si="0"/>
        <v>113</v>
      </c>
      <c r="L22" s="17">
        <f t="shared" si="1"/>
        <v>1122.0899999999999</v>
      </c>
      <c r="M22" s="17">
        <f t="shared" si="9"/>
        <v>2.460493698629989</v>
      </c>
      <c r="N22" s="17">
        <f t="shared" si="10"/>
        <v>7.0691669999999993</v>
      </c>
      <c r="O22" s="17">
        <f t="shared" si="11"/>
        <v>0.43039068493150684</v>
      </c>
      <c r="P22" s="17">
        <f t="shared" si="12"/>
        <v>6.6387763150684922</v>
      </c>
      <c r="Q22" s="17">
        <f t="shared" si="13"/>
        <v>1131.1892700136984</v>
      </c>
    </row>
    <row r="23" spans="1:17" x14ac:dyDescent="0.35">
      <c r="B23" s="5"/>
      <c r="H23" s="5">
        <v>22</v>
      </c>
      <c r="I23" s="5" t="str">
        <f t="shared" si="7"/>
        <v>1mes</v>
      </c>
      <c r="J23" s="17">
        <f t="shared" si="8"/>
        <v>1131.1892700136984</v>
      </c>
      <c r="K23">
        <f t="shared" si="0"/>
        <v>113</v>
      </c>
      <c r="L23" s="17">
        <f t="shared" si="1"/>
        <v>1122.0899999999999</v>
      </c>
      <c r="M23" s="17">
        <f t="shared" si="9"/>
        <v>9.099270013698515</v>
      </c>
      <c r="N23" s="17">
        <f t="shared" si="10"/>
        <v>7.0691669999999993</v>
      </c>
      <c r="O23" s="17">
        <f t="shared" si="11"/>
        <v>0.43039068493150684</v>
      </c>
      <c r="P23" s="17">
        <f t="shared" si="12"/>
        <v>6.6387763150684922</v>
      </c>
      <c r="Q23" s="17">
        <f t="shared" si="13"/>
        <v>1137.828046328767</v>
      </c>
    </row>
    <row r="24" spans="1:17" x14ac:dyDescent="0.35">
      <c r="A24" s="31" t="s">
        <v>55</v>
      </c>
      <c r="B24" s="3"/>
      <c r="C24" s="3"/>
      <c r="D24" s="3"/>
      <c r="E24" s="3"/>
      <c r="F24" s="3"/>
      <c r="H24" s="5">
        <v>23</v>
      </c>
      <c r="I24" s="5" t="str">
        <f t="shared" si="7"/>
        <v>1mes</v>
      </c>
      <c r="J24" s="17">
        <f t="shared" si="8"/>
        <v>1137.828046328767</v>
      </c>
      <c r="K24">
        <f t="shared" si="0"/>
        <v>114</v>
      </c>
      <c r="L24" s="17">
        <f t="shared" si="1"/>
        <v>1132.02</v>
      </c>
      <c r="M24" s="17">
        <f t="shared" si="9"/>
        <v>5.8080463287669772</v>
      </c>
      <c r="N24" s="17">
        <f t="shared" si="10"/>
        <v>7.1317259999999996</v>
      </c>
      <c r="O24" s="17">
        <f t="shared" si="11"/>
        <v>0.43419945205479454</v>
      </c>
      <c r="P24" s="17">
        <f t="shared" si="12"/>
        <v>6.6975265479452046</v>
      </c>
      <c r="Q24" s="17">
        <f t="shared" si="13"/>
        <v>1144.5255728767122</v>
      </c>
    </row>
    <row r="25" spans="1:17" x14ac:dyDescent="0.35">
      <c r="B25" s="12" t="s">
        <v>27</v>
      </c>
      <c r="H25" s="5">
        <v>24</v>
      </c>
      <c r="I25" s="5" t="str">
        <f t="shared" si="7"/>
        <v>1mes</v>
      </c>
      <c r="J25" s="17">
        <f t="shared" si="8"/>
        <v>1144.5255728767122</v>
      </c>
      <c r="K25">
        <f t="shared" si="0"/>
        <v>115</v>
      </c>
      <c r="L25" s="17">
        <f t="shared" si="1"/>
        <v>1141.95</v>
      </c>
      <c r="M25" s="17">
        <f t="shared" si="9"/>
        <v>2.5755728767121582</v>
      </c>
      <c r="N25" s="17">
        <f t="shared" si="10"/>
        <v>7.1942850000000007</v>
      </c>
      <c r="O25" s="17">
        <f t="shared" si="11"/>
        <v>0.43800821917808225</v>
      </c>
      <c r="P25" s="17">
        <f t="shared" si="12"/>
        <v>6.7562767808219188</v>
      </c>
      <c r="Q25" s="17">
        <f t="shared" si="13"/>
        <v>1151.2818496575342</v>
      </c>
    </row>
    <row r="26" spans="1:17" ht="18.5" x14ac:dyDescent="0.45">
      <c r="A26" s="33" t="s">
        <v>58</v>
      </c>
      <c r="B26" s="13" t="s">
        <v>59</v>
      </c>
    </row>
    <row r="28" spans="1:17" x14ac:dyDescent="0.35">
      <c r="A28" t="s">
        <v>32</v>
      </c>
      <c r="B28" s="6">
        <f>B1*12</f>
        <v>336</v>
      </c>
      <c r="C28" s="6">
        <f>C1*4</f>
        <v>364</v>
      </c>
      <c r="D28" s="6">
        <f>D1*2</f>
        <v>364</v>
      </c>
      <c r="E28" s="6">
        <f>E1*1</f>
        <v>364</v>
      </c>
      <c r="F28" s="6">
        <f>F1/2</f>
        <v>364</v>
      </c>
    </row>
    <row r="29" spans="1:17" x14ac:dyDescent="0.35">
      <c r="A29" s="14" t="s">
        <v>30</v>
      </c>
      <c r="B29" s="20">
        <f>B3/((1+B4)^(B1/B28))</f>
        <v>9.9353047320084826</v>
      </c>
      <c r="C29" s="20">
        <f>C3/((1+C4)^(C1/C28))</f>
        <v>9.8073939523942961</v>
      </c>
      <c r="D29" s="20">
        <f>D3/((1+D4)^(D1/D28))</f>
        <v>9.6207230360505598</v>
      </c>
      <c r="E29" s="20">
        <f>E3/((1+E4)^(E1/E28))</f>
        <v>9.2310532631773299</v>
      </c>
      <c r="F29" s="20">
        <f>F3/((1+F4)^(F1/F28))</f>
        <v>8.4961189006691633</v>
      </c>
    </row>
    <row r="30" spans="1:17" x14ac:dyDescent="0.35">
      <c r="A30" t="s">
        <v>36</v>
      </c>
      <c r="B30" s="9">
        <f>B5-B29</f>
        <v>-5.3047320084829153E-3</v>
      </c>
      <c r="C30" s="9">
        <f>C5-C29</f>
        <v>-1.7393952394296974E-2</v>
      </c>
      <c r="D30" s="9">
        <f>D5-D29</f>
        <v>-7.2303605056056597E-4</v>
      </c>
      <c r="E30" s="9">
        <f>E5-E29</f>
        <v>-1.1053263177329242E-2</v>
      </c>
      <c r="F30" s="9">
        <f>F5-F29</f>
        <v>7.3881099330836975E-2</v>
      </c>
      <c r="L30" s="2"/>
    </row>
    <row r="31" spans="1:17" x14ac:dyDescent="0.35">
      <c r="B31" s="9"/>
      <c r="C31" s="9"/>
      <c r="D31" s="9"/>
      <c r="E31" s="9"/>
      <c r="F31" s="9"/>
      <c r="L31" s="2"/>
    </row>
    <row r="32" spans="1:17" x14ac:dyDescent="0.35">
      <c r="B32" s="9"/>
      <c r="C32" s="9"/>
      <c r="D32" s="9"/>
      <c r="E32" s="9"/>
      <c r="F32" s="9"/>
      <c r="L32" s="2"/>
    </row>
    <row r="33" spans="1:6" x14ac:dyDescent="0.35">
      <c r="B33" s="15"/>
      <c r="C33" s="15"/>
      <c r="D33" s="15"/>
      <c r="E33" s="15"/>
      <c r="F33" s="15"/>
    </row>
    <row r="34" spans="1:6" ht="18.5" x14ac:dyDescent="0.45">
      <c r="A34" s="33" t="s">
        <v>60</v>
      </c>
      <c r="B34" s="13" t="s">
        <v>28</v>
      </c>
      <c r="C34" s="15"/>
      <c r="D34" s="15"/>
      <c r="E34" s="15"/>
      <c r="F34" s="15"/>
    </row>
    <row r="35" spans="1:6" x14ac:dyDescent="0.35">
      <c r="B35" s="15"/>
      <c r="C35" s="15"/>
      <c r="D35" s="15"/>
      <c r="E35" s="15"/>
      <c r="F35" s="15"/>
    </row>
    <row r="36" spans="1:6" x14ac:dyDescent="0.35">
      <c r="A36" t="s">
        <v>57</v>
      </c>
      <c r="B36" s="15"/>
      <c r="C36" s="15"/>
      <c r="D36" s="15"/>
      <c r="E36" s="15"/>
      <c r="F36" s="15"/>
    </row>
    <row r="37" spans="1:6" x14ac:dyDescent="0.35">
      <c r="A37" s="32" t="s">
        <v>26</v>
      </c>
      <c r="B37" s="21">
        <f>B4/(1+((B1/360)*B4))</f>
        <v>8.049289476299315E-2</v>
      </c>
      <c r="C37" s="21">
        <f t="shared" ref="C37:F37" si="14">C4/(1+((C1/360)*C4))</f>
        <v>7.9278771151826036E-2</v>
      </c>
      <c r="D37" s="21">
        <f t="shared" si="14"/>
        <v>7.7259652651876703E-2</v>
      </c>
      <c r="E37" s="21">
        <f t="shared" si="14"/>
        <v>7.6829032089468882E-2</v>
      </c>
      <c r="F37" s="21">
        <f t="shared" si="14"/>
        <v>7.2459645070069939E-2</v>
      </c>
    </row>
    <row r="40" spans="1:6" x14ac:dyDescent="0.35">
      <c r="A40" s="14" t="s">
        <v>31</v>
      </c>
      <c r="B40" s="22">
        <f>B3*(1-((B1/360)*B37))</f>
        <v>9.9373944151843379</v>
      </c>
      <c r="C40" s="22">
        <f t="shared" ref="C40:F40" si="15">C3*(1-((C1/360)*C37))</f>
        <v>9.7996008840328841</v>
      </c>
      <c r="D40" s="22">
        <f t="shared" si="15"/>
        <v>9.6094095338155121</v>
      </c>
      <c r="E40" s="22">
        <f t="shared" si="15"/>
        <v>9.2231731199842599</v>
      </c>
      <c r="F40" s="22">
        <f t="shared" si="15"/>
        <v>8.5347049552496976</v>
      </c>
    </row>
    <row r="41" spans="1:6" x14ac:dyDescent="0.35">
      <c r="A41" t="s">
        <v>36</v>
      </c>
      <c r="B41" s="9">
        <f>B5-B40</f>
        <v>-7.3944151843381434E-3</v>
      </c>
      <c r="C41" s="9">
        <f t="shared" ref="C41:F41" si="16">C5-C40</f>
        <v>-9.6008840328849487E-3</v>
      </c>
      <c r="D41" s="9">
        <f t="shared" si="16"/>
        <v>1.0590466184487113E-2</v>
      </c>
      <c r="E41" s="9">
        <f t="shared" si="16"/>
        <v>-3.1731199842592872E-3</v>
      </c>
      <c r="F41" s="9">
        <f t="shared" si="16"/>
        <v>3.5295044750302651E-2</v>
      </c>
    </row>
  </sheetData>
  <conditionalFormatting sqref="B8:F8">
    <cfRule type="top10" dxfId="1" priority="2" rank="1"/>
  </conditionalFormatting>
  <conditionalFormatting sqref="B10:E10">
    <cfRule type="top10" dxfId="0" priority="1" rank="1"/>
  </conditionalFormatting>
  <dataValidations disablePrompts="1" count="1">
    <dataValidation type="list" allowBlank="1" showInputMessage="1" showErrorMessage="1" sqref="S2" xr:uid="{3BAE45F2-4565-494B-85A9-25DF740E9315}">
      <formula1>$B$1:$F$1</formula1>
    </dataValidation>
  </dataValidations>
  <hyperlinks>
    <hyperlink ref="A11" r:id="rId1" location=":~:text=8.12-,8.10,-Mostrar%20elementos%20de " xr:uid="{D714335D-9567-4AEE-84D0-A96C7110231E}"/>
  </hyperlink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21C49-4235-4D80-94AA-3426F0AE7697}">
  <dimension ref="A1:C3"/>
  <sheetViews>
    <sheetView workbookViewId="0">
      <selection activeCell="D12" sqref="D12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s="25" t="s">
        <v>41</v>
      </c>
      <c r="B2" s="25" t="s">
        <v>42</v>
      </c>
      <c r="C2" s="25" t="s">
        <v>43</v>
      </c>
    </row>
    <row r="3" spans="1:3" x14ac:dyDescent="0.35">
      <c r="A3" s="25" t="s">
        <v>44</v>
      </c>
      <c r="B3" s="25" t="s">
        <v>45</v>
      </c>
      <c r="C3" s="25" t="s">
        <v>46</v>
      </c>
    </row>
  </sheetData>
  <pageMargins left="0.7" right="0.7" top="0.75" bottom="0.75" header="0.3" footer="0.3"/>
  <pageSetup orientation="portrait" horizontalDpi="300" verticalDpi="0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CEEDA-6AB7-4CC7-B365-90EE9491A969}">
  <dimension ref="A1:C3"/>
  <sheetViews>
    <sheetView workbookViewId="0">
      <selection activeCell="B2" sqref="B2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s="25" t="s">
        <v>41</v>
      </c>
      <c r="B2" s="25" t="s">
        <v>42</v>
      </c>
      <c r="C2" s="25" t="s">
        <v>43</v>
      </c>
    </row>
    <row r="3" spans="1:3" x14ac:dyDescent="0.35">
      <c r="A3" s="25" t="s">
        <v>47</v>
      </c>
      <c r="B3" s="25" t="s">
        <v>48</v>
      </c>
      <c r="C3" s="25" t="s">
        <v>49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467A5-9EFE-4B17-BD81-02C118EC26A0}">
  <dimension ref="A1:C3"/>
  <sheetViews>
    <sheetView workbookViewId="0">
      <selection activeCell="B3" sqref="B3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s="25" t="s">
        <v>41</v>
      </c>
      <c r="B2" s="25" t="s">
        <v>42</v>
      </c>
      <c r="C2" s="25" t="s">
        <v>43</v>
      </c>
    </row>
    <row r="3" spans="1:3" x14ac:dyDescent="0.35">
      <c r="A3" s="25" t="s">
        <v>50</v>
      </c>
      <c r="B3" s="25" t="s">
        <v>45</v>
      </c>
      <c r="C3" s="25" t="s">
        <v>51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E0AAC-2CE9-462E-9C3E-86CBA4B9EDE8}">
  <dimension ref="A1:C3"/>
  <sheetViews>
    <sheetView workbookViewId="0">
      <selection activeCell="C2" sqref="C2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s="25" t="s">
        <v>41</v>
      </c>
      <c r="B2" s="25" t="s">
        <v>42</v>
      </c>
      <c r="C2" s="25" t="s">
        <v>43</v>
      </c>
    </row>
    <row r="3" spans="1:3" x14ac:dyDescent="0.35">
      <c r="A3" s="25" t="s">
        <v>27</v>
      </c>
      <c r="B3" s="25" t="s">
        <v>52</v>
      </c>
      <c r="C3" s="25" t="s">
        <v>27</v>
      </c>
    </row>
  </sheetData>
  <pageMargins left="0.7" right="0.7" top="0.75" bottom="0.75" header="0.3" footer="0.3"/>
  <pageSetup orientation="portrait" horizontalDpi="300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29CA-F874-42D9-8015-D3A73A8358A2}">
  <dimension ref="A1:C3"/>
  <sheetViews>
    <sheetView workbookViewId="0">
      <selection activeCell="A3" sqref="A3"/>
    </sheetView>
  </sheetViews>
  <sheetFormatPr defaultRowHeight="14.5" x14ac:dyDescent="0.35"/>
  <cols>
    <col min="1" max="3" width="10.7265625" bestFit="1" customWidth="1"/>
  </cols>
  <sheetData>
    <row r="1" spans="1:3" x14ac:dyDescent="0.35">
      <c r="A1" t="s">
        <v>38</v>
      </c>
      <c r="B1" t="s">
        <v>39</v>
      </c>
      <c r="C1" t="s">
        <v>40</v>
      </c>
    </row>
    <row r="2" spans="1:3" x14ac:dyDescent="0.35">
      <c r="A2" s="25" t="s">
        <v>41</v>
      </c>
      <c r="B2" s="25" t="s">
        <v>42</v>
      </c>
      <c r="C2" s="25" t="s">
        <v>43</v>
      </c>
    </row>
    <row r="3" spans="1:3" x14ac:dyDescent="0.35">
      <c r="A3" s="25" t="s">
        <v>53</v>
      </c>
      <c r="B3" s="25" t="s">
        <v>27</v>
      </c>
      <c r="C3" s="25" t="s">
        <v>54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FA90A8-62EF-4153-B9C5-9FA98C042B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CETES</vt:lpstr>
      <vt:lpstr>28dias</vt:lpstr>
      <vt:lpstr>91dias</vt:lpstr>
      <vt:lpstr>182dias</vt:lpstr>
      <vt:lpstr>364dias</vt:lpstr>
      <vt:lpstr>728dias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 Garcia</dc:creator>
  <cp:lastModifiedBy>Enrique Garcia</cp:lastModifiedBy>
  <dcterms:created xsi:type="dcterms:W3CDTF">2025-06-06T02:14:52Z</dcterms:created>
  <dcterms:modified xsi:type="dcterms:W3CDTF">2025-06-06T07:26:52Z</dcterms:modified>
</cp:coreProperties>
</file>