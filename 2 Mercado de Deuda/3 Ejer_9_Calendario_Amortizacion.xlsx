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egarcia\Desktop\AXM_Courses\Finance\2 Mercado de Deuda\"/>
    </mc:Choice>
  </mc:AlternateContent>
  <xr:revisionPtr revIDLastSave="0" documentId="13_ncr:1_{F683CCE0-9DF5-4CB9-8371-543325C7DE9B}" xr6:coauthVersionLast="47" xr6:coauthVersionMax="47" xr10:uidLastSave="{00000000-0000-0000-0000-000000000000}"/>
  <bookViews>
    <workbookView xWindow="-3570" yWindow="-16335" windowWidth="29040" windowHeight="15840" xr2:uid="{00000000-000D-0000-FFFF-FFFF00000000}"/>
  </bookViews>
  <sheets>
    <sheet name="Ejercicio_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C6" i="1"/>
  <c r="G5" i="1"/>
  <c r="G18" i="1" s="1"/>
  <c r="J4" i="1"/>
  <c r="I5" i="1" s="1"/>
  <c r="J5" i="1" s="1"/>
  <c r="G15" i="1" l="1"/>
  <c r="G17" i="1"/>
  <c r="G16" i="1"/>
  <c r="G14" i="1"/>
  <c r="G11" i="1"/>
  <c r="G22" i="1"/>
  <c r="G10" i="1"/>
  <c r="G6" i="1"/>
  <c r="G24" i="1"/>
  <c r="G23" i="1"/>
  <c r="G21" i="1"/>
  <c r="G9" i="1"/>
  <c r="G13" i="1"/>
  <c r="G12" i="1"/>
  <c r="G20" i="1"/>
  <c r="G8" i="1"/>
  <c r="G19" i="1"/>
  <c r="G7" i="1"/>
  <c r="H6" i="1"/>
  <c r="I6" i="1" l="1"/>
  <c r="J6" i="1" s="1"/>
  <c r="H7" i="1" s="1"/>
  <c r="I7" i="1" s="1"/>
  <c r="J7" i="1" s="1"/>
  <c r="H8" i="1" s="1"/>
  <c r="I8" i="1" s="1"/>
  <c r="J8" i="1" s="1"/>
  <c r="H9" i="1" s="1"/>
  <c r="I9" i="1" s="1"/>
  <c r="J9" i="1" s="1"/>
  <c r="H10" i="1" l="1"/>
  <c r="I10" i="1" s="1"/>
  <c r="J10" i="1" s="1"/>
  <c r="H11" i="1" l="1"/>
  <c r="I11" i="1" s="1"/>
  <c r="J11" i="1" s="1"/>
  <c r="H12" i="1" l="1"/>
  <c r="I12" i="1" s="1"/>
  <c r="J12" i="1" s="1"/>
  <c r="H13" i="1" l="1"/>
  <c r="I13" i="1" s="1"/>
  <c r="J13" i="1" s="1"/>
  <c r="H14" i="1" l="1"/>
  <c r="I14" i="1" s="1"/>
  <c r="J14" i="1" s="1"/>
  <c r="H15" i="1" l="1"/>
  <c r="I15" i="1" s="1"/>
  <c r="J15" i="1" s="1"/>
  <c r="H16" i="1" l="1"/>
  <c r="I16" i="1" s="1"/>
  <c r="J16" i="1" s="1"/>
  <c r="H17" i="1" l="1"/>
  <c r="I17" i="1" s="1"/>
  <c r="J17" i="1" s="1"/>
  <c r="H18" i="1" l="1"/>
  <c r="I18" i="1" s="1"/>
  <c r="J18" i="1" s="1"/>
  <c r="H19" i="1" l="1"/>
  <c r="I19" i="1" s="1"/>
  <c r="J19" i="1" s="1"/>
  <c r="H20" i="1" l="1"/>
  <c r="I20" i="1" s="1"/>
  <c r="J20" i="1" s="1"/>
  <c r="H21" i="1" l="1"/>
  <c r="I21" i="1" s="1"/>
  <c r="J21" i="1" s="1"/>
  <c r="H22" i="1" l="1"/>
  <c r="I22" i="1" s="1"/>
  <c r="J22" i="1" s="1"/>
  <c r="H23" i="1" l="1"/>
  <c r="I23" i="1" s="1"/>
  <c r="J23" i="1" s="1"/>
  <c r="H24" i="1" l="1"/>
  <c r="I24" i="1" s="1"/>
  <c r="J24" i="1" s="1"/>
</calcChain>
</file>

<file path=xl/sharedStrings.xml><?xml version="1.0" encoding="utf-8"?>
<sst xmlns="http://schemas.openxmlformats.org/spreadsheetml/2006/main" count="18" uniqueCount="17">
  <si>
    <t>tasa de interes</t>
  </si>
  <si>
    <t>primer cupon</t>
  </si>
  <si>
    <t>tasa crecimiento cupon</t>
  </si>
  <si>
    <t>Precio del Bono</t>
  </si>
  <si>
    <t>Valor de Redencion</t>
  </si>
  <si>
    <t>Periodo</t>
  </si>
  <si>
    <t>Cupon</t>
  </si>
  <si>
    <t>Intereses</t>
  </si>
  <si>
    <t>Principal</t>
  </si>
  <si>
    <t>Valor en Libros</t>
  </si>
  <si>
    <t>&lt;- hasta aqui el cupon empezo a cubrir intereses y generar un poco de amortizacion</t>
  </si>
  <si>
    <t>-&gt; Valor de Redencion</t>
  </si>
  <si>
    <t>annual</t>
  </si>
  <si>
    <t>Ejercicio 9</t>
  </si>
  <si>
    <r>
      <t xml:space="preserve">-&gt; </t>
    </r>
    <r>
      <rPr>
        <b/>
        <sz val="11"/>
        <color theme="1"/>
        <rFont val="Aptos Narrow"/>
        <family val="2"/>
      </rPr>
      <t xml:space="preserve">Book Value </t>
    </r>
    <r>
      <rPr>
        <sz val="11"/>
        <color theme="1"/>
        <rFont val="Aptos Narrow"/>
        <family val="2"/>
      </rPr>
      <t xml:space="preserve">del Bono luego de 5 años , </t>
    </r>
    <r>
      <rPr>
        <b/>
        <sz val="11"/>
        <color theme="1"/>
        <rFont val="Aptos Narrow"/>
        <family val="2"/>
      </rPr>
      <t>B</t>
    </r>
    <r>
      <rPr>
        <b/>
        <sz val="8"/>
        <color theme="1"/>
        <rFont val="Aptos Narrow"/>
        <family val="2"/>
      </rPr>
      <t>5</t>
    </r>
  </si>
  <si>
    <t>numero de periododos</t>
  </si>
  <si>
    <t>Ejercicio 9: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</si>
</sst>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8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2" fillId="0" borderId="0" xfId="0" applyFont="1" applyFill="1" applyAlignment="1">
      <alignment horizontal="center"/>
    </xf>
    <xf numFmtId="0" fontId="4" fillId="0" borderId="0" xfId="0" applyFont="1"/>
    <xf numFmtId="10" fontId="3" fillId="0" borderId="0" xfId="2" applyNumberFormat="1" applyFont="1" applyAlignment="1">
      <alignment horizontal="right" vertical="center"/>
    </xf>
    <xf numFmtId="0" fontId="4" fillId="0" borderId="1" xfId="0" applyFont="1" applyBorder="1" applyAlignment="1">
      <alignment horizontal="center"/>
    </xf>
    <xf numFmtId="44" fontId="3" fillId="0" borderId="0" xfId="1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44" fontId="3" fillId="0" borderId="1" xfId="1" applyNumberFormat="1" applyFont="1" applyBorder="1"/>
    <xf numFmtId="8" fontId="3" fillId="0" borderId="1" xfId="1" applyNumberFormat="1" applyFont="1" applyBorder="1"/>
    <xf numFmtId="6" fontId="3" fillId="0" borderId="0" xfId="0" applyNumberFormat="1" applyFont="1"/>
    <xf numFmtId="0" fontId="3" fillId="0" borderId="0" xfId="0" applyFont="1" applyAlignment="1">
      <alignment horizontal="right" vertical="center"/>
    </xf>
    <xf numFmtId="0" fontId="3" fillId="0" borderId="0" xfId="0" quotePrefix="1" applyFont="1"/>
    <xf numFmtId="44" fontId="3" fillId="3" borderId="1" xfId="1" applyNumberFormat="1" applyFont="1" applyFill="1" applyBorder="1"/>
    <xf numFmtId="0" fontId="2" fillId="2" borderId="0" xfId="0" applyFont="1" applyFill="1" applyAlignment="1">
      <alignment horizontal="center"/>
    </xf>
    <xf numFmtId="44" fontId="3" fillId="0" borderId="0" xfId="0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66674</xdr:colOff>
      <xdr:row>25</xdr:row>
      <xdr:rowOff>69849</xdr:rowOff>
    </xdr:from>
    <xdr:to>
      <xdr:col>6</xdr:col>
      <xdr:colOff>536228</xdr:colOff>
      <xdr:row>33</xdr:row>
      <xdr:rowOff>155574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BDED5F-4A05-3B00-C3CE-7A62BCB7A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4" y="4556124"/>
          <a:ext cx="4441479" cy="1533525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oneCellAnchor>
    <xdr:from>
      <xdr:col>0</xdr:col>
      <xdr:colOff>152400</xdr:colOff>
      <xdr:row>8</xdr:row>
      <xdr:rowOff>105251</xdr:rowOff>
    </xdr:from>
    <xdr:ext cx="3048000" cy="14543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25D495B-362E-81C0-9461-45471FF82195}"/>
                </a:ext>
              </a:extLst>
            </xdr:cNvPr>
            <xdr:cNvSpPr txBox="1"/>
          </xdr:nvSpPr>
          <xdr:spPr>
            <a:xfrm>
              <a:off x="152400" y="1514951"/>
              <a:ext cx="3048000" cy="1454309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endParaRPr lang="en-US" sz="1050" b="0" i="1">
                <a:latin typeface="Cambria Math" panose="02040503050406030204" pitchFamily="18" charset="0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50" b="0" i="1">
                        <a:latin typeface="Cambria Math" panose="02040503050406030204" pitchFamily="18" charset="0"/>
                      </a:rPr>
                      <m:t>𝑃</m:t>
                    </m:r>
                    <m:r>
                      <a:rPr lang="en-US" sz="105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050" b="0" i="1">
                        <a:latin typeface="Cambria Math" panose="02040503050406030204" pitchFamily="18" charset="0"/>
                      </a:rPr>
                      <m:t>𝑝𝑟𝑖𝑚𝑒</m:t>
                    </m:r>
                    <m:sSub>
                      <m:sSubPr>
                        <m:ctrlPr>
                          <a:rPr lang="en-US" sz="105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5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050" b="0" i="1">
                            <a:latin typeface="Cambria Math" panose="02040503050406030204" pitchFamily="18" charset="0"/>
                          </a:rPr>
                          <m:t>𝑐𝑢𝑝𝑜𝑛</m:t>
                        </m:r>
                      </m:sub>
                    </m:sSub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d>
                      <m:dPr>
                        <m:begChr m:val="["/>
                        <m:endChr m:val="]"/>
                        <m:ctrlPr>
                          <a:rPr lang="en-US" sz="105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05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05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1−</m:t>
                            </m:r>
                            <m:sSup>
                              <m:sSupPr>
                                <m:ctrlPr>
                                  <a:rPr lang="en-US" sz="105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US" sz="105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f>
                                      <m:fPr>
                                        <m:ctrlPr>
                                          <a:rPr lang="en-US" sz="105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lang="en-US" sz="105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1+</m:t>
                                        </m:r>
                                        <m:r>
                                          <a:rPr lang="en-US" sz="105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𝑘</m:t>
                                        </m:r>
                                      </m:num>
                                      <m:den>
                                        <m:r>
                                          <a:rPr lang="en-US" sz="105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1+</m:t>
                                        </m:r>
                                        <m:r>
                                          <a:rPr lang="en-US" sz="105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den>
                                    </m:f>
                                  </m:e>
                                </m:d>
                              </m:e>
                              <m:sup>
                                <m:r>
                                  <a:rPr lang="en-US" sz="105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𝑛</m:t>
                                </m:r>
                              </m:sup>
                            </m:sSup>
                          </m:num>
                          <m:den>
                            <m:r>
                              <a:rPr lang="en-US" sz="105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sz="105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05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𝑘</m:t>
                            </m:r>
                          </m:den>
                        </m:f>
                      </m:e>
                    </m:d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sSup>
                      <m:sSupPr>
                        <m:ctrlPr>
                          <a:rPr lang="en-US" sz="105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05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𝑉</m:t>
                        </m:r>
                      </m:e>
                      <m:sup>
                        <m:r>
                          <a:rPr lang="en-US" sz="105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sup>
                    </m:sSup>
                  </m:oMath>
                  <m:oMath xmlns:m="http://schemas.openxmlformats.org/officeDocument/2006/math"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𝑉𝑎𝑙𝑜𝑟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𝑑𝑒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𝑅𝑒𝑑𝑒𝑛𝑐𝑖𝑜𝑛</m:t>
                    </m:r>
                  </m:oMath>
                  <m:oMath xmlns:m="http://schemas.openxmlformats.org/officeDocument/2006/math">
                    <m:sSup>
                      <m:sSupPr>
                        <m:ctrlPr>
                          <a:rPr lang="en-US" sz="105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05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𝑉</m:t>
                        </m:r>
                      </m:e>
                      <m:sup>
                        <m:r>
                          <a:rPr lang="en-US" sz="105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sup>
                    </m:sSup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𝑉𝑎𝑙𝑜𝑟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𝑝𝑟𝑒𝑠𝑒𝑛𝑡𝑒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𝑑𝑒𝑠𝑑𝑒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𝑒𝑙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𝑡𝑖𝑒𝑚𝑝𝑜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𝑛</m:t>
                    </m:r>
                  </m:oMath>
                  <m:oMath xmlns:m="http://schemas.openxmlformats.org/officeDocument/2006/math"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𝑘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𝑡𝑎𝑠𝑎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𝑑𝑒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𝑐𝑟𝑒𝑐𝑖𝑚𝑖𝑒𝑛𝑡𝑜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sz="105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05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𝑔𝑒𝑜𝑚𝑒𝑡𝑟𝑖𝑐𝑜</m:t>
                        </m:r>
                      </m:e>
                    </m:d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𝑑𝑒𝑙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𝑐𝑢𝑝𝑜𝑛</m:t>
                    </m:r>
                  </m:oMath>
                  <m:oMath xmlns:m="http://schemas.openxmlformats.org/officeDocument/2006/math"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𝑖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𝑡𝑎𝑠𝑎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𝑑𝑒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𝑖𝑛𝑡𝑒𝑟𝑒𝑠</m:t>
                    </m:r>
                  </m:oMath>
                </m:oMathPara>
              </a14:m>
              <a:endParaRPr lang="en-US" sz="2400"/>
            </a:p>
            <a:p>
              <a:endParaRPr lang="en-US" sz="8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25D495B-362E-81C0-9461-45471FF82195}"/>
                </a:ext>
              </a:extLst>
            </xdr:cNvPr>
            <xdr:cNvSpPr txBox="1"/>
          </xdr:nvSpPr>
          <xdr:spPr>
            <a:xfrm>
              <a:off x="152400" y="1514951"/>
              <a:ext cx="3048000" cy="1454309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endParaRPr lang="en-US" sz="1050" b="0" i="1">
                <a:latin typeface="Cambria Math" panose="02040503050406030204" pitchFamily="18" charset="0"/>
              </a:endParaRPr>
            </a:p>
            <a:p>
              <a:r>
                <a:rPr lang="en-US" sz="1050" b="0" i="0">
                  <a:latin typeface="Cambria Math" panose="02040503050406030204" pitchFamily="18" charset="0"/>
                </a:rPr>
                <a:t>𝑃=𝑝𝑟𝑖𝑚𝑒𝑟_𝑐𝑢𝑝𝑜𝑛</a:t>
              </a:r>
              <a:r>
                <a:rPr lang="en-US" sz="105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∙[(1−((1+𝑘)/(1+𝑖))^𝑛)/(𝑖−𝑘)]+𝐶∙𝑉^𝑛</a:t>
              </a:r>
              <a:br>
                <a:rPr lang="en-US" sz="1050" b="0">
                  <a:ea typeface="Cambria Math" panose="02040503050406030204" pitchFamily="18" charset="0"/>
                </a:rPr>
              </a:br>
              <a:r>
                <a:rPr lang="en-US" sz="105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𝐶=𝑉𝑎𝑙𝑜𝑟 𝑑𝑒 𝑅𝑒𝑑𝑒𝑛𝑐𝑖𝑜𝑛</a:t>
              </a:r>
              <a:br>
                <a:rPr lang="en-US" sz="1050" b="0">
                  <a:ea typeface="Cambria Math" panose="02040503050406030204" pitchFamily="18" charset="0"/>
                </a:rPr>
              </a:br>
              <a:r>
                <a:rPr lang="en-US" sz="105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𝑉^𝑛=𝑉𝑎𝑙𝑜𝑟 𝑝𝑟𝑒𝑠𝑒𝑛𝑡𝑒 𝑑𝑒𝑠𝑑𝑒 𝑒𝑙 𝑡𝑖𝑒𝑚𝑝𝑜 𝑛</a:t>
              </a:r>
              <a:br>
                <a:rPr lang="en-US" sz="1050" b="0">
                  <a:ea typeface="Cambria Math" panose="02040503050406030204" pitchFamily="18" charset="0"/>
                </a:rPr>
              </a:br>
              <a:r>
                <a:rPr lang="en-US" sz="105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𝑘=𝑡𝑎𝑠𝑎 𝑑𝑒 𝑐𝑟𝑒𝑐𝑖𝑚𝑖𝑒𝑛𝑡𝑜 (𝑔𝑒𝑜𝑚𝑒𝑡𝑟𝑖𝑐𝑜)𝑑𝑒𝑙 𝑐𝑢𝑝𝑜𝑛</a:t>
              </a:r>
              <a:br>
                <a:rPr lang="en-US" sz="1050" b="0">
                  <a:ea typeface="Cambria Math" panose="02040503050406030204" pitchFamily="18" charset="0"/>
                </a:rPr>
              </a:br>
              <a:r>
                <a:rPr lang="en-US" sz="105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𝑖=𝑡𝑎𝑠𝑎 𝑑𝑒 𝑖𝑛𝑡𝑒𝑟𝑒𝑠</a:t>
              </a:r>
              <a:endParaRPr lang="en-US" sz="2400"/>
            </a:p>
            <a:p>
              <a:endParaRPr lang="en-US" sz="800"/>
            </a:p>
          </xdr:txBody>
        </xdr:sp>
      </mc:Fallback>
    </mc:AlternateContent>
    <xdr:clientData/>
  </xdr:oneCellAnchor>
  <xdr:twoCellAnchor>
    <xdr:from>
      <xdr:col>1</xdr:col>
      <xdr:colOff>1428750</xdr:colOff>
      <xdr:row>5</xdr:row>
      <xdr:rowOff>85725</xdr:rowOff>
    </xdr:from>
    <xdr:to>
      <xdr:col>2</xdr:col>
      <xdr:colOff>85725</xdr:colOff>
      <xdr:row>8</xdr:row>
      <xdr:rowOff>102076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7638EA6-D436-66A8-2546-CED9748D4425}"/>
            </a:ext>
          </a:extLst>
        </xdr:cNvPr>
        <xdr:cNvCxnSpPr>
          <a:stCxn id="2" idx="0"/>
        </xdr:cNvCxnSpPr>
      </xdr:nvCxnSpPr>
      <xdr:spPr>
        <a:xfrm flipV="1">
          <a:off x="1676400" y="952500"/>
          <a:ext cx="219075" cy="55927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5"/>
  <sheetViews>
    <sheetView tabSelected="1" workbookViewId="0">
      <selection activeCell="W20" sqref="W20"/>
    </sheetView>
  </sheetViews>
  <sheetFormatPr defaultRowHeight="14.5" x14ac:dyDescent="0.35"/>
  <cols>
    <col min="1" max="1" width="3.54296875" style="1" customWidth="1"/>
    <col min="2" max="2" width="22.36328125" style="1" customWidth="1"/>
    <col min="3" max="3" width="10.08984375" style="1" bestFit="1" customWidth="1"/>
    <col min="4" max="4" width="10.36328125" style="1" customWidth="1"/>
    <col min="5" max="5" width="6.6328125" style="1" customWidth="1"/>
    <col min="6" max="6" width="7.36328125" style="1" bestFit="1" customWidth="1"/>
    <col min="7" max="8" width="8.6328125" style="1" bestFit="1" customWidth="1"/>
    <col min="9" max="9" width="8.26953125" style="1" bestFit="1" customWidth="1"/>
    <col min="10" max="10" width="13.36328125" style="1" bestFit="1" customWidth="1"/>
    <col min="11" max="16384" width="8.7265625" style="1"/>
  </cols>
  <sheetData>
    <row r="1" spans="2:11" x14ac:dyDescent="0.35">
      <c r="B1" s="14" t="s">
        <v>13</v>
      </c>
      <c r="C1" s="14"/>
      <c r="D1" s="14"/>
      <c r="E1" s="14"/>
      <c r="F1" s="14"/>
      <c r="G1" s="14"/>
      <c r="H1" s="14"/>
      <c r="I1" s="14"/>
      <c r="J1" s="14"/>
    </row>
    <row r="2" spans="2:11" ht="11.5" customHeight="1" x14ac:dyDescent="0.35">
      <c r="B2" s="2"/>
      <c r="C2" s="2"/>
      <c r="D2" s="2"/>
      <c r="E2" s="2"/>
      <c r="F2" s="2"/>
      <c r="G2" s="2"/>
      <c r="H2" s="2"/>
      <c r="I2" s="2"/>
      <c r="J2" s="2"/>
    </row>
    <row r="3" spans="2:11" x14ac:dyDescent="0.35">
      <c r="B3" s="3" t="s">
        <v>0</v>
      </c>
      <c r="C3" s="4">
        <v>8.2500000000000004E-2</v>
      </c>
      <c r="D3" s="1" t="s">
        <v>12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2:11" x14ac:dyDescent="0.35">
      <c r="B4" s="3" t="s">
        <v>1</v>
      </c>
      <c r="C4" s="6">
        <v>75</v>
      </c>
      <c r="F4" s="7">
        <v>0</v>
      </c>
      <c r="G4" s="8">
        <v>0</v>
      </c>
      <c r="H4" s="8">
        <v>0</v>
      </c>
      <c r="I4" s="8">
        <v>0</v>
      </c>
      <c r="J4" s="9">
        <f>C6</f>
        <v>1115.1140956513309</v>
      </c>
    </row>
    <row r="5" spans="2:11" x14ac:dyDescent="0.35">
      <c r="B5" s="3" t="s">
        <v>2</v>
      </c>
      <c r="C5" s="4">
        <v>0.03</v>
      </c>
      <c r="D5" s="1" t="s">
        <v>12</v>
      </c>
      <c r="F5" s="7">
        <v>1</v>
      </c>
      <c r="G5" s="8">
        <f>C4</f>
        <v>75</v>
      </c>
      <c r="H5" s="8">
        <f>J4*$C$3</f>
        <v>91.9969128912348</v>
      </c>
      <c r="I5" s="8">
        <f>G5-H5</f>
        <v>-16.9969128912348</v>
      </c>
      <c r="J5" s="8">
        <f>J4-I5</f>
        <v>1132.1110085425657</v>
      </c>
    </row>
    <row r="6" spans="2:11" x14ac:dyDescent="0.35">
      <c r="B6" s="3" t="s">
        <v>3</v>
      </c>
      <c r="C6" s="6">
        <f>C4*((1-((1+C5)/(1+C3))^C8))/(C3-C5)+C7*(1+C3)^-C8</f>
        <v>1115.1140956513309</v>
      </c>
      <c r="D6" s="10"/>
      <c r="F6" s="7">
        <v>2</v>
      </c>
      <c r="G6" s="8">
        <f t="shared" ref="G6:G24" si="0">$G$5*(1+$C$5)^F5</f>
        <v>77.25</v>
      </c>
      <c r="H6" s="8">
        <f t="shared" ref="H6:H24" si="1">J5*$C$3</f>
        <v>93.399158204761676</v>
      </c>
      <c r="I6" s="8">
        <f t="shared" ref="I6:I24" si="2">G6-H6</f>
        <v>-16.149158204761676</v>
      </c>
      <c r="J6" s="8">
        <f t="shared" ref="J6:J24" si="3">J5-I6</f>
        <v>1148.2601667473275</v>
      </c>
    </row>
    <row r="7" spans="2:11" x14ac:dyDescent="0.35">
      <c r="B7" s="3" t="s">
        <v>4</v>
      </c>
      <c r="C7" s="6">
        <v>1050</v>
      </c>
      <c r="F7" s="7">
        <v>3</v>
      </c>
      <c r="G7" s="8">
        <f t="shared" si="0"/>
        <v>79.567499999999995</v>
      </c>
      <c r="H7" s="8">
        <f t="shared" si="1"/>
        <v>94.73146375665452</v>
      </c>
      <c r="I7" s="8">
        <f t="shared" si="2"/>
        <v>-15.163963756654525</v>
      </c>
      <c r="J7" s="8">
        <f t="shared" si="3"/>
        <v>1163.424130503982</v>
      </c>
    </row>
    <row r="8" spans="2:11" x14ac:dyDescent="0.35">
      <c r="B8" s="3" t="s">
        <v>15</v>
      </c>
      <c r="C8" s="11">
        <v>20</v>
      </c>
      <c r="F8" s="7">
        <v>4</v>
      </c>
      <c r="G8" s="8">
        <f t="shared" si="0"/>
        <v>81.954525000000004</v>
      </c>
      <c r="H8" s="8">
        <f t="shared" si="1"/>
        <v>95.982490766578522</v>
      </c>
      <c r="I8" s="8">
        <f t="shared" si="2"/>
        <v>-14.027965766578518</v>
      </c>
      <c r="J8" s="8">
        <f t="shared" si="3"/>
        <v>1177.4520962705606</v>
      </c>
    </row>
    <row r="9" spans="2:11" x14ac:dyDescent="0.35">
      <c r="F9" s="7">
        <v>5</v>
      </c>
      <c r="G9" s="8">
        <f t="shared" si="0"/>
        <v>84.413160749999989</v>
      </c>
      <c r="H9" s="8">
        <f t="shared" si="1"/>
        <v>97.139797942321252</v>
      </c>
      <c r="I9" s="8">
        <f t="shared" si="2"/>
        <v>-12.726637192321263</v>
      </c>
      <c r="J9" s="8">
        <f t="shared" si="3"/>
        <v>1190.1787334628818</v>
      </c>
      <c r="K9" s="12" t="s">
        <v>14</v>
      </c>
    </row>
    <row r="10" spans="2:11" x14ac:dyDescent="0.35">
      <c r="F10" s="7">
        <v>6</v>
      </c>
      <c r="G10" s="8">
        <f t="shared" si="0"/>
        <v>86.945555572499984</v>
      </c>
      <c r="H10" s="8">
        <f t="shared" si="1"/>
        <v>98.189745510687757</v>
      </c>
      <c r="I10" s="8">
        <f t="shared" si="2"/>
        <v>-11.244189938187773</v>
      </c>
      <c r="J10" s="8">
        <f t="shared" si="3"/>
        <v>1201.4229234010695</v>
      </c>
    </row>
    <row r="11" spans="2:11" x14ac:dyDescent="0.35">
      <c r="F11" s="7">
        <v>7</v>
      </c>
      <c r="G11" s="8">
        <f t="shared" si="0"/>
        <v>89.553922239674989</v>
      </c>
      <c r="H11" s="8">
        <f t="shared" si="1"/>
        <v>99.117391180588243</v>
      </c>
      <c r="I11" s="8">
        <f t="shared" si="2"/>
        <v>-9.5634689409132534</v>
      </c>
      <c r="J11" s="8">
        <f t="shared" si="3"/>
        <v>1210.9863923419828</v>
      </c>
    </row>
    <row r="12" spans="2:11" x14ac:dyDescent="0.35">
      <c r="F12" s="7">
        <v>8</v>
      </c>
      <c r="G12" s="8">
        <f t="shared" si="0"/>
        <v>92.240539906865251</v>
      </c>
      <c r="H12" s="8">
        <f t="shared" si="1"/>
        <v>99.906377368213583</v>
      </c>
      <c r="I12" s="8">
        <f t="shared" si="2"/>
        <v>-7.6658374613483318</v>
      </c>
      <c r="J12" s="8">
        <f t="shared" si="3"/>
        <v>1218.652229803331</v>
      </c>
    </row>
    <row r="13" spans="2:11" x14ac:dyDescent="0.35">
      <c r="F13" s="7">
        <v>9</v>
      </c>
      <c r="G13" s="8">
        <f t="shared" si="0"/>
        <v>95.007756104071191</v>
      </c>
      <c r="H13" s="8">
        <f t="shared" si="1"/>
        <v>100.53880895877481</v>
      </c>
      <c r="I13" s="8">
        <f t="shared" si="2"/>
        <v>-5.5310528547036171</v>
      </c>
      <c r="J13" s="8">
        <f t="shared" si="3"/>
        <v>1224.1832826580346</v>
      </c>
    </row>
    <row r="14" spans="2:11" x14ac:dyDescent="0.35">
      <c r="F14" s="7">
        <v>10</v>
      </c>
      <c r="G14" s="8">
        <f t="shared" si="0"/>
        <v>97.857988787193335</v>
      </c>
      <c r="H14" s="8">
        <f t="shared" si="1"/>
        <v>100.99512081928786</v>
      </c>
      <c r="I14" s="8">
        <f t="shared" si="2"/>
        <v>-3.1371320320945273</v>
      </c>
      <c r="J14" s="8">
        <f t="shared" si="3"/>
        <v>1227.3204146901292</v>
      </c>
    </row>
    <row r="15" spans="2:11" x14ac:dyDescent="0.35">
      <c r="F15" s="7">
        <v>11</v>
      </c>
      <c r="G15" s="8">
        <f t="shared" si="0"/>
        <v>100.79372845080913</v>
      </c>
      <c r="H15" s="8">
        <f t="shared" si="1"/>
        <v>101.25393421193566</v>
      </c>
      <c r="I15" s="8">
        <f t="shared" si="2"/>
        <v>-0.46020576112653089</v>
      </c>
      <c r="J15" s="8">
        <f t="shared" si="3"/>
        <v>1227.7806204512558</v>
      </c>
    </row>
    <row r="16" spans="2:11" x14ac:dyDescent="0.35">
      <c r="F16" s="7">
        <v>12</v>
      </c>
      <c r="G16" s="8">
        <f t="shared" si="0"/>
        <v>103.81754030433341</v>
      </c>
      <c r="H16" s="8">
        <f t="shared" si="1"/>
        <v>101.2919011872286</v>
      </c>
      <c r="I16" s="8">
        <f t="shared" si="2"/>
        <v>2.5256391171048023</v>
      </c>
      <c r="J16" s="8">
        <f t="shared" si="3"/>
        <v>1225.2549813341509</v>
      </c>
      <c r="K16" s="1" t="s">
        <v>10</v>
      </c>
    </row>
    <row r="17" spans="2:11" x14ac:dyDescent="0.35">
      <c r="F17" s="7">
        <v>13</v>
      </c>
      <c r="G17" s="8">
        <f t="shared" si="0"/>
        <v>106.9320665134634</v>
      </c>
      <c r="H17" s="8">
        <f t="shared" si="1"/>
        <v>101.08353596006745</v>
      </c>
      <c r="I17" s="8">
        <f t="shared" si="2"/>
        <v>5.8485305533959462</v>
      </c>
      <c r="J17" s="8">
        <f t="shared" si="3"/>
        <v>1219.406450780755</v>
      </c>
    </row>
    <row r="18" spans="2:11" x14ac:dyDescent="0.35">
      <c r="F18" s="7">
        <v>14</v>
      </c>
      <c r="G18" s="8">
        <f t="shared" si="0"/>
        <v>110.14002850886729</v>
      </c>
      <c r="H18" s="8">
        <f t="shared" si="1"/>
        <v>100.60103218941229</v>
      </c>
      <c r="I18" s="8">
        <f t="shared" si="2"/>
        <v>9.5389963194549949</v>
      </c>
      <c r="J18" s="8">
        <f t="shared" si="3"/>
        <v>1209.8674544613</v>
      </c>
    </row>
    <row r="19" spans="2:11" x14ac:dyDescent="0.35">
      <c r="F19" s="7">
        <v>15</v>
      </c>
      <c r="G19" s="8">
        <f t="shared" si="0"/>
        <v>113.44422936413332</v>
      </c>
      <c r="H19" s="8">
        <f t="shared" si="1"/>
        <v>99.814064993057258</v>
      </c>
      <c r="I19" s="8">
        <f t="shared" si="2"/>
        <v>13.630164371076063</v>
      </c>
      <c r="J19" s="8">
        <f t="shared" si="3"/>
        <v>1196.237290090224</v>
      </c>
    </row>
    <row r="20" spans="2:11" x14ac:dyDescent="0.35">
      <c r="B20" s="15"/>
      <c r="F20" s="7">
        <v>16</v>
      </c>
      <c r="G20" s="8">
        <f t="shared" si="0"/>
        <v>116.84755624505733</v>
      </c>
      <c r="H20" s="8">
        <f t="shared" si="1"/>
        <v>98.689576432443474</v>
      </c>
      <c r="I20" s="8">
        <f t="shared" si="2"/>
        <v>18.15797981261386</v>
      </c>
      <c r="J20" s="8">
        <f t="shared" si="3"/>
        <v>1178.0793102776101</v>
      </c>
    </row>
    <row r="21" spans="2:11" x14ac:dyDescent="0.35">
      <c r="F21" s="7">
        <v>17</v>
      </c>
      <c r="G21" s="8">
        <f t="shared" si="0"/>
        <v>120.35298293240903</v>
      </c>
      <c r="H21" s="8">
        <f t="shared" si="1"/>
        <v>97.191543097902837</v>
      </c>
      <c r="I21" s="8">
        <f t="shared" si="2"/>
        <v>23.161439834506197</v>
      </c>
      <c r="J21" s="8">
        <f t="shared" si="3"/>
        <v>1154.917870443104</v>
      </c>
    </row>
    <row r="22" spans="2:11" x14ac:dyDescent="0.35">
      <c r="F22" s="7">
        <v>18</v>
      </c>
      <c r="G22" s="8">
        <f t="shared" si="0"/>
        <v>123.9635724203813</v>
      </c>
      <c r="H22" s="8">
        <f t="shared" si="1"/>
        <v>95.280724311556085</v>
      </c>
      <c r="I22" s="8">
        <f t="shared" si="2"/>
        <v>28.682848108825212</v>
      </c>
      <c r="J22" s="8">
        <f t="shared" si="3"/>
        <v>1126.2350223342787</v>
      </c>
    </row>
    <row r="23" spans="2:11" x14ac:dyDescent="0.35">
      <c r="F23" s="7">
        <v>19</v>
      </c>
      <c r="G23" s="8">
        <f t="shared" si="0"/>
        <v>127.68247959299275</v>
      </c>
      <c r="H23" s="8">
        <f t="shared" si="1"/>
        <v>92.914389342578005</v>
      </c>
      <c r="I23" s="8">
        <f t="shared" si="2"/>
        <v>34.768090250414744</v>
      </c>
      <c r="J23" s="8">
        <f t="shared" si="3"/>
        <v>1091.4669320838639</v>
      </c>
    </row>
    <row r="24" spans="2:11" x14ac:dyDescent="0.35">
      <c r="F24" s="7">
        <v>20</v>
      </c>
      <c r="G24" s="8">
        <f t="shared" si="0"/>
        <v>131.51295398078253</v>
      </c>
      <c r="H24" s="8">
        <f t="shared" si="1"/>
        <v>90.046021896918774</v>
      </c>
      <c r="I24" s="8">
        <f t="shared" si="2"/>
        <v>41.466932083863753</v>
      </c>
      <c r="J24" s="13">
        <f t="shared" si="3"/>
        <v>1050</v>
      </c>
      <c r="K24" s="12" t="s">
        <v>11</v>
      </c>
    </row>
    <row r="25" spans="2:11" x14ac:dyDescent="0.35">
      <c r="B25" s="1" t="s">
        <v>16</v>
      </c>
    </row>
  </sheetData>
  <mergeCells count="1">
    <mergeCell ref="B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Ejercicio_9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Garcia</dc:creator>
  <cp:lastModifiedBy>Enrique Garcia</cp:lastModifiedBy>
  <dcterms:created xsi:type="dcterms:W3CDTF">2015-06-05T18:17:20Z</dcterms:created>
  <dcterms:modified xsi:type="dcterms:W3CDTF">2025-06-05T05:07:32Z</dcterms:modified>
</cp:coreProperties>
</file>