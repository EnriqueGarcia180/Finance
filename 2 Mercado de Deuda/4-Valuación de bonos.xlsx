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arcia\Desktop\AXM_Courses\Finance\2 Mercado de Deuda\"/>
    </mc:Choice>
  </mc:AlternateContent>
  <xr:revisionPtr revIDLastSave="0" documentId="13_ncr:1_{B7FA8310-2385-4F8E-A63C-53FBF0AE0C38}" xr6:coauthVersionLast="47" xr6:coauthVersionMax="47" xr10:uidLastSave="{00000000-0000-0000-0000-000000000000}"/>
  <bookViews>
    <workbookView xWindow="-3570" yWindow="-16335" windowWidth="29040" windowHeight="15840" activeTab="1" xr2:uid="{69E54AC5-E202-4443-AFD4-FF68A61E0217}"/>
  </bookViews>
  <sheets>
    <sheet name="Tasa_Fija" sheetId="1" r:id="rId1"/>
    <sheet name="Tasa_Vari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2" l="1"/>
  <c r="L16" i="2"/>
  <c r="L15" i="2"/>
  <c r="L14" i="2"/>
  <c r="L13" i="2"/>
  <c r="L12" i="2"/>
  <c r="K12" i="2"/>
  <c r="K16" i="2"/>
  <c r="K15" i="2"/>
  <c r="K14" i="2"/>
  <c r="K13" i="2"/>
  <c r="I15" i="2"/>
  <c r="I14" i="2"/>
  <c r="I13" i="2"/>
  <c r="I12" i="2"/>
  <c r="I9" i="2"/>
  <c r="E7" i="2"/>
  <c r="E8" i="2" s="1"/>
  <c r="F5" i="2"/>
  <c r="F6" i="2"/>
  <c r="E23" i="1"/>
  <c r="D19" i="1"/>
  <c r="J5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12" i="2"/>
  <c r="E25" i="1"/>
  <c r="E26" i="1"/>
  <c r="E13" i="1"/>
  <c r="E14" i="1"/>
  <c r="E15" i="1"/>
  <c r="E17" i="1"/>
  <c r="E19" i="1"/>
  <c r="E12" i="1"/>
  <c r="D20" i="1"/>
  <c r="E20" i="1" s="1"/>
  <c r="D17" i="1"/>
  <c r="D16" i="1"/>
  <c r="D15" i="1"/>
  <c r="D14" i="1"/>
  <c r="D13" i="1"/>
  <c r="D12" i="1"/>
  <c r="D11" i="1"/>
  <c r="E11" i="1" s="1"/>
  <c r="D18" i="1"/>
  <c r="E18" i="1" s="1"/>
  <c r="C14" i="1"/>
  <c r="C15" i="1"/>
  <c r="C16" i="1"/>
  <c r="E16" i="1" s="1"/>
  <c r="C17" i="1"/>
  <c r="C18" i="1"/>
  <c r="C19" i="1"/>
  <c r="C20" i="1"/>
  <c r="C13" i="1"/>
  <c r="C12" i="1"/>
  <c r="C11" i="1"/>
  <c r="F7" i="2" l="1"/>
  <c r="E9" i="2"/>
  <c r="F8" i="2"/>
  <c r="F9" i="2"/>
  <c r="E10" i="2"/>
  <c r="M13" i="2"/>
  <c r="N13" i="2" s="1"/>
  <c r="I16" i="2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N12" i="2"/>
  <c r="E22" i="1"/>
  <c r="F10" i="2" l="1"/>
  <c r="E11" i="2"/>
  <c r="F11" i="2" l="1"/>
  <c r="E12" i="2"/>
  <c r="M14" i="2"/>
  <c r="N14" i="2" s="1"/>
  <c r="E13" i="2" l="1"/>
  <c r="F12" i="2"/>
  <c r="M15" i="2"/>
  <c r="N15" i="2" s="1"/>
  <c r="E14" i="2" l="1"/>
  <c r="F13" i="2"/>
  <c r="M16" i="2"/>
  <c r="N16" i="2" s="1"/>
  <c r="K17" i="2"/>
  <c r="E15" i="2" l="1"/>
  <c r="F14" i="2"/>
  <c r="K18" i="2"/>
  <c r="L17" i="2"/>
  <c r="M17" i="2" s="1"/>
  <c r="N17" i="2" s="1"/>
  <c r="F15" i="2" l="1"/>
  <c r="E16" i="2"/>
  <c r="K19" i="2"/>
  <c r="L18" i="2"/>
  <c r="M18" i="2" s="1"/>
  <c r="N18" i="2" s="1"/>
  <c r="F16" i="2" l="1"/>
  <c r="E17" i="2"/>
  <c r="K20" i="2"/>
  <c r="L19" i="2"/>
  <c r="M19" i="2" s="1"/>
  <c r="N19" i="2" s="1"/>
  <c r="F17" i="2" l="1"/>
  <c r="E18" i="2"/>
  <c r="K21" i="2"/>
  <c r="L20" i="2"/>
  <c r="M20" i="2" s="1"/>
  <c r="N20" i="2" s="1"/>
  <c r="E19" i="2" l="1"/>
  <c r="F18" i="2"/>
  <c r="K22" i="2"/>
  <c r="L21" i="2"/>
  <c r="M21" i="2" s="1"/>
  <c r="N21" i="2" s="1"/>
  <c r="E20" i="2" l="1"/>
  <c r="F19" i="2"/>
  <c r="K23" i="2"/>
  <c r="L22" i="2"/>
  <c r="M22" i="2" s="1"/>
  <c r="N22" i="2" s="1"/>
  <c r="E21" i="2" l="1"/>
  <c r="F20" i="2"/>
  <c r="K24" i="2"/>
  <c r="L23" i="2"/>
  <c r="M23" i="2" s="1"/>
  <c r="N23" i="2" s="1"/>
  <c r="E22" i="2" l="1"/>
  <c r="F21" i="2"/>
  <c r="K25" i="2"/>
  <c r="L24" i="2"/>
  <c r="M24" i="2" s="1"/>
  <c r="N24" i="2" s="1"/>
  <c r="E23" i="2" l="1"/>
  <c r="F22" i="2"/>
  <c r="K26" i="2"/>
  <c r="L25" i="2"/>
  <c r="M25" i="2" s="1"/>
  <c r="N25" i="2" s="1"/>
  <c r="E24" i="2" l="1"/>
  <c r="F23" i="2"/>
  <c r="K27" i="2"/>
  <c r="L26" i="2"/>
  <c r="M26" i="2" s="1"/>
  <c r="N26" i="2" s="1"/>
  <c r="F24" i="2" l="1"/>
  <c r="E25" i="2"/>
  <c r="K28" i="2"/>
  <c r="L27" i="2"/>
  <c r="M27" i="2" s="1"/>
  <c r="N27" i="2" s="1"/>
  <c r="E26" i="2" l="1"/>
  <c r="F25" i="2"/>
  <c r="K29" i="2"/>
  <c r="L28" i="2"/>
  <c r="M28" i="2" s="1"/>
  <c r="N28" i="2" s="1"/>
  <c r="E27" i="2" l="1"/>
  <c r="F26" i="2"/>
  <c r="K30" i="2"/>
  <c r="L29" i="2"/>
  <c r="M29" i="2" s="1"/>
  <c r="N29" i="2" s="1"/>
  <c r="E28" i="2" l="1"/>
  <c r="F27" i="2"/>
  <c r="K31" i="2"/>
  <c r="L30" i="2"/>
  <c r="M30" i="2" s="1"/>
  <c r="N30" i="2" s="1"/>
  <c r="E29" i="2" l="1"/>
  <c r="F28" i="2"/>
  <c r="K32" i="2"/>
  <c r="L31" i="2"/>
  <c r="M31" i="2" s="1"/>
  <c r="N31" i="2" s="1"/>
  <c r="F29" i="2" l="1"/>
  <c r="E30" i="2"/>
  <c r="K33" i="2"/>
  <c r="L32" i="2"/>
  <c r="M32" i="2" s="1"/>
  <c r="N32" i="2" s="1"/>
  <c r="F30" i="2" l="1"/>
  <c r="E31" i="2"/>
  <c r="K34" i="2"/>
  <c r="L33" i="2"/>
  <c r="M33" i="2" s="1"/>
  <c r="N33" i="2" s="1"/>
  <c r="E32" i="2" l="1"/>
  <c r="F31" i="2"/>
  <c r="K35" i="2"/>
  <c r="L34" i="2"/>
  <c r="M34" i="2" s="1"/>
  <c r="N34" i="2" s="1"/>
  <c r="E33" i="2" l="1"/>
  <c r="F32" i="2"/>
  <c r="K36" i="2"/>
  <c r="L35" i="2"/>
  <c r="M35" i="2" s="1"/>
  <c r="N35" i="2" s="1"/>
  <c r="E34" i="2" l="1"/>
  <c r="F33" i="2"/>
  <c r="K37" i="2"/>
  <c r="L36" i="2"/>
  <c r="M36" i="2" s="1"/>
  <c r="N36" i="2" s="1"/>
  <c r="F34" i="2" l="1"/>
  <c r="E35" i="2"/>
  <c r="K38" i="2"/>
  <c r="L37" i="2"/>
  <c r="M37" i="2" s="1"/>
  <c r="N37" i="2" s="1"/>
  <c r="E36" i="2" l="1"/>
  <c r="F35" i="2"/>
  <c r="K39" i="2"/>
  <c r="L38" i="2"/>
  <c r="M38" i="2" s="1"/>
  <c r="N38" i="2" s="1"/>
  <c r="E37" i="2" l="1"/>
  <c r="F36" i="2"/>
  <c r="K40" i="2"/>
  <c r="L39" i="2"/>
  <c r="M39" i="2" s="1"/>
  <c r="N39" i="2" s="1"/>
  <c r="F37" i="2" l="1"/>
  <c r="E38" i="2"/>
  <c r="K41" i="2"/>
  <c r="L40" i="2"/>
  <c r="M40" i="2" s="1"/>
  <c r="N40" i="2" s="1"/>
  <c r="F38" i="2" l="1"/>
  <c r="E39" i="2"/>
  <c r="K42" i="2"/>
  <c r="L41" i="2"/>
  <c r="M41" i="2" s="1"/>
  <c r="N41" i="2" s="1"/>
  <c r="F39" i="2" l="1"/>
  <c r="E40" i="2"/>
  <c r="K43" i="2"/>
  <c r="L42" i="2"/>
  <c r="M42" i="2" s="1"/>
  <c r="N42" i="2" s="1"/>
  <c r="E41" i="2" l="1"/>
  <c r="F40" i="2"/>
  <c r="K44" i="2"/>
  <c r="L43" i="2"/>
  <c r="M43" i="2" s="1"/>
  <c r="N43" i="2" s="1"/>
  <c r="F41" i="2" l="1"/>
  <c r="E42" i="2"/>
  <c r="K45" i="2"/>
  <c r="L44" i="2"/>
  <c r="M44" i="2" s="1"/>
  <c r="N44" i="2" s="1"/>
  <c r="F42" i="2" l="1"/>
  <c r="E43" i="2"/>
  <c r="K46" i="2"/>
  <c r="L45" i="2"/>
  <c r="M45" i="2" s="1"/>
  <c r="N45" i="2" s="1"/>
  <c r="E44" i="2" l="1"/>
  <c r="F43" i="2"/>
  <c r="K47" i="2"/>
  <c r="L46" i="2"/>
  <c r="M46" i="2" s="1"/>
  <c r="N46" i="2" s="1"/>
  <c r="E45" i="2" l="1"/>
  <c r="F45" i="2" s="1"/>
  <c r="F44" i="2"/>
  <c r="K48" i="2"/>
  <c r="L47" i="2"/>
  <c r="M47" i="2" s="1"/>
  <c r="N47" i="2" s="1"/>
  <c r="K49" i="2" l="1"/>
  <c r="L48" i="2"/>
  <c r="M48" i="2" s="1"/>
  <c r="N48" i="2" s="1"/>
  <c r="K50" i="2" l="1"/>
  <c r="L49" i="2"/>
  <c r="M49" i="2" s="1"/>
  <c r="N49" i="2" s="1"/>
  <c r="K51" i="2" l="1"/>
  <c r="L51" i="2" s="1"/>
  <c r="M51" i="2" s="1"/>
  <c r="N51" i="2" s="1"/>
  <c r="L50" i="2"/>
  <c r="M50" i="2" s="1"/>
  <c r="N50" i="2" s="1"/>
  <c r="N7" i="2" l="1"/>
</calcChain>
</file>

<file path=xl/sharedStrings.xml><?xml version="1.0" encoding="utf-8"?>
<sst xmlns="http://schemas.openxmlformats.org/spreadsheetml/2006/main" count="51" uniqueCount="47">
  <si>
    <t>Tasa cupón semestral ( r )</t>
  </si>
  <si>
    <t>Tasa de interés ( i )</t>
  </si>
  <si>
    <t>Periodos (n)</t>
  </si>
  <si>
    <t>Periodo</t>
  </si>
  <si>
    <t>Valor Presente</t>
  </si>
  <si>
    <t>Precio</t>
  </si>
  <si>
    <t>Precio t_0</t>
  </si>
  <si>
    <t>Precio t_0 (excel)</t>
  </si>
  <si>
    <t>Precio t_4</t>
  </si>
  <si>
    <t>Precio t_4 (excel)</t>
  </si>
  <si>
    <t>Nodo (dias)</t>
  </si>
  <si>
    <t>Nivel</t>
  </si>
  <si>
    <t>Curva de tasas de interés</t>
  </si>
  <si>
    <t>Valuación de Bonos Tasa Variable</t>
  </si>
  <si>
    <t>Valor nominal</t>
  </si>
  <si>
    <t>Fecha emision</t>
  </si>
  <si>
    <t>Fecha vencimiento</t>
  </si>
  <si>
    <t>Frecuencia cupón (N)</t>
  </si>
  <si>
    <t>Tasa Cupon (fija)</t>
  </si>
  <si>
    <t>Número de cupones</t>
  </si>
  <si>
    <t>Fecha del cupón</t>
  </si>
  <si>
    <t>PV</t>
  </si>
  <si>
    <t>Plazo acumulado</t>
  </si>
  <si>
    <t>Valor nominal ( F ) 'Face Value'</t>
  </si>
  <si>
    <t xml:space="preserve">Valuación de un Bono a Tasa Fija </t>
  </si>
  <si>
    <t>Valor de Redención ( C )</t>
  </si>
  <si>
    <t xml:space="preserve">Factor descuento ( V^n) </t>
  </si>
  <si>
    <t xml:space="preserve"> &lt;- Esta es anualizada</t>
  </si>
  <si>
    <t>Cash Flows</t>
  </si>
  <si>
    <r>
      <t xml:space="preserve"> Usando PV(). </t>
    </r>
    <r>
      <rPr>
        <sz val="8"/>
        <color theme="1"/>
        <rFont val="Aptos Narrow"/>
        <family val="2"/>
        <scheme val="minor"/>
      </rPr>
      <t>Los pagos de Cupones meterlos como negativos. Ultimo valor es 0 porque los pagos se hacen el final.</t>
    </r>
  </si>
  <si>
    <r>
      <t xml:space="preserve"> Por ejemplo: cupon t_5*(1+i)^-1,  entonces esta </t>
    </r>
    <r>
      <rPr>
        <b/>
        <sz val="8"/>
        <color theme="1"/>
        <rFont val="Aptos Narrow"/>
        <family val="2"/>
        <scheme val="minor"/>
      </rPr>
      <t>reutilizando</t>
    </r>
    <r>
      <rPr>
        <sz val="8"/>
        <color theme="1"/>
        <rFont val="Aptos Narrow"/>
        <family val="2"/>
        <scheme val="minor"/>
      </rPr>
      <t xml:space="preserve"> los </t>
    </r>
    <r>
      <rPr>
        <b/>
        <sz val="8"/>
        <color theme="1"/>
        <rFont val="Aptos Narrow"/>
        <family val="2"/>
        <scheme val="minor"/>
      </rPr>
      <t>Factores</t>
    </r>
    <r>
      <rPr>
        <sz val="8"/>
        <color theme="1"/>
        <rFont val="Aptos Narrow"/>
        <family val="2"/>
        <scheme val="minor"/>
      </rPr>
      <t xml:space="preserve"> </t>
    </r>
    <r>
      <rPr>
        <b/>
        <sz val="8"/>
        <color theme="1"/>
        <rFont val="Aptos Narrow"/>
        <family val="2"/>
        <scheme val="minor"/>
      </rPr>
      <t>de</t>
    </r>
    <r>
      <rPr>
        <sz val="8"/>
        <color theme="1"/>
        <rFont val="Aptos Narrow"/>
        <family val="2"/>
        <scheme val="minor"/>
      </rPr>
      <t xml:space="preserve"> </t>
    </r>
    <r>
      <rPr>
        <b/>
        <sz val="8"/>
        <color theme="1"/>
        <rFont val="Aptos Narrow"/>
        <family val="2"/>
        <scheme val="minor"/>
      </rPr>
      <t>Descuento</t>
    </r>
    <r>
      <rPr>
        <sz val="8"/>
        <color theme="1"/>
        <rFont val="Aptos Narrow"/>
        <family val="2"/>
        <scheme val="minor"/>
      </rPr>
      <t xml:space="preserve"> para 1 a 6 periodos</t>
    </r>
  </si>
  <si>
    <r>
      <t xml:space="preserve"> &lt;- Esta es anualizada. Esta es la </t>
    </r>
    <r>
      <rPr>
        <b/>
        <sz val="12"/>
        <color theme="1"/>
        <rFont val="Aptos Narrow"/>
        <family val="2"/>
        <scheme val="minor"/>
      </rPr>
      <t xml:space="preserve">Tasa Fija </t>
    </r>
    <r>
      <rPr>
        <sz val="12"/>
        <color theme="1"/>
        <rFont val="Aptos Narrow"/>
        <family val="2"/>
        <scheme val="minor"/>
      </rPr>
      <t>que va a ser la</t>
    </r>
    <r>
      <rPr>
        <b/>
        <sz val="12"/>
        <color theme="1"/>
        <rFont val="Aptos Narrow"/>
        <family val="2"/>
        <scheme val="minor"/>
      </rPr>
      <t xml:space="preserve"> misma durante todos los periodos.</t>
    </r>
  </si>
  <si>
    <t>Tasas Anualizadas</t>
  </si>
  <si>
    <t>Interpolacion</t>
  </si>
  <si>
    <t>(dada por el ejercicio)</t>
  </si>
  <si>
    <t>Curva de Tasas de Interes</t>
  </si>
  <si>
    <t>20 anios despues</t>
  </si>
  <si>
    <r>
      <t xml:space="preserve">dias o sea Pagos de Cupon </t>
    </r>
    <r>
      <rPr>
        <b/>
        <sz val="8"/>
        <color theme="1"/>
        <rFont val="Aptos Narrow"/>
        <family val="2"/>
        <scheme val="minor"/>
      </rPr>
      <t>Semestral</t>
    </r>
  </si>
  <si>
    <r>
      <t>Total: 40x182=</t>
    </r>
    <r>
      <rPr>
        <b/>
        <sz val="8"/>
        <color theme="1"/>
        <rFont val="Aptos Narrow"/>
        <family val="2"/>
        <scheme val="minor"/>
      </rPr>
      <t>7280</t>
    </r>
    <r>
      <rPr>
        <sz val="8"/>
        <color theme="1"/>
        <rFont val="Aptos Narrow"/>
        <family val="2"/>
        <scheme val="minor"/>
      </rPr>
      <t xml:space="preserve"> dias o 20 anios o 40 semestres.  [Basis] = </t>
    </r>
    <r>
      <rPr>
        <b/>
        <sz val="8"/>
        <color theme="1"/>
        <rFont val="Aptos Narrow"/>
        <family val="2"/>
        <scheme val="minor"/>
      </rPr>
      <t>2</t>
    </r>
    <r>
      <rPr>
        <sz val="8"/>
        <color theme="1"/>
        <rFont val="Aptos Narrow"/>
        <family val="2"/>
        <scheme val="minor"/>
      </rPr>
      <t xml:space="preserve">: </t>
    </r>
    <r>
      <rPr>
        <b/>
        <sz val="8"/>
        <color theme="1"/>
        <rFont val="Aptos Narrow"/>
        <family val="2"/>
        <scheme val="minor"/>
      </rPr>
      <t>real/360</t>
    </r>
    <r>
      <rPr>
        <sz val="8"/>
        <color theme="1"/>
        <rFont val="Aptos Narrow"/>
        <family val="2"/>
        <scheme val="minor"/>
      </rPr>
      <t xml:space="preserve">  "regla del banquero". El resultado de la funcion da anios y se multiplica por 2 porque son semestrales los cupones.</t>
    </r>
  </si>
  <si>
    <r>
      <t xml:space="preserve">Tasa Anualizada. Usar la "regla del banquero" = real/360 para sacar la </t>
    </r>
    <r>
      <rPr>
        <b/>
        <sz val="8"/>
        <color theme="1"/>
        <rFont val="Aptos Narrow"/>
        <family val="2"/>
        <scheme val="minor"/>
      </rPr>
      <t>tasa efectiva del periodo</t>
    </r>
    <r>
      <rPr>
        <sz val="8"/>
        <color theme="1"/>
        <rFont val="Aptos Narrow"/>
        <family val="2"/>
        <scheme val="minor"/>
      </rPr>
      <t>.</t>
    </r>
  </si>
  <si>
    <t>Factor de Descuento (V^n)</t>
  </si>
  <si>
    <t>Tasa interpolada (Anualizadas)</t>
  </si>
  <si>
    <t>Tasa de Interés (anualizada)</t>
  </si>
  <si>
    <t xml:space="preserve">Plazo </t>
  </si>
  <si>
    <t>(dias entre cupones)</t>
  </si>
  <si>
    <t>que le aplica justamente a los</t>
  </si>
  <si>
    <t>dias en que se pagan los cupones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</si>
</sst>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0000"/>
    <numFmt numFmtId="167" formatCode="0.0000"/>
    <numFmt numFmtId="168" formatCode="_-* #,##0.0000_-;\-* #,##0.0000_-;_-* &quot;-&quot;??_-;_-@_-"/>
    <numFmt numFmtId="170" formatCode="0.0000%"/>
    <numFmt numFmtId="171" formatCode="0.00000%"/>
    <numFmt numFmtId="172" formatCode="_-* #,##0.000_-;\-* #,##0.000_-;_-* &quot;-&quot;??_-;_-@_-"/>
    <numFmt numFmtId="174" formatCode="[$-F800]dddd\,\ mmmm\ dd\,\ yyyy"/>
  </numFmts>
  <fonts count="1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3">
    <xf numFmtId="0" fontId="0" fillId="0" borderId="0" xfId="0"/>
    <xf numFmtId="0" fontId="5" fillId="0" borderId="0" xfId="0" applyFont="1"/>
    <xf numFmtId="0" fontId="0" fillId="0" borderId="1" xfId="0" applyBorder="1"/>
    <xf numFmtId="9" fontId="0" fillId="0" borderId="1" xfId="0" applyNumberFormat="1" applyBorder="1"/>
    <xf numFmtId="0" fontId="4" fillId="0" borderId="1" xfId="0" applyFont="1" applyBorder="1"/>
    <xf numFmtId="0" fontId="4" fillId="0" borderId="1" xfId="0" quotePrefix="1" applyFont="1" applyBorder="1"/>
    <xf numFmtId="0" fontId="0" fillId="0" borderId="1" xfId="0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5" fontId="0" fillId="0" borderId="0" xfId="0" applyNumberFormat="1"/>
    <xf numFmtId="0" fontId="7" fillId="3" borderId="0" xfId="0" applyFont="1" applyFill="1"/>
    <xf numFmtId="0" fontId="0" fillId="3" borderId="0" xfId="0" applyFill="1"/>
    <xf numFmtId="0" fontId="6" fillId="0" borderId="1" xfId="0" applyFont="1" applyBorder="1" applyAlignment="1">
      <alignment horizontal="left" vertical="center" wrapText="1"/>
    </xf>
    <xf numFmtId="0" fontId="0" fillId="3" borderId="0" xfId="0" quotePrefix="1" applyFill="1"/>
    <xf numFmtId="0" fontId="0" fillId="0" borderId="1" xfId="0" applyBorder="1" applyAlignment="1">
      <alignment horizontal="left" vertical="center" wrapText="1"/>
    </xf>
    <xf numFmtId="174" fontId="0" fillId="0" borderId="1" xfId="0" applyNumberFormat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/>
    </xf>
    <xf numFmtId="164" fontId="0" fillId="0" borderId="1" xfId="2" applyFont="1" applyBorder="1"/>
    <xf numFmtId="0" fontId="6" fillId="2" borderId="1" xfId="0" applyFont="1" applyFill="1" applyBorder="1" applyAlignment="1">
      <alignment horizontal="left"/>
    </xf>
    <xf numFmtId="164" fontId="6" fillId="0" borderId="1" xfId="2" applyFont="1" applyFill="1" applyBorder="1"/>
    <xf numFmtId="0" fontId="0" fillId="5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72" fontId="0" fillId="3" borderId="0" xfId="0" applyNumberFormat="1" applyFill="1"/>
    <xf numFmtId="0" fontId="6" fillId="5" borderId="1" xfId="0" applyFont="1" applyFill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 vertical="center"/>
    </xf>
    <xf numFmtId="168" fontId="6" fillId="2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0" fontId="0" fillId="3" borderId="1" xfId="3" applyNumberFormat="1" applyFont="1" applyFill="1" applyBorder="1" applyAlignment="1">
      <alignment horizontal="center"/>
    </xf>
    <xf numFmtId="174" fontId="0" fillId="3" borderId="1" xfId="0" applyNumberForma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70" fontId="0" fillId="3" borderId="1" xfId="3" applyNumberFormat="1" applyFont="1" applyFill="1" applyBorder="1" applyAlignment="1">
      <alignment horizontal="center"/>
    </xf>
    <xf numFmtId="171" fontId="0" fillId="3" borderId="1" xfId="3" applyNumberFormat="1" applyFont="1" applyFill="1" applyBorder="1" applyAlignment="1">
      <alignment horizontal="center"/>
    </xf>
    <xf numFmtId="171" fontId="3" fillId="4" borderId="1" xfId="3" applyNumberFormat="1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66" fontId="0" fillId="3" borderId="1" xfId="1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0" fillId="3" borderId="1" xfId="1" applyNumberFormat="1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7F60-AFC1-3B47-8437-C5463473F8C2}">
  <dimension ref="B2:F26"/>
  <sheetViews>
    <sheetView showGridLines="0" zoomScale="130" zoomScaleNormal="130" workbookViewId="0">
      <selection activeCell="D8" sqref="D8"/>
    </sheetView>
  </sheetViews>
  <sheetFormatPr defaultColWidth="10.6640625" defaultRowHeight="16" x14ac:dyDescent="0.4"/>
  <cols>
    <col min="2" max="2" width="27.1640625" customWidth="1"/>
    <col min="3" max="3" width="19" bestFit="1" customWidth="1"/>
    <col min="4" max="4" width="19" customWidth="1"/>
    <col min="5" max="5" width="14.83203125" customWidth="1"/>
  </cols>
  <sheetData>
    <row r="2" spans="2:5" ht="18.5" x14ac:dyDescent="0.45">
      <c r="B2" s="1" t="s">
        <v>24</v>
      </c>
    </row>
    <row r="4" spans="2:5" x14ac:dyDescent="0.4">
      <c r="B4" s="4" t="s">
        <v>23</v>
      </c>
      <c r="C4" s="2">
        <v>100</v>
      </c>
    </row>
    <row r="5" spans="2:5" x14ac:dyDescent="0.4">
      <c r="B5" s="5" t="s">
        <v>25</v>
      </c>
      <c r="C5" s="2">
        <v>100</v>
      </c>
    </row>
    <row r="6" spans="2:5" x14ac:dyDescent="0.4">
      <c r="B6" s="4" t="s">
        <v>0</v>
      </c>
      <c r="C6" s="3">
        <v>0.05</v>
      </c>
      <c r="D6" t="s">
        <v>27</v>
      </c>
    </row>
    <row r="7" spans="2:5" x14ac:dyDescent="0.4">
      <c r="B7" s="4" t="s">
        <v>1</v>
      </c>
      <c r="C7" s="3">
        <v>0.06</v>
      </c>
      <c r="D7" t="s">
        <v>31</v>
      </c>
    </row>
    <row r="8" spans="2:5" x14ac:dyDescent="0.4">
      <c r="B8" s="4" t="s">
        <v>2</v>
      </c>
      <c r="C8" s="2">
        <v>10</v>
      </c>
    </row>
    <row r="10" spans="2:5" x14ac:dyDescent="0.4">
      <c r="B10" s="18" t="s">
        <v>3</v>
      </c>
      <c r="C10" s="18" t="s">
        <v>26</v>
      </c>
      <c r="D10" s="18" t="s">
        <v>28</v>
      </c>
      <c r="E10" s="18" t="s">
        <v>4</v>
      </c>
    </row>
    <row r="11" spans="2:5" x14ac:dyDescent="0.4">
      <c r="B11" s="6">
        <v>1</v>
      </c>
      <c r="C11" s="7">
        <f>(1+$C$7/2)^-B11</f>
        <v>0.970873786407767</v>
      </c>
      <c r="D11" s="23">
        <f t="shared" ref="D11:D17" si="0">$C$4*$C$6/2</f>
        <v>2.5</v>
      </c>
      <c r="E11" s="8">
        <f>D11*C11</f>
        <v>2.4271844660194173</v>
      </c>
    </row>
    <row r="12" spans="2:5" x14ac:dyDescent="0.4">
      <c r="B12" s="6">
        <v>2</v>
      </c>
      <c r="C12" s="7">
        <f>(1+$C$7/2)^-B12</f>
        <v>0.94259590913375435</v>
      </c>
      <c r="D12" s="23">
        <f t="shared" si="0"/>
        <v>2.5</v>
      </c>
      <c r="E12" s="8">
        <f>D12*C12</f>
        <v>2.3564897728343857</v>
      </c>
    </row>
    <row r="13" spans="2:5" x14ac:dyDescent="0.4">
      <c r="B13" s="6">
        <v>3</v>
      </c>
      <c r="C13" s="7">
        <f>(1+$C$7/2)^-B13</f>
        <v>0.91514165935315961</v>
      </c>
      <c r="D13" s="23">
        <f t="shared" si="0"/>
        <v>2.5</v>
      </c>
      <c r="E13" s="8">
        <f t="shared" ref="E13:E19" si="1">D13*C13</f>
        <v>2.2878541483828991</v>
      </c>
    </row>
    <row r="14" spans="2:5" x14ac:dyDescent="0.4">
      <c r="B14" s="22">
        <v>4</v>
      </c>
      <c r="C14" s="7">
        <f t="shared" ref="C14:C20" si="2">(1+$C$7/2)^-B14</f>
        <v>0.888487047915689</v>
      </c>
      <c r="D14" s="23">
        <f t="shared" si="0"/>
        <v>2.5</v>
      </c>
      <c r="E14" s="8">
        <f t="shared" si="1"/>
        <v>2.2212176197892224</v>
      </c>
    </row>
    <row r="15" spans="2:5" x14ac:dyDescent="0.4">
      <c r="B15" s="6">
        <v>5</v>
      </c>
      <c r="C15" s="7">
        <f t="shared" si="2"/>
        <v>0.86260878438416411</v>
      </c>
      <c r="D15" s="6">
        <f t="shared" si="0"/>
        <v>2.5</v>
      </c>
      <c r="E15" s="8">
        <f t="shared" si="1"/>
        <v>2.1565219609604105</v>
      </c>
    </row>
    <row r="16" spans="2:5" x14ac:dyDescent="0.4">
      <c r="B16" s="6">
        <v>6</v>
      </c>
      <c r="C16" s="7">
        <f t="shared" si="2"/>
        <v>0.83748425668365445</v>
      </c>
      <c r="D16" s="6">
        <f t="shared" si="0"/>
        <v>2.5</v>
      </c>
      <c r="E16" s="8">
        <f t="shared" si="1"/>
        <v>2.0937106417091362</v>
      </c>
    </row>
    <row r="17" spans="2:6" x14ac:dyDescent="0.4">
      <c r="B17" s="6">
        <v>7</v>
      </c>
      <c r="C17" s="7">
        <f t="shared" si="2"/>
        <v>0.81309151134335378</v>
      </c>
      <c r="D17" s="6">
        <f t="shared" si="0"/>
        <v>2.5</v>
      </c>
      <c r="E17" s="8">
        <f t="shared" si="1"/>
        <v>2.0327287783583845</v>
      </c>
    </row>
    <row r="18" spans="2:6" x14ac:dyDescent="0.4">
      <c r="B18" s="6">
        <v>8</v>
      </c>
      <c r="C18" s="7">
        <f t="shared" si="2"/>
        <v>0.78940923431393573</v>
      </c>
      <c r="D18" s="6">
        <f t="shared" ref="D18" si="3">$C$4*$C$6/2</f>
        <v>2.5</v>
      </c>
      <c r="E18" s="8">
        <f t="shared" si="1"/>
        <v>1.9735230857848394</v>
      </c>
    </row>
    <row r="19" spans="2:6" x14ac:dyDescent="0.4">
      <c r="B19" s="6">
        <v>9</v>
      </c>
      <c r="C19" s="7">
        <f t="shared" si="2"/>
        <v>0.76641673234362695</v>
      </c>
      <c r="D19" s="6">
        <f>$C$4*$C$6/2</f>
        <v>2.5</v>
      </c>
      <c r="E19" s="8">
        <f t="shared" si="1"/>
        <v>1.9160418308590674</v>
      </c>
    </row>
    <row r="20" spans="2:6" x14ac:dyDescent="0.4">
      <c r="B20" s="6">
        <v>10</v>
      </c>
      <c r="C20" s="7">
        <f t="shared" si="2"/>
        <v>0.74409391489672516</v>
      </c>
      <c r="D20" s="6">
        <f>$C$4*$C$6/2+$C$5</f>
        <v>102.5</v>
      </c>
      <c r="E20" s="8">
        <f>D20*C20</f>
        <v>76.269626276914323</v>
      </c>
    </row>
    <row r="22" spans="2:6" x14ac:dyDescent="0.4">
      <c r="D22" s="20" t="s">
        <v>6</v>
      </c>
      <c r="E22" s="19">
        <f>SUM(E11:E20)</f>
        <v>95.734898581612086</v>
      </c>
    </row>
    <row r="23" spans="2:6" x14ac:dyDescent="0.4">
      <c r="D23" s="20" t="s">
        <v>7</v>
      </c>
      <c r="E23" s="19">
        <f>PV(C7/2,C8,-C4*C6/2,-C5,0)</f>
        <v>95.734898581612086</v>
      </c>
      <c r="F23" t="s">
        <v>29</v>
      </c>
    </row>
    <row r="25" spans="2:6" x14ac:dyDescent="0.4">
      <c r="D25" s="25" t="s">
        <v>8</v>
      </c>
      <c r="E25" s="19">
        <f>SUMPRODUCT(D15:D20,C11:C16)</f>
        <v>97.291404278060909</v>
      </c>
      <c r="F25" s="26" t="s">
        <v>30</v>
      </c>
    </row>
    <row r="26" spans="2:6" x14ac:dyDescent="0.4">
      <c r="D26" s="25" t="s">
        <v>9</v>
      </c>
      <c r="E26" s="19">
        <f>PV(C7/2,C8-4,-C4*C6/2,-C5,0)</f>
        <v>97.291404278060909</v>
      </c>
      <c r="F2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D416-5D5C-284E-9103-AAD00077425D}">
  <dimension ref="B1:N51"/>
  <sheetViews>
    <sheetView showGridLines="0" tabSelected="1" zoomScale="125" zoomScaleNormal="125" workbookViewId="0">
      <selection activeCell="K4" sqref="K4"/>
    </sheetView>
  </sheetViews>
  <sheetFormatPr defaultColWidth="10.6640625" defaultRowHeight="16" x14ac:dyDescent="0.4"/>
  <cols>
    <col min="2" max="2" width="10.25" customWidth="1"/>
    <col min="4" max="4" width="11.4140625" customWidth="1"/>
    <col min="5" max="5" width="11.58203125" bestFit="1" customWidth="1"/>
    <col min="6" max="6" width="24.5" bestFit="1" customWidth="1"/>
    <col min="7" max="7" width="12.4140625" customWidth="1"/>
    <col min="8" max="8" width="16.83203125" customWidth="1"/>
    <col min="9" max="9" width="26.6640625" customWidth="1"/>
    <col min="10" max="10" width="10.4140625" customWidth="1"/>
    <col min="11" max="11" width="13.9140625" bestFit="1" customWidth="1"/>
    <col min="12" max="12" width="22.33203125" bestFit="1" customWidth="1"/>
    <col min="13" max="13" width="21.08203125" bestFit="1" customWidth="1"/>
    <col min="14" max="14" width="9.4140625" customWidth="1"/>
  </cols>
  <sheetData>
    <row r="1" spans="2:14" x14ac:dyDescent="0.4">
      <c r="F1" s="41" t="s">
        <v>35</v>
      </c>
    </row>
    <row r="2" spans="2:14" ht="21" x14ac:dyDescent="0.5">
      <c r="B2" s="1" t="s">
        <v>12</v>
      </c>
      <c r="F2" s="40" t="s">
        <v>45</v>
      </c>
      <c r="H2" s="10" t="s">
        <v>13</v>
      </c>
      <c r="I2" s="11"/>
      <c r="J2" s="11"/>
      <c r="K2" s="11"/>
      <c r="L2" s="11"/>
      <c r="M2" s="11"/>
      <c r="N2" s="11"/>
    </row>
    <row r="3" spans="2:14" x14ac:dyDescent="0.4">
      <c r="B3" t="s">
        <v>34</v>
      </c>
      <c r="E3" s="40" t="s">
        <v>44</v>
      </c>
      <c r="F3" s="40" t="s">
        <v>46</v>
      </c>
      <c r="H3" s="11"/>
      <c r="I3" s="11"/>
      <c r="J3" s="11"/>
      <c r="K3" s="11"/>
      <c r="L3" s="11"/>
      <c r="M3" s="11"/>
      <c r="N3" s="11"/>
    </row>
    <row r="4" spans="2:14" x14ac:dyDescent="0.4">
      <c r="B4" s="18" t="s">
        <v>10</v>
      </c>
      <c r="C4" s="28" t="s">
        <v>11</v>
      </c>
      <c r="D4" s="29"/>
      <c r="E4" s="33" t="s">
        <v>43</v>
      </c>
      <c r="F4" s="18" t="s">
        <v>41</v>
      </c>
      <c r="H4" s="12" t="s">
        <v>14</v>
      </c>
      <c r="I4" s="14">
        <v>100</v>
      </c>
      <c r="J4" s="11"/>
      <c r="K4" s="11"/>
      <c r="L4" s="11"/>
      <c r="M4" s="11"/>
      <c r="N4" s="11"/>
    </row>
    <row r="5" spans="2:14" x14ac:dyDescent="0.4">
      <c r="B5" s="42">
        <v>1</v>
      </c>
      <c r="C5" s="34">
        <v>6.4009999999999997E-2</v>
      </c>
      <c r="D5" s="27" t="s">
        <v>32</v>
      </c>
      <c r="E5" s="30">
        <v>1</v>
      </c>
      <c r="F5" s="35">
        <f>VLOOKUP(E5,$B$5:$C$45,2,0)</f>
        <v>6.4009999999999997E-2</v>
      </c>
      <c r="G5" s="27" t="s">
        <v>32</v>
      </c>
      <c r="H5" s="12" t="s">
        <v>15</v>
      </c>
      <c r="I5" s="15">
        <v>37924</v>
      </c>
      <c r="J5" s="11"/>
      <c r="K5" s="11"/>
      <c r="L5" s="11"/>
      <c r="M5" s="11"/>
      <c r="N5" s="11"/>
    </row>
    <row r="6" spans="2:14" x14ac:dyDescent="0.4">
      <c r="B6" s="42">
        <v>7</v>
      </c>
      <c r="C6" s="34">
        <v>6.2130999999999999E-2</v>
      </c>
      <c r="E6" s="30">
        <v>182</v>
      </c>
      <c r="F6" s="35">
        <f>VLOOKUP(E6,$B$5:$C$45,2,0)</f>
        <v>5.6885999999999999E-2</v>
      </c>
      <c r="H6" s="12" t="s">
        <v>16</v>
      </c>
      <c r="I6" s="15">
        <v>45204</v>
      </c>
      <c r="J6" s="27" t="s">
        <v>36</v>
      </c>
      <c r="K6" s="11"/>
      <c r="L6" s="11"/>
      <c r="M6" s="11"/>
      <c r="N6" s="11"/>
    </row>
    <row r="7" spans="2:14" x14ac:dyDescent="0.4">
      <c r="B7" s="42">
        <v>14</v>
      </c>
      <c r="C7" s="34">
        <v>6.1787000000000002E-2</v>
      </c>
      <c r="E7" s="30">
        <f>E6+182</f>
        <v>364</v>
      </c>
      <c r="F7" s="35">
        <f>VLOOKUP(E7,$B$5:$C$45,2,0)</f>
        <v>5.5152E-2</v>
      </c>
      <c r="H7" s="12" t="s">
        <v>17</v>
      </c>
      <c r="I7" s="14">
        <v>182</v>
      </c>
      <c r="J7" s="27" t="s">
        <v>37</v>
      </c>
      <c r="K7" s="11"/>
      <c r="L7" s="11"/>
      <c r="M7" s="18" t="s">
        <v>5</v>
      </c>
      <c r="N7" s="21">
        <f>SUM(N12:N51)</f>
        <v>100.14403788979607</v>
      </c>
    </row>
    <row r="8" spans="2:14" x14ac:dyDescent="0.4">
      <c r="B8" s="42">
        <v>28</v>
      </c>
      <c r="C8" s="34">
        <v>6.1913000000000003E-2</v>
      </c>
      <c r="E8" s="30">
        <f t="shared" ref="E8:E45" si="0">E7+182</f>
        <v>546</v>
      </c>
      <c r="F8" s="36">
        <f>_xlfn.FORECAST.LINEAR(E8,C15:C16,B15:B16)</f>
        <v>5.4393169398907107E-2</v>
      </c>
      <c r="G8" s="27" t="s">
        <v>33</v>
      </c>
      <c r="H8" s="12" t="s">
        <v>18</v>
      </c>
      <c r="I8" s="16">
        <v>0.08</v>
      </c>
      <c r="J8" s="27" t="s">
        <v>39</v>
      </c>
      <c r="K8" s="11"/>
      <c r="L8" s="11"/>
      <c r="M8" s="11"/>
      <c r="N8" s="11"/>
    </row>
    <row r="9" spans="2:14" x14ac:dyDescent="0.4">
      <c r="B9" s="42">
        <v>61</v>
      </c>
      <c r="C9" s="34">
        <v>6.1330000000000003E-2</v>
      </c>
      <c r="E9" s="30">
        <f t="shared" si="0"/>
        <v>728</v>
      </c>
      <c r="F9" s="35">
        <f>VLOOKUP(E9,$B$5:$C$45,2,0)</f>
        <v>5.4119E-2</v>
      </c>
      <c r="H9" s="12" t="s">
        <v>19</v>
      </c>
      <c r="I9" s="17">
        <f>YEARFRAC(I5,I6,2)*2</f>
        <v>40.444444444444443</v>
      </c>
      <c r="J9" s="27" t="s">
        <v>38</v>
      </c>
      <c r="K9" s="11"/>
      <c r="L9" s="13"/>
      <c r="M9" s="11"/>
      <c r="N9" s="11"/>
    </row>
    <row r="10" spans="2:14" x14ac:dyDescent="0.4">
      <c r="B10" s="42">
        <v>91</v>
      </c>
      <c r="C10" s="34">
        <v>6.0645999999999999E-2</v>
      </c>
      <c r="E10" s="30">
        <f t="shared" si="0"/>
        <v>910</v>
      </c>
      <c r="F10" s="36">
        <f>_xlfn.FORECAST.LINEAR(E10,C17:C18,B17:B18)</f>
        <v>5.4322999999999996E-2</v>
      </c>
      <c r="H10" s="11"/>
      <c r="I10" s="11"/>
      <c r="J10" s="24"/>
      <c r="K10" s="11"/>
      <c r="L10" s="11"/>
      <c r="M10" s="13"/>
      <c r="N10" s="11"/>
    </row>
    <row r="11" spans="2:14" x14ac:dyDescent="0.4">
      <c r="B11" s="42">
        <v>122</v>
      </c>
      <c r="C11" s="34">
        <v>5.9712000000000001E-2</v>
      </c>
      <c r="E11" s="30">
        <f t="shared" si="0"/>
        <v>1092</v>
      </c>
      <c r="F11" s="35">
        <f>VLOOKUP(E11,$B$5:$C$45,2,0)</f>
        <v>5.4526999999999999E-2</v>
      </c>
      <c r="H11" s="18" t="s">
        <v>3</v>
      </c>
      <c r="I11" s="18" t="s">
        <v>20</v>
      </c>
      <c r="J11" s="18" t="s">
        <v>28</v>
      </c>
      <c r="K11" s="18" t="s">
        <v>22</v>
      </c>
      <c r="L11" s="18" t="s">
        <v>42</v>
      </c>
      <c r="M11" s="18" t="s">
        <v>40</v>
      </c>
      <c r="N11" s="18" t="s">
        <v>21</v>
      </c>
    </row>
    <row r="12" spans="2:14" x14ac:dyDescent="0.4">
      <c r="B12" s="42">
        <v>153</v>
      </c>
      <c r="C12" s="34">
        <v>5.8144000000000001E-2</v>
      </c>
      <c r="E12" s="30">
        <f t="shared" si="0"/>
        <v>1274</v>
      </c>
      <c r="F12" s="36">
        <f>_xlfn.FORECAST.LINEAR(E12,C18:C19,B18:B19)</f>
        <v>5.5635000000000004E-2</v>
      </c>
      <c r="H12" s="30">
        <v>1</v>
      </c>
      <c r="I12" s="32">
        <f>I5+I7</f>
        <v>38106</v>
      </c>
      <c r="J12" s="39">
        <f>$I$4*$I$8*($I$7/360)</f>
        <v>4.0444444444444443</v>
      </c>
      <c r="K12" s="37">
        <f>I13-I12</f>
        <v>182</v>
      </c>
      <c r="L12" s="31">
        <f>VLOOKUP(K12,$E$5:$F$45,2,0)</f>
        <v>5.6885999999999999E-2</v>
      </c>
      <c r="M12" s="38">
        <f>(1+L12*($I$7/360))^-(K12/$I$7)</f>
        <v>0.97204492752773231</v>
      </c>
      <c r="N12" s="39">
        <f>M12*J12</f>
        <v>3.9313817068899395</v>
      </c>
    </row>
    <row r="13" spans="2:14" x14ac:dyDescent="0.4">
      <c r="B13" s="42">
        <v>182</v>
      </c>
      <c r="C13" s="34">
        <v>5.6885999999999999E-2</v>
      </c>
      <c r="E13" s="30">
        <f t="shared" si="0"/>
        <v>1456</v>
      </c>
      <c r="F13" s="35">
        <f t="shared" ref="F13:F45" si="1">VLOOKUP(E13,$B$5:$C$45,2,0)</f>
        <v>5.6743000000000002E-2</v>
      </c>
      <c r="H13" s="30">
        <v>2</v>
      </c>
      <c r="I13" s="32">
        <f>I12+$I$7</f>
        <v>38288</v>
      </c>
      <c r="J13" s="39">
        <f t="shared" ref="J13:J50" si="2">$I$4*$I$8*($I$7/360)</f>
        <v>4.0444444444444443</v>
      </c>
      <c r="K13" s="37">
        <f>K12+(I13-I12)</f>
        <v>364</v>
      </c>
      <c r="L13" s="31">
        <f>VLOOKUP(K13,$E$5:$F$45,2,0)</f>
        <v>5.5152E-2</v>
      </c>
      <c r="M13" s="38">
        <f t="shared" ref="M13:M51" si="3">(1+L13*($I$7/360))^-(K13/$I$7)</f>
        <v>0.94648370247870117</v>
      </c>
      <c r="N13" s="39">
        <f>M13*J13</f>
        <v>3.8280007522471911</v>
      </c>
    </row>
    <row r="14" spans="2:14" x14ac:dyDescent="0.4">
      <c r="B14" s="42">
        <v>273</v>
      </c>
      <c r="C14" s="34">
        <v>5.6108999999999999E-2</v>
      </c>
      <c r="E14" s="30">
        <f t="shared" si="0"/>
        <v>1638</v>
      </c>
      <c r="F14" s="36">
        <f>_xlfn.FORECAST.LINEAR(E14,C19:C20,B19:B20)</f>
        <v>5.8969500000000001E-2</v>
      </c>
      <c r="H14" s="30">
        <v>3</v>
      </c>
      <c r="I14" s="32">
        <f>I13+$I$7</f>
        <v>38470</v>
      </c>
      <c r="J14" s="39">
        <f t="shared" si="2"/>
        <v>4.0444444444444443</v>
      </c>
      <c r="K14" s="37">
        <f>K13+(I14-I13)</f>
        <v>546</v>
      </c>
      <c r="L14" s="31">
        <f>VLOOKUP(K14,$E$5:$F$45,2,0)</f>
        <v>5.4393169398907107E-2</v>
      </c>
      <c r="M14" s="38">
        <f t="shared" si="3"/>
        <v>0.92184110468816538</v>
      </c>
      <c r="N14" s="39">
        <f t="shared" ref="N14:N51" si="4">M14*J14</f>
        <v>3.7283351345165801</v>
      </c>
    </row>
    <row r="15" spans="2:14" x14ac:dyDescent="0.4">
      <c r="B15" s="42">
        <v>364</v>
      </c>
      <c r="C15" s="34">
        <v>5.5152E-2</v>
      </c>
      <c r="E15" s="30">
        <f t="shared" si="0"/>
        <v>1820</v>
      </c>
      <c r="F15" s="35">
        <f t="shared" si="1"/>
        <v>6.1196E-2</v>
      </c>
      <c r="H15" s="30">
        <v>4</v>
      </c>
      <c r="I15" s="32">
        <f>I14+$I$7</f>
        <v>38652</v>
      </c>
      <c r="J15" s="39">
        <f t="shared" si="2"/>
        <v>4.0444444444444443</v>
      </c>
      <c r="K15" s="37">
        <f>K14+(I15-I14)</f>
        <v>728</v>
      </c>
      <c r="L15" s="31">
        <f>VLOOKUP(K15,$E$5:$F$45,2,0)</f>
        <v>5.4119E-2</v>
      </c>
      <c r="M15" s="38">
        <f t="shared" si="3"/>
        <v>0.89765430346015396</v>
      </c>
      <c r="N15" s="39">
        <f t="shared" si="4"/>
        <v>3.6305129606610671</v>
      </c>
    </row>
    <row r="16" spans="2:14" x14ac:dyDescent="0.4">
      <c r="B16" s="42">
        <v>547</v>
      </c>
      <c r="C16" s="34">
        <v>5.4389E-2</v>
      </c>
      <c r="E16" s="30">
        <f t="shared" si="0"/>
        <v>2002</v>
      </c>
      <c r="F16" s="36">
        <f>_xlfn.FORECAST.LINEAR(E16,C20:C21,B20:B21)</f>
        <v>6.2574999999999992E-2</v>
      </c>
      <c r="H16" s="30">
        <v>5</v>
      </c>
      <c r="I16" s="32">
        <f t="shared" ref="I15:I51" si="5">I15+$I$7</f>
        <v>38834</v>
      </c>
      <c r="J16" s="39">
        <f t="shared" si="2"/>
        <v>4.0444444444444443</v>
      </c>
      <c r="K16" s="37">
        <f>K15+(I16-I15)</f>
        <v>910</v>
      </c>
      <c r="L16" s="31">
        <f>VLOOKUP(K16,$E$5:$F$45,2,0)</f>
        <v>5.4322999999999996E-2</v>
      </c>
      <c r="M16" s="38">
        <f t="shared" si="3"/>
        <v>0.87330997458717796</v>
      </c>
      <c r="N16" s="39">
        <f t="shared" si="4"/>
        <v>3.5320536749970306</v>
      </c>
    </row>
    <row r="17" spans="2:14" x14ac:dyDescent="0.4">
      <c r="B17" s="42">
        <v>728</v>
      </c>
      <c r="C17" s="34">
        <v>5.4119E-2</v>
      </c>
      <c r="E17" s="30">
        <f t="shared" si="0"/>
        <v>2184</v>
      </c>
      <c r="F17" s="35">
        <f t="shared" si="1"/>
        <v>6.3953999999999997E-2</v>
      </c>
      <c r="H17" s="30">
        <v>6</v>
      </c>
      <c r="I17" s="32">
        <f t="shared" si="5"/>
        <v>39016</v>
      </c>
      <c r="J17" s="39">
        <f t="shared" si="2"/>
        <v>4.0444444444444443</v>
      </c>
      <c r="K17" s="37">
        <f>K16+(I17-I16)</f>
        <v>1092</v>
      </c>
      <c r="L17" s="31">
        <f t="shared" ref="L16:L51" si="6">VLOOKUP(K17,$E$5:$F$45,2,0)</f>
        <v>5.4526999999999999E-2</v>
      </c>
      <c r="M17" s="38">
        <f t="shared" si="3"/>
        <v>0.84945535709940279</v>
      </c>
      <c r="N17" s="39">
        <f t="shared" si="4"/>
        <v>3.4355749998242513</v>
      </c>
    </row>
    <row r="18" spans="2:14" x14ac:dyDescent="0.4">
      <c r="B18" s="42">
        <v>1092</v>
      </c>
      <c r="C18" s="34">
        <v>5.4526999999999999E-2</v>
      </c>
      <c r="E18" s="30">
        <f t="shared" si="0"/>
        <v>2366</v>
      </c>
      <c r="F18" s="36">
        <f>_xlfn.FORECAST.LINEAR(E18,C21:C22,B21:B22)</f>
        <v>6.6174999999999998E-2</v>
      </c>
      <c r="H18" s="30">
        <v>7</v>
      </c>
      <c r="I18" s="32">
        <f t="shared" si="5"/>
        <v>39198</v>
      </c>
      <c r="J18" s="39">
        <f t="shared" si="2"/>
        <v>4.0444444444444443</v>
      </c>
      <c r="K18" s="37">
        <f t="shared" ref="K18:K51" si="7">K17+(I18-I17)</f>
        <v>1274</v>
      </c>
      <c r="L18" s="31">
        <f t="shared" si="6"/>
        <v>5.5635000000000004E-2</v>
      </c>
      <c r="M18" s="38">
        <f t="shared" si="3"/>
        <v>0.82351948788844342</v>
      </c>
      <c r="N18" s="39">
        <f t="shared" si="4"/>
        <v>3.3306788176821489</v>
      </c>
    </row>
    <row r="19" spans="2:14" x14ac:dyDescent="0.4">
      <c r="B19" s="42">
        <v>1456</v>
      </c>
      <c r="C19" s="34">
        <v>5.6743000000000002E-2</v>
      </c>
      <c r="E19" s="30">
        <f t="shared" si="0"/>
        <v>2548</v>
      </c>
      <c r="F19" s="35">
        <f t="shared" si="1"/>
        <v>6.8395999999999998E-2</v>
      </c>
      <c r="H19" s="30">
        <v>8</v>
      </c>
      <c r="I19" s="32">
        <f t="shared" si="5"/>
        <v>39380</v>
      </c>
      <c r="J19" s="39">
        <f t="shared" si="2"/>
        <v>4.0444444444444443</v>
      </c>
      <c r="K19" s="37">
        <f t="shared" si="7"/>
        <v>1456</v>
      </c>
      <c r="L19" s="31">
        <f t="shared" si="6"/>
        <v>5.6743000000000002E-2</v>
      </c>
      <c r="M19" s="38">
        <f t="shared" si="3"/>
        <v>0.79750767265143585</v>
      </c>
      <c r="N19" s="39">
        <f t="shared" si="4"/>
        <v>3.2254754760569182</v>
      </c>
    </row>
    <row r="20" spans="2:14" x14ac:dyDescent="0.4">
      <c r="B20" s="42">
        <v>1820</v>
      </c>
      <c r="C20" s="34">
        <v>6.1196E-2</v>
      </c>
      <c r="E20" s="30">
        <f t="shared" si="0"/>
        <v>2730</v>
      </c>
      <c r="F20" s="36">
        <f>_xlfn.FORECAST.LINEAR(E20,C22:C23,B22:B23)</f>
        <v>6.9581499999999991E-2</v>
      </c>
      <c r="H20" s="30">
        <v>9</v>
      </c>
      <c r="I20" s="32">
        <f t="shared" si="5"/>
        <v>39562</v>
      </c>
      <c r="J20" s="39">
        <f t="shared" si="2"/>
        <v>4.0444444444444443</v>
      </c>
      <c r="K20" s="37">
        <f t="shared" si="7"/>
        <v>1638</v>
      </c>
      <c r="L20" s="31">
        <f t="shared" si="6"/>
        <v>5.8969500000000001E-2</v>
      </c>
      <c r="M20" s="38">
        <f t="shared" si="3"/>
        <v>0.76767448493048418</v>
      </c>
      <c r="N20" s="39">
        <f t="shared" si="4"/>
        <v>3.1048168057188472</v>
      </c>
    </row>
    <row r="21" spans="2:14" x14ac:dyDescent="0.4">
      <c r="B21" s="42">
        <v>2184</v>
      </c>
      <c r="C21" s="34">
        <v>6.3953999999999997E-2</v>
      </c>
      <c r="E21" s="30">
        <f t="shared" si="0"/>
        <v>2912</v>
      </c>
      <c r="F21" s="35">
        <f t="shared" si="1"/>
        <v>7.0766999999999997E-2</v>
      </c>
      <c r="H21" s="30">
        <v>10</v>
      </c>
      <c r="I21" s="32">
        <f t="shared" si="5"/>
        <v>39744</v>
      </c>
      <c r="J21" s="39">
        <f t="shared" si="2"/>
        <v>4.0444444444444443</v>
      </c>
      <c r="K21" s="37">
        <f t="shared" si="7"/>
        <v>1820</v>
      </c>
      <c r="L21" s="31">
        <f t="shared" si="6"/>
        <v>6.1196E-2</v>
      </c>
      <c r="M21" s="38">
        <f t="shared" si="3"/>
        <v>0.7373515797575716</v>
      </c>
      <c r="N21" s="39">
        <f t="shared" si="4"/>
        <v>2.982177500352845</v>
      </c>
    </row>
    <row r="22" spans="2:14" x14ac:dyDescent="0.4">
      <c r="B22" s="42">
        <v>2548</v>
      </c>
      <c r="C22" s="34">
        <v>6.8395999999999998E-2</v>
      </c>
      <c r="E22" s="30">
        <f t="shared" si="0"/>
        <v>3094</v>
      </c>
      <c r="F22" s="36">
        <f>_xlfn.FORECAST.LINEAR(E22,C23:C24,B23:B24)</f>
        <v>7.1787999999999991E-2</v>
      </c>
      <c r="H22" s="30">
        <v>11</v>
      </c>
      <c r="I22" s="32">
        <f t="shared" si="5"/>
        <v>39926</v>
      </c>
      <c r="J22" s="39">
        <f t="shared" si="2"/>
        <v>4.0444444444444443</v>
      </c>
      <c r="K22" s="37">
        <f t="shared" si="7"/>
        <v>2002</v>
      </c>
      <c r="L22" s="31">
        <f t="shared" si="6"/>
        <v>6.2574999999999992E-2</v>
      </c>
      <c r="M22" s="38">
        <f t="shared" si="3"/>
        <v>0.70992522844454153</v>
      </c>
      <c r="N22" s="39">
        <f t="shared" si="4"/>
        <v>2.8712531461534789</v>
      </c>
    </row>
    <row r="23" spans="2:14" x14ac:dyDescent="0.4">
      <c r="B23" s="42">
        <v>2912</v>
      </c>
      <c r="C23" s="34">
        <v>7.0766999999999997E-2</v>
      </c>
      <c r="E23" s="30">
        <f t="shared" si="0"/>
        <v>3276</v>
      </c>
      <c r="F23" s="35">
        <f t="shared" si="1"/>
        <v>7.2808999999999999E-2</v>
      </c>
      <c r="H23" s="30">
        <v>12</v>
      </c>
      <c r="I23" s="32">
        <f t="shared" si="5"/>
        <v>40108</v>
      </c>
      <c r="J23" s="39">
        <f t="shared" si="2"/>
        <v>4.0444444444444443</v>
      </c>
      <c r="K23" s="37">
        <f t="shared" si="7"/>
        <v>2184</v>
      </c>
      <c r="L23" s="31">
        <f t="shared" si="6"/>
        <v>6.3953999999999997E-2</v>
      </c>
      <c r="M23" s="38">
        <f t="shared" si="3"/>
        <v>0.68259925341636651</v>
      </c>
      <c r="N23" s="39">
        <f t="shared" si="4"/>
        <v>2.7607347582617487</v>
      </c>
    </row>
    <row r="24" spans="2:14" x14ac:dyDescent="0.4">
      <c r="B24" s="42">
        <v>3276</v>
      </c>
      <c r="C24" s="34">
        <v>7.2808999999999999E-2</v>
      </c>
      <c r="E24" s="30">
        <f t="shared" si="0"/>
        <v>3458</v>
      </c>
      <c r="F24" s="36">
        <f>_xlfn.FORECAST.LINEAR(E24,C24:C25,B24:B25)</f>
        <v>7.3464000000000002E-2</v>
      </c>
      <c r="H24" s="30">
        <v>13</v>
      </c>
      <c r="I24" s="32">
        <f t="shared" si="5"/>
        <v>40290</v>
      </c>
      <c r="J24" s="39">
        <f t="shared" si="2"/>
        <v>4.0444444444444443</v>
      </c>
      <c r="K24" s="37">
        <f t="shared" si="7"/>
        <v>2366</v>
      </c>
      <c r="L24" s="31">
        <f t="shared" si="6"/>
        <v>6.6174999999999998E-2</v>
      </c>
      <c r="M24" s="38">
        <f t="shared" si="3"/>
        <v>0.65194179086025217</v>
      </c>
      <c r="N24" s="39">
        <f t="shared" si="4"/>
        <v>2.6367423541459085</v>
      </c>
    </row>
    <row r="25" spans="2:14" x14ac:dyDescent="0.4">
      <c r="B25" s="42">
        <v>3640</v>
      </c>
      <c r="C25" s="34">
        <v>7.4119000000000004E-2</v>
      </c>
      <c r="E25" s="30">
        <f t="shared" si="0"/>
        <v>3640</v>
      </c>
      <c r="F25" s="35">
        <f t="shared" si="1"/>
        <v>7.4119000000000004E-2</v>
      </c>
      <c r="H25" s="30">
        <v>14</v>
      </c>
      <c r="I25" s="32">
        <f t="shared" si="5"/>
        <v>40472</v>
      </c>
      <c r="J25" s="39">
        <f t="shared" si="2"/>
        <v>4.0444444444444443</v>
      </c>
      <c r="K25" s="37">
        <f t="shared" si="7"/>
        <v>2548</v>
      </c>
      <c r="L25" s="31">
        <f t="shared" si="6"/>
        <v>6.8395999999999998E-2</v>
      </c>
      <c r="M25" s="38">
        <f t="shared" si="3"/>
        <v>0.62131921410082736</v>
      </c>
      <c r="N25" s="39">
        <f t="shared" si="4"/>
        <v>2.5128910436966794</v>
      </c>
    </row>
    <row r="26" spans="2:14" x14ac:dyDescent="0.4">
      <c r="B26" s="42">
        <v>4004</v>
      </c>
      <c r="C26" s="34">
        <v>7.5313000000000005E-2</v>
      </c>
      <c r="E26" s="30">
        <f t="shared" si="0"/>
        <v>3822</v>
      </c>
      <c r="F26" s="36">
        <f>_xlfn.FORECAST.LINEAR(E26,C25:C26,B25:B26)</f>
        <v>7.4716000000000005E-2</v>
      </c>
      <c r="H26" s="30">
        <v>15</v>
      </c>
      <c r="I26" s="32">
        <f t="shared" si="5"/>
        <v>40654</v>
      </c>
      <c r="J26" s="39">
        <f t="shared" si="2"/>
        <v>4.0444444444444443</v>
      </c>
      <c r="K26" s="37">
        <f t="shared" si="7"/>
        <v>2730</v>
      </c>
      <c r="L26" s="31">
        <f t="shared" si="6"/>
        <v>6.9581499999999991E-2</v>
      </c>
      <c r="M26" s="38">
        <f t="shared" si="3"/>
        <v>0.59535884929906491</v>
      </c>
      <c r="N26" s="39">
        <f t="shared" si="4"/>
        <v>2.4078957904984404</v>
      </c>
    </row>
    <row r="27" spans="2:14" x14ac:dyDescent="0.4">
      <c r="B27" s="42">
        <v>4368</v>
      </c>
      <c r="C27" s="34">
        <v>7.6153999999999999E-2</v>
      </c>
      <c r="E27" s="30">
        <f t="shared" si="0"/>
        <v>4004</v>
      </c>
      <c r="F27" s="35">
        <f t="shared" si="1"/>
        <v>7.5313000000000005E-2</v>
      </c>
      <c r="H27" s="30">
        <v>16</v>
      </c>
      <c r="I27" s="32">
        <f t="shared" si="5"/>
        <v>40836</v>
      </c>
      <c r="J27" s="39">
        <f t="shared" si="2"/>
        <v>4.0444444444444443</v>
      </c>
      <c r="K27" s="37">
        <f t="shared" si="7"/>
        <v>2912</v>
      </c>
      <c r="L27" s="31">
        <f t="shared" si="6"/>
        <v>7.0766999999999997E-2</v>
      </c>
      <c r="M27" s="38">
        <f t="shared" si="3"/>
        <v>0.56982584002033732</v>
      </c>
      <c r="N27" s="39">
        <f t="shared" si="4"/>
        <v>2.3046289529711421</v>
      </c>
    </row>
    <row r="28" spans="2:14" x14ac:dyDescent="0.4">
      <c r="B28" s="42">
        <v>4732</v>
      </c>
      <c r="C28" s="34">
        <v>7.6938999999999994E-2</v>
      </c>
      <c r="E28" s="30">
        <f t="shared" si="0"/>
        <v>4186</v>
      </c>
      <c r="F28" s="36">
        <f>_xlfn.FORECAST.LINEAR(E28,C26:C27,B26:B27)</f>
        <v>7.5733500000000009E-2</v>
      </c>
      <c r="H28" s="30">
        <v>17</v>
      </c>
      <c r="I28" s="32">
        <f t="shared" si="5"/>
        <v>41018</v>
      </c>
      <c r="J28" s="39">
        <f t="shared" si="2"/>
        <v>4.0444444444444443</v>
      </c>
      <c r="K28" s="37">
        <f t="shared" si="7"/>
        <v>3094</v>
      </c>
      <c r="L28" s="31">
        <f t="shared" si="6"/>
        <v>7.1787999999999991E-2</v>
      </c>
      <c r="M28" s="38">
        <f t="shared" si="3"/>
        <v>0.5455036600723947</v>
      </c>
      <c r="N28" s="39">
        <f t="shared" si="4"/>
        <v>2.2062592474039073</v>
      </c>
    </row>
    <row r="29" spans="2:14" x14ac:dyDescent="0.4">
      <c r="B29" s="42">
        <v>5096</v>
      </c>
      <c r="C29" s="34">
        <v>7.7725000000000002E-2</v>
      </c>
      <c r="E29" s="30">
        <f t="shared" si="0"/>
        <v>4368</v>
      </c>
      <c r="F29" s="35">
        <f t="shared" si="1"/>
        <v>7.6153999999999999E-2</v>
      </c>
      <c r="H29" s="30">
        <v>18</v>
      </c>
      <c r="I29" s="32">
        <f t="shared" si="5"/>
        <v>41200</v>
      </c>
      <c r="J29" s="39">
        <f t="shared" si="2"/>
        <v>4.0444444444444443</v>
      </c>
      <c r="K29" s="37">
        <f t="shared" si="7"/>
        <v>3276</v>
      </c>
      <c r="L29" s="31">
        <f t="shared" si="6"/>
        <v>7.2808999999999999E-2</v>
      </c>
      <c r="M29" s="38">
        <f t="shared" si="3"/>
        <v>0.52170186612215907</v>
      </c>
      <c r="N29" s="39">
        <f t="shared" si="4"/>
        <v>2.1099942140940655</v>
      </c>
    </row>
    <row r="30" spans="2:14" x14ac:dyDescent="0.4">
      <c r="B30" s="42">
        <v>5460</v>
      </c>
      <c r="C30" s="34">
        <v>7.9184000000000004E-2</v>
      </c>
      <c r="E30" s="30">
        <f t="shared" si="0"/>
        <v>4550</v>
      </c>
      <c r="F30" s="36">
        <f>_xlfn.FORECAST.LINEAR(E30,C27:C28,B27:B28)</f>
        <v>7.654649999999999E-2</v>
      </c>
      <c r="H30" s="30">
        <v>19</v>
      </c>
      <c r="I30" s="32">
        <f t="shared" si="5"/>
        <v>41382</v>
      </c>
      <c r="J30" s="39">
        <f t="shared" si="2"/>
        <v>4.0444444444444443</v>
      </c>
      <c r="K30" s="37">
        <f t="shared" si="7"/>
        <v>3458</v>
      </c>
      <c r="L30" s="31">
        <f t="shared" si="6"/>
        <v>7.3464000000000002E-2</v>
      </c>
      <c r="M30" s="38">
        <f t="shared" si="3"/>
        <v>0.50013660054077513</v>
      </c>
      <c r="N30" s="39">
        <f t="shared" si="4"/>
        <v>2.0227746955204684</v>
      </c>
    </row>
    <row r="31" spans="2:14" x14ac:dyDescent="0.4">
      <c r="B31" s="42">
        <v>5824</v>
      </c>
      <c r="C31" s="34">
        <v>8.1827999999999998E-2</v>
      </c>
      <c r="E31" s="30">
        <f t="shared" si="0"/>
        <v>4732</v>
      </c>
      <c r="F31" s="35">
        <f t="shared" si="1"/>
        <v>7.6938999999999994E-2</v>
      </c>
      <c r="H31" s="30">
        <v>20</v>
      </c>
      <c r="I31" s="32">
        <f t="shared" si="5"/>
        <v>41564</v>
      </c>
      <c r="J31" s="39">
        <f t="shared" si="2"/>
        <v>4.0444444444444443</v>
      </c>
      <c r="K31" s="37">
        <f t="shared" si="7"/>
        <v>3640</v>
      </c>
      <c r="L31" s="31">
        <f t="shared" si="6"/>
        <v>7.4119000000000004E-2</v>
      </c>
      <c r="M31" s="38">
        <f t="shared" si="3"/>
        <v>0.47915762424395281</v>
      </c>
      <c r="N31" s="39">
        <f t="shared" si="4"/>
        <v>1.9379263913866536</v>
      </c>
    </row>
    <row r="32" spans="2:14" x14ac:dyDescent="0.4">
      <c r="B32" s="42">
        <v>6188</v>
      </c>
      <c r="C32" s="34">
        <v>8.4441000000000002E-2</v>
      </c>
      <c r="E32" s="30">
        <f t="shared" si="0"/>
        <v>4914</v>
      </c>
      <c r="F32" s="36">
        <f>_xlfn.FORECAST.LINEAR(E32,C28:C29,B28:B29)</f>
        <v>7.7331999999999998E-2</v>
      </c>
      <c r="H32" s="30">
        <v>21</v>
      </c>
      <c r="I32" s="32">
        <f t="shared" si="5"/>
        <v>41746</v>
      </c>
      <c r="J32" s="39">
        <f t="shared" si="2"/>
        <v>4.0444444444444443</v>
      </c>
      <c r="K32" s="37">
        <f t="shared" si="7"/>
        <v>3822</v>
      </c>
      <c r="L32" s="31">
        <f t="shared" si="6"/>
        <v>7.4716000000000005E-2</v>
      </c>
      <c r="M32" s="38">
        <f t="shared" si="3"/>
        <v>0.45903891492034565</v>
      </c>
      <c r="N32" s="39">
        <f t="shared" si="4"/>
        <v>1.856557389233398</v>
      </c>
    </row>
    <row r="33" spans="2:14" x14ac:dyDescent="0.4">
      <c r="B33" s="42">
        <v>6552</v>
      </c>
      <c r="C33" s="34">
        <v>8.6998000000000006E-2</v>
      </c>
      <c r="E33" s="30">
        <f t="shared" si="0"/>
        <v>5096</v>
      </c>
      <c r="F33" s="35">
        <f t="shared" si="1"/>
        <v>7.7725000000000002E-2</v>
      </c>
      <c r="H33" s="30">
        <v>22</v>
      </c>
      <c r="I33" s="32">
        <f t="shared" si="5"/>
        <v>41928</v>
      </c>
      <c r="J33" s="39">
        <f t="shared" si="2"/>
        <v>4.0444444444444443</v>
      </c>
      <c r="K33" s="37">
        <f t="shared" si="7"/>
        <v>4004</v>
      </c>
      <c r="L33" s="31">
        <f t="shared" si="6"/>
        <v>7.5313000000000005E-2</v>
      </c>
      <c r="M33" s="38">
        <f t="shared" si="3"/>
        <v>0.43951000362293374</v>
      </c>
      <c r="N33" s="39">
        <f t="shared" si="4"/>
        <v>1.7775737924305319</v>
      </c>
    </row>
    <row r="34" spans="2:14" x14ac:dyDescent="0.4">
      <c r="B34" s="42">
        <v>6916</v>
      </c>
      <c r="C34" s="34">
        <v>8.8744000000000003E-2</v>
      </c>
      <c r="E34" s="30">
        <f t="shared" si="0"/>
        <v>5278</v>
      </c>
      <c r="F34" s="36">
        <f>_xlfn.FORECAST.LINEAR(E34,C29:C30,B29:B30)</f>
        <v>7.845450000000001E-2</v>
      </c>
      <c r="H34" s="30">
        <v>23</v>
      </c>
      <c r="I34" s="32">
        <f t="shared" si="5"/>
        <v>42110</v>
      </c>
      <c r="J34" s="39">
        <f t="shared" si="2"/>
        <v>4.0444444444444443</v>
      </c>
      <c r="K34" s="37">
        <f t="shared" si="7"/>
        <v>4186</v>
      </c>
      <c r="L34" s="31">
        <f t="shared" si="6"/>
        <v>7.5733500000000009E-2</v>
      </c>
      <c r="M34" s="38">
        <f t="shared" si="3"/>
        <v>0.42140015645523571</v>
      </c>
      <c r="N34" s="39">
        <f t="shared" si="4"/>
        <v>1.7043295216633978</v>
      </c>
    </row>
    <row r="35" spans="2:14" x14ac:dyDescent="0.4">
      <c r="B35" s="42">
        <v>7280</v>
      </c>
      <c r="C35" s="34">
        <v>8.9064000000000004E-2</v>
      </c>
      <c r="E35" s="30">
        <f t="shared" si="0"/>
        <v>5460</v>
      </c>
      <c r="F35" s="35">
        <f t="shared" si="1"/>
        <v>7.9184000000000004E-2</v>
      </c>
      <c r="H35" s="30">
        <v>24</v>
      </c>
      <c r="I35" s="32">
        <f t="shared" si="5"/>
        <v>42292</v>
      </c>
      <c r="J35" s="39">
        <f t="shared" si="2"/>
        <v>4.0444444444444443</v>
      </c>
      <c r="K35" s="37">
        <f t="shared" si="7"/>
        <v>4368</v>
      </c>
      <c r="L35" s="31">
        <f t="shared" si="6"/>
        <v>7.6153999999999999E-2</v>
      </c>
      <c r="M35" s="38">
        <f t="shared" si="3"/>
        <v>0.40387149169710701</v>
      </c>
      <c r="N35" s="39">
        <f t="shared" si="4"/>
        <v>1.6334358108638549</v>
      </c>
    </row>
    <row r="36" spans="2:14" x14ac:dyDescent="0.4">
      <c r="B36" s="42">
        <v>7644</v>
      </c>
      <c r="C36" s="34">
        <v>8.9384000000000005E-2</v>
      </c>
      <c r="E36" s="30">
        <f t="shared" si="0"/>
        <v>5642</v>
      </c>
      <c r="F36" s="36">
        <f>_xlfn.FORECAST.LINEAR(E36,C30:C31,B30:B31)</f>
        <v>8.0505999999999994E-2</v>
      </c>
      <c r="H36" s="30">
        <v>25</v>
      </c>
      <c r="I36" s="32">
        <f t="shared" si="5"/>
        <v>42474</v>
      </c>
      <c r="J36" s="39">
        <f t="shared" si="2"/>
        <v>4.0444444444444443</v>
      </c>
      <c r="K36" s="37">
        <f t="shared" si="7"/>
        <v>4550</v>
      </c>
      <c r="L36" s="31">
        <f t="shared" si="6"/>
        <v>7.654649999999999E-2</v>
      </c>
      <c r="M36" s="38">
        <f t="shared" si="3"/>
        <v>0.38704574878848796</v>
      </c>
      <c r="N36" s="39">
        <f t="shared" si="4"/>
        <v>1.5653850284334401</v>
      </c>
    </row>
    <row r="37" spans="2:14" x14ac:dyDescent="0.4">
      <c r="B37" s="42">
        <v>8008</v>
      </c>
      <c r="C37" s="34">
        <v>8.9703000000000005E-2</v>
      </c>
      <c r="E37" s="30">
        <f t="shared" si="0"/>
        <v>5824</v>
      </c>
      <c r="F37" s="35">
        <f t="shared" si="1"/>
        <v>8.1827999999999998E-2</v>
      </c>
      <c r="H37" s="30">
        <v>26</v>
      </c>
      <c r="I37" s="32">
        <f t="shared" si="5"/>
        <v>42656</v>
      </c>
      <c r="J37" s="39">
        <f t="shared" si="2"/>
        <v>4.0444444444444443</v>
      </c>
      <c r="K37" s="37">
        <f t="shared" si="7"/>
        <v>4732</v>
      </c>
      <c r="L37" s="31">
        <f t="shared" si="6"/>
        <v>7.6938999999999994E-2</v>
      </c>
      <c r="M37" s="38">
        <f t="shared" si="3"/>
        <v>0.37077963094201333</v>
      </c>
      <c r="N37" s="39">
        <f t="shared" si="4"/>
        <v>1.4995976184765871</v>
      </c>
    </row>
    <row r="38" spans="2:14" x14ac:dyDescent="0.4">
      <c r="B38" s="42">
        <v>8372</v>
      </c>
      <c r="C38" s="34">
        <v>8.9914999999999995E-2</v>
      </c>
      <c r="E38" s="30">
        <f t="shared" si="0"/>
        <v>6006</v>
      </c>
      <c r="F38" s="36">
        <f>_xlfn.FORECAST.LINEAR(E38,C31:C32,B31:B32)</f>
        <v>8.31345E-2</v>
      </c>
      <c r="H38" s="30">
        <v>27</v>
      </c>
      <c r="I38" s="32">
        <f t="shared" si="5"/>
        <v>42838</v>
      </c>
      <c r="J38" s="39">
        <f t="shared" si="2"/>
        <v>4.0444444444444443</v>
      </c>
      <c r="K38" s="37">
        <f t="shared" si="7"/>
        <v>4914</v>
      </c>
      <c r="L38" s="31">
        <f t="shared" si="6"/>
        <v>7.7331999999999998E-2</v>
      </c>
      <c r="M38" s="38">
        <f t="shared" si="3"/>
        <v>0.35505946299495478</v>
      </c>
      <c r="N38" s="39">
        <f t="shared" si="4"/>
        <v>1.4360182725573727</v>
      </c>
    </row>
    <row r="39" spans="2:14" x14ac:dyDescent="0.4">
      <c r="B39" s="42">
        <v>8736</v>
      </c>
      <c r="C39" s="34">
        <v>8.9935000000000001E-2</v>
      </c>
      <c r="E39" s="30">
        <f t="shared" si="0"/>
        <v>6188</v>
      </c>
      <c r="F39" s="35">
        <f t="shared" si="1"/>
        <v>8.4441000000000002E-2</v>
      </c>
      <c r="H39" s="30">
        <v>28</v>
      </c>
      <c r="I39" s="32">
        <f t="shared" si="5"/>
        <v>43020</v>
      </c>
      <c r="J39" s="39">
        <f t="shared" si="2"/>
        <v>4.0444444444444443</v>
      </c>
      <c r="K39" s="37">
        <f t="shared" si="7"/>
        <v>5096</v>
      </c>
      <c r="L39" s="31">
        <f t="shared" si="6"/>
        <v>7.7725000000000002E-2</v>
      </c>
      <c r="M39" s="38">
        <f t="shared" si="3"/>
        <v>0.33987612924783611</v>
      </c>
      <c r="N39" s="39">
        <f t="shared" si="4"/>
        <v>1.3746101227356926</v>
      </c>
    </row>
    <row r="40" spans="2:14" x14ac:dyDescent="0.4">
      <c r="B40" s="42">
        <v>9100</v>
      </c>
      <c r="C40" s="34">
        <v>8.9955999999999994E-2</v>
      </c>
      <c r="E40" s="30">
        <f t="shared" si="0"/>
        <v>6370</v>
      </c>
      <c r="F40" s="36">
        <f>_xlfn.FORECAST.LINEAR(E40,C32:C33,B32:B33)</f>
        <v>8.5719500000000004E-2</v>
      </c>
      <c r="H40" s="30">
        <v>29</v>
      </c>
      <c r="I40" s="32">
        <f t="shared" si="5"/>
        <v>43202</v>
      </c>
      <c r="J40" s="39">
        <f t="shared" si="2"/>
        <v>4.0444444444444443</v>
      </c>
      <c r="K40" s="37">
        <f t="shared" si="7"/>
        <v>5278</v>
      </c>
      <c r="L40" s="31">
        <f t="shared" si="6"/>
        <v>7.845450000000001E-2</v>
      </c>
      <c r="M40" s="38">
        <f t="shared" si="3"/>
        <v>0.32367832998776569</v>
      </c>
      <c r="N40" s="39">
        <f t="shared" si="4"/>
        <v>1.3090990235060744</v>
      </c>
    </row>
    <row r="41" spans="2:14" x14ac:dyDescent="0.4">
      <c r="B41" s="42">
        <v>9464</v>
      </c>
      <c r="C41" s="34">
        <v>8.9977000000000001E-2</v>
      </c>
      <c r="E41" s="30">
        <f t="shared" si="0"/>
        <v>6552</v>
      </c>
      <c r="F41" s="35">
        <f t="shared" si="1"/>
        <v>8.6998000000000006E-2</v>
      </c>
      <c r="H41" s="30">
        <v>30</v>
      </c>
      <c r="I41" s="32">
        <f t="shared" si="5"/>
        <v>43384</v>
      </c>
      <c r="J41" s="39">
        <f t="shared" si="2"/>
        <v>4.0444444444444443</v>
      </c>
      <c r="K41" s="37">
        <f t="shared" si="7"/>
        <v>5460</v>
      </c>
      <c r="L41" s="31">
        <f t="shared" si="6"/>
        <v>7.9184000000000004E-2</v>
      </c>
      <c r="M41" s="38">
        <f t="shared" si="3"/>
        <v>0.30803499162274312</v>
      </c>
      <c r="N41" s="39">
        <f t="shared" si="4"/>
        <v>1.2458304105630944</v>
      </c>
    </row>
    <row r="42" spans="2:14" x14ac:dyDescent="0.4">
      <c r="B42" s="42">
        <v>9828</v>
      </c>
      <c r="C42" s="34">
        <v>8.9997999999999995E-2</v>
      </c>
      <c r="E42" s="30">
        <f t="shared" si="0"/>
        <v>6734</v>
      </c>
      <c r="F42" s="36">
        <f>_xlfn.FORECAST.LINEAR(E42,C33:C34,B33:B34)</f>
        <v>8.7871000000000005E-2</v>
      </c>
      <c r="H42" s="30">
        <v>31</v>
      </c>
      <c r="I42" s="32">
        <f t="shared" si="5"/>
        <v>43566</v>
      </c>
      <c r="J42" s="39">
        <f t="shared" si="2"/>
        <v>4.0444444444444443</v>
      </c>
      <c r="K42" s="37">
        <f t="shared" si="7"/>
        <v>5642</v>
      </c>
      <c r="L42" s="31">
        <f t="shared" si="6"/>
        <v>8.0505999999999994E-2</v>
      </c>
      <c r="M42" s="38">
        <f t="shared" si="3"/>
        <v>0.29033841563060753</v>
      </c>
      <c r="N42" s="39">
        <f t="shared" si="4"/>
        <v>1.1742575921060125</v>
      </c>
    </row>
    <row r="43" spans="2:14" x14ac:dyDescent="0.4">
      <c r="B43" s="42">
        <v>10192</v>
      </c>
      <c r="C43" s="34">
        <v>9.0010999999999994E-2</v>
      </c>
      <c r="E43" s="30">
        <f t="shared" si="0"/>
        <v>6916</v>
      </c>
      <c r="F43" s="35">
        <f t="shared" si="1"/>
        <v>8.8744000000000003E-2</v>
      </c>
      <c r="H43" s="30">
        <v>32</v>
      </c>
      <c r="I43" s="32">
        <f t="shared" si="5"/>
        <v>43748</v>
      </c>
      <c r="J43" s="39">
        <f t="shared" si="2"/>
        <v>4.0444444444444443</v>
      </c>
      <c r="K43" s="37">
        <f t="shared" si="7"/>
        <v>5824</v>
      </c>
      <c r="L43" s="31">
        <f t="shared" si="6"/>
        <v>8.1827999999999998E-2</v>
      </c>
      <c r="M43" s="38">
        <f t="shared" si="3"/>
        <v>0.27331073535397904</v>
      </c>
      <c r="N43" s="39">
        <f t="shared" si="4"/>
        <v>1.1053900852094263</v>
      </c>
    </row>
    <row r="44" spans="2:14" x14ac:dyDescent="0.4">
      <c r="B44" s="42">
        <v>10556</v>
      </c>
      <c r="C44" s="34">
        <v>9.0010999999999994E-2</v>
      </c>
      <c r="E44" s="30">
        <f t="shared" si="0"/>
        <v>7098</v>
      </c>
      <c r="F44" s="36">
        <f>_xlfn.FORECAST.LINEAR(E44,C34:C35,B34:B35)</f>
        <v>8.8904000000000011E-2</v>
      </c>
      <c r="H44" s="30">
        <v>33</v>
      </c>
      <c r="I44" s="32">
        <f t="shared" si="5"/>
        <v>43930</v>
      </c>
      <c r="J44" s="39">
        <f t="shared" si="2"/>
        <v>4.0444444444444443</v>
      </c>
      <c r="K44" s="37">
        <f t="shared" si="7"/>
        <v>6006</v>
      </c>
      <c r="L44" s="31">
        <f t="shared" si="6"/>
        <v>8.31345E-2</v>
      </c>
      <c r="M44" s="38">
        <f t="shared" si="3"/>
        <v>0.25701881823617651</v>
      </c>
      <c r="N44" s="39">
        <f t="shared" si="4"/>
        <v>1.0394983315329804</v>
      </c>
    </row>
    <row r="45" spans="2:14" x14ac:dyDescent="0.4">
      <c r="B45" s="42">
        <v>10920</v>
      </c>
      <c r="C45" s="34">
        <v>9.0010999999999994E-2</v>
      </c>
      <c r="E45" s="30">
        <f t="shared" si="0"/>
        <v>7280</v>
      </c>
      <c r="F45" s="35">
        <f t="shared" si="1"/>
        <v>8.9064000000000004E-2</v>
      </c>
      <c r="H45" s="30">
        <v>34</v>
      </c>
      <c r="I45" s="32">
        <f t="shared" si="5"/>
        <v>44112</v>
      </c>
      <c r="J45" s="39">
        <f t="shared" si="2"/>
        <v>4.0444444444444443</v>
      </c>
      <c r="K45" s="37">
        <f t="shared" si="7"/>
        <v>6188</v>
      </c>
      <c r="L45" s="31">
        <f t="shared" si="6"/>
        <v>8.4441000000000002E-2</v>
      </c>
      <c r="M45" s="38">
        <f t="shared" si="3"/>
        <v>0.24139503987988098</v>
      </c>
      <c r="N45" s="39">
        <f t="shared" si="4"/>
        <v>0.97630882795862972</v>
      </c>
    </row>
    <row r="46" spans="2:14" x14ac:dyDescent="0.4">
      <c r="H46" s="30">
        <v>35</v>
      </c>
      <c r="I46" s="32">
        <f t="shared" si="5"/>
        <v>44294</v>
      </c>
      <c r="J46" s="39">
        <f t="shared" si="2"/>
        <v>4.0444444444444443</v>
      </c>
      <c r="K46" s="37">
        <f t="shared" si="7"/>
        <v>6370</v>
      </c>
      <c r="L46" s="31">
        <f t="shared" si="6"/>
        <v>8.5719500000000004E-2</v>
      </c>
      <c r="M46" s="38">
        <f t="shared" si="3"/>
        <v>0.22654459009590341</v>
      </c>
      <c r="N46" s="39">
        <f t="shared" si="4"/>
        <v>0.91624700883232046</v>
      </c>
    </row>
    <row r="47" spans="2:14" x14ac:dyDescent="0.4">
      <c r="B47" s="9"/>
      <c r="H47" s="30">
        <v>36</v>
      </c>
      <c r="I47" s="32">
        <f t="shared" si="5"/>
        <v>44476</v>
      </c>
      <c r="J47" s="39">
        <f t="shared" si="2"/>
        <v>4.0444444444444443</v>
      </c>
      <c r="K47" s="37">
        <f t="shared" si="7"/>
        <v>6552</v>
      </c>
      <c r="L47" s="31">
        <f t="shared" si="6"/>
        <v>8.6998000000000006E-2</v>
      </c>
      <c r="M47" s="38">
        <f t="shared" si="3"/>
        <v>0.21234732129635078</v>
      </c>
      <c r="N47" s="39">
        <f t="shared" si="4"/>
        <v>0.85882694390968539</v>
      </c>
    </row>
    <row r="48" spans="2:14" x14ac:dyDescent="0.4">
      <c r="H48" s="30">
        <v>37</v>
      </c>
      <c r="I48" s="32">
        <f t="shared" si="5"/>
        <v>44658</v>
      </c>
      <c r="J48" s="39">
        <f t="shared" si="2"/>
        <v>4.0444444444444443</v>
      </c>
      <c r="K48" s="37">
        <f t="shared" si="7"/>
        <v>6734</v>
      </c>
      <c r="L48" s="31">
        <f t="shared" si="6"/>
        <v>8.7871000000000005E-2</v>
      </c>
      <c r="M48" s="38">
        <f t="shared" si="3"/>
        <v>0.20024507903732153</v>
      </c>
      <c r="N48" s="39">
        <f t="shared" si="4"/>
        <v>0.80988009743983369</v>
      </c>
    </row>
    <row r="49" spans="8:14" x14ac:dyDescent="0.4">
      <c r="H49" s="30">
        <v>38</v>
      </c>
      <c r="I49" s="32">
        <f t="shared" si="5"/>
        <v>44840</v>
      </c>
      <c r="J49" s="39">
        <f t="shared" si="2"/>
        <v>4.0444444444444443</v>
      </c>
      <c r="K49" s="37">
        <f t="shared" si="7"/>
        <v>6916</v>
      </c>
      <c r="L49" s="31">
        <f t="shared" si="6"/>
        <v>8.8744000000000003E-2</v>
      </c>
      <c r="M49" s="38">
        <f t="shared" si="3"/>
        <v>0.188674297152853</v>
      </c>
      <c r="N49" s="39">
        <f t="shared" si="4"/>
        <v>0.76308271292931651</v>
      </c>
    </row>
    <row r="50" spans="8:14" x14ac:dyDescent="0.4">
      <c r="H50" s="30">
        <v>39</v>
      </c>
      <c r="I50" s="32">
        <f t="shared" si="5"/>
        <v>45022</v>
      </c>
      <c r="J50" s="39">
        <f t="shared" si="2"/>
        <v>4.0444444444444443</v>
      </c>
      <c r="K50" s="37">
        <f t="shared" si="7"/>
        <v>7098</v>
      </c>
      <c r="L50" s="31">
        <f t="shared" si="6"/>
        <v>8.8904000000000011E-2</v>
      </c>
      <c r="M50" s="38">
        <f t="shared" si="3"/>
        <v>0.18002854620802136</v>
      </c>
      <c r="N50" s="39">
        <f t="shared" si="4"/>
        <v>0.72811545355244189</v>
      </c>
    </row>
    <row r="51" spans="8:14" x14ac:dyDescent="0.4">
      <c r="H51" s="30">
        <v>40</v>
      </c>
      <c r="I51" s="32">
        <f t="shared" si="5"/>
        <v>45204</v>
      </c>
      <c r="J51" s="39">
        <f>$I$4*$I$8*($I$7/360)+I4</f>
        <v>104.04444444444445</v>
      </c>
      <c r="K51" s="37">
        <f t="shared" si="7"/>
        <v>7280</v>
      </c>
      <c r="L51" s="31">
        <f t="shared" si="6"/>
        <v>8.9064000000000004E-2</v>
      </c>
      <c r="M51" s="38">
        <f t="shared" si="3"/>
        <v>0.17175242290158466</v>
      </c>
      <c r="N51" s="39">
        <f t="shared" si="4"/>
        <v>17.869885422782655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Tasa_Fija</vt:lpstr>
      <vt:lpstr>Tasa_Variable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Cruz</dc:creator>
  <cp:lastModifiedBy>Enrique Garcia</cp:lastModifiedBy>
  <dcterms:created xsi:type="dcterms:W3CDTF">2025-05-19T04:57:34Z</dcterms:created>
  <dcterms:modified xsi:type="dcterms:W3CDTF">2025-06-09T03:19:45Z</dcterms:modified>
</cp:coreProperties>
</file>