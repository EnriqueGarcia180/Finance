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2 Mercado de Deuda\"/>
    </mc:Choice>
  </mc:AlternateContent>
  <xr:revisionPtr revIDLastSave="0" documentId="13_ncr:1_{BF1F218E-3E76-4591-893B-CCB09F15BD3E}" xr6:coauthVersionLast="47" xr6:coauthVersionMax="47" xr10:uidLastSave="{00000000-0000-0000-0000-000000000000}"/>
  <bookViews>
    <workbookView xWindow="-110" yWindow="-110" windowWidth="19420" windowHeight="11620" xr2:uid="{EF235098-566F-4AF7-BDFB-B1E8C8FC5C58}"/>
  </bookViews>
  <sheets>
    <sheet name="Ejercicio_13" sheetId="1" r:id="rId1"/>
  </sheets>
  <definedNames>
    <definedName name="solver_adj" localSheetId="0" hidden="1">Ejercicio_13!$D$2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Ejercicio_13!$D$2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Ejercicio_13!$E$12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3906.63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12" i="1"/>
  <c r="E7" i="1"/>
  <c r="E8" i="1"/>
  <c r="E9" i="1"/>
  <c r="E10" i="1"/>
</calcChain>
</file>

<file path=xl/sharedStrings.xml><?xml version="1.0" encoding="utf-8"?>
<sst xmlns="http://schemas.openxmlformats.org/spreadsheetml/2006/main" count="8" uniqueCount="8">
  <si>
    <t>tasa</t>
  </si>
  <si>
    <t>periodo</t>
  </si>
  <si>
    <t>Pago</t>
  </si>
  <si>
    <t>objetivo-&gt; $3,906.63</t>
  </si>
  <si>
    <t>VP</t>
  </si>
  <si>
    <t>&lt;-</t>
  </si>
  <si>
    <r>
      <t xml:space="preserve">Resolviendo con </t>
    </r>
    <r>
      <rPr>
        <b/>
        <sz val="11"/>
        <color theme="1"/>
        <rFont val="Aptos Narrow"/>
        <family val="2"/>
        <scheme val="minor"/>
      </rPr>
      <t>solver</t>
    </r>
    <r>
      <rPr>
        <sz val="11"/>
        <color theme="1"/>
        <rFont val="Aptos Narrow"/>
        <family val="2"/>
        <scheme val="minor"/>
      </rPr>
      <t xml:space="preserve"> para encontrar la tasa anual efectiva (IRR) que produzca el mismo VPN que las Spot Rates del ejercicio</t>
    </r>
  </si>
  <si>
    <t>Spot_Rate_to_effective_annual_rate (IRR):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</si>
</sst>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37816</xdr:colOff>
      <xdr:row>3</xdr:row>
      <xdr:rowOff>133350</xdr:rowOff>
    </xdr:from>
    <xdr:to>
      <xdr:col>15</xdr:col>
      <xdr:colOff>51202</xdr:colOff>
      <xdr:row>24</xdr:row>
      <xdr:rowOff>63777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851F91-AA91-0DED-531B-9F21E8B47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6566" y="685800"/>
          <a:ext cx="5499786" cy="379757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9D93-9EBC-47C7-A6F9-92F8EEC783B6}">
  <dimension ref="A1:F14"/>
  <sheetViews>
    <sheetView tabSelected="1" workbookViewId="0">
      <selection activeCell="B16" sqref="B16"/>
    </sheetView>
  </sheetViews>
  <sheetFormatPr defaultRowHeight="14.5" x14ac:dyDescent="0.35"/>
  <cols>
    <col min="4" max="4" width="10.1796875" bestFit="1" customWidth="1"/>
    <col min="5" max="5" width="10.26953125" bestFit="1" customWidth="1"/>
    <col min="6" max="6" width="10.1796875" bestFit="1" customWidth="1"/>
  </cols>
  <sheetData>
    <row r="1" spans="1:6" x14ac:dyDescent="0.35">
      <c r="A1" s="5" t="s">
        <v>7</v>
      </c>
      <c r="B1" s="5"/>
    </row>
    <row r="2" spans="1:6" x14ac:dyDescent="0.35">
      <c r="C2" s="3" t="s">
        <v>0</v>
      </c>
      <c r="D2" s="6">
        <v>8.832374463571499E-2</v>
      </c>
      <c r="E2" s="4" t="s">
        <v>5</v>
      </c>
      <c r="F2" t="s">
        <v>6</v>
      </c>
    </row>
    <row r="5" spans="1:6" x14ac:dyDescent="0.35">
      <c r="C5" s="3" t="s">
        <v>1</v>
      </c>
      <c r="D5" s="3" t="s">
        <v>2</v>
      </c>
      <c r="E5" s="3" t="s">
        <v>4</v>
      </c>
    </row>
    <row r="6" spans="1:6" x14ac:dyDescent="0.35">
      <c r="C6" s="2">
        <v>1</v>
      </c>
      <c r="D6" s="1">
        <v>1000</v>
      </c>
      <c r="E6" s="1">
        <f>D6/(1+$D$2)^C6</f>
        <v>918.84423631198194</v>
      </c>
    </row>
    <row r="7" spans="1:6" x14ac:dyDescent="0.35">
      <c r="C7" s="2">
        <v>2</v>
      </c>
      <c r="D7" s="1">
        <v>1000</v>
      </c>
      <c r="E7" s="1">
        <f>D7/(1+$D$2)^C7</f>
        <v>844.27473060374928</v>
      </c>
    </row>
    <row r="8" spans="1:6" x14ac:dyDescent="0.35">
      <c r="C8" s="2">
        <v>3</v>
      </c>
      <c r="D8" s="1">
        <v>1000</v>
      </c>
      <c r="E8" s="1">
        <f t="shared" ref="E8:E10" si="0">D8/(1+$D$2)^C8</f>
        <v>775.75697007910628</v>
      </c>
    </row>
    <row r="9" spans="1:6" x14ac:dyDescent="0.35">
      <c r="C9" s="2">
        <v>4</v>
      </c>
      <c r="D9" s="1">
        <v>1000</v>
      </c>
      <c r="E9" s="1">
        <f t="shared" si="0"/>
        <v>712.79982073603344</v>
      </c>
    </row>
    <row r="10" spans="1:6" x14ac:dyDescent="0.35">
      <c r="C10" s="2">
        <v>5</v>
      </c>
      <c r="D10" s="1">
        <v>1000</v>
      </c>
      <c r="E10" s="1">
        <f t="shared" si="0"/>
        <v>654.95200692751814</v>
      </c>
    </row>
    <row r="12" spans="1:6" x14ac:dyDescent="0.35">
      <c r="E12" s="1">
        <f>SUM(E6:E10)</f>
        <v>3906.627764658389</v>
      </c>
    </row>
    <row r="14" spans="1:6" x14ac:dyDescent="0.35">
      <c r="D14" t="s">
        <v>3</v>
      </c>
      <c r="E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2025-05-20T02:44:10Z</dcterms:created>
  <dcterms:modified xsi:type="dcterms:W3CDTF">2025-06-09T02:12:01Z</dcterms:modified>
</cp:coreProperties>
</file>