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Finance\4 Analisis Tecnico\"/>
    </mc:Choice>
  </mc:AlternateContent>
  <xr:revisionPtr revIDLastSave="0" documentId="13_ncr:1_{80F283AF-AC2A-47EA-8C8F-D2B2C760424D}" xr6:coauthVersionLast="47" xr6:coauthVersionMax="47" xr10:uidLastSave="{00000000-0000-0000-0000-000000000000}"/>
  <bookViews>
    <workbookView xWindow="-110" yWindow="-110" windowWidth="19420" windowHeight="11620" xr2:uid="{1A3E197E-8D4A-46F1-9AAE-3D7A184A01D2}"/>
  </bookViews>
  <sheets>
    <sheet name="Sheet1" sheetId="1" r:id="rId1"/>
    <sheet name="Sheet2" sheetId="2" r:id="rId2"/>
    <sheet name="Sheet1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3" l="1"/>
  <c r="J53" i="3" s="1"/>
  <c r="D44" i="3"/>
  <c r="K32" i="3"/>
  <c r="L32" i="3" s="1"/>
  <c r="D29" i="3"/>
  <c r="D30" i="3" s="1"/>
  <c r="D28" i="3"/>
  <c r="D24" i="3"/>
  <c r="E24" i="3" s="1"/>
  <c r="J40" i="3" s="1"/>
  <c r="D23" i="3"/>
  <c r="E23" i="3" s="1"/>
  <c r="D22" i="3"/>
  <c r="E22" i="3" s="1"/>
  <c r="E21" i="3"/>
  <c r="D21" i="3"/>
  <c r="E11" i="3"/>
  <c r="G10" i="3"/>
  <c r="L35" i="3" l="1"/>
  <c r="D34" i="3"/>
  <c r="D38" i="3" s="1"/>
  <c r="D40" i="3" s="1"/>
  <c r="I41" i="3" s="1"/>
  <c r="J48" i="3"/>
  <c r="N35" i="3" l="1"/>
  <c r="G41" i="3" s="1"/>
  <c r="I40" i="3"/>
  <c r="J41" i="3" s="1"/>
  <c r="G40" i="3" s="1"/>
  <c r="G42" i="3" s="1"/>
  <c r="D46" i="3" s="1"/>
  <c r="D47" i="3" s="1"/>
  <c r="G6" i="1"/>
  <c r="G4" i="1"/>
  <c r="L4" i="1"/>
  <c r="G13" i="1"/>
  <c r="L10" i="1"/>
  <c r="L15" i="1" s="1"/>
  <c r="L12" i="1" l="1"/>
</calcChain>
</file>

<file path=xl/sharedStrings.xml><?xml version="1.0" encoding="utf-8"?>
<sst xmlns="http://schemas.openxmlformats.org/spreadsheetml/2006/main" count="78" uniqueCount="65">
  <si>
    <t>C=</t>
  </si>
  <si>
    <t>SL=</t>
  </si>
  <si>
    <t>Stop Loss</t>
  </si>
  <si>
    <t>compra</t>
  </si>
  <si>
    <t>stop loss</t>
  </si>
  <si>
    <t>Riesgo:</t>
  </si>
  <si>
    <t>Inversion</t>
  </si>
  <si>
    <t>Dispuesto a perder</t>
  </si>
  <si>
    <t>Price Limit</t>
  </si>
  <si>
    <t>PL=</t>
  </si>
  <si>
    <t>stop loss (venta)</t>
  </si>
  <si>
    <t>Price Limit (venta)</t>
  </si>
  <si>
    <t>Limite Superior:</t>
  </si>
  <si>
    <t>MERCADO DE DIVISAS</t>
  </si>
  <si>
    <t>PIP:</t>
  </si>
  <si>
    <t>mide el cambio en el precio de la divisa</t>
  </si>
  <si>
    <t>Point In Percentage</t>
  </si>
  <si>
    <t>Paso 1.</t>
  </si>
  <si>
    <t>100 pb=</t>
  </si>
  <si>
    <t>10 pb=</t>
  </si>
  <si>
    <t>1 pb=</t>
  </si>
  <si>
    <t>pip</t>
  </si>
  <si>
    <t>Por lo tanto, 1 punto base =</t>
  </si>
  <si>
    <t>Paso 2. cotizaciones de divisas en mercados internacionales</t>
  </si>
  <si>
    <t>EUR/USD</t>
  </si>
  <si>
    <t>se pagan 1.0765 dólares por un euro</t>
  </si>
  <si>
    <t>en donde el Euro es la moneda BASE</t>
  </si>
  <si>
    <t>el dólar (USD) es la moneda de COTIZACIÓN</t>
  </si>
  <si>
    <t>¿Me puedes cotizar el euro? R: la cotización de la moneda base es 1.0765 dólares</t>
  </si>
  <si>
    <t>Paso 3. el multiplicador o apalancamiento</t>
  </si>
  <si>
    <t>Cantidad ($USD)</t>
  </si>
  <si>
    <t>Multiplicador</t>
  </si>
  <si>
    <t>Volumen</t>
  </si>
  <si>
    <t>Valor del pip</t>
  </si>
  <si>
    <t>"por cada cambio en $0.0001 dólares del euro, entonces tu inversión cambia en $0.005"</t>
  </si>
  <si>
    <t>"por cada cambio de $0.0001 dólares del euro, entonces tu inversión cambia en $5"</t>
  </si>
  <si>
    <t>Paso 4. Spread</t>
  </si>
  <si>
    <t>Precio mercado</t>
  </si>
  <si>
    <t>ask</t>
  </si>
  <si>
    <t>Compra=</t>
  </si>
  <si>
    <t>bid</t>
  </si>
  <si>
    <t>Venta=</t>
  </si>
  <si>
    <t>el spread es de 2 pips</t>
  </si>
  <si>
    <t>Nuestro caso:</t>
  </si>
  <si>
    <t>Spread:</t>
  </si>
  <si>
    <t>pips</t>
  </si>
  <si>
    <t>1) Precio de mercado=</t>
  </si>
  <si>
    <t>1) Abrimos posición de compra en:</t>
  </si>
  <si>
    <t>"dórales por cada euro"</t>
  </si>
  <si>
    <t>2) de manera inmediata, traemos una minusvalía equivalente a la diferencia entre el precio de compra y el precio de mercado:</t>
  </si>
  <si>
    <t>1 pip</t>
  </si>
  <si>
    <t>3) Comenzamos a "ganar" cuando el precio de mercado es mayor al precio de compra menos el spread de compra</t>
  </si>
  <si>
    <t>4) Recuerda que por cada cambio en $0.0001 del euro, nuestra COMPRA genera un cambio de $5</t>
  </si>
  <si>
    <t>Si compras a:</t>
  </si>
  <si>
    <t>Precio mdo=</t>
  </si>
  <si>
    <t>"plusvalia/minus bruta"</t>
  </si>
  <si>
    <t>spread</t>
  </si>
  <si>
    <t>plus/minus neta=</t>
  </si>
  <si>
    <t>aproximada</t>
  </si>
  <si>
    <t>Por lo tanto, se invirtieron =</t>
  </si>
  <si>
    <t>Si cerramos la posición de compra:</t>
  </si>
  <si>
    <t>Hemos generado una ganancia de:</t>
  </si>
  <si>
    <t>Esto es, rendimiento de=</t>
  </si>
  <si>
    <t>"en unos cuantos minutos"</t>
  </si>
  <si>
    <t>Price limit=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</si>
</sst>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.0000_);_(* \(#,##0.0000\);_(* &quot;-&quot;??_);_(@_)"/>
    <numFmt numFmtId="166" formatCode="_(&quot;$&quot;* #,##0.00000_);_(&quot;$&quot;* \(#,##0.00000\);_(&quot;$&quot;* &quot;-&quot;??_);_(@_)"/>
    <numFmt numFmtId="167" formatCode="_(&quot;$&quot;* #,##0.000_);_(&quot;$&quot;* \(#,##0.000\);_(&quot;$&quot;* &quot;-&quot;??_);_(@_)"/>
    <numFmt numFmtId="168" formatCode="0.000000"/>
    <numFmt numFmtId="169" formatCode="_(* #,##0.00000_);_(* \(#,##0.00000\);_(* &quot;-&quot;??_);_(@_)"/>
    <numFmt numFmtId="170" formatCode="_(&quot;$&quot;* #,##0.0000_);_(&quot;$&quot;* \(#,##0.0000\);_(&quot;$&quot;* &quot;-&quot;??_);_(@_)"/>
    <numFmt numFmtId="171" formatCode="_(* #,##0.000000_);_(* \(#,##0.000000\);_(* &quot;-&quot;??_);_(@_)"/>
    <numFmt numFmtId="172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8" fontId="0" fillId="0" borderId="0" xfId="0" applyNumberFormat="1"/>
    <xf numFmtId="9" fontId="0" fillId="0" borderId="0" xfId="0" applyNumberFormat="1"/>
    <xf numFmtId="164" fontId="0" fillId="0" borderId="0" xfId="2" applyNumberFormat="1" applyFont="1"/>
    <xf numFmtId="44" fontId="0" fillId="0" borderId="0" xfId="1" applyFont="1"/>
    <xf numFmtId="4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165" fontId="0" fillId="0" borderId="0" xfId="3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6" fontId="0" fillId="0" borderId="0" xfId="1" applyNumberFormat="1" applyFont="1"/>
    <xf numFmtId="167" fontId="0" fillId="0" borderId="0" xfId="1" applyNumberFormat="1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3" applyNumberFormat="1" applyFont="1" applyAlignment="1">
      <alignment horizontal="center" vertical="center"/>
    </xf>
    <xf numFmtId="168" fontId="2" fillId="0" borderId="0" xfId="0" applyNumberFormat="1" applyFont="1"/>
    <xf numFmtId="168" fontId="0" fillId="0" borderId="0" xfId="0" applyNumberFormat="1"/>
    <xf numFmtId="169" fontId="0" fillId="2" borderId="0" xfId="0" applyNumberFormat="1" applyFill="1"/>
    <xf numFmtId="170" fontId="0" fillId="2" borderId="0" xfId="0" applyNumberFormat="1" applyFill="1"/>
    <xf numFmtId="171" fontId="0" fillId="0" borderId="0" xfId="3" applyNumberFormat="1" applyFont="1"/>
    <xf numFmtId="167" fontId="0" fillId="0" borderId="0" xfId="0" applyNumberFormat="1"/>
    <xf numFmtId="171" fontId="0" fillId="0" borderId="0" xfId="0" applyNumberFormat="1"/>
    <xf numFmtId="10" fontId="0" fillId="0" borderId="0" xfId="2" applyNumberFormat="1" applyFont="1"/>
    <xf numFmtId="43" fontId="0" fillId="0" borderId="0" xfId="0" applyNumberFormat="1"/>
    <xf numFmtId="43" fontId="0" fillId="0" borderId="0" xfId="3" applyFont="1"/>
    <xf numFmtId="172" fontId="0" fillId="0" borderId="0" xfId="2" applyNumberFormat="1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182447</xdr:colOff>
      <xdr:row>28</xdr:row>
      <xdr:rowOff>169018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130-9F3E-FE08-7BA7-71507F93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45647" cy="5325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17</xdr:col>
      <xdr:colOff>563500</xdr:colOff>
      <xdr:row>34</xdr:row>
      <xdr:rowOff>155725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0A42AD-39BA-3C82-8AB0-495FE0B78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40350"/>
          <a:ext cx="10926700" cy="1076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19</xdr:col>
      <xdr:colOff>39722</xdr:colOff>
      <xdr:row>62</xdr:row>
      <xdr:rowOff>137212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0457A3-058F-7760-3B33-5AC16BE76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629400"/>
          <a:ext cx="11622122" cy="4925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6973-9CD6-4E0A-B1D9-858A8EC0257B}">
  <dimension ref="F2:M15"/>
  <sheetViews>
    <sheetView tabSelected="1" workbookViewId="0">
      <selection activeCell="H3" sqref="H3"/>
    </sheetView>
  </sheetViews>
  <sheetFormatPr defaultRowHeight="14.5" x14ac:dyDescent="0.35"/>
  <cols>
    <col min="11" max="11" width="9.36328125" bestFit="1" customWidth="1"/>
    <col min="12" max="12" width="10.1796875" bestFit="1" customWidth="1"/>
  </cols>
  <sheetData>
    <row r="2" spans="6:13" x14ac:dyDescent="0.35">
      <c r="K2" t="s">
        <v>8</v>
      </c>
      <c r="L2" s="2">
        <v>0.02</v>
      </c>
    </row>
    <row r="3" spans="6:13" x14ac:dyDescent="0.35">
      <c r="F3" t="s">
        <v>0</v>
      </c>
      <c r="G3" s="1">
        <v>62.05</v>
      </c>
      <c r="H3" t="s">
        <v>3</v>
      </c>
      <c r="K3" t="s">
        <v>0</v>
      </c>
      <c r="L3" s="1">
        <v>62.05</v>
      </c>
      <c r="M3" t="s">
        <v>3</v>
      </c>
    </row>
    <row r="4" spans="6:13" x14ac:dyDescent="0.35">
      <c r="F4" t="s">
        <v>9</v>
      </c>
      <c r="G4" s="1">
        <f>L4</f>
        <v>63.290999999999997</v>
      </c>
      <c r="H4" t="s">
        <v>11</v>
      </c>
      <c r="K4" t="s">
        <v>9</v>
      </c>
      <c r="L4" s="1">
        <f>L3*(1+L2)</f>
        <v>63.290999999999997</v>
      </c>
      <c r="M4" t="s">
        <v>11</v>
      </c>
    </row>
    <row r="6" spans="6:13" x14ac:dyDescent="0.35">
      <c r="F6" t="s">
        <v>12</v>
      </c>
      <c r="G6" s="3">
        <f>(G4-G3)/G3</f>
        <v>1.9999999999999997E-2</v>
      </c>
    </row>
    <row r="10" spans="6:13" x14ac:dyDescent="0.35">
      <c r="F10" t="s">
        <v>0</v>
      </c>
      <c r="G10" s="1">
        <v>62.05</v>
      </c>
      <c r="H10" t="s">
        <v>3</v>
      </c>
      <c r="K10" t="s">
        <v>2</v>
      </c>
      <c r="L10" s="2">
        <f>G13</f>
        <v>1.9822723609991894E-2</v>
      </c>
    </row>
    <row r="11" spans="6:13" x14ac:dyDescent="0.35">
      <c r="F11" t="s">
        <v>1</v>
      </c>
      <c r="G11" s="1">
        <v>60.82</v>
      </c>
      <c r="H11" t="s">
        <v>4</v>
      </c>
      <c r="K11" t="s">
        <v>0</v>
      </c>
      <c r="L11" s="1">
        <v>62.05</v>
      </c>
      <c r="M11" t="s">
        <v>3</v>
      </c>
    </row>
    <row r="12" spans="6:13" x14ac:dyDescent="0.35">
      <c r="K12" t="s">
        <v>1</v>
      </c>
      <c r="L12" s="1">
        <f>L11*(1-L10)</f>
        <v>60.82</v>
      </c>
      <c r="M12" t="s">
        <v>10</v>
      </c>
    </row>
    <row r="13" spans="6:13" x14ac:dyDescent="0.35">
      <c r="F13" t="s">
        <v>5</v>
      </c>
      <c r="G13" s="3">
        <f>(G10-G11)/G10</f>
        <v>1.9822723609991894E-2</v>
      </c>
    </row>
    <row r="14" spans="6:13" x14ac:dyDescent="0.35">
      <c r="L14" s="4">
        <v>1000</v>
      </c>
      <c r="M14" t="s">
        <v>6</v>
      </c>
    </row>
    <row r="15" spans="6:13" x14ac:dyDescent="0.35">
      <c r="L15" s="5">
        <f>L14*L10</f>
        <v>19.822723609991893</v>
      </c>
      <c r="M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90C7-A363-4B3B-82D0-C74A8466268C}">
  <dimension ref="A1"/>
  <sheetViews>
    <sheetView topLeftCell="A19" zoomScale="85" zoomScaleNormal="85" workbookViewId="0">
      <selection activeCell="T48" sqref="T4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A48BA-C30C-4190-A999-65C570510B57}">
  <dimension ref="A2:N53"/>
  <sheetViews>
    <sheetView zoomScale="145" zoomScaleNormal="145" workbookViewId="0">
      <selection activeCell="G8" sqref="G8"/>
    </sheetView>
  </sheetViews>
  <sheetFormatPr defaultRowHeight="14.5" x14ac:dyDescent="0.35"/>
  <cols>
    <col min="2" max="2" width="13.81640625" customWidth="1"/>
    <col min="3" max="3" width="14.26953125" customWidth="1"/>
    <col min="4" max="4" width="11.54296875" customWidth="1"/>
    <col min="5" max="5" width="12" customWidth="1"/>
    <col min="6" max="6" width="11.7265625" customWidth="1"/>
    <col min="9" max="9" width="10.26953125" bestFit="1" customWidth="1"/>
    <col min="10" max="10" width="9.08984375" bestFit="1" customWidth="1"/>
  </cols>
  <sheetData>
    <row r="2" spans="2:7" x14ac:dyDescent="0.35">
      <c r="B2" t="s">
        <v>13</v>
      </c>
    </row>
    <row r="3" spans="2:7" x14ac:dyDescent="0.35">
      <c r="B3" t="s">
        <v>14</v>
      </c>
      <c r="C3" t="s">
        <v>15</v>
      </c>
    </row>
    <row r="4" spans="2:7" x14ac:dyDescent="0.35">
      <c r="C4" t="s">
        <v>16</v>
      </c>
    </row>
    <row r="6" spans="2:7" x14ac:dyDescent="0.35">
      <c r="B6" s="6" t="s">
        <v>17</v>
      </c>
    </row>
    <row r="7" spans="2:7" x14ac:dyDescent="0.35">
      <c r="B7" t="s">
        <v>18</v>
      </c>
      <c r="C7" s="2">
        <v>0.01</v>
      </c>
    </row>
    <row r="8" spans="2:7" x14ac:dyDescent="0.35">
      <c r="B8" t="s">
        <v>19</v>
      </c>
      <c r="C8" s="7">
        <v>1E-3</v>
      </c>
    </row>
    <row r="9" spans="2:7" x14ac:dyDescent="0.35">
      <c r="B9" t="s">
        <v>20</v>
      </c>
      <c r="C9" s="7">
        <v>1E-4</v>
      </c>
      <c r="D9" t="s">
        <v>21</v>
      </c>
    </row>
    <row r="10" spans="2:7" x14ac:dyDescent="0.35">
      <c r="G10" s="8">
        <f>+G11+E11</f>
        <v>1.2345999999999999</v>
      </c>
    </row>
    <row r="11" spans="2:7" x14ac:dyDescent="0.35">
      <c r="B11" t="s">
        <v>22</v>
      </c>
      <c r="E11" s="9">
        <f>+C9</f>
        <v>1E-4</v>
      </c>
      <c r="G11">
        <v>1.2344999999999999</v>
      </c>
    </row>
    <row r="13" spans="2:7" x14ac:dyDescent="0.35">
      <c r="B13" s="6" t="s">
        <v>23</v>
      </c>
    </row>
    <row r="14" spans="2:7" x14ac:dyDescent="0.35">
      <c r="B14" t="s">
        <v>24</v>
      </c>
      <c r="C14">
        <v>1.0765</v>
      </c>
      <c r="D14" t="s">
        <v>25</v>
      </c>
    </row>
    <row r="15" spans="2:7" x14ac:dyDescent="0.35">
      <c r="D15" t="s">
        <v>26</v>
      </c>
    </row>
    <row r="16" spans="2:7" x14ac:dyDescent="0.35">
      <c r="D16" t="s">
        <v>27</v>
      </c>
    </row>
    <row r="17" spans="1:12" x14ac:dyDescent="0.35">
      <c r="B17" t="s">
        <v>28</v>
      </c>
    </row>
    <row r="19" spans="1:12" x14ac:dyDescent="0.35">
      <c r="B19" s="6" t="s">
        <v>29</v>
      </c>
    </row>
    <row r="20" spans="1:12" s="10" customFormat="1" ht="29" x14ac:dyDescent="0.35">
      <c r="B20" s="10" t="s">
        <v>30</v>
      </c>
      <c r="C20" s="10" t="s">
        <v>31</v>
      </c>
      <c r="D20" s="10" t="s">
        <v>32</v>
      </c>
      <c r="E20" s="10" t="s">
        <v>33</v>
      </c>
    </row>
    <row r="21" spans="1:12" x14ac:dyDescent="0.35">
      <c r="B21" s="11">
        <v>1</v>
      </c>
      <c r="C21" s="11">
        <v>50</v>
      </c>
      <c r="D21" s="12">
        <f>+B21*C21</f>
        <v>50</v>
      </c>
      <c r="E21" s="13">
        <f>+D21*E11</f>
        <v>5.0000000000000001E-3</v>
      </c>
      <c r="F21" t="s">
        <v>34</v>
      </c>
    </row>
    <row r="22" spans="1:12" x14ac:dyDescent="0.35">
      <c r="B22" s="11">
        <v>1</v>
      </c>
      <c r="C22" s="11">
        <v>500</v>
      </c>
      <c r="D22" s="12">
        <f>+B22*C22</f>
        <v>500</v>
      </c>
      <c r="E22" s="14">
        <f>+D22*$E$11</f>
        <v>0.05</v>
      </c>
    </row>
    <row r="23" spans="1:12" x14ac:dyDescent="0.35">
      <c r="B23" s="11">
        <v>10</v>
      </c>
      <c r="C23" s="11">
        <v>500</v>
      </c>
      <c r="D23" s="12">
        <f>+B23*C23</f>
        <v>5000</v>
      </c>
      <c r="E23" s="14">
        <f>+D23*$E$11</f>
        <v>0.5</v>
      </c>
    </row>
    <row r="24" spans="1:12" x14ac:dyDescent="0.35">
      <c r="B24" s="11">
        <v>100</v>
      </c>
      <c r="C24" s="11">
        <v>500</v>
      </c>
      <c r="D24" s="12">
        <f>+B24*C24</f>
        <v>50000</v>
      </c>
      <c r="E24" s="14">
        <f>+D24*$E$11</f>
        <v>5</v>
      </c>
      <c r="F24" t="s">
        <v>35</v>
      </c>
    </row>
    <row r="25" spans="1:12" x14ac:dyDescent="0.35">
      <c r="B25" s="11"/>
      <c r="C25" s="11"/>
      <c r="D25" s="11"/>
    </row>
    <row r="26" spans="1:12" x14ac:dyDescent="0.35">
      <c r="B26" s="15" t="s">
        <v>36</v>
      </c>
      <c r="C26" s="11"/>
      <c r="D26" s="11"/>
    </row>
    <row r="27" spans="1:12" x14ac:dyDescent="0.35">
      <c r="B27" s="16" t="s">
        <v>37</v>
      </c>
      <c r="C27" s="11">
        <v>1.0787</v>
      </c>
      <c r="D27" s="11"/>
    </row>
    <row r="28" spans="1:12" x14ac:dyDescent="0.35">
      <c r="A28" t="s">
        <v>38</v>
      </c>
      <c r="B28" s="16" t="s">
        <v>39</v>
      </c>
      <c r="C28" s="11">
        <v>1.0788</v>
      </c>
      <c r="D28" s="17">
        <f>+C28-C27</f>
        <v>9.9999999999988987E-5</v>
      </c>
    </row>
    <row r="29" spans="1:12" x14ac:dyDescent="0.35">
      <c r="A29" t="s">
        <v>40</v>
      </c>
      <c r="B29" s="16" t="s">
        <v>41</v>
      </c>
      <c r="C29" s="11">
        <v>1.0786</v>
      </c>
      <c r="D29" s="9">
        <f>+C27-C29</f>
        <v>9.9999999999988987E-5</v>
      </c>
    </row>
    <row r="30" spans="1:12" x14ac:dyDescent="0.35">
      <c r="D30" s="8">
        <f>+D28+D29</f>
        <v>1.9999999999997797E-4</v>
      </c>
      <c r="E30" t="s">
        <v>42</v>
      </c>
    </row>
    <row r="31" spans="1:12" x14ac:dyDescent="0.35">
      <c r="D31" s="8"/>
    </row>
    <row r="32" spans="1:12" x14ac:dyDescent="0.35">
      <c r="B32" s="15" t="s">
        <v>43</v>
      </c>
      <c r="H32" t="s">
        <v>44</v>
      </c>
      <c r="I32">
        <v>2.7</v>
      </c>
      <c r="J32" t="s">
        <v>45</v>
      </c>
      <c r="K32">
        <f>I32/10000</f>
        <v>2.7E-4</v>
      </c>
      <c r="L32">
        <f>+K32/2</f>
        <v>1.35E-4</v>
      </c>
    </row>
    <row r="33" spans="2:14" x14ac:dyDescent="0.35">
      <c r="B33" s="15" t="s">
        <v>46</v>
      </c>
      <c r="D33" s="18">
        <v>1.137065</v>
      </c>
    </row>
    <row r="34" spans="2:14" x14ac:dyDescent="0.35">
      <c r="B34" s="16" t="s">
        <v>47</v>
      </c>
      <c r="D34" s="19">
        <f>+D33+L32</f>
        <v>1.1372</v>
      </c>
      <c r="E34" t="s">
        <v>48</v>
      </c>
    </row>
    <row r="35" spans="2:14" x14ac:dyDescent="0.35">
      <c r="B35" s="16" t="s">
        <v>49</v>
      </c>
      <c r="L35" s="20">
        <f>+L32</f>
        <v>1.35E-4</v>
      </c>
      <c r="M35" t="s">
        <v>50</v>
      </c>
      <c r="N35" s="21">
        <f>+L35*E24/0.0001</f>
        <v>6.75</v>
      </c>
    </row>
    <row r="36" spans="2:14" x14ac:dyDescent="0.35">
      <c r="B36" s="16" t="s">
        <v>51</v>
      </c>
    </row>
    <row r="37" spans="2:14" x14ac:dyDescent="0.35">
      <c r="B37" s="16" t="s">
        <v>52</v>
      </c>
    </row>
    <row r="38" spans="2:14" x14ac:dyDescent="0.35">
      <c r="C38" t="s">
        <v>53</v>
      </c>
      <c r="D38" s="19">
        <f>+D34</f>
        <v>1.1372</v>
      </c>
    </row>
    <row r="39" spans="2:14" x14ac:dyDescent="0.35">
      <c r="C39" t="s">
        <v>54</v>
      </c>
      <c r="D39" s="19">
        <v>1.13811</v>
      </c>
    </row>
    <row r="40" spans="2:14" x14ac:dyDescent="0.35">
      <c r="D40" s="22">
        <f>+D39-D38</f>
        <v>9.0999999999996639E-4</v>
      </c>
      <c r="E40" t="s">
        <v>55</v>
      </c>
      <c r="G40" s="5">
        <f>+J41</f>
        <v>33.703703703702459</v>
      </c>
      <c r="I40" s="8">
        <f>+L35</f>
        <v>1.35E-4</v>
      </c>
      <c r="J40" s="23">
        <f>+E24</f>
        <v>5</v>
      </c>
    </row>
    <row r="41" spans="2:14" x14ac:dyDescent="0.35">
      <c r="D41" s="8"/>
      <c r="E41" t="s">
        <v>56</v>
      </c>
      <c r="G41" s="4">
        <f>+N35</f>
        <v>6.75</v>
      </c>
      <c r="I41" s="24">
        <f>+D40</f>
        <v>9.0999999999996639E-4</v>
      </c>
      <c r="J41" s="4">
        <f>+I41*J40/I40</f>
        <v>33.703703703702459</v>
      </c>
    </row>
    <row r="42" spans="2:14" x14ac:dyDescent="0.35">
      <c r="D42" s="8"/>
      <c r="E42" t="s">
        <v>57</v>
      </c>
      <c r="G42" s="4">
        <f>+G40-G41</f>
        <v>26.953703703702459</v>
      </c>
      <c r="H42" t="s">
        <v>58</v>
      </c>
    </row>
    <row r="44" spans="2:14" x14ac:dyDescent="0.35">
      <c r="B44" t="s">
        <v>59</v>
      </c>
      <c r="D44" s="4">
        <f>+B24</f>
        <v>100</v>
      </c>
    </row>
    <row r="45" spans="2:14" x14ac:dyDescent="0.35">
      <c r="B45" t="s">
        <v>60</v>
      </c>
      <c r="D45" s="19">
        <v>1.13811</v>
      </c>
    </row>
    <row r="46" spans="2:14" x14ac:dyDescent="0.35">
      <c r="B46" t="s">
        <v>61</v>
      </c>
      <c r="D46" s="5">
        <f>+G42</f>
        <v>26.953703703702459</v>
      </c>
    </row>
    <row r="47" spans="2:14" x14ac:dyDescent="0.35">
      <c r="B47" t="s">
        <v>62</v>
      </c>
      <c r="D47" s="25">
        <f>+D46/D44</f>
        <v>0.26953703703702458</v>
      </c>
      <c r="E47" t="s">
        <v>63</v>
      </c>
    </row>
    <row r="48" spans="2:14" x14ac:dyDescent="0.35">
      <c r="I48" t="s">
        <v>64</v>
      </c>
      <c r="J48" s="26">
        <f>+J49*(1-J51)</f>
        <v>63.279999999999994</v>
      </c>
    </row>
    <row r="49" spans="3:11" x14ac:dyDescent="0.35">
      <c r="I49" t="s">
        <v>0</v>
      </c>
      <c r="J49">
        <v>62.05</v>
      </c>
      <c r="K49" t="s">
        <v>3</v>
      </c>
    </row>
    <row r="50" spans="3:11" x14ac:dyDescent="0.35">
      <c r="C50" s="27"/>
      <c r="I50" t="s">
        <v>1</v>
      </c>
      <c r="J50" s="27">
        <v>60.82</v>
      </c>
      <c r="K50" t="s">
        <v>4</v>
      </c>
    </row>
    <row r="51" spans="3:11" x14ac:dyDescent="0.35">
      <c r="C51" s="27"/>
      <c r="J51" s="26">
        <f>(J50-J49)/J49</f>
        <v>-1.9822723609991894E-2</v>
      </c>
    </row>
    <row r="52" spans="3:11" x14ac:dyDescent="0.35">
      <c r="C52" s="28"/>
      <c r="J52">
        <v>1000</v>
      </c>
    </row>
    <row r="53" spans="3:11" x14ac:dyDescent="0.35">
      <c r="J53">
        <f>+J51*J52</f>
        <v>-19.822723609991893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2025-06-05T00:08:46Z</dcterms:created>
  <dcterms:modified xsi:type="dcterms:W3CDTF">2025-06-24T23:20:13Z</dcterms:modified>
</cp:coreProperties>
</file>