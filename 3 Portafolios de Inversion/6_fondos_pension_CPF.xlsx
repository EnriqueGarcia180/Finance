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arcia\Desktop\AXM_Courses\Finance\2. Portafolios de Inversion\"/>
    </mc:Choice>
  </mc:AlternateContent>
  <xr:revisionPtr revIDLastSave="0" documentId="13_ncr:1_{0A71F1F4-2259-4E96-AE61-406E15AB75A7}" xr6:coauthVersionLast="47" xr6:coauthVersionMax="47" xr10:uidLastSave="{00000000-0000-0000-0000-000000000000}"/>
  <bookViews>
    <workbookView xWindow="-3570" yWindow="-16335" windowWidth="29040" windowHeight="15840" activeTab="2" xr2:uid="{0C4B2B0D-C053-4A6F-B1D3-35E5AD4DD9C0}"/>
  </bookViews>
  <sheets>
    <sheet name="datos" sheetId="1" r:id="rId1"/>
    <sheet name="Calculo Manual Varianza" sheetId="4" r:id="rId2"/>
    <sheet name="VaR and Weights" sheetId="3" r:id="rId3"/>
    <sheet name="HPR (Holding Period Return)" sheetId="2" r:id="rId4"/>
  </sheets>
  <definedNames>
    <definedName name="solver_adj" localSheetId="2" hidden="1">'VaR and Weights'!$AB$37:$AI$37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'VaR and Weights'!$AB$37:$AI$37</definedName>
    <definedName name="solver_lhs2" localSheetId="2" hidden="1">'VaR and Weights'!$AF$38</definedName>
    <definedName name="solver_lhs3" localSheetId="2" hidden="1">'VaR and Weights'!$AJ$37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3</definedName>
    <definedName name="solver_nwt" localSheetId="2" hidden="1">1</definedName>
    <definedName name="solver_opt" localSheetId="2" hidden="1">'VaR and Weights'!$AB$48</definedName>
    <definedName name="solver_pre" localSheetId="2" hidden="1">0.000001</definedName>
    <definedName name="solver_rbv" localSheetId="2" hidden="1">2</definedName>
    <definedName name="solver_rel1" localSheetId="2" hidden="1">3</definedName>
    <definedName name="solver_rel2" localSheetId="2" hidden="1">1</definedName>
    <definedName name="solver_rel3" localSheetId="2" hidden="1">2</definedName>
    <definedName name="solver_rhs1" localSheetId="2" hidden="1">0%</definedName>
    <definedName name="solver_rhs2" localSheetId="2" hidden="1">55.84%</definedName>
    <definedName name="solver_rhs3" localSheetId="2" hidden="1">100%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-0.0123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3" i="3" l="1"/>
  <c r="AF82" i="3"/>
  <c r="AF78" i="3"/>
  <c r="AF77" i="3"/>
  <c r="AF79" i="3" s="1"/>
  <c r="AF84" i="3" l="1"/>
  <c r="AF85" i="3"/>
  <c r="AE66" i="3" l="1"/>
  <c r="AF38" i="3"/>
  <c r="AJ37" i="3"/>
  <c r="AG48" i="3" l="1"/>
  <c r="AI38" i="3"/>
  <c r="D5" i="4"/>
  <c r="D4" i="4"/>
  <c r="D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2" i="4"/>
  <c r="AB6" i="3" l="1"/>
  <c r="I4" i="3"/>
  <c r="J4" i="3"/>
  <c r="K4" i="3"/>
  <c r="L4" i="3"/>
  <c r="M4" i="3"/>
  <c r="N4" i="3"/>
  <c r="O4" i="3"/>
  <c r="P4" i="3"/>
  <c r="I5" i="3"/>
  <c r="J5" i="3"/>
  <c r="K5" i="3"/>
  <c r="L5" i="3"/>
  <c r="M5" i="3"/>
  <c r="N5" i="3"/>
  <c r="O5" i="3"/>
  <c r="P5" i="3"/>
  <c r="I6" i="3"/>
  <c r="J6" i="3"/>
  <c r="K6" i="3"/>
  <c r="L6" i="3"/>
  <c r="M6" i="3"/>
  <c r="N6" i="3"/>
  <c r="O6" i="3"/>
  <c r="P6" i="3"/>
  <c r="I7" i="3"/>
  <c r="J7" i="3"/>
  <c r="K7" i="3"/>
  <c r="L7" i="3"/>
  <c r="M7" i="3"/>
  <c r="N7" i="3"/>
  <c r="O7" i="3"/>
  <c r="P7" i="3"/>
  <c r="I8" i="3"/>
  <c r="J8" i="3"/>
  <c r="K8" i="3"/>
  <c r="L8" i="3"/>
  <c r="M8" i="3"/>
  <c r="N8" i="3"/>
  <c r="O8" i="3"/>
  <c r="P8" i="3"/>
  <c r="I9" i="3"/>
  <c r="J9" i="3"/>
  <c r="K9" i="3"/>
  <c r="L9" i="3"/>
  <c r="M9" i="3"/>
  <c r="N9" i="3"/>
  <c r="O9" i="3"/>
  <c r="P9" i="3"/>
  <c r="I10" i="3"/>
  <c r="J10" i="3"/>
  <c r="K10" i="3"/>
  <c r="L10" i="3"/>
  <c r="M10" i="3"/>
  <c r="N10" i="3"/>
  <c r="O10" i="3"/>
  <c r="P10" i="3"/>
  <c r="I11" i="3"/>
  <c r="J11" i="3"/>
  <c r="K11" i="3"/>
  <c r="L11" i="3"/>
  <c r="M11" i="3"/>
  <c r="N11" i="3"/>
  <c r="O11" i="3"/>
  <c r="P11" i="3"/>
  <c r="I12" i="3"/>
  <c r="J12" i="3"/>
  <c r="K12" i="3"/>
  <c r="L12" i="3"/>
  <c r="M12" i="3"/>
  <c r="N12" i="3"/>
  <c r="O12" i="3"/>
  <c r="P12" i="3"/>
  <c r="I13" i="3"/>
  <c r="J13" i="3"/>
  <c r="K13" i="3"/>
  <c r="L13" i="3"/>
  <c r="M13" i="3"/>
  <c r="N13" i="3"/>
  <c r="O13" i="3"/>
  <c r="P13" i="3"/>
  <c r="I14" i="3"/>
  <c r="J14" i="3"/>
  <c r="K14" i="3"/>
  <c r="L14" i="3"/>
  <c r="M14" i="3"/>
  <c r="N14" i="3"/>
  <c r="O14" i="3"/>
  <c r="P14" i="3"/>
  <c r="I15" i="3"/>
  <c r="J15" i="3"/>
  <c r="K15" i="3"/>
  <c r="L15" i="3"/>
  <c r="M15" i="3"/>
  <c r="N15" i="3"/>
  <c r="O15" i="3"/>
  <c r="P15" i="3"/>
  <c r="I16" i="3"/>
  <c r="J16" i="3"/>
  <c r="K16" i="3"/>
  <c r="L16" i="3"/>
  <c r="M16" i="3"/>
  <c r="N16" i="3"/>
  <c r="O16" i="3"/>
  <c r="P16" i="3"/>
  <c r="I17" i="3"/>
  <c r="J17" i="3"/>
  <c r="K17" i="3"/>
  <c r="L17" i="3"/>
  <c r="M17" i="3"/>
  <c r="N17" i="3"/>
  <c r="O17" i="3"/>
  <c r="P17" i="3"/>
  <c r="I18" i="3"/>
  <c r="J18" i="3"/>
  <c r="K18" i="3"/>
  <c r="L18" i="3"/>
  <c r="M18" i="3"/>
  <c r="N18" i="3"/>
  <c r="O18" i="3"/>
  <c r="P18" i="3"/>
  <c r="I19" i="3"/>
  <c r="J19" i="3"/>
  <c r="K19" i="3"/>
  <c r="L19" i="3"/>
  <c r="M19" i="3"/>
  <c r="N19" i="3"/>
  <c r="O19" i="3"/>
  <c r="P19" i="3"/>
  <c r="I20" i="3"/>
  <c r="J20" i="3"/>
  <c r="K20" i="3"/>
  <c r="L20" i="3"/>
  <c r="M20" i="3"/>
  <c r="N20" i="3"/>
  <c r="O20" i="3"/>
  <c r="P20" i="3"/>
  <c r="I21" i="3"/>
  <c r="J21" i="3"/>
  <c r="K21" i="3"/>
  <c r="L21" i="3"/>
  <c r="M21" i="3"/>
  <c r="N21" i="3"/>
  <c r="O21" i="3"/>
  <c r="P21" i="3"/>
  <c r="I22" i="3"/>
  <c r="J22" i="3"/>
  <c r="K22" i="3"/>
  <c r="L22" i="3"/>
  <c r="M22" i="3"/>
  <c r="N22" i="3"/>
  <c r="O22" i="3"/>
  <c r="P22" i="3"/>
  <c r="I23" i="3"/>
  <c r="J23" i="3"/>
  <c r="K23" i="3"/>
  <c r="L23" i="3"/>
  <c r="M23" i="3"/>
  <c r="N23" i="3"/>
  <c r="O23" i="3"/>
  <c r="P23" i="3"/>
  <c r="I24" i="3"/>
  <c r="J24" i="3"/>
  <c r="K24" i="3"/>
  <c r="L24" i="3"/>
  <c r="M24" i="3"/>
  <c r="N24" i="3"/>
  <c r="O24" i="3"/>
  <c r="P24" i="3"/>
  <c r="I25" i="3"/>
  <c r="J25" i="3"/>
  <c r="K25" i="3"/>
  <c r="L25" i="3"/>
  <c r="M25" i="3"/>
  <c r="N25" i="3"/>
  <c r="O25" i="3"/>
  <c r="P25" i="3"/>
  <c r="I26" i="3"/>
  <c r="J26" i="3"/>
  <c r="K26" i="3"/>
  <c r="L26" i="3"/>
  <c r="M26" i="3"/>
  <c r="N26" i="3"/>
  <c r="O26" i="3"/>
  <c r="P26" i="3"/>
  <c r="I27" i="3"/>
  <c r="J27" i="3"/>
  <c r="K27" i="3"/>
  <c r="L27" i="3"/>
  <c r="M27" i="3"/>
  <c r="N27" i="3"/>
  <c r="O27" i="3"/>
  <c r="P27" i="3"/>
  <c r="I28" i="3"/>
  <c r="J28" i="3"/>
  <c r="K28" i="3"/>
  <c r="L28" i="3"/>
  <c r="M28" i="3"/>
  <c r="N28" i="3"/>
  <c r="O28" i="3"/>
  <c r="P28" i="3"/>
  <c r="I29" i="3"/>
  <c r="J29" i="3"/>
  <c r="K29" i="3"/>
  <c r="L29" i="3"/>
  <c r="M29" i="3"/>
  <c r="N29" i="3"/>
  <c r="O29" i="3"/>
  <c r="P29" i="3"/>
  <c r="I30" i="3"/>
  <c r="J30" i="3"/>
  <c r="K30" i="3"/>
  <c r="L30" i="3"/>
  <c r="M30" i="3"/>
  <c r="N30" i="3"/>
  <c r="O30" i="3"/>
  <c r="P30" i="3"/>
  <c r="I31" i="3"/>
  <c r="J31" i="3"/>
  <c r="K31" i="3"/>
  <c r="L31" i="3"/>
  <c r="M31" i="3"/>
  <c r="N31" i="3"/>
  <c r="O31" i="3"/>
  <c r="P31" i="3"/>
  <c r="I32" i="3"/>
  <c r="J32" i="3"/>
  <c r="K32" i="3"/>
  <c r="L32" i="3"/>
  <c r="M32" i="3"/>
  <c r="N32" i="3"/>
  <c r="O32" i="3"/>
  <c r="P32" i="3"/>
  <c r="I33" i="3"/>
  <c r="J33" i="3"/>
  <c r="K33" i="3"/>
  <c r="L33" i="3"/>
  <c r="M33" i="3"/>
  <c r="N33" i="3"/>
  <c r="O33" i="3"/>
  <c r="P33" i="3"/>
  <c r="I34" i="3"/>
  <c r="J34" i="3"/>
  <c r="K34" i="3"/>
  <c r="L34" i="3"/>
  <c r="M34" i="3"/>
  <c r="N34" i="3"/>
  <c r="O34" i="3"/>
  <c r="P34" i="3"/>
  <c r="I35" i="3"/>
  <c r="J35" i="3"/>
  <c r="K35" i="3"/>
  <c r="L35" i="3"/>
  <c r="M35" i="3"/>
  <c r="N35" i="3"/>
  <c r="O35" i="3"/>
  <c r="P35" i="3"/>
  <c r="I36" i="3"/>
  <c r="J36" i="3"/>
  <c r="K36" i="3"/>
  <c r="L36" i="3"/>
  <c r="M36" i="3"/>
  <c r="N36" i="3"/>
  <c r="O36" i="3"/>
  <c r="P36" i="3"/>
  <c r="I37" i="3"/>
  <c r="J37" i="3"/>
  <c r="K37" i="3"/>
  <c r="L37" i="3"/>
  <c r="M37" i="3"/>
  <c r="N37" i="3"/>
  <c r="O37" i="3"/>
  <c r="P37" i="3"/>
  <c r="I38" i="3"/>
  <c r="J38" i="3"/>
  <c r="K38" i="3"/>
  <c r="L38" i="3"/>
  <c r="M38" i="3"/>
  <c r="N38" i="3"/>
  <c r="O38" i="3"/>
  <c r="P38" i="3"/>
  <c r="I39" i="3"/>
  <c r="J39" i="3"/>
  <c r="K39" i="3"/>
  <c r="L39" i="3"/>
  <c r="M39" i="3"/>
  <c r="N39" i="3"/>
  <c r="O39" i="3"/>
  <c r="P39" i="3"/>
  <c r="I40" i="3"/>
  <c r="J40" i="3"/>
  <c r="K40" i="3"/>
  <c r="L40" i="3"/>
  <c r="M40" i="3"/>
  <c r="N40" i="3"/>
  <c r="O40" i="3"/>
  <c r="P40" i="3"/>
  <c r="I41" i="3"/>
  <c r="J41" i="3"/>
  <c r="K41" i="3"/>
  <c r="L41" i="3"/>
  <c r="M41" i="3"/>
  <c r="N41" i="3"/>
  <c r="O41" i="3"/>
  <c r="P41" i="3"/>
  <c r="I42" i="3"/>
  <c r="J42" i="3"/>
  <c r="K42" i="3"/>
  <c r="L42" i="3"/>
  <c r="M42" i="3"/>
  <c r="N42" i="3"/>
  <c r="O42" i="3"/>
  <c r="P42" i="3"/>
  <c r="I43" i="3"/>
  <c r="J43" i="3"/>
  <c r="K43" i="3"/>
  <c r="L43" i="3"/>
  <c r="M43" i="3"/>
  <c r="N43" i="3"/>
  <c r="O43" i="3"/>
  <c r="P43" i="3"/>
  <c r="I44" i="3"/>
  <c r="J44" i="3"/>
  <c r="K44" i="3"/>
  <c r="L44" i="3"/>
  <c r="M44" i="3"/>
  <c r="N44" i="3"/>
  <c r="O44" i="3"/>
  <c r="P44" i="3"/>
  <c r="I45" i="3"/>
  <c r="J45" i="3"/>
  <c r="K45" i="3"/>
  <c r="L45" i="3"/>
  <c r="M45" i="3"/>
  <c r="N45" i="3"/>
  <c r="O45" i="3"/>
  <c r="P45" i="3"/>
  <c r="I46" i="3"/>
  <c r="J46" i="3"/>
  <c r="K46" i="3"/>
  <c r="L46" i="3"/>
  <c r="M46" i="3"/>
  <c r="N46" i="3"/>
  <c r="O46" i="3"/>
  <c r="P46" i="3"/>
  <c r="I47" i="3"/>
  <c r="J47" i="3"/>
  <c r="K47" i="3"/>
  <c r="L47" i="3"/>
  <c r="M47" i="3"/>
  <c r="N47" i="3"/>
  <c r="O47" i="3"/>
  <c r="P47" i="3"/>
  <c r="I48" i="3"/>
  <c r="J48" i="3"/>
  <c r="K48" i="3"/>
  <c r="L48" i="3"/>
  <c r="M48" i="3"/>
  <c r="N48" i="3"/>
  <c r="O48" i="3"/>
  <c r="P48" i="3"/>
  <c r="I49" i="3"/>
  <c r="J49" i="3"/>
  <c r="K49" i="3"/>
  <c r="L49" i="3"/>
  <c r="M49" i="3"/>
  <c r="N49" i="3"/>
  <c r="O49" i="3"/>
  <c r="P49" i="3"/>
  <c r="I50" i="3"/>
  <c r="J50" i="3"/>
  <c r="K50" i="3"/>
  <c r="L50" i="3"/>
  <c r="M50" i="3"/>
  <c r="N50" i="3"/>
  <c r="O50" i="3"/>
  <c r="P50" i="3"/>
  <c r="I51" i="3"/>
  <c r="J51" i="3"/>
  <c r="K51" i="3"/>
  <c r="L51" i="3"/>
  <c r="M51" i="3"/>
  <c r="N51" i="3"/>
  <c r="O51" i="3"/>
  <c r="P51" i="3"/>
  <c r="I52" i="3"/>
  <c r="J52" i="3"/>
  <c r="K52" i="3"/>
  <c r="L52" i="3"/>
  <c r="M52" i="3"/>
  <c r="N52" i="3"/>
  <c r="O52" i="3"/>
  <c r="P52" i="3"/>
  <c r="I53" i="3"/>
  <c r="J53" i="3"/>
  <c r="K53" i="3"/>
  <c r="L53" i="3"/>
  <c r="M53" i="3"/>
  <c r="N53" i="3"/>
  <c r="O53" i="3"/>
  <c r="P53" i="3"/>
  <c r="I54" i="3"/>
  <c r="J54" i="3"/>
  <c r="K54" i="3"/>
  <c r="L54" i="3"/>
  <c r="M54" i="3"/>
  <c r="N54" i="3"/>
  <c r="O54" i="3"/>
  <c r="P54" i="3"/>
  <c r="I55" i="3"/>
  <c r="J55" i="3"/>
  <c r="K55" i="3"/>
  <c r="L55" i="3"/>
  <c r="M55" i="3"/>
  <c r="N55" i="3"/>
  <c r="O55" i="3"/>
  <c r="P55" i="3"/>
  <c r="I56" i="3"/>
  <c r="J56" i="3"/>
  <c r="K56" i="3"/>
  <c r="L56" i="3"/>
  <c r="M56" i="3"/>
  <c r="N56" i="3"/>
  <c r="O56" i="3"/>
  <c r="P56" i="3"/>
  <c r="I57" i="3"/>
  <c r="J57" i="3"/>
  <c r="K57" i="3"/>
  <c r="L57" i="3"/>
  <c r="M57" i="3"/>
  <c r="N57" i="3"/>
  <c r="O57" i="3"/>
  <c r="P57" i="3"/>
  <c r="I58" i="3"/>
  <c r="J58" i="3"/>
  <c r="K58" i="3"/>
  <c r="L58" i="3"/>
  <c r="M58" i="3"/>
  <c r="N58" i="3"/>
  <c r="O58" i="3"/>
  <c r="P58" i="3"/>
  <c r="I59" i="3"/>
  <c r="J59" i="3"/>
  <c r="K59" i="3"/>
  <c r="L59" i="3"/>
  <c r="M59" i="3"/>
  <c r="N59" i="3"/>
  <c r="O59" i="3"/>
  <c r="P59" i="3"/>
  <c r="I60" i="3"/>
  <c r="J60" i="3"/>
  <c r="K60" i="3"/>
  <c r="L60" i="3"/>
  <c r="M60" i="3"/>
  <c r="N60" i="3"/>
  <c r="O60" i="3"/>
  <c r="P60" i="3"/>
  <c r="I61" i="3"/>
  <c r="J61" i="3"/>
  <c r="K61" i="3"/>
  <c r="L61" i="3"/>
  <c r="M61" i="3"/>
  <c r="N61" i="3"/>
  <c r="O61" i="3"/>
  <c r="P61" i="3"/>
  <c r="I62" i="3"/>
  <c r="J62" i="3"/>
  <c r="K62" i="3"/>
  <c r="L62" i="3"/>
  <c r="M62" i="3"/>
  <c r="N62" i="3"/>
  <c r="O62" i="3"/>
  <c r="P62" i="3"/>
  <c r="I63" i="3"/>
  <c r="J63" i="3"/>
  <c r="K63" i="3"/>
  <c r="L63" i="3"/>
  <c r="M63" i="3"/>
  <c r="N63" i="3"/>
  <c r="O63" i="3"/>
  <c r="P63" i="3"/>
  <c r="I64" i="3"/>
  <c r="J64" i="3"/>
  <c r="K64" i="3"/>
  <c r="L64" i="3"/>
  <c r="M64" i="3"/>
  <c r="N64" i="3"/>
  <c r="O64" i="3"/>
  <c r="P64" i="3"/>
  <c r="I65" i="3"/>
  <c r="J65" i="3"/>
  <c r="K65" i="3"/>
  <c r="L65" i="3"/>
  <c r="M65" i="3"/>
  <c r="N65" i="3"/>
  <c r="O65" i="3"/>
  <c r="P65" i="3"/>
  <c r="I66" i="3"/>
  <c r="J66" i="3"/>
  <c r="K66" i="3"/>
  <c r="L66" i="3"/>
  <c r="M66" i="3"/>
  <c r="N66" i="3"/>
  <c r="O66" i="3"/>
  <c r="P66" i="3"/>
  <c r="I67" i="3"/>
  <c r="J67" i="3"/>
  <c r="K67" i="3"/>
  <c r="L67" i="3"/>
  <c r="M67" i="3"/>
  <c r="N67" i="3"/>
  <c r="O67" i="3"/>
  <c r="P67" i="3"/>
  <c r="I68" i="3"/>
  <c r="J68" i="3"/>
  <c r="K68" i="3"/>
  <c r="L68" i="3"/>
  <c r="M68" i="3"/>
  <c r="N68" i="3"/>
  <c r="O68" i="3"/>
  <c r="P68" i="3"/>
  <c r="I69" i="3"/>
  <c r="J69" i="3"/>
  <c r="K69" i="3"/>
  <c r="L69" i="3"/>
  <c r="M69" i="3"/>
  <c r="N69" i="3"/>
  <c r="O69" i="3"/>
  <c r="P69" i="3"/>
  <c r="I70" i="3"/>
  <c r="J70" i="3"/>
  <c r="K70" i="3"/>
  <c r="L70" i="3"/>
  <c r="M70" i="3"/>
  <c r="N70" i="3"/>
  <c r="O70" i="3"/>
  <c r="P70" i="3"/>
  <c r="I71" i="3"/>
  <c r="J71" i="3"/>
  <c r="K71" i="3"/>
  <c r="L71" i="3"/>
  <c r="M71" i="3"/>
  <c r="N71" i="3"/>
  <c r="O71" i="3"/>
  <c r="P71" i="3"/>
  <c r="I72" i="3"/>
  <c r="J72" i="3"/>
  <c r="K72" i="3"/>
  <c r="L72" i="3"/>
  <c r="M72" i="3"/>
  <c r="N72" i="3"/>
  <c r="O72" i="3"/>
  <c r="P72" i="3"/>
  <c r="I73" i="3"/>
  <c r="J73" i="3"/>
  <c r="K73" i="3"/>
  <c r="L73" i="3"/>
  <c r="M73" i="3"/>
  <c r="N73" i="3"/>
  <c r="O73" i="3"/>
  <c r="P73" i="3"/>
  <c r="I74" i="3"/>
  <c r="J74" i="3"/>
  <c r="K74" i="3"/>
  <c r="L74" i="3"/>
  <c r="M74" i="3"/>
  <c r="N74" i="3"/>
  <c r="O74" i="3"/>
  <c r="P74" i="3"/>
  <c r="I75" i="3"/>
  <c r="J75" i="3"/>
  <c r="K75" i="3"/>
  <c r="L75" i="3"/>
  <c r="M75" i="3"/>
  <c r="N75" i="3"/>
  <c r="O75" i="3"/>
  <c r="P75" i="3"/>
  <c r="I76" i="3"/>
  <c r="J76" i="3"/>
  <c r="K76" i="3"/>
  <c r="L76" i="3"/>
  <c r="M76" i="3"/>
  <c r="N76" i="3"/>
  <c r="O76" i="3"/>
  <c r="P76" i="3"/>
  <c r="I77" i="3"/>
  <c r="J77" i="3"/>
  <c r="K77" i="3"/>
  <c r="L77" i="3"/>
  <c r="M77" i="3"/>
  <c r="N77" i="3"/>
  <c r="O77" i="3"/>
  <c r="P77" i="3"/>
  <c r="I78" i="3"/>
  <c r="J78" i="3"/>
  <c r="K78" i="3"/>
  <c r="L78" i="3"/>
  <c r="M78" i="3"/>
  <c r="N78" i="3"/>
  <c r="O78" i="3"/>
  <c r="P78" i="3"/>
  <c r="I79" i="3"/>
  <c r="J79" i="3"/>
  <c r="K79" i="3"/>
  <c r="L79" i="3"/>
  <c r="M79" i="3"/>
  <c r="N79" i="3"/>
  <c r="O79" i="3"/>
  <c r="P79" i="3"/>
  <c r="I80" i="3"/>
  <c r="J80" i="3"/>
  <c r="K80" i="3"/>
  <c r="L80" i="3"/>
  <c r="M80" i="3"/>
  <c r="N80" i="3"/>
  <c r="O80" i="3"/>
  <c r="P80" i="3"/>
  <c r="I81" i="3"/>
  <c r="J81" i="3"/>
  <c r="K81" i="3"/>
  <c r="L81" i="3"/>
  <c r="M81" i="3"/>
  <c r="N81" i="3"/>
  <c r="O81" i="3"/>
  <c r="P81" i="3"/>
  <c r="I82" i="3"/>
  <c r="J82" i="3"/>
  <c r="K82" i="3"/>
  <c r="L82" i="3"/>
  <c r="M82" i="3"/>
  <c r="N82" i="3"/>
  <c r="O82" i="3"/>
  <c r="P82" i="3"/>
  <c r="I83" i="3"/>
  <c r="J83" i="3"/>
  <c r="K83" i="3"/>
  <c r="L83" i="3"/>
  <c r="M83" i="3"/>
  <c r="N83" i="3"/>
  <c r="O83" i="3"/>
  <c r="P83" i="3"/>
  <c r="I84" i="3"/>
  <c r="J84" i="3"/>
  <c r="K84" i="3"/>
  <c r="L84" i="3"/>
  <c r="M84" i="3"/>
  <c r="N84" i="3"/>
  <c r="O84" i="3"/>
  <c r="P84" i="3"/>
  <c r="I85" i="3"/>
  <c r="J85" i="3"/>
  <c r="K85" i="3"/>
  <c r="L85" i="3"/>
  <c r="M85" i="3"/>
  <c r="N85" i="3"/>
  <c r="O85" i="3"/>
  <c r="P85" i="3"/>
  <c r="I86" i="3"/>
  <c r="J86" i="3"/>
  <c r="K86" i="3"/>
  <c r="L86" i="3"/>
  <c r="M86" i="3"/>
  <c r="N86" i="3"/>
  <c r="O86" i="3"/>
  <c r="P86" i="3"/>
  <c r="I87" i="3"/>
  <c r="J87" i="3"/>
  <c r="K87" i="3"/>
  <c r="L87" i="3"/>
  <c r="M87" i="3"/>
  <c r="N87" i="3"/>
  <c r="O87" i="3"/>
  <c r="P87" i="3"/>
  <c r="I88" i="3"/>
  <c r="J88" i="3"/>
  <c r="K88" i="3"/>
  <c r="L88" i="3"/>
  <c r="M88" i="3"/>
  <c r="N88" i="3"/>
  <c r="O88" i="3"/>
  <c r="P88" i="3"/>
  <c r="I89" i="3"/>
  <c r="J89" i="3"/>
  <c r="K89" i="3"/>
  <c r="L89" i="3"/>
  <c r="M89" i="3"/>
  <c r="N89" i="3"/>
  <c r="O89" i="3"/>
  <c r="P89" i="3"/>
  <c r="I90" i="3"/>
  <c r="J90" i="3"/>
  <c r="K90" i="3"/>
  <c r="L90" i="3"/>
  <c r="M90" i="3"/>
  <c r="N90" i="3"/>
  <c r="O90" i="3"/>
  <c r="P90" i="3"/>
  <c r="I91" i="3"/>
  <c r="J91" i="3"/>
  <c r="K91" i="3"/>
  <c r="L91" i="3"/>
  <c r="M91" i="3"/>
  <c r="N91" i="3"/>
  <c r="O91" i="3"/>
  <c r="P91" i="3"/>
  <c r="I92" i="3"/>
  <c r="J92" i="3"/>
  <c r="K92" i="3"/>
  <c r="L92" i="3"/>
  <c r="M92" i="3"/>
  <c r="N92" i="3"/>
  <c r="O92" i="3"/>
  <c r="P92" i="3"/>
  <c r="I93" i="3"/>
  <c r="J93" i="3"/>
  <c r="K93" i="3"/>
  <c r="L93" i="3"/>
  <c r="M93" i="3"/>
  <c r="N93" i="3"/>
  <c r="O93" i="3"/>
  <c r="P93" i="3"/>
  <c r="I94" i="3"/>
  <c r="J94" i="3"/>
  <c r="K94" i="3"/>
  <c r="L94" i="3"/>
  <c r="M94" i="3"/>
  <c r="N94" i="3"/>
  <c r="O94" i="3"/>
  <c r="P94" i="3"/>
  <c r="I95" i="3"/>
  <c r="J95" i="3"/>
  <c r="K95" i="3"/>
  <c r="L95" i="3"/>
  <c r="M95" i="3"/>
  <c r="N95" i="3"/>
  <c r="O95" i="3"/>
  <c r="P95" i="3"/>
  <c r="I96" i="3"/>
  <c r="J96" i="3"/>
  <c r="K96" i="3"/>
  <c r="L96" i="3"/>
  <c r="M96" i="3"/>
  <c r="N96" i="3"/>
  <c r="O96" i="3"/>
  <c r="P96" i="3"/>
  <c r="I97" i="3"/>
  <c r="J97" i="3"/>
  <c r="K97" i="3"/>
  <c r="L97" i="3"/>
  <c r="M97" i="3"/>
  <c r="N97" i="3"/>
  <c r="O97" i="3"/>
  <c r="P97" i="3"/>
  <c r="I98" i="3"/>
  <c r="J98" i="3"/>
  <c r="K98" i="3"/>
  <c r="L98" i="3"/>
  <c r="M98" i="3"/>
  <c r="N98" i="3"/>
  <c r="O98" i="3"/>
  <c r="P98" i="3"/>
  <c r="I99" i="3"/>
  <c r="J99" i="3"/>
  <c r="K99" i="3"/>
  <c r="L99" i="3"/>
  <c r="M99" i="3"/>
  <c r="N99" i="3"/>
  <c r="O99" i="3"/>
  <c r="P99" i="3"/>
  <c r="I100" i="3"/>
  <c r="J100" i="3"/>
  <c r="K100" i="3"/>
  <c r="L100" i="3"/>
  <c r="M100" i="3"/>
  <c r="N100" i="3"/>
  <c r="O100" i="3"/>
  <c r="P100" i="3"/>
  <c r="I101" i="3"/>
  <c r="J101" i="3"/>
  <c r="K101" i="3"/>
  <c r="L101" i="3"/>
  <c r="M101" i="3"/>
  <c r="N101" i="3"/>
  <c r="O101" i="3"/>
  <c r="P101" i="3"/>
  <c r="I102" i="3"/>
  <c r="J102" i="3"/>
  <c r="K102" i="3"/>
  <c r="L102" i="3"/>
  <c r="M102" i="3"/>
  <c r="N102" i="3"/>
  <c r="O102" i="3"/>
  <c r="P102" i="3"/>
  <c r="I103" i="3"/>
  <c r="J103" i="3"/>
  <c r="K103" i="3"/>
  <c r="L103" i="3"/>
  <c r="M103" i="3"/>
  <c r="N103" i="3"/>
  <c r="O103" i="3"/>
  <c r="P103" i="3"/>
  <c r="I104" i="3"/>
  <c r="J104" i="3"/>
  <c r="K104" i="3"/>
  <c r="L104" i="3"/>
  <c r="M104" i="3"/>
  <c r="N104" i="3"/>
  <c r="O104" i="3"/>
  <c r="P104" i="3"/>
  <c r="I105" i="3"/>
  <c r="J105" i="3"/>
  <c r="K105" i="3"/>
  <c r="L105" i="3"/>
  <c r="M105" i="3"/>
  <c r="N105" i="3"/>
  <c r="O105" i="3"/>
  <c r="P105" i="3"/>
  <c r="I106" i="3"/>
  <c r="J106" i="3"/>
  <c r="K106" i="3"/>
  <c r="L106" i="3"/>
  <c r="M106" i="3"/>
  <c r="N106" i="3"/>
  <c r="O106" i="3"/>
  <c r="P106" i="3"/>
  <c r="I107" i="3"/>
  <c r="J107" i="3"/>
  <c r="K107" i="3"/>
  <c r="L107" i="3"/>
  <c r="M107" i="3"/>
  <c r="N107" i="3"/>
  <c r="O107" i="3"/>
  <c r="P107" i="3"/>
  <c r="I108" i="3"/>
  <c r="J108" i="3"/>
  <c r="K108" i="3"/>
  <c r="L108" i="3"/>
  <c r="M108" i="3"/>
  <c r="N108" i="3"/>
  <c r="O108" i="3"/>
  <c r="P108" i="3"/>
  <c r="I109" i="3"/>
  <c r="J109" i="3"/>
  <c r="K109" i="3"/>
  <c r="L109" i="3"/>
  <c r="M109" i="3"/>
  <c r="N109" i="3"/>
  <c r="O109" i="3"/>
  <c r="P109" i="3"/>
  <c r="I110" i="3"/>
  <c r="J110" i="3"/>
  <c r="K110" i="3"/>
  <c r="L110" i="3"/>
  <c r="M110" i="3"/>
  <c r="N110" i="3"/>
  <c r="O110" i="3"/>
  <c r="P110" i="3"/>
  <c r="I111" i="3"/>
  <c r="J111" i="3"/>
  <c r="K111" i="3"/>
  <c r="L111" i="3"/>
  <c r="M111" i="3"/>
  <c r="N111" i="3"/>
  <c r="O111" i="3"/>
  <c r="P111" i="3"/>
  <c r="I112" i="3"/>
  <c r="J112" i="3"/>
  <c r="K112" i="3"/>
  <c r="L112" i="3"/>
  <c r="M112" i="3"/>
  <c r="N112" i="3"/>
  <c r="O112" i="3"/>
  <c r="P112" i="3"/>
  <c r="I113" i="3"/>
  <c r="J113" i="3"/>
  <c r="K113" i="3"/>
  <c r="L113" i="3"/>
  <c r="M113" i="3"/>
  <c r="N113" i="3"/>
  <c r="O113" i="3"/>
  <c r="P113" i="3"/>
  <c r="I114" i="3"/>
  <c r="J114" i="3"/>
  <c r="K114" i="3"/>
  <c r="L114" i="3"/>
  <c r="M114" i="3"/>
  <c r="N114" i="3"/>
  <c r="O114" i="3"/>
  <c r="P114" i="3"/>
  <c r="I115" i="3"/>
  <c r="J115" i="3"/>
  <c r="K115" i="3"/>
  <c r="L115" i="3"/>
  <c r="M115" i="3"/>
  <c r="N115" i="3"/>
  <c r="O115" i="3"/>
  <c r="P115" i="3"/>
  <c r="I116" i="3"/>
  <c r="J116" i="3"/>
  <c r="K116" i="3"/>
  <c r="L116" i="3"/>
  <c r="M116" i="3"/>
  <c r="N116" i="3"/>
  <c r="O116" i="3"/>
  <c r="P116" i="3"/>
  <c r="I117" i="3"/>
  <c r="J117" i="3"/>
  <c r="K117" i="3"/>
  <c r="L117" i="3"/>
  <c r="M117" i="3"/>
  <c r="N117" i="3"/>
  <c r="O117" i="3"/>
  <c r="P117" i="3"/>
  <c r="I118" i="3"/>
  <c r="J118" i="3"/>
  <c r="K118" i="3"/>
  <c r="L118" i="3"/>
  <c r="M118" i="3"/>
  <c r="N118" i="3"/>
  <c r="O118" i="3"/>
  <c r="P118" i="3"/>
  <c r="I119" i="3"/>
  <c r="J119" i="3"/>
  <c r="K119" i="3"/>
  <c r="L119" i="3"/>
  <c r="M119" i="3"/>
  <c r="N119" i="3"/>
  <c r="O119" i="3"/>
  <c r="P119" i="3"/>
  <c r="I120" i="3"/>
  <c r="J120" i="3"/>
  <c r="K120" i="3"/>
  <c r="L120" i="3"/>
  <c r="M120" i="3"/>
  <c r="N120" i="3"/>
  <c r="O120" i="3"/>
  <c r="P120" i="3"/>
  <c r="I121" i="3"/>
  <c r="J121" i="3"/>
  <c r="K121" i="3"/>
  <c r="L121" i="3"/>
  <c r="M121" i="3"/>
  <c r="N121" i="3"/>
  <c r="O121" i="3"/>
  <c r="P121" i="3"/>
  <c r="I122" i="3"/>
  <c r="J122" i="3"/>
  <c r="K122" i="3"/>
  <c r="L122" i="3"/>
  <c r="M122" i="3"/>
  <c r="N122" i="3"/>
  <c r="O122" i="3"/>
  <c r="P122" i="3"/>
  <c r="I123" i="3"/>
  <c r="J123" i="3"/>
  <c r="K123" i="3"/>
  <c r="L123" i="3"/>
  <c r="M123" i="3"/>
  <c r="N123" i="3"/>
  <c r="O123" i="3"/>
  <c r="P123" i="3"/>
  <c r="I124" i="3"/>
  <c r="J124" i="3"/>
  <c r="K124" i="3"/>
  <c r="L124" i="3"/>
  <c r="M124" i="3"/>
  <c r="N124" i="3"/>
  <c r="O124" i="3"/>
  <c r="P124" i="3"/>
  <c r="I125" i="3"/>
  <c r="J125" i="3"/>
  <c r="K125" i="3"/>
  <c r="L125" i="3"/>
  <c r="M125" i="3"/>
  <c r="N125" i="3"/>
  <c r="O125" i="3"/>
  <c r="P125" i="3"/>
  <c r="I126" i="3"/>
  <c r="J126" i="3"/>
  <c r="K126" i="3"/>
  <c r="L126" i="3"/>
  <c r="M126" i="3"/>
  <c r="N126" i="3"/>
  <c r="O126" i="3"/>
  <c r="P126" i="3"/>
  <c r="I127" i="3"/>
  <c r="J127" i="3"/>
  <c r="K127" i="3"/>
  <c r="L127" i="3"/>
  <c r="M127" i="3"/>
  <c r="N127" i="3"/>
  <c r="O127" i="3"/>
  <c r="P127" i="3"/>
  <c r="I128" i="3"/>
  <c r="J128" i="3"/>
  <c r="K128" i="3"/>
  <c r="L128" i="3"/>
  <c r="M128" i="3"/>
  <c r="N128" i="3"/>
  <c r="O128" i="3"/>
  <c r="P128" i="3"/>
  <c r="I129" i="3"/>
  <c r="J129" i="3"/>
  <c r="K129" i="3"/>
  <c r="L129" i="3"/>
  <c r="M129" i="3"/>
  <c r="N129" i="3"/>
  <c r="O129" i="3"/>
  <c r="P129" i="3"/>
  <c r="I130" i="3"/>
  <c r="J130" i="3"/>
  <c r="K130" i="3"/>
  <c r="L130" i="3"/>
  <c r="M130" i="3"/>
  <c r="N130" i="3"/>
  <c r="O130" i="3"/>
  <c r="P130" i="3"/>
  <c r="I131" i="3"/>
  <c r="J131" i="3"/>
  <c r="K131" i="3"/>
  <c r="L131" i="3"/>
  <c r="M131" i="3"/>
  <c r="N131" i="3"/>
  <c r="O131" i="3"/>
  <c r="P131" i="3"/>
  <c r="I132" i="3"/>
  <c r="J132" i="3"/>
  <c r="K132" i="3"/>
  <c r="L132" i="3"/>
  <c r="M132" i="3"/>
  <c r="N132" i="3"/>
  <c r="O132" i="3"/>
  <c r="P132" i="3"/>
  <c r="I133" i="3"/>
  <c r="J133" i="3"/>
  <c r="K133" i="3"/>
  <c r="L133" i="3"/>
  <c r="M133" i="3"/>
  <c r="N133" i="3"/>
  <c r="O133" i="3"/>
  <c r="P133" i="3"/>
  <c r="I134" i="3"/>
  <c r="J134" i="3"/>
  <c r="K134" i="3"/>
  <c r="L134" i="3"/>
  <c r="M134" i="3"/>
  <c r="N134" i="3"/>
  <c r="O134" i="3"/>
  <c r="P134" i="3"/>
  <c r="I135" i="3"/>
  <c r="J135" i="3"/>
  <c r="K135" i="3"/>
  <c r="L135" i="3"/>
  <c r="M135" i="3"/>
  <c r="N135" i="3"/>
  <c r="O135" i="3"/>
  <c r="P135" i="3"/>
  <c r="I136" i="3"/>
  <c r="J136" i="3"/>
  <c r="K136" i="3"/>
  <c r="L136" i="3"/>
  <c r="M136" i="3"/>
  <c r="N136" i="3"/>
  <c r="O136" i="3"/>
  <c r="P136" i="3"/>
  <c r="I137" i="3"/>
  <c r="J137" i="3"/>
  <c r="K137" i="3"/>
  <c r="L137" i="3"/>
  <c r="M137" i="3"/>
  <c r="N137" i="3"/>
  <c r="O137" i="3"/>
  <c r="P137" i="3"/>
  <c r="I138" i="3"/>
  <c r="J138" i="3"/>
  <c r="K138" i="3"/>
  <c r="L138" i="3"/>
  <c r="M138" i="3"/>
  <c r="N138" i="3"/>
  <c r="O138" i="3"/>
  <c r="P138" i="3"/>
  <c r="I139" i="3"/>
  <c r="J139" i="3"/>
  <c r="K139" i="3"/>
  <c r="L139" i="3"/>
  <c r="M139" i="3"/>
  <c r="N139" i="3"/>
  <c r="O139" i="3"/>
  <c r="P139" i="3"/>
  <c r="I140" i="3"/>
  <c r="J140" i="3"/>
  <c r="K140" i="3"/>
  <c r="L140" i="3"/>
  <c r="M140" i="3"/>
  <c r="N140" i="3"/>
  <c r="O140" i="3"/>
  <c r="P140" i="3"/>
  <c r="I141" i="3"/>
  <c r="J141" i="3"/>
  <c r="K141" i="3"/>
  <c r="L141" i="3"/>
  <c r="M141" i="3"/>
  <c r="N141" i="3"/>
  <c r="O141" i="3"/>
  <c r="P141" i="3"/>
  <c r="I142" i="3"/>
  <c r="J142" i="3"/>
  <c r="K142" i="3"/>
  <c r="L142" i="3"/>
  <c r="M142" i="3"/>
  <c r="N142" i="3"/>
  <c r="O142" i="3"/>
  <c r="P142" i="3"/>
  <c r="I143" i="3"/>
  <c r="J143" i="3"/>
  <c r="K143" i="3"/>
  <c r="L143" i="3"/>
  <c r="M143" i="3"/>
  <c r="N143" i="3"/>
  <c r="O143" i="3"/>
  <c r="P143" i="3"/>
  <c r="I144" i="3"/>
  <c r="J144" i="3"/>
  <c r="K144" i="3"/>
  <c r="L144" i="3"/>
  <c r="M144" i="3"/>
  <c r="N144" i="3"/>
  <c r="O144" i="3"/>
  <c r="P144" i="3"/>
  <c r="I145" i="3"/>
  <c r="J145" i="3"/>
  <c r="K145" i="3"/>
  <c r="L145" i="3"/>
  <c r="M145" i="3"/>
  <c r="N145" i="3"/>
  <c r="O145" i="3"/>
  <c r="P145" i="3"/>
  <c r="I146" i="3"/>
  <c r="J146" i="3"/>
  <c r="K146" i="3"/>
  <c r="L146" i="3"/>
  <c r="M146" i="3"/>
  <c r="N146" i="3"/>
  <c r="O146" i="3"/>
  <c r="P146" i="3"/>
  <c r="I147" i="3"/>
  <c r="J147" i="3"/>
  <c r="K147" i="3"/>
  <c r="L147" i="3"/>
  <c r="M147" i="3"/>
  <c r="N147" i="3"/>
  <c r="O147" i="3"/>
  <c r="P147" i="3"/>
  <c r="I148" i="3"/>
  <c r="J148" i="3"/>
  <c r="K148" i="3"/>
  <c r="L148" i="3"/>
  <c r="M148" i="3"/>
  <c r="N148" i="3"/>
  <c r="O148" i="3"/>
  <c r="P148" i="3"/>
  <c r="I149" i="3"/>
  <c r="J149" i="3"/>
  <c r="K149" i="3"/>
  <c r="L149" i="3"/>
  <c r="M149" i="3"/>
  <c r="N149" i="3"/>
  <c r="O149" i="3"/>
  <c r="P149" i="3"/>
  <c r="I150" i="3"/>
  <c r="J150" i="3"/>
  <c r="K150" i="3"/>
  <c r="L150" i="3"/>
  <c r="M150" i="3"/>
  <c r="N150" i="3"/>
  <c r="O150" i="3"/>
  <c r="P150" i="3"/>
  <c r="I151" i="3"/>
  <c r="J151" i="3"/>
  <c r="K151" i="3"/>
  <c r="L151" i="3"/>
  <c r="M151" i="3"/>
  <c r="N151" i="3"/>
  <c r="O151" i="3"/>
  <c r="P151" i="3"/>
  <c r="I152" i="3"/>
  <c r="J152" i="3"/>
  <c r="K152" i="3"/>
  <c r="L152" i="3"/>
  <c r="M152" i="3"/>
  <c r="N152" i="3"/>
  <c r="O152" i="3"/>
  <c r="P152" i="3"/>
  <c r="I153" i="3"/>
  <c r="J153" i="3"/>
  <c r="K153" i="3"/>
  <c r="L153" i="3"/>
  <c r="M153" i="3"/>
  <c r="N153" i="3"/>
  <c r="O153" i="3"/>
  <c r="P153" i="3"/>
  <c r="I154" i="3"/>
  <c r="J154" i="3"/>
  <c r="K154" i="3"/>
  <c r="L154" i="3"/>
  <c r="M154" i="3"/>
  <c r="N154" i="3"/>
  <c r="O154" i="3"/>
  <c r="P154" i="3"/>
  <c r="I155" i="3"/>
  <c r="J155" i="3"/>
  <c r="K155" i="3"/>
  <c r="L155" i="3"/>
  <c r="M155" i="3"/>
  <c r="N155" i="3"/>
  <c r="O155" i="3"/>
  <c r="P155" i="3"/>
  <c r="I156" i="3"/>
  <c r="J156" i="3"/>
  <c r="K156" i="3"/>
  <c r="L156" i="3"/>
  <c r="M156" i="3"/>
  <c r="N156" i="3"/>
  <c r="O156" i="3"/>
  <c r="P156" i="3"/>
  <c r="I157" i="3"/>
  <c r="J157" i="3"/>
  <c r="K157" i="3"/>
  <c r="L157" i="3"/>
  <c r="M157" i="3"/>
  <c r="N157" i="3"/>
  <c r="O157" i="3"/>
  <c r="P157" i="3"/>
  <c r="I158" i="3"/>
  <c r="J158" i="3"/>
  <c r="K158" i="3"/>
  <c r="L158" i="3"/>
  <c r="M158" i="3"/>
  <c r="N158" i="3"/>
  <c r="O158" i="3"/>
  <c r="P158" i="3"/>
  <c r="I159" i="3"/>
  <c r="J159" i="3"/>
  <c r="K159" i="3"/>
  <c r="L159" i="3"/>
  <c r="M159" i="3"/>
  <c r="N159" i="3"/>
  <c r="O159" i="3"/>
  <c r="P159" i="3"/>
  <c r="I160" i="3"/>
  <c r="J160" i="3"/>
  <c r="K160" i="3"/>
  <c r="L160" i="3"/>
  <c r="M160" i="3"/>
  <c r="N160" i="3"/>
  <c r="O160" i="3"/>
  <c r="P160" i="3"/>
  <c r="I161" i="3"/>
  <c r="J161" i="3"/>
  <c r="K161" i="3"/>
  <c r="L161" i="3"/>
  <c r="M161" i="3"/>
  <c r="N161" i="3"/>
  <c r="O161" i="3"/>
  <c r="P161" i="3"/>
  <c r="I162" i="3"/>
  <c r="J162" i="3"/>
  <c r="K162" i="3"/>
  <c r="L162" i="3"/>
  <c r="M162" i="3"/>
  <c r="N162" i="3"/>
  <c r="O162" i="3"/>
  <c r="P162" i="3"/>
  <c r="I163" i="3"/>
  <c r="J163" i="3"/>
  <c r="K163" i="3"/>
  <c r="L163" i="3"/>
  <c r="M163" i="3"/>
  <c r="N163" i="3"/>
  <c r="O163" i="3"/>
  <c r="P163" i="3"/>
  <c r="I164" i="3"/>
  <c r="J164" i="3"/>
  <c r="K164" i="3"/>
  <c r="L164" i="3"/>
  <c r="M164" i="3"/>
  <c r="N164" i="3"/>
  <c r="O164" i="3"/>
  <c r="P164" i="3"/>
  <c r="I165" i="3"/>
  <c r="J165" i="3"/>
  <c r="K165" i="3"/>
  <c r="L165" i="3"/>
  <c r="M165" i="3"/>
  <c r="N165" i="3"/>
  <c r="O165" i="3"/>
  <c r="P165" i="3"/>
  <c r="I166" i="3"/>
  <c r="J166" i="3"/>
  <c r="K166" i="3"/>
  <c r="L166" i="3"/>
  <c r="M166" i="3"/>
  <c r="N166" i="3"/>
  <c r="O166" i="3"/>
  <c r="P166" i="3"/>
  <c r="I167" i="3"/>
  <c r="J167" i="3"/>
  <c r="K167" i="3"/>
  <c r="L167" i="3"/>
  <c r="M167" i="3"/>
  <c r="N167" i="3"/>
  <c r="O167" i="3"/>
  <c r="P167" i="3"/>
  <c r="I168" i="3"/>
  <c r="J168" i="3"/>
  <c r="K168" i="3"/>
  <c r="L168" i="3"/>
  <c r="M168" i="3"/>
  <c r="N168" i="3"/>
  <c r="O168" i="3"/>
  <c r="P168" i="3"/>
  <c r="I169" i="3"/>
  <c r="J169" i="3"/>
  <c r="K169" i="3"/>
  <c r="L169" i="3"/>
  <c r="M169" i="3"/>
  <c r="N169" i="3"/>
  <c r="O169" i="3"/>
  <c r="P169" i="3"/>
  <c r="I170" i="3"/>
  <c r="J170" i="3"/>
  <c r="K170" i="3"/>
  <c r="L170" i="3"/>
  <c r="M170" i="3"/>
  <c r="N170" i="3"/>
  <c r="O170" i="3"/>
  <c r="P170" i="3"/>
  <c r="I171" i="3"/>
  <c r="J171" i="3"/>
  <c r="K171" i="3"/>
  <c r="L171" i="3"/>
  <c r="M171" i="3"/>
  <c r="N171" i="3"/>
  <c r="O171" i="3"/>
  <c r="P171" i="3"/>
  <c r="I172" i="3"/>
  <c r="J172" i="3"/>
  <c r="K172" i="3"/>
  <c r="L172" i="3"/>
  <c r="M172" i="3"/>
  <c r="N172" i="3"/>
  <c r="O172" i="3"/>
  <c r="P172" i="3"/>
  <c r="I173" i="3"/>
  <c r="J173" i="3"/>
  <c r="K173" i="3"/>
  <c r="L173" i="3"/>
  <c r="M173" i="3"/>
  <c r="N173" i="3"/>
  <c r="O173" i="3"/>
  <c r="P173" i="3"/>
  <c r="I174" i="3"/>
  <c r="J174" i="3"/>
  <c r="K174" i="3"/>
  <c r="L174" i="3"/>
  <c r="M174" i="3"/>
  <c r="N174" i="3"/>
  <c r="O174" i="3"/>
  <c r="P174" i="3"/>
  <c r="I175" i="3"/>
  <c r="J175" i="3"/>
  <c r="K175" i="3"/>
  <c r="L175" i="3"/>
  <c r="M175" i="3"/>
  <c r="N175" i="3"/>
  <c r="O175" i="3"/>
  <c r="P175" i="3"/>
  <c r="I176" i="3"/>
  <c r="J176" i="3"/>
  <c r="K176" i="3"/>
  <c r="L176" i="3"/>
  <c r="M176" i="3"/>
  <c r="N176" i="3"/>
  <c r="O176" i="3"/>
  <c r="P176" i="3"/>
  <c r="I177" i="3"/>
  <c r="J177" i="3"/>
  <c r="K177" i="3"/>
  <c r="L177" i="3"/>
  <c r="M177" i="3"/>
  <c r="N177" i="3"/>
  <c r="O177" i="3"/>
  <c r="P177" i="3"/>
  <c r="I178" i="3"/>
  <c r="J178" i="3"/>
  <c r="K178" i="3"/>
  <c r="L178" i="3"/>
  <c r="M178" i="3"/>
  <c r="N178" i="3"/>
  <c r="O178" i="3"/>
  <c r="P178" i="3"/>
  <c r="I179" i="3"/>
  <c r="J179" i="3"/>
  <c r="K179" i="3"/>
  <c r="L179" i="3"/>
  <c r="M179" i="3"/>
  <c r="N179" i="3"/>
  <c r="O179" i="3"/>
  <c r="P179" i="3"/>
  <c r="I180" i="3"/>
  <c r="J180" i="3"/>
  <c r="K180" i="3"/>
  <c r="L180" i="3"/>
  <c r="M180" i="3"/>
  <c r="N180" i="3"/>
  <c r="O180" i="3"/>
  <c r="P180" i="3"/>
  <c r="I181" i="3"/>
  <c r="J181" i="3"/>
  <c r="K181" i="3"/>
  <c r="L181" i="3"/>
  <c r="M181" i="3"/>
  <c r="N181" i="3"/>
  <c r="O181" i="3"/>
  <c r="P181" i="3"/>
  <c r="I182" i="3"/>
  <c r="J182" i="3"/>
  <c r="K182" i="3"/>
  <c r="L182" i="3"/>
  <c r="M182" i="3"/>
  <c r="N182" i="3"/>
  <c r="O182" i="3"/>
  <c r="P182" i="3"/>
  <c r="I183" i="3"/>
  <c r="J183" i="3"/>
  <c r="K183" i="3"/>
  <c r="L183" i="3"/>
  <c r="M183" i="3"/>
  <c r="N183" i="3"/>
  <c r="O183" i="3"/>
  <c r="P183" i="3"/>
  <c r="I184" i="3"/>
  <c r="J184" i="3"/>
  <c r="K184" i="3"/>
  <c r="L184" i="3"/>
  <c r="M184" i="3"/>
  <c r="N184" i="3"/>
  <c r="O184" i="3"/>
  <c r="P184" i="3"/>
  <c r="I185" i="3"/>
  <c r="J185" i="3"/>
  <c r="K185" i="3"/>
  <c r="L185" i="3"/>
  <c r="M185" i="3"/>
  <c r="N185" i="3"/>
  <c r="O185" i="3"/>
  <c r="P185" i="3"/>
  <c r="I186" i="3"/>
  <c r="J186" i="3"/>
  <c r="K186" i="3"/>
  <c r="L186" i="3"/>
  <c r="M186" i="3"/>
  <c r="N186" i="3"/>
  <c r="O186" i="3"/>
  <c r="P186" i="3"/>
  <c r="I187" i="3"/>
  <c r="J187" i="3"/>
  <c r="K187" i="3"/>
  <c r="L187" i="3"/>
  <c r="M187" i="3"/>
  <c r="N187" i="3"/>
  <c r="O187" i="3"/>
  <c r="P187" i="3"/>
  <c r="I188" i="3"/>
  <c r="J188" i="3"/>
  <c r="K188" i="3"/>
  <c r="L188" i="3"/>
  <c r="M188" i="3"/>
  <c r="N188" i="3"/>
  <c r="O188" i="3"/>
  <c r="P188" i="3"/>
  <c r="I189" i="3"/>
  <c r="J189" i="3"/>
  <c r="K189" i="3"/>
  <c r="L189" i="3"/>
  <c r="M189" i="3"/>
  <c r="N189" i="3"/>
  <c r="O189" i="3"/>
  <c r="P189" i="3"/>
  <c r="I190" i="3"/>
  <c r="J190" i="3"/>
  <c r="K190" i="3"/>
  <c r="L190" i="3"/>
  <c r="M190" i="3"/>
  <c r="N190" i="3"/>
  <c r="O190" i="3"/>
  <c r="P190" i="3"/>
  <c r="I191" i="3"/>
  <c r="J191" i="3"/>
  <c r="K191" i="3"/>
  <c r="L191" i="3"/>
  <c r="M191" i="3"/>
  <c r="N191" i="3"/>
  <c r="O191" i="3"/>
  <c r="P191" i="3"/>
  <c r="I192" i="3"/>
  <c r="J192" i="3"/>
  <c r="K192" i="3"/>
  <c r="L192" i="3"/>
  <c r="M192" i="3"/>
  <c r="N192" i="3"/>
  <c r="O192" i="3"/>
  <c r="P192" i="3"/>
  <c r="I193" i="3"/>
  <c r="J193" i="3"/>
  <c r="K193" i="3"/>
  <c r="L193" i="3"/>
  <c r="M193" i="3"/>
  <c r="N193" i="3"/>
  <c r="O193" i="3"/>
  <c r="P193" i="3"/>
  <c r="I194" i="3"/>
  <c r="J194" i="3"/>
  <c r="K194" i="3"/>
  <c r="L194" i="3"/>
  <c r="M194" i="3"/>
  <c r="N194" i="3"/>
  <c r="O194" i="3"/>
  <c r="P194" i="3"/>
  <c r="I195" i="3"/>
  <c r="J195" i="3"/>
  <c r="K195" i="3"/>
  <c r="L195" i="3"/>
  <c r="M195" i="3"/>
  <c r="N195" i="3"/>
  <c r="O195" i="3"/>
  <c r="P195" i="3"/>
  <c r="I196" i="3"/>
  <c r="J196" i="3"/>
  <c r="K196" i="3"/>
  <c r="L196" i="3"/>
  <c r="M196" i="3"/>
  <c r="N196" i="3"/>
  <c r="O196" i="3"/>
  <c r="P196" i="3"/>
  <c r="I197" i="3"/>
  <c r="J197" i="3"/>
  <c r="K197" i="3"/>
  <c r="L197" i="3"/>
  <c r="M197" i="3"/>
  <c r="N197" i="3"/>
  <c r="O197" i="3"/>
  <c r="P197" i="3"/>
  <c r="I198" i="3"/>
  <c r="J198" i="3"/>
  <c r="K198" i="3"/>
  <c r="L198" i="3"/>
  <c r="M198" i="3"/>
  <c r="N198" i="3"/>
  <c r="O198" i="3"/>
  <c r="P198" i="3"/>
  <c r="I199" i="3"/>
  <c r="J199" i="3"/>
  <c r="K199" i="3"/>
  <c r="L199" i="3"/>
  <c r="M199" i="3"/>
  <c r="N199" i="3"/>
  <c r="O199" i="3"/>
  <c r="P199" i="3"/>
  <c r="I200" i="3"/>
  <c r="J200" i="3"/>
  <c r="K200" i="3"/>
  <c r="L200" i="3"/>
  <c r="M200" i="3"/>
  <c r="N200" i="3"/>
  <c r="O200" i="3"/>
  <c r="P200" i="3"/>
  <c r="I201" i="3"/>
  <c r="J201" i="3"/>
  <c r="K201" i="3"/>
  <c r="L201" i="3"/>
  <c r="M201" i="3"/>
  <c r="N201" i="3"/>
  <c r="O201" i="3"/>
  <c r="P201" i="3"/>
  <c r="I202" i="3"/>
  <c r="J202" i="3"/>
  <c r="K202" i="3"/>
  <c r="L202" i="3"/>
  <c r="M202" i="3"/>
  <c r="N202" i="3"/>
  <c r="O202" i="3"/>
  <c r="P202" i="3"/>
  <c r="I203" i="3"/>
  <c r="J203" i="3"/>
  <c r="K203" i="3"/>
  <c r="L203" i="3"/>
  <c r="M203" i="3"/>
  <c r="N203" i="3"/>
  <c r="O203" i="3"/>
  <c r="P203" i="3"/>
  <c r="I204" i="3"/>
  <c r="J204" i="3"/>
  <c r="K204" i="3"/>
  <c r="L204" i="3"/>
  <c r="M204" i="3"/>
  <c r="N204" i="3"/>
  <c r="O204" i="3"/>
  <c r="P204" i="3"/>
  <c r="I205" i="3"/>
  <c r="J205" i="3"/>
  <c r="K205" i="3"/>
  <c r="L205" i="3"/>
  <c r="M205" i="3"/>
  <c r="N205" i="3"/>
  <c r="O205" i="3"/>
  <c r="P205" i="3"/>
  <c r="I206" i="3"/>
  <c r="J206" i="3"/>
  <c r="K206" i="3"/>
  <c r="L206" i="3"/>
  <c r="M206" i="3"/>
  <c r="N206" i="3"/>
  <c r="O206" i="3"/>
  <c r="P206" i="3"/>
  <c r="I207" i="3"/>
  <c r="J207" i="3"/>
  <c r="K207" i="3"/>
  <c r="L207" i="3"/>
  <c r="M207" i="3"/>
  <c r="N207" i="3"/>
  <c r="O207" i="3"/>
  <c r="P207" i="3"/>
  <c r="I208" i="3"/>
  <c r="J208" i="3"/>
  <c r="K208" i="3"/>
  <c r="L208" i="3"/>
  <c r="M208" i="3"/>
  <c r="N208" i="3"/>
  <c r="O208" i="3"/>
  <c r="P208" i="3"/>
  <c r="I209" i="3"/>
  <c r="J209" i="3"/>
  <c r="K209" i="3"/>
  <c r="L209" i="3"/>
  <c r="M209" i="3"/>
  <c r="N209" i="3"/>
  <c r="O209" i="3"/>
  <c r="P209" i="3"/>
  <c r="I210" i="3"/>
  <c r="J210" i="3"/>
  <c r="K210" i="3"/>
  <c r="L210" i="3"/>
  <c r="M210" i="3"/>
  <c r="N210" i="3"/>
  <c r="O210" i="3"/>
  <c r="P210" i="3"/>
  <c r="I211" i="3"/>
  <c r="J211" i="3"/>
  <c r="K211" i="3"/>
  <c r="L211" i="3"/>
  <c r="M211" i="3"/>
  <c r="N211" i="3"/>
  <c r="O211" i="3"/>
  <c r="P211" i="3"/>
  <c r="I212" i="3"/>
  <c r="J212" i="3"/>
  <c r="K212" i="3"/>
  <c r="L212" i="3"/>
  <c r="M212" i="3"/>
  <c r="N212" i="3"/>
  <c r="O212" i="3"/>
  <c r="P212" i="3"/>
  <c r="I213" i="3"/>
  <c r="J213" i="3"/>
  <c r="K213" i="3"/>
  <c r="L213" i="3"/>
  <c r="M213" i="3"/>
  <c r="N213" i="3"/>
  <c r="O213" i="3"/>
  <c r="P213" i="3"/>
  <c r="I214" i="3"/>
  <c r="J214" i="3"/>
  <c r="K214" i="3"/>
  <c r="L214" i="3"/>
  <c r="M214" i="3"/>
  <c r="N214" i="3"/>
  <c r="O214" i="3"/>
  <c r="P214" i="3"/>
  <c r="I215" i="3"/>
  <c r="J215" i="3"/>
  <c r="K215" i="3"/>
  <c r="L215" i="3"/>
  <c r="M215" i="3"/>
  <c r="N215" i="3"/>
  <c r="O215" i="3"/>
  <c r="P215" i="3"/>
  <c r="I216" i="3"/>
  <c r="J216" i="3"/>
  <c r="K216" i="3"/>
  <c r="L216" i="3"/>
  <c r="M216" i="3"/>
  <c r="N216" i="3"/>
  <c r="O216" i="3"/>
  <c r="P216" i="3"/>
  <c r="I217" i="3"/>
  <c r="J217" i="3"/>
  <c r="K217" i="3"/>
  <c r="L217" i="3"/>
  <c r="M217" i="3"/>
  <c r="N217" i="3"/>
  <c r="O217" i="3"/>
  <c r="P217" i="3"/>
  <c r="I218" i="3"/>
  <c r="J218" i="3"/>
  <c r="K218" i="3"/>
  <c r="L218" i="3"/>
  <c r="M218" i="3"/>
  <c r="N218" i="3"/>
  <c r="O218" i="3"/>
  <c r="P218" i="3"/>
  <c r="I219" i="3"/>
  <c r="J219" i="3"/>
  <c r="K219" i="3"/>
  <c r="L219" i="3"/>
  <c r="M219" i="3"/>
  <c r="N219" i="3"/>
  <c r="O219" i="3"/>
  <c r="P219" i="3"/>
  <c r="I220" i="3"/>
  <c r="J220" i="3"/>
  <c r="K220" i="3"/>
  <c r="L220" i="3"/>
  <c r="M220" i="3"/>
  <c r="N220" i="3"/>
  <c r="O220" i="3"/>
  <c r="P220" i="3"/>
  <c r="I221" i="3"/>
  <c r="J221" i="3"/>
  <c r="K221" i="3"/>
  <c r="L221" i="3"/>
  <c r="M221" i="3"/>
  <c r="N221" i="3"/>
  <c r="O221" i="3"/>
  <c r="P221" i="3"/>
  <c r="I222" i="3"/>
  <c r="J222" i="3"/>
  <c r="K222" i="3"/>
  <c r="L222" i="3"/>
  <c r="M222" i="3"/>
  <c r="N222" i="3"/>
  <c r="O222" i="3"/>
  <c r="P222" i="3"/>
  <c r="I223" i="3"/>
  <c r="J223" i="3"/>
  <c r="K223" i="3"/>
  <c r="L223" i="3"/>
  <c r="M223" i="3"/>
  <c r="N223" i="3"/>
  <c r="O223" i="3"/>
  <c r="P223" i="3"/>
  <c r="I224" i="3"/>
  <c r="J224" i="3"/>
  <c r="K224" i="3"/>
  <c r="L224" i="3"/>
  <c r="M224" i="3"/>
  <c r="N224" i="3"/>
  <c r="O224" i="3"/>
  <c r="P224" i="3"/>
  <c r="I225" i="3"/>
  <c r="J225" i="3"/>
  <c r="K225" i="3"/>
  <c r="L225" i="3"/>
  <c r="M225" i="3"/>
  <c r="N225" i="3"/>
  <c r="O225" i="3"/>
  <c r="P225" i="3"/>
  <c r="I226" i="3"/>
  <c r="J226" i="3"/>
  <c r="K226" i="3"/>
  <c r="L226" i="3"/>
  <c r="M226" i="3"/>
  <c r="N226" i="3"/>
  <c r="O226" i="3"/>
  <c r="P226" i="3"/>
  <c r="I227" i="3"/>
  <c r="J227" i="3"/>
  <c r="K227" i="3"/>
  <c r="L227" i="3"/>
  <c r="M227" i="3"/>
  <c r="N227" i="3"/>
  <c r="O227" i="3"/>
  <c r="P227" i="3"/>
  <c r="I228" i="3"/>
  <c r="J228" i="3"/>
  <c r="K228" i="3"/>
  <c r="L228" i="3"/>
  <c r="M228" i="3"/>
  <c r="N228" i="3"/>
  <c r="O228" i="3"/>
  <c r="P228" i="3"/>
  <c r="I229" i="3"/>
  <c r="J229" i="3"/>
  <c r="K229" i="3"/>
  <c r="L229" i="3"/>
  <c r="M229" i="3"/>
  <c r="N229" i="3"/>
  <c r="O229" i="3"/>
  <c r="P229" i="3"/>
  <c r="I230" i="3"/>
  <c r="J230" i="3"/>
  <c r="K230" i="3"/>
  <c r="L230" i="3"/>
  <c r="M230" i="3"/>
  <c r="N230" i="3"/>
  <c r="O230" i="3"/>
  <c r="P230" i="3"/>
  <c r="I231" i="3"/>
  <c r="J231" i="3"/>
  <c r="K231" i="3"/>
  <c r="L231" i="3"/>
  <c r="M231" i="3"/>
  <c r="N231" i="3"/>
  <c r="O231" i="3"/>
  <c r="P231" i="3"/>
  <c r="I232" i="3"/>
  <c r="J232" i="3"/>
  <c r="K232" i="3"/>
  <c r="L232" i="3"/>
  <c r="M232" i="3"/>
  <c r="N232" i="3"/>
  <c r="O232" i="3"/>
  <c r="P232" i="3"/>
  <c r="I233" i="3"/>
  <c r="J233" i="3"/>
  <c r="K233" i="3"/>
  <c r="L233" i="3"/>
  <c r="M233" i="3"/>
  <c r="N233" i="3"/>
  <c r="O233" i="3"/>
  <c r="P233" i="3"/>
  <c r="I234" i="3"/>
  <c r="J234" i="3"/>
  <c r="K234" i="3"/>
  <c r="L234" i="3"/>
  <c r="M234" i="3"/>
  <c r="N234" i="3"/>
  <c r="O234" i="3"/>
  <c r="P234" i="3"/>
  <c r="I235" i="3"/>
  <c r="J235" i="3"/>
  <c r="K235" i="3"/>
  <c r="L235" i="3"/>
  <c r="M235" i="3"/>
  <c r="N235" i="3"/>
  <c r="O235" i="3"/>
  <c r="P235" i="3"/>
  <c r="I236" i="3"/>
  <c r="J236" i="3"/>
  <c r="K236" i="3"/>
  <c r="L236" i="3"/>
  <c r="M236" i="3"/>
  <c r="N236" i="3"/>
  <c r="O236" i="3"/>
  <c r="P236" i="3"/>
  <c r="I237" i="3"/>
  <c r="J237" i="3"/>
  <c r="K237" i="3"/>
  <c r="L237" i="3"/>
  <c r="M237" i="3"/>
  <c r="N237" i="3"/>
  <c r="O237" i="3"/>
  <c r="P237" i="3"/>
  <c r="I238" i="3"/>
  <c r="J238" i="3"/>
  <c r="K238" i="3"/>
  <c r="L238" i="3"/>
  <c r="M238" i="3"/>
  <c r="N238" i="3"/>
  <c r="O238" i="3"/>
  <c r="P238" i="3"/>
  <c r="I239" i="3"/>
  <c r="J239" i="3"/>
  <c r="K239" i="3"/>
  <c r="L239" i="3"/>
  <c r="M239" i="3"/>
  <c r="N239" i="3"/>
  <c r="O239" i="3"/>
  <c r="P239" i="3"/>
  <c r="I240" i="3"/>
  <c r="J240" i="3"/>
  <c r="K240" i="3"/>
  <c r="L240" i="3"/>
  <c r="M240" i="3"/>
  <c r="N240" i="3"/>
  <c r="O240" i="3"/>
  <c r="P240" i="3"/>
  <c r="I241" i="3"/>
  <c r="J241" i="3"/>
  <c r="K241" i="3"/>
  <c r="L241" i="3"/>
  <c r="M241" i="3"/>
  <c r="N241" i="3"/>
  <c r="O241" i="3"/>
  <c r="P241" i="3"/>
  <c r="I242" i="3"/>
  <c r="J242" i="3"/>
  <c r="K242" i="3"/>
  <c r="L242" i="3"/>
  <c r="M242" i="3"/>
  <c r="N242" i="3"/>
  <c r="O242" i="3"/>
  <c r="P242" i="3"/>
  <c r="I243" i="3"/>
  <c r="J243" i="3"/>
  <c r="K243" i="3"/>
  <c r="L243" i="3"/>
  <c r="M243" i="3"/>
  <c r="N243" i="3"/>
  <c r="O243" i="3"/>
  <c r="P243" i="3"/>
  <c r="I244" i="3"/>
  <c r="J244" i="3"/>
  <c r="K244" i="3"/>
  <c r="L244" i="3"/>
  <c r="M244" i="3"/>
  <c r="N244" i="3"/>
  <c r="O244" i="3"/>
  <c r="P244" i="3"/>
  <c r="I245" i="3"/>
  <c r="J245" i="3"/>
  <c r="K245" i="3"/>
  <c r="L245" i="3"/>
  <c r="M245" i="3"/>
  <c r="N245" i="3"/>
  <c r="O245" i="3"/>
  <c r="P245" i="3"/>
  <c r="I246" i="3"/>
  <c r="J246" i="3"/>
  <c r="K246" i="3"/>
  <c r="L246" i="3"/>
  <c r="M246" i="3"/>
  <c r="N246" i="3"/>
  <c r="O246" i="3"/>
  <c r="P246" i="3"/>
  <c r="I247" i="3"/>
  <c r="J247" i="3"/>
  <c r="K247" i="3"/>
  <c r="L247" i="3"/>
  <c r="M247" i="3"/>
  <c r="N247" i="3"/>
  <c r="O247" i="3"/>
  <c r="P247" i="3"/>
  <c r="I248" i="3"/>
  <c r="J248" i="3"/>
  <c r="K248" i="3"/>
  <c r="L248" i="3"/>
  <c r="M248" i="3"/>
  <c r="N248" i="3"/>
  <c r="O248" i="3"/>
  <c r="P248" i="3"/>
  <c r="I249" i="3"/>
  <c r="J249" i="3"/>
  <c r="K249" i="3"/>
  <c r="L249" i="3"/>
  <c r="M249" i="3"/>
  <c r="N249" i="3"/>
  <c r="O249" i="3"/>
  <c r="P249" i="3"/>
  <c r="I250" i="3"/>
  <c r="J250" i="3"/>
  <c r="K250" i="3"/>
  <c r="L250" i="3"/>
  <c r="M250" i="3"/>
  <c r="N250" i="3"/>
  <c r="O250" i="3"/>
  <c r="P250" i="3"/>
  <c r="I251" i="3"/>
  <c r="J251" i="3"/>
  <c r="K251" i="3"/>
  <c r="L251" i="3"/>
  <c r="M251" i="3"/>
  <c r="N251" i="3"/>
  <c r="O251" i="3"/>
  <c r="P251" i="3"/>
  <c r="I252" i="3"/>
  <c r="J252" i="3"/>
  <c r="K252" i="3"/>
  <c r="L252" i="3"/>
  <c r="M252" i="3"/>
  <c r="N252" i="3"/>
  <c r="O252" i="3"/>
  <c r="P252" i="3"/>
  <c r="I253" i="3"/>
  <c r="J253" i="3"/>
  <c r="K253" i="3"/>
  <c r="L253" i="3"/>
  <c r="M253" i="3"/>
  <c r="N253" i="3"/>
  <c r="O253" i="3"/>
  <c r="P253" i="3"/>
  <c r="I254" i="3"/>
  <c r="J254" i="3"/>
  <c r="K254" i="3"/>
  <c r="L254" i="3"/>
  <c r="M254" i="3"/>
  <c r="N254" i="3"/>
  <c r="O254" i="3"/>
  <c r="P254" i="3"/>
  <c r="I255" i="3"/>
  <c r="J255" i="3"/>
  <c r="K255" i="3"/>
  <c r="L255" i="3"/>
  <c r="M255" i="3"/>
  <c r="N255" i="3"/>
  <c r="O255" i="3"/>
  <c r="P255" i="3"/>
  <c r="I256" i="3"/>
  <c r="J256" i="3"/>
  <c r="K256" i="3"/>
  <c r="L256" i="3"/>
  <c r="M256" i="3"/>
  <c r="N256" i="3"/>
  <c r="O256" i="3"/>
  <c r="P256" i="3"/>
  <c r="I257" i="3"/>
  <c r="J257" i="3"/>
  <c r="K257" i="3"/>
  <c r="L257" i="3"/>
  <c r="M257" i="3"/>
  <c r="N257" i="3"/>
  <c r="O257" i="3"/>
  <c r="P257" i="3"/>
  <c r="I258" i="3"/>
  <c r="J258" i="3"/>
  <c r="K258" i="3"/>
  <c r="L258" i="3"/>
  <c r="M258" i="3"/>
  <c r="N258" i="3"/>
  <c r="O258" i="3"/>
  <c r="P258" i="3"/>
  <c r="I259" i="3"/>
  <c r="J259" i="3"/>
  <c r="K259" i="3"/>
  <c r="L259" i="3"/>
  <c r="M259" i="3"/>
  <c r="N259" i="3"/>
  <c r="O259" i="3"/>
  <c r="P259" i="3"/>
  <c r="I260" i="3"/>
  <c r="J260" i="3"/>
  <c r="K260" i="3"/>
  <c r="L260" i="3"/>
  <c r="M260" i="3"/>
  <c r="N260" i="3"/>
  <c r="O260" i="3"/>
  <c r="P260" i="3"/>
  <c r="I261" i="3"/>
  <c r="J261" i="3"/>
  <c r="K261" i="3"/>
  <c r="L261" i="3"/>
  <c r="M261" i="3"/>
  <c r="N261" i="3"/>
  <c r="O261" i="3"/>
  <c r="P261" i="3"/>
  <c r="I262" i="3"/>
  <c r="J262" i="3"/>
  <c r="K262" i="3"/>
  <c r="L262" i="3"/>
  <c r="M262" i="3"/>
  <c r="N262" i="3"/>
  <c r="O262" i="3"/>
  <c r="P262" i="3"/>
  <c r="I263" i="3"/>
  <c r="J263" i="3"/>
  <c r="K263" i="3"/>
  <c r="L263" i="3"/>
  <c r="M263" i="3"/>
  <c r="N263" i="3"/>
  <c r="O263" i="3"/>
  <c r="P263" i="3"/>
  <c r="I264" i="3"/>
  <c r="J264" i="3"/>
  <c r="K264" i="3"/>
  <c r="L264" i="3"/>
  <c r="M264" i="3"/>
  <c r="N264" i="3"/>
  <c r="O264" i="3"/>
  <c r="P264" i="3"/>
  <c r="I265" i="3"/>
  <c r="J265" i="3"/>
  <c r="K265" i="3"/>
  <c r="L265" i="3"/>
  <c r="M265" i="3"/>
  <c r="N265" i="3"/>
  <c r="O265" i="3"/>
  <c r="P265" i="3"/>
  <c r="I266" i="3"/>
  <c r="J266" i="3"/>
  <c r="K266" i="3"/>
  <c r="L266" i="3"/>
  <c r="M266" i="3"/>
  <c r="N266" i="3"/>
  <c r="O266" i="3"/>
  <c r="P266" i="3"/>
  <c r="I267" i="3"/>
  <c r="J267" i="3"/>
  <c r="K267" i="3"/>
  <c r="L267" i="3"/>
  <c r="M267" i="3"/>
  <c r="N267" i="3"/>
  <c r="O267" i="3"/>
  <c r="P267" i="3"/>
  <c r="I268" i="3"/>
  <c r="J268" i="3"/>
  <c r="K268" i="3"/>
  <c r="L268" i="3"/>
  <c r="M268" i="3"/>
  <c r="N268" i="3"/>
  <c r="O268" i="3"/>
  <c r="P268" i="3"/>
  <c r="I269" i="3"/>
  <c r="J269" i="3"/>
  <c r="K269" i="3"/>
  <c r="L269" i="3"/>
  <c r="M269" i="3"/>
  <c r="N269" i="3"/>
  <c r="O269" i="3"/>
  <c r="P269" i="3"/>
  <c r="I270" i="3"/>
  <c r="J270" i="3"/>
  <c r="K270" i="3"/>
  <c r="L270" i="3"/>
  <c r="M270" i="3"/>
  <c r="N270" i="3"/>
  <c r="O270" i="3"/>
  <c r="P270" i="3"/>
  <c r="I271" i="3"/>
  <c r="J271" i="3"/>
  <c r="K271" i="3"/>
  <c r="L271" i="3"/>
  <c r="M271" i="3"/>
  <c r="N271" i="3"/>
  <c r="O271" i="3"/>
  <c r="P271" i="3"/>
  <c r="I272" i="3"/>
  <c r="J272" i="3"/>
  <c r="K272" i="3"/>
  <c r="L272" i="3"/>
  <c r="M272" i="3"/>
  <c r="N272" i="3"/>
  <c r="O272" i="3"/>
  <c r="P272" i="3"/>
  <c r="I273" i="3"/>
  <c r="J273" i="3"/>
  <c r="K273" i="3"/>
  <c r="L273" i="3"/>
  <c r="M273" i="3"/>
  <c r="N273" i="3"/>
  <c r="O273" i="3"/>
  <c r="P273" i="3"/>
  <c r="I274" i="3"/>
  <c r="J274" i="3"/>
  <c r="K274" i="3"/>
  <c r="L274" i="3"/>
  <c r="M274" i="3"/>
  <c r="N274" i="3"/>
  <c r="O274" i="3"/>
  <c r="P274" i="3"/>
  <c r="I275" i="3"/>
  <c r="J275" i="3"/>
  <c r="K275" i="3"/>
  <c r="L275" i="3"/>
  <c r="M275" i="3"/>
  <c r="N275" i="3"/>
  <c r="O275" i="3"/>
  <c r="P275" i="3"/>
  <c r="I276" i="3"/>
  <c r="J276" i="3"/>
  <c r="K276" i="3"/>
  <c r="L276" i="3"/>
  <c r="M276" i="3"/>
  <c r="N276" i="3"/>
  <c r="O276" i="3"/>
  <c r="P276" i="3"/>
  <c r="I277" i="3"/>
  <c r="J277" i="3"/>
  <c r="K277" i="3"/>
  <c r="L277" i="3"/>
  <c r="M277" i="3"/>
  <c r="N277" i="3"/>
  <c r="O277" i="3"/>
  <c r="P277" i="3"/>
  <c r="I278" i="3"/>
  <c r="J278" i="3"/>
  <c r="K278" i="3"/>
  <c r="L278" i="3"/>
  <c r="M278" i="3"/>
  <c r="N278" i="3"/>
  <c r="O278" i="3"/>
  <c r="P278" i="3"/>
  <c r="I279" i="3"/>
  <c r="J279" i="3"/>
  <c r="K279" i="3"/>
  <c r="L279" i="3"/>
  <c r="M279" i="3"/>
  <c r="N279" i="3"/>
  <c r="O279" i="3"/>
  <c r="P279" i="3"/>
  <c r="I280" i="3"/>
  <c r="J280" i="3"/>
  <c r="K280" i="3"/>
  <c r="L280" i="3"/>
  <c r="M280" i="3"/>
  <c r="N280" i="3"/>
  <c r="O280" i="3"/>
  <c r="P280" i="3"/>
  <c r="I281" i="3"/>
  <c r="J281" i="3"/>
  <c r="K281" i="3"/>
  <c r="L281" i="3"/>
  <c r="M281" i="3"/>
  <c r="N281" i="3"/>
  <c r="O281" i="3"/>
  <c r="P281" i="3"/>
  <c r="I282" i="3"/>
  <c r="J282" i="3"/>
  <c r="K282" i="3"/>
  <c r="L282" i="3"/>
  <c r="M282" i="3"/>
  <c r="N282" i="3"/>
  <c r="O282" i="3"/>
  <c r="P282" i="3"/>
  <c r="I283" i="3"/>
  <c r="J283" i="3"/>
  <c r="K283" i="3"/>
  <c r="L283" i="3"/>
  <c r="M283" i="3"/>
  <c r="N283" i="3"/>
  <c r="O283" i="3"/>
  <c r="P283" i="3"/>
  <c r="I284" i="3"/>
  <c r="J284" i="3"/>
  <c r="K284" i="3"/>
  <c r="L284" i="3"/>
  <c r="M284" i="3"/>
  <c r="N284" i="3"/>
  <c r="O284" i="3"/>
  <c r="P284" i="3"/>
  <c r="I285" i="3"/>
  <c r="J285" i="3"/>
  <c r="K285" i="3"/>
  <c r="L285" i="3"/>
  <c r="M285" i="3"/>
  <c r="N285" i="3"/>
  <c r="O285" i="3"/>
  <c r="P285" i="3"/>
  <c r="I286" i="3"/>
  <c r="J286" i="3"/>
  <c r="K286" i="3"/>
  <c r="L286" i="3"/>
  <c r="M286" i="3"/>
  <c r="N286" i="3"/>
  <c r="O286" i="3"/>
  <c r="P286" i="3"/>
  <c r="I287" i="3"/>
  <c r="J287" i="3"/>
  <c r="K287" i="3"/>
  <c r="L287" i="3"/>
  <c r="M287" i="3"/>
  <c r="N287" i="3"/>
  <c r="O287" i="3"/>
  <c r="P287" i="3"/>
  <c r="I288" i="3"/>
  <c r="J288" i="3"/>
  <c r="K288" i="3"/>
  <c r="L288" i="3"/>
  <c r="M288" i="3"/>
  <c r="N288" i="3"/>
  <c r="O288" i="3"/>
  <c r="P288" i="3"/>
  <c r="I289" i="3"/>
  <c r="J289" i="3"/>
  <c r="K289" i="3"/>
  <c r="L289" i="3"/>
  <c r="M289" i="3"/>
  <c r="N289" i="3"/>
  <c r="O289" i="3"/>
  <c r="P289" i="3"/>
  <c r="I290" i="3"/>
  <c r="J290" i="3"/>
  <c r="K290" i="3"/>
  <c r="L290" i="3"/>
  <c r="M290" i="3"/>
  <c r="N290" i="3"/>
  <c r="O290" i="3"/>
  <c r="P290" i="3"/>
  <c r="I291" i="3"/>
  <c r="J291" i="3"/>
  <c r="K291" i="3"/>
  <c r="L291" i="3"/>
  <c r="M291" i="3"/>
  <c r="N291" i="3"/>
  <c r="O291" i="3"/>
  <c r="P291" i="3"/>
  <c r="I292" i="3"/>
  <c r="J292" i="3"/>
  <c r="K292" i="3"/>
  <c r="L292" i="3"/>
  <c r="M292" i="3"/>
  <c r="N292" i="3"/>
  <c r="O292" i="3"/>
  <c r="P292" i="3"/>
  <c r="I293" i="3"/>
  <c r="J293" i="3"/>
  <c r="K293" i="3"/>
  <c r="L293" i="3"/>
  <c r="M293" i="3"/>
  <c r="N293" i="3"/>
  <c r="O293" i="3"/>
  <c r="P293" i="3"/>
  <c r="I294" i="3"/>
  <c r="J294" i="3"/>
  <c r="K294" i="3"/>
  <c r="L294" i="3"/>
  <c r="M294" i="3"/>
  <c r="N294" i="3"/>
  <c r="O294" i="3"/>
  <c r="P294" i="3"/>
  <c r="I295" i="3"/>
  <c r="J295" i="3"/>
  <c r="K295" i="3"/>
  <c r="L295" i="3"/>
  <c r="M295" i="3"/>
  <c r="N295" i="3"/>
  <c r="O295" i="3"/>
  <c r="P295" i="3"/>
  <c r="I296" i="3"/>
  <c r="J296" i="3"/>
  <c r="K296" i="3"/>
  <c r="L296" i="3"/>
  <c r="M296" i="3"/>
  <c r="N296" i="3"/>
  <c r="O296" i="3"/>
  <c r="P296" i="3"/>
  <c r="I297" i="3"/>
  <c r="J297" i="3"/>
  <c r="K297" i="3"/>
  <c r="L297" i="3"/>
  <c r="M297" i="3"/>
  <c r="N297" i="3"/>
  <c r="O297" i="3"/>
  <c r="P297" i="3"/>
  <c r="I298" i="3"/>
  <c r="J298" i="3"/>
  <c r="K298" i="3"/>
  <c r="L298" i="3"/>
  <c r="M298" i="3"/>
  <c r="N298" i="3"/>
  <c r="O298" i="3"/>
  <c r="P298" i="3"/>
  <c r="I299" i="3"/>
  <c r="J299" i="3"/>
  <c r="K299" i="3"/>
  <c r="L299" i="3"/>
  <c r="M299" i="3"/>
  <c r="N299" i="3"/>
  <c r="O299" i="3"/>
  <c r="P299" i="3"/>
  <c r="I300" i="3"/>
  <c r="J300" i="3"/>
  <c r="K300" i="3"/>
  <c r="L300" i="3"/>
  <c r="M300" i="3"/>
  <c r="N300" i="3"/>
  <c r="O300" i="3"/>
  <c r="P300" i="3"/>
  <c r="I301" i="3"/>
  <c r="J301" i="3"/>
  <c r="K301" i="3"/>
  <c r="L301" i="3"/>
  <c r="M301" i="3"/>
  <c r="N301" i="3"/>
  <c r="O301" i="3"/>
  <c r="P301" i="3"/>
  <c r="I302" i="3"/>
  <c r="J302" i="3"/>
  <c r="K302" i="3"/>
  <c r="L302" i="3"/>
  <c r="M302" i="3"/>
  <c r="N302" i="3"/>
  <c r="O302" i="3"/>
  <c r="P302" i="3"/>
  <c r="I303" i="3"/>
  <c r="J303" i="3"/>
  <c r="K303" i="3"/>
  <c r="L303" i="3"/>
  <c r="M303" i="3"/>
  <c r="N303" i="3"/>
  <c r="O303" i="3"/>
  <c r="P303" i="3"/>
  <c r="I304" i="3"/>
  <c r="J304" i="3"/>
  <c r="K304" i="3"/>
  <c r="L304" i="3"/>
  <c r="M304" i="3"/>
  <c r="N304" i="3"/>
  <c r="O304" i="3"/>
  <c r="P304" i="3"/>
  <c r="I305" i="3"/>
  <c r="J305" i="3"/>
  <c r="K305" i="3"/>
  <c r="L305" i="3"/>
  <c r="M305" i="3"/>
  <c r="N305" i="3"/>
  <c r="O305" i="3"/>
  <c r="P305" i="3"/>
  <c r="I306" i="3"/>
  <c r="J306" i="3"/>
  <c r="K306" i="3"/>
  <c r="L306" i="3"/>
  <c r="M306" i="3"/>
  <c r="N306" i="3"/>
  <c r="O306" i="3"/>
  <c r="P306" i="3"/>
  <c r="I307" i="3"/>
  <c r="J307" i="3"/>
  <c r="K307" i="3"/>
  <c r="L307" i="3"/>
  <c r="M307" i="3"/>
  <c r="N307" i="3"/>
  <c r="O307" i="3"/>
  <c r="P307" i="3"/>
  <c r="I308" i="3"/>
  <c r="J308" i="3"/>
  <c r="K308" i="3"/>
  <c r="L308" i="3"/>
  <c r="M308" i="3"/>
  <c r="N308" i="3"/>
  <c r="O308" i="3"/>
  <c r="P308" i="3"/>
  <c r="I309" i="3"/>
  <c r="J309" i="3"/>
  <c r="K309" i="3"/>
  <c r="L309" i="3"/>
  <c r="M309" i="3"/>
  <c r="N309" i="3"/>
  <c r="O309" i="3"/>
  <c r="P309" i="3"/>
  <c r="I310" i="3"/>
  <c r="J310" i="3"/>
  <c r="K310" i="3"/>
  <c r="L310" i="3"/>
  <c r="M310" i="3"/>
  <c r="N310" i="3"/>
  <c r="O310" i="3"/>
  <c r="P310" i="3"/>
  <c r="I311" i="3"/>
  <c r="J311" i="3"/>
  <c r="K311" i="3"/>
  <c r="L311" i="3"/>
  <c r="M311" i="3"/>
  <c r="N311" i="3"/>
  <c r="O311" i="3"/>
  <c r="P311" i="3"/>
  <c r="I312" i="3"/>
  <c r="J312" i="3"/>
  <c r="K312" i="3"/>
  <c r="L312" i="3"/>
  <c r="M312" i="3"/>
  <c r="N312" i="3"/>
  <c r="O312" i="3"/>
  <c r="P312" i="3"/>
  <c r="I313" i="3"/>
  <c r="J313" i="3"/>
  <c r="K313" i="3"/>
  <c r="L313" i="3"/>
  <c r="M313" i="3"/>
  <c r="N313" i="3"/>
  <c r="O313" i="3"/>
  <c r="P313" i="3"/>
  <c r="I314" i="3"/>
  <c r="J314" i="3"/>
  <c r="K314" i="3"/>
  <c r="L314" i="3"/>
  <c r="M314" i="3"/>
  <c r="N314" i="3"/>
  <c r="O314" i="3"/>
  <c r="P314" i="3"/>
  <c r="I315" i="3"/>
  <c r="J315" i="3"/>
  <c r="K315" i="3"/>
  <c r="L315" i="3"/>
  <c r="M315" i="3"/>
  <c r="N315" i="3"/>
  <c r="O315" i="3"/>
  <c r="P315" i="3"/>
  <c r="I316" i="3"/>
  <c r="J316" i="3"/>
  <c r="K316" i="3"/>
  <c r="L316" i="3"/>
  <c r="M316" i="3"/>
  <c r="N316" i="3"/>
  <c r="O316" i="3"/>
  <c r="P316" i="3"/>
  <c r="I317" i="3"/>
  <c r="J317" i="3"/>
  <c r="K317" i="3"/>
  <c r="L317" i="3"/>
  <c r="M317" i="3"/>
  <c r="N317" i="3"/>
  <c r="O317" i="3"/>
  <c r="P317" i="3"/>
  <c r="I318" i="3"/>
  <c r="J318" i="3"/>
  <c r="K318" i="3"/>
  <c r="L318" i="3"/>
  <c r="M318" i="3"/>
  <c r="N318" i="3"/>
  <c r="O318" i="3"/>
  <c r="P318" i="3"/>
  <c r="I319" i="3"/>
  <c r="J319" i="3"/>
  <c r="K319" i="3"/>
  <c r="L319" i="3"/>
  <c r="M319" i="3"/>
  <c r="N319" i="3"/>
  <c r="O319" i="3"/>
  <c r="P319" i="3"/>
  <c r="I320" i="3"/>
  <c r="J320" i="3"/>
  <c r="K320" i="3"/>
  <c r="L320" i="3"/>
  <c r="M320" i="3"/>
  <c r="N320" i="3"/>
  <c r="O320" i="3"/>
  <c r="P320" i="3"/>
  <c r="I321" i="3"/>
  <c r="J321" i="3"/>
  <c r="K321" i="3"/>
  <c r="L321" i="3"/>
  <c r="M321" i="3"/>
  <c r="N321" i="3"/>
  <c r="O321" i="3"/>
  <c r="P321" i="3"/>
  <c r="I322" i="3"/>
  <c r="J322" i="3"/>
  <c r="K322" i="3"/>
  <c r="L322" i="3"/>
  <c r="M322" i="3"/>
  <c r="N322" i="3"/>
  <c r="O322" i="3"/>
  <c r="P322" i="3"/>
  <c r="I323" i="3"/>
  <c r="J323" i="3"/>
  <c r="K323" i="3"/>
  <c r="L323" i="3"/>
  <c r="M323" i="3"/>
  <c r="N323" i="3"/>
  <c r="O323" i="3"/>
  <c r="P323" i="3"/>
  <c r="I324" i="3"/>
  <c r="J324" i="3"/>
  <c r="K324" i="3"/>
  <c r="L324" i="3"/>
  <c r="M324" i="3"/>
  <c r="N324" i="3"/>
  <c r="O324" i="3"/>
  <c r="P324" i="3"/>
  <c r="I325" i="3"/>
  <c r="J325" i="3"/>
  <c r="K325" i="3"/>
  <c r="L325" i="3"/>
  <c r="M325" i="3"/>
  <c r="N325" i="3"/>
  <c r="O325" i="3"/>
  <c r="P325" i="3"/>
  <c r="I326" i="3"/>
  <c r="J326" i="3"/>
  <c r="K326" i="3"/>
  <c r="L326" i="3"/>
  <c r="M326" i="3"/>
  <c r="N326" i="3"/>
  <c r="O326" i="3"/>
  <c r="P326" i="3"/>
  <c r="I327" i="3"/>
  <c r="J327" i="3"/>
  <c r="K327" i="3"/>
  <c r="L327" i="3"/>
  <c r="M327" i="3"/>
  <c r="N327" i="3"/>
  <c r="O327" i="3"/>
  <c r="P327" i="3"/>
  <c r="I328" i="3"/>
  <c r="J328" i="3"/>
  <c r="K328" i="3"/>
  <c r="L328" i="3"/>
  <c r="M328" i="3"/>
  <c r="N328" i="3"/>
  <c r="O328" i="3"/>
  <c r="P328" i="3"/>
  <c r="I329" i="3"/>
  <c r="J329" i="3"/>
  <c r="K329" i="3"/>
  <c r="L329" i="3"/>
  <c r="M329" i="3"/>
  <c r="N329" i="3"/>
  <c r="O329" i="3"/>
  <c r="P329" i="3"/>
  <c r="I330" i="3"/>
  <c r="J330" i="3"/>
  <c r="K330" i="3"/>
  <c r="L330" i="3"/>
  <c r="M330" i="3"/>
  <c r="N330" i="3"/>
  <c r="O330" i="3"/>
  <c r="P330" i="3"/>
  <c r="I331" i="3"/>
  <c r="J331" i="3"/>
  <c r="K331" i="3"/>
  <c r="L331" i="3"/>
  <c r="M331" i="3"/>
  <c r="N331" i="3"/>
  <c r="O331" i="3"/>
  <c r="P331" i="3"/>
  <c r="I332" i="3"/>
  <c r="J332" i="3"/>
  <c r="K332" i="3"/>
  <c r="L332" i="3"/>
  <c r="M332" i="3"/>
  <c r="N332" i="3"/>
  <c r="O332" i="3"/>
  <c r="P332" i="3"/>
  <c r="I333" i="3"/>
  <c r="J333" i="3"/>
  <c r="K333" i="3"/>
  <c r="L333" i="3"/>
  <c r="M333" i="3"/>
  <c r="N333" i="3"/>
  <c r="O333" i="3"/>
  <c r="P333" i="3"/>
  <c r="I334" i="3"/>
  <c r="J334" i="3"/>
  <c r="K334" i="3"/>
  <c r="L334" i="3"/>
  <c r="M334" i="3"/>
  <c r="N334" i="3"/>
  <c r="O334" i="3"/>
  <c r="P334" i="3"/>
  <c r="I335" i="3"/>
  <c r="J335" i="3"/>
  <c r="K335" i="3"/>
  <c r="L335" i="3"/>
  <c r="M335" i="3"/>
  <c r="N335" i="3"/>
  <c r="O335" i="3"/>
  <c r="P335" i="3"/>
  <c r="I336" i="3"/>
  <c r="J336" i="3"/>
  <c r="K336" i="3"/>
  <c r="L336" i="3"/>
  <c r="M336" i="3"/>
  <c r="N336" i="3"/>
  <c r="O336" i="3"/>
  <c r="P336" i="3"/>
  <c r="I337" i="3"/>
  <c r="J337" i="3"/>
  <c r="K337" i="3"/>
  <c r="L337" i="3"/>
  <c r="M337" i="3"/>
  <c r="N337" i="3"/>
  <c r="O337" i="3"/>
  <c r="P337" i="3"/>
  <c r="I338" i="3"/>
  <c r="J338" i="3"/>
  <c r="K338" i="3"/>
  <c r="L338" i="3"/>
  <c r="M338" i="3"/>
  <c r="N338" i="3"/>
  <c r="O338" i="3"/>
  <c r="P338" i="3"/>
  <c r="I339" i="3"/>
  <c r="J339" i="3"/>
  <c r="K339" i="3"/>
  <c r="L339" i="3"/>
  <c r="M339" i="3"/>
  <c r="N339" i="3"/>
  <c r="O339" i="3"/>
  <c r="P339" i="3"/>
  <c r="I340" i="3"/>
  <c r="J340" i="3"/>
  <c r="K340" i="3"/>
  <c r="L340" i="3"/>
  <c r="M340" i="3"/>
  <c r="N340" i="3"/>
  <c r="O340" i="3"/>
  <c r="P340" i="3"/>
  <c r="I341" i="3"/>
  <c r="J341" i="3"/>
  <c r="K341" i="3"/>
  <c r="L341" i="3"/>
  <c r="M341" i="3"/>
  <c r="N341" i="3"/>
  <c r="O341" i="3"/>
  <c r="P341" i="3"/>
  <c r="I342" i="3"/>
  <c r="J342" i="3"/>
  <c r="K342" i="3"/>
  <c r="L342" i="3"/>
  <c r="M342" i="3"/>
  <c r="N342" i="3"/>
  <c r="O342" i="3"/>
  <c r="P342" i="3"/>
  <c r="I343" i="3"/>
  <c r="J343" i="3"/>
  <c r="K343" i="3"/>
  <c r="L343" i="3"/>
  <c r="M343" i="3"/>
  <c r="N343" i="3"/>
  <c r="O343" i="3"/>
  <c r="P343" i="3"/>
  <c r="I344" i="3"/>
  <c r="J344" i="3"/>
  <c r="K344" i="3"/>
  <c r="L344" i="3"/>
  <c r="M344" i="3"/>
  <c r="N344" i="3"/>
  <c r="O344" i="3"/>
  <c r="P344" i="3"/>
  <c r="I345" i="3"/>
  <c r="J345" i="3"/>
  <c r="K345" i="3"/>
  <c r="L345" i="3"/>
  <c r="M345" i="3"/>
  <c r="N345" i="3"/>
  <c r="O345" i="3"/>
  <c r="P345" i="3"/>
  <c r="I346" i="3"/>
  <c r="J346" i="3"/>
  <c r="K346" i="3"/>
  <c r="L346" i="3"/>
  <c r="M346" i="3"/>
  <c r="N346" i="3"/>
  <c r="O346" i="3"/>
  <c r="P346" i="3"/>
  <c r="I347" i="3"/>
  <c r="J347" i="3"/>
  <c r="K347" i="3"/>
  <c r="L347" i="3"/>
  <c r="M347" i="3"/>
  <c r="N347" i="3"/>
  <c r="O347" i="3"/>
  <c r="P347" i="3"/>
  <c r="I348" i="3"/>
  <c r="J348" i="3"/>
  <c r="K348" i="3"/>
  <c r="L348" i="3"/>
  <c r="M348" i="3"/>
  <c r="N348" i="3"/>
  <c r="O348" i="3"/>
  <c r="P348" i="3"/>
  <c r="I349" i="3"/>
  <c r="J349" i="3"/>
  <c r="K349" i="3"/>
  <c r="L349" i="3"/>
  <c r="M349" i="3"/>
  <c r="N349" i="3"/>
  <c r="O349" i="3"/>
  <c r="P349" i="3"/>
  <c r="I350" i="3"/>
  <c r="J350" i="3"/>
  <c r="K350" i="3"/>
  <c r="L350" i="3"/>
  <c r="M350" i="3"/>
  <c r="N350" i="3"/>
  <c r="O350" i="3"/>
  <c r="P350" i="3"/>
  <c r="I351" i="3"/>
  <c r="J351" i="3"/>
  <c r="K351" i="3"/>
  <c r="L351" i="3"/>
  <c r="M351" i="3"/>
  <c r="N351" i="3"/>
  <c r="O351" i="3"/>
  <c r="P351" i="3"/>
  <c r="I352" i="3"/>
  <c r="J352" i="3"/>
  <c r="K352" i="3"/>
  <c r="L352" i="3"/>
  <c r="M352" i="3"/>
  <c r="N352" i="3"/>
  <c r="O352" i="3"/>
  <c r="P352" i="3"/>
  <c r="I353" i="3"/>
  <c r="J353" i="3"/>
  <c r="K353" i="3"/>
  <c r="L353" i="3"/>
  <c r="M353" i="3"/>
  <c r="N353" i="3"/>
  <c r="O353" i="3"/>
  <c r="P353" i="3"/>
  <c r="I354" i="3"/>
  <c r="J354" i="3"/>
  <c r="K354" i="3"/>
  <c r="L354" i="3"/>
  <c r="M354" i="3"/>
  <c r="N354" i="3"/>
  <c r="O354" i="3"/>
  <c r="P354" i="3"/>
  <c r="I355" i="3"/>
  <c r="J355" i="3"/>
  <c r="K355" i="3"/>
  <c r="L355" i="3"/>
  <c r="M355" i="3"/>
  <c r="N355" i="3"/>
  <c r="O355" i="3"/>
  <c r="P355" i="3"/>
  <c r="I356" i="3"/>
  <c r="J356" i="3"/>
  <c r="K356" i="3"/>
  <c r="L356" i="3"/>
  <c r="M356" i="3"/>
  <c r="N356" i="3"/>
  <c r="O356" i="3"/>
  <c r="P356" i="3"/>
  <c r="I357" i="3"/>
  <c r="J357" i="3"/>
  <c r="K357" i="3"/>
  <c r="L357" i="3"/>
  <c r="M357" i="3"/>
  <c r="N357" i="3"/>
  <c r="O357" i="3"/>
  <c r="P357" i="3"/>
  <c r="I358" i="3"/>
  <c r="J358" i="3"/>
  <c r="K358" i="3"/>
  <c r="L358" i="3"/>
  <c r="M358" i="3"/>
  <c r="N358" i="3"/>
  <c r="O358" i="3"/>
  <c r="P358" i="3"/>
  <c r="I359" i="3"/>
  <c r="J359" i="3"/>
  <c r="K359" i="3"/>
  <c r="L359" i="3"/>
  <c r="M359" i="3"/>
  <c r="N359" i="3"/>
  <c r="O359" i="3"/>
  <c r="P359" i="3"/>
  <c r="I360" i="3"/>
  <c r="J360" i="3"/>
  <c r="K360" i="3"/>
  <c r="L360" i="3"/>
  <c r="M360" i="3"/>
  <c r="N360" i="3"/>
  <c r="O360" i="3"/>
  <c r="P360" i="3"/>
  <c r="I361" i="3"/>
  <c r="J361" i="3"/>
  <c r="K361" i="3"/>
  <c r="L361" i="3"/>
  <c r="M361" i="3"/>
  <c r="N361" i="3"/>
  <c r="O361" i="3"/>
  <c r="P361" i="3"/>
  <c r="I362" i="3"/>
  <c r="J362" i="3"/>
  <c r="K362" i="3"/>
  <c r="L362" i="3"/>
  <c r="M362" i="3"/>
  <c r="N362" i="3"/>
  <c r="O362" i="3"/>
  <c r="P362" i="3"/>
  <c r="I363" i="3"/>
  <c r="J363" i="3"/>
  <c r="K363" i="3"/>
  <c r="L363" i="3"/>
  <c r="M363" i="3"/>
  <c r="N363" i="3"/>
  <c r="O363" i="3"/>
  <c r="P363" i="3"/>
  <c r="I364" i="3"/>
  <c r="J364" i="3"/>
  <c r="K364" i="3"/>
  <c r="L364" i="3"/>
  <c r="M364" i="3"/>
  <c r="N364" i="3"/>
  <c r="O364" i="3"/>
  <c r="P364" i="3"/>
  <c r="I365" i="3"/>
  <c r="J365" i="3"/>
  <c r="K365" i="3"/>
  <c r="L365" i="3"/>
  <c r="M365" i="3"/>
  <c r="N365" i="3"/>
  <c r="O365" i="3"/>
  <c r="P365" i="3"/>
  <c r="I366" i="3"/>
  <c r="J366" i="3"/>
  <c r="K366" i="3"/>
  <c r="L366" i="3"/>
  <c r="M366" i="3"/>
  <c r="N366" i="3"/>
  <c r="O366" i="3"/>
  <c r="P366" i="3"/>
  <c r="I367" i="3"/>
  <c r="J367" i="3"/>
  <c r="K367" i="3"/>
  <c r="L367" i="3"/>
  <c r="M367" i="3"/>
  <c r="N367" i="3"/>
  <c r="O367" i="3"/>
  <c r="P367" i="3"/>
  <c r="I368" i="3"/>
  <c r="J368" i="3"/>
  <c r="K368" i="3"/>
  <c r="L368" i="3"/>
  <c r="M368" i="3"/>
  <c r="N368" i="3"/>
  <c r="O368" i="3"/>
  <c r="P368" i="3"/>
  <c r="I369" i="3"/>
  <c r="J369" i="3"/>
  <c r="K369" i="3"/>
  <c r="L369" i="3"/>
  <c r="M369" i="3"/>
  <c r="N369" i="3"/>
  <c r="O369" i="3"/>
  <c r="P369" i="3"/>
  <c r="I370" i="3"/>
  <c r="J370" i="3"/>
  <c r="K370" i="3"/>
  <c r="L370" i="3"/>
  <c r="M370" i="3"/>
  <c r="N370" i="3"/>
  <c r="O370" i="3"/>
  <c r="P370" i="3"/>
  <c r="I371" i="3"/>
  <c r="J371" i="3"/>
  <c r="K371" i="3"/>
  <c r="L371" i="3"/>
  <c r="M371" i="3"/>
  <c r="N371" i="3"/>
  <c r="O371" i="3"/>
  <c r="P371" i="3"/>
  <c r="I372" i="3"/>
  <c r="J372" i="3"/>
  <c r="K372" i="3"/>
  <c r="L372" i="3"/>
  <c r="M372" i="3"/>
  <c r="N372" i="3"/>
  <c r="O372" i="3"/>
  <c r="P372" i="3"/>
  <c r="I373" i="3"/>
  <c r="J373" i="3"/>
  <c r="K373" i="3"/>
  <c r="L373" i="3"/>
  <c r="M373" i="3"/>
  <c r="N373" i="3"/>
  <c r="O373" i="3"/>
  <c r="P373" i="3"/>
  <c r="I374" i="3"/>
  <c r="J374" i="3"/>
  <c r="K374" i="3"/>
  <c r="L374" i="3"/>
  <c r="M374" i="3"/>
  <c r="N374" i="3"/>
  <c r="O374" i="3"/>
  <c r="P374" i="3"/>
  <c r="I375" i="3"/>
  <c r="J375" i="3"/>
  <c r="K375" i="3"/>
  <c r="L375" i="3"/>
  <c r="M375" i="3"/>
  <c r="N375" i="3"/>
  <c r="O375" i="3"/>
  <c r="P375" i="3"/>
  <c r="I376" i="3"/>
  <c r="J376" i="3"/>
  <c r="K376" i="3"/>
  <c r="L376" i="3"/>
  <c r="M376" i="3"/>
  <c r="N376" i="3"/>
  <c r="O376" i="3"/>
  <c r="P376" i="3"/>
  <c r="I377" i="3"/>
  <c r="J377" i="3"/>
  <c r="K377" i="3"/>
  <c r="L377" i="3"/>
  <c r="M377" i="3"/>
  <c r="N377" i="3"/>
  <c r="O377" i="3"/>
  <c r="P377" i="3"/>
  <c r="I378" i="3"/>
  <c r="J378" i="3"/>
  <c r="K378" i="3"/>
  <c r="L378" i="3"/>
  <c r="M378" i="3"/>
  <c r="N378" i="3"/>
  <c r="O378" i="3"/>
  <c r="P378" i="3"/>
  <c r="I379" i="3"/>
  <c r="J379" i="3"/>
  <c r="K379" i="3"/>
  <c r="L379" i="3"/>
  <c r="M379" i="3"/>
  <c r="N379" i="3"/>
  <c r="O379" i="3"/>
  <c r="P379" i="3"/>
  <c r="I380" i="3"/>
  <c r="J380" i="3"/>
  <c r="K380" i="3"/>
  <c r="L380" i="3"/>
  <c r="M380" i="3"/>
  <c r="N380" i="3"/>
  <c r="O380" i="3"/>
  <c r="P380" i="3"/>
  <c r="I381" i="3"/>
  <c r="J381" i="3"/>
  <c r="K381" i="3"/>
  <c r="L381" i="3"/>
  <c r="M381" i="3"/>
  <c r="N381" i="3"/>
  <c r="O381" i="3"/>
  <c r="P381" i="3"/>
  <c r="I382" i="3"/>
  <c r="J382" i="3"/>
  <c r="K382" i="3"/>
  <c r="L382" i="3"/>
  <c r="M382" i="3"/>
  <c r="N382" i="3"/>
  <c r="O382" i="3"/>
  <c r="P382" i="3"/>
  <c r="I383" i="3"/>
  <c r="J383" i="3"/>
  <c r="K383" i="3"/>
  <c r="L383" i="3"/>
  <c r="M383" i="3"/>
  <c r="N383" i="3"/>
  <c r="O383" i="3"/>
  <c r="P383" i="3"/>
  <c r="I384" i="3"/>
  <c r="J384" i="3"/>
  <c r="K384" i="3"/>
  <c r="L384" i="3"/>
  <c r="M384" i="3"/>
  <c r="N384" i="3"/>
  <c r="O384" i="3"/>
  <c r="P384" i="3"/>
  <c r="I385" i="3"/>
  <c r="J385" i="3"/>
  <c r="K385" i="3"/>
  <c r="L385" i="3"/>
  <c r="M385" i="3"/>
  <c r="N385" i="3"/>
  <c r="O385" i="3"/>
  <c r="P385" i="3"/>
  <c r="I386" i="3"/>
  <c r="J386" i="3"/>
  <c r="K386" i="3"/>
  <c r="L386" i="3"/>
  <c r="M386" i="3"/>
  <c r="N386" i="3"/>
  <c r="O386" i="3"/>
  <c r="P386" i="3"/>
  <c r="I387" i="3"/>
  <c r="J387" i="3"/>
  <c r="K387" i="3"/>
  <c r="L387" i="3"/>
  <c r="M387" i="3"/>
  <c r="N387" i="3"/>
  <c r="O387" i="3"/>
  <c r="P387" i="3"/>
  <c r="I388" i="3"/>
  <c r="J388" i="3"/>
  <c r="K388" i="3"/>
  <c r="L388" i="3"/>
  <c r="M388" i="3"/>
  <c r="N388" i="3"/>
  <c r="O388" i="3"/>
  <c r="P388" i="3"/>
  <c r="I389" i="3"/>
  <c r="J389" i="3"/>
  <c r="K389" i="3"/>
  <c r="L389" i="3"/>
  <c r="M389" i="3"/>
  <c r="N389" i="3"/>
  <c r="O389" i="3"/>
  <c r="P389" i="3"/>
  <c r="I390" i="3"/>
  <c r="J390" i="3"/>
  <c r="K390" i="3"/>
  <c r="L390" i="3"/>
  <c r="M390" i="3"/>
  <c r="N390" i="3"/>
  <c r="O390" i="3"/>
  <c r="P390" i="3"/>
  <c r="I391" i="3"/>
  <c r="J391" i="3"/>
  <c r="K391" i="3"/>
  <c r="L391" i="3"/>
  <c r="M391" i="3"/>
  <c r="N391" i="3"/>
  <c r="O391" i="3"/>
  <c r="P391" i="3"/>
  <c r="I392" i="3"/>
  <c r="J392" i="3"/>
  <c r="K392" i="3"/>
  <c r="L392" i="3"/>
  <c r="M392" i="3"/>
  <c r="N392" i="3"/>
  <c r="O392" i="3"/>
  <c r="P392" i="3"/>
  <c r="I393" i="3"/>
  <c r="J393" i="3"/>
  <c r="K393" i="3"/>
  <c r="L393" i="3"/>
  <c r="M393" i="3"/>
  <c r="N393" i="3"/>
  <c r="O393" i="3"/>
  <c r="P393" i="3"/>
  <c r="I394" i="3"/>
  <c r="J394" i="3"/>
  <c r="K394" i="3"/>
  <c r="L394" i="3"/>
  <c r="M394" i="3"/>
  <c r="N394" i="3"/>
  <c r="O394" i="3"/>
  <c r="P394" i="3"/>
  <c r="I395" i="3"/>
  <c r="J395" i="3"/>
  <c r="K395" i="3"/>
  <c r="L395" i="3"/>
  <c r="M395" i="3"/>
  <c r="N395" i="3"/>
  <c r="O395" i="3"/>
  <c r="P395" i="3"/>
  <c r="I396" i="3"/>
  <c r="J396" i="3"/>
  <c r="K396" i="3"/>
  <c r="L396" i="3"/>
  <c r="M396" i="3"/>
  <c r="N396" i="3"/>
  <c r="O396" i="3"/>
  <c r="P396" i="3"/>
  <c r="I397" i="3"/>
  <c r="J397" i="3"/>
  <c r="K397" i="3"/>
  <c r="L397" i="3"/>
  <c r="M397" i="3"/>
  <c r="N397" i="3"/>
  <c r="O397" i="3"/>
  <c r="P397" i="3"/>
  <c r="I398" i="3"/>
  <c r="J398" i="3"/>
  <c r="K398" i="3"/>
  <c r="L398" i="3"/>
  <c r="M398" i="3"/>
  <c r="N398" i="3"/>
  <c r="O398" i="3"/>
  <c r="P398" i="3"/>
  <c r="I399" i="3"/>
  <c r="J399" i="3"/>
  <c r="K399" i="3"/>
  <c r="L399" i="3"/>
  <c r="M399" i="3"/>
  <c r="N399" i="3"/>
  <c r="O399" i="3"/>
  <c r="P399" i="3"/>
  <c r="I400" i="3"/>
  <c r="J400" i="3"/>
  <c r="K400" i="3"/>
  <c r="L400" i="3"/>
  <c r="M400" i="3"/>
  <c r="N400" i="3"/>
  <c r="O400" i="3"/>
  <c r="P400" i="3"/>
  <c r="I401" i="3"/>
  <c r="J401" i="3"/>
  <c r="K401" i="3"/>
  <c r="L401" i="3"/>
  <c r="M401" i="3"/>
  <c r="N401" i="3"/>
  <c r="O401" i="3"/>
  <c r="P401" i="3"/>
  <c r="I402" i="3"/>
  <c r="J402" i="3"/>
  <c r="K402" i="3"/>
  <c r="L402" i="3"/>
  <c r="M402" i="3"/>
  <c r="N402" i="3"/>
  <c r="O402" i="3"/>
  <c r="P402" i="3"/>
  <c r="I403" i="3"/>
  <c r="J403" i="3"/>
  <c r="K403" i="3"/>
  <c r="L403" i="3"/>
  <c r="M403" i="3"/>
  <c r="N403" i="3"/>
  <c r="O403" i="3"/>
  <c r="P403" i="3"/>
  <c r="I404" i="3"/>
  <c r="J404" i="3"/>
  <c r="K404" i="3"/>
  <c r="L404" i="3"/>
  <c r="M404" i="3"/>
  <c r="N404" i="3"/>
  <c r="O404" i="3"/>
  <c r="P404" i="3"/>
  <c r="I405" i="3"/>
  <c r="J405" i="3"/>
  <c r="K405" i="3"/>
  <c r="L405" i="3"/>
  <c r="M405" i="3"/>
  <c r="N405" i="3"/>
  <c r="O405" i="3"/>
  <c r="P405" i="3"/>
  <c r="I406" i="3"/>
  <c r="J406" i="3"/>
  <c r="K406" i="3"/>
  <c r="L406" i="3"/>
  <c r="M406" i="3"/>
  <c r="N406" i="3"/>
  <c r="O406" i="3"/>
  <c r="P406" i="3"/>
  <c r="I407" i="3"/>
  <c r="J407" i="3"/>
  <c r="K407" i="3"/>
  <c r="L407" i="3"/>
  <c r="M407" i="3"/>
  <c r="N407" i="3"/>
  <c r="O407" i="3"/>
  <c r="P407" i="3"/>
  <c r="I408" i="3"/>
  <c r="J408" i="3"/>
  <c r="K408" i="3"/>
  <c r="L408" i="3"/>
  <c r="M408" i="3"/>
  <c r="N408" i="3"/>
  <c r="O408" i="3"/>
  <c r="P408" i="3"/>
  <c r="I409" i="3"/>
  <c r="J409" i="3"/>
  <c r="K409" i="3"/>
  <c r="L409" i="3"/>
  <c r="M409" i="3"/>
  <c r="N409" i="3"/>
  <c r="O409" i="3"/>
  <c r="P409" i="3"/>
  <c r="I410" i="3"/>
  <c r="J410" i="3"/>
  <c r="K410" i="3"/>
  <c r="L410" i="3"/>
  <c r="M410" i="3"/>
  <c r="N410" i="3"/>
  <c r="O410" i="3"/>
  <c r="P410" i="3"/>
  <c r="I411" i="3"/>
  <c r="J411" i="3"/>
  <c r="K411" i="3"/>
  <c r="L411" i="3"/>
  <c r="M411" i="3"/>
  <c r="N411" i="3"/>
  <c r="O411" i="3"/>
  <c r="P411" i="3"/>
  <c r="I412" i="3"/>
  <c r="J412" i="3"/>
  <c r="K412" i="3"/>
  <c r="L412" i="3"/>
  <c r="M412" i="3"/>
  <c r="N412" i="3"/>
  <c r="O412" i="3"/>
  <c r="P412" i="3"/>
  <c r="I413" i="3"/>
  <c r="J413" i="3"/>
  <c r="K413" i="3"/>
  <c r="L413" i="3"/>
  <c r="M413" i="3"/>
  <c r="N413" i="3"/>
  <c r="O413" i="3"/>
  <c r="P413" i="3"/>
  <c r="I414" i="3"/>
  <c r="J414" i="3"/>
  <c r="K414" i="3"/>
  <c r="L414" i="3"/>
  <c r="M414" i="3"/>
  <c r="N414" i="3"/>
  <c r="O414" i="3"/>
  <c r="P414" i="3"/>
  <c r="I415" i="3"/>
  <c r="J415" i="3"/>
  <c r="K415" i="3"/>
  <c r="L415" i="3"/>
  <c r="M415" i="3"/>
  <c r="N415" i="3"/>
  <c r="O415" i="3"/>
  <c r="P415" i="3"/>
  <c r="I416" i="3"/>
  <c r="J416" i="3"/>
  <c r="K416" i="3"/>
  <c r="L416" i="3"/>
  <c r="M416" i="3"/>
  <c r="N416" i="3"/>
  <c r="O416" i="3"/>
  <c r="P416" i="3"/>
  <c r="I417" i="3"/>
  <c r="J417" i="3"/>
  <c r="K417" i="3"/>
  <c r="L417" i="3"/>
  <c r="M417" i="3"/>
  <c r="N417" i="3"/>
  <c r="O417" i="3"/>
  <c r="P417" i="3"/>
  <c r="I418" i="3"/>
  <c r="J418" i="3"/>
  <c r="K418" i="3"/>
  <c r="L418" i="3"/>
  <c r="M418" i="3"/>
  <c r="N418" i="3"/>
  <c r="O418" i="3"/>
  <c r="P418" i="3"/>
  <c r="I419" i="3"/>
  <c r="J419" i="3"/>
  <c r="K419" i="3"/>
  <c r="L419" i="3"/>
  <c r="M419" i="3"/>
  <c r="N419" i="3"/>
  <c r="O419" i="3"/>
  <c r="P419" i="3"/>
  <c r="I420" i="3"/>
  <c r="J420" i="3"/>
  <c r="K420" i="3"/>
  <c r="L420" i="3"/>
  <c r="M420" i="3"/>
  <c r="N420" i="3"/>
  <c r="O420" i="3"/>
  <c r="P420" i="3"/>
  <c r="I421" i="3"/>
  <c r="J421" i="3"/>
  <c r="K421" i="3"/>
  <c r="L421" i="3"/>
  <c r="M421" i="3"/>
  <c r="N421" i="3"/>
  <c r="O421" i="3"/>
  <c r="P421" i="3"/>
  <c r="I422" i="3"/>
  <c r="J422" i="3"/>
  <c r="K422" i="3"/>
  <c r="L422" i="3"/>
  <c r="M422" i="3"/>
  <c r="N422" i="3"/>
  <c r="O422" i="3"/>
  <c r="P422" i="3"/>
  <c r="I423" i="3"/>
  <c r="J423" i="3"/>
  <c r="K423" i="3"/>
  <c r="L423" i="3"/>
  <c r="M423" i="3"/>
  <c r="N423" i="3"/>
  <c r="O423" i="3"/>
  <c r="P423" i="3"/>
  <c r="I424" i="3"/>
  <c r="J424" i="3"/>
  <c r="K424" i="3"/>
  <c r="L424" i="3"/>
  <c r="M424" i="3"/>
  <c r="N424" i="3"/>
  <c r="O424" i="3"/>
  <c r="P424" i="3"/>
  <c r="I425" i="3"/>
  <c r="J425" i="3"/>
  <c r="K425" i="3"/>
  <c r="L425" i="3"/>
  <c r="M425" i="3"/>
  <c r="N425" i="3"/>
  <c r="O425" i="3"/>
  <c r="P425" i="3"/>
  <c r="I426" i="3"/>
  <c r="J426" i="3"/>
  <c r="K426" i="3"/>
  <c r="L426" i="3"/>
  <c r="M426" i="3"/>
  <c r="N426" i="3"/>
  <c r="O426" i="3"/>
  <c r="P426" i="3"/>
  <c r="I427" i="3"/>
  <c r="J427" i="3"/>
  <c r="K427" i="3"/>
  <c r="L427" i="3"/>
  <c r="M427" i="3"/>
  <c r="N427" i="3"/>
  <c r="O427" i="3"/>
  <c r="P427" i="3"/>
  <c r="I428" i="3"/>
  <c r="J428" i="3"/>
  <c r="K428" i="3"/>
  <c r="L428" i="3"/>
  <c r="M428" i="3"/>
  <c r="N428" i="3"/>
  <c r="O428" i="3"/>
  <c r="P428" i="3"/>
  <c r="I429" i="3"/>
  <c r="J429" i="3"/>
  <c r="K429" i="3"/>
  <c r="L429" i="3"/>
  <c r="M429" i="3"/>
  <c r="N429" i="3"/>
  <c r="O429" i="3"/>
  <c r="P429" i="3"/>
  <c r="I430" i="3"/>
  <c r="J430" i="3"/>
  <c r="K430" i="3"/>
  <c r="L430" i="3"/>
  <c r="M430" i="3"/>
  <c r="N430" i="3"/>
  <c r="O430" i="3"/>
  <c r="P430" i="3"/>
  <c r="I431" i="3"/>
  <c r="J431" i="3"/>
  <c r="K431" i="3"/>
  <c r="L431" i="3"/>
  <c r="M431" i="3"/>
  <c r="N431" i="3"/>
  <c r="O431" i="3"/>
  <c r="P431" i="3"/>
  <c r="I432" i="3"/>
  <c r="J432" i="3"/>
  <c r="K432" i="3"/>
  <c r="L432" i="3"/>
  <c r="M432" i="3"/>
  <c r="N432" i="3"/>
  <c r="O432" i="3"/>
  <c r="P432" i="3"/>
  <c r="I433" i="3"/>
  <c r="J433" i="3"/>
  <c r="K433" i="3"/>
  <c r="L433" i="3"/>
  <c r="M433" i="3"/>
  <c r="N433" i="3"/>
  <c r="O433" i="3"/>
  <c r="P433" i="3"/>
  <c r="I434" i="3"/>
  <c r="J434" i="3"/>
  <c r="K434" i="3"/>
  <c r="L434" i="3"/>
  <c r="M434" i="3"/>
  <c r="N434" i="3"/>
  <c r="O434" i="3"/>
  <c r="P434" i="3"/>
  <c r="I435" i="3"/>
  <c r="J435" i="3"/>
  <c r="K435" i="3"/>
  <c r="L435" i="3"/>
  <c r="M435" i="3"/>
  <c r="N435" i="3"/>
  <c r="O435" i="3"/>
  <c r="P435" i="3"/>
  <c r="I436" i="3"/>
  <c r="J436" i="3"/>
  <c r="K436" i="3"/>
  <c r="L436" i="3"/>
  <c r="M436" i="3"/>
  <c r="N436" i="3"/>
  <c r="O436" i="3"/>
  <c r="P436" i="3"/>
  <c r="I437" i="3"/>
  <c r="J437" i="3"/>
  <c r="K437" i="3"/>
  <c r="L437" i="3"/>
  <c r="M437" i="3"/>
  <c r="N437" i="3"/>
  <c r="O437" i="3"/>
  <c r="P437" i="3"/>
  <c r="I438" i="3"/>
  <c r="J438" i="3"/>
  <c r="K438" i="3"/>
  <c r="L438" i="3"/>
  <c r="M438" i="3"/>
  <c r="N438" i="3"/>
  <c r="O438" i="3"/>
  <c r="P438" i="3"/>
  <c r="I439" i="3"/>
  <c r="J439" i="3"/>
  <c r="K439" i="3"/>
  <c r="L439" i="3"/>
  <c r="M439" i="3"/>
  <c r="N439" i="3"/>
  <c r="O439" i="3"/>
  <c r="P439" i="3"/>
  <c r="I440" i="3"/>
  <c r="J440" i="3"/>
  <c r="K440" i="3"/>
  <c r="L440" i="3"/>
  <c r="M440" i="3"/>
  <c r="N440" i="3"/>
  <c r="O440" i="3"/>
  <c r="P440" i="3"/>
  <c r="I441" i="3"/>
  <c r="J441" i="3"/>
  <c r="K441" i="3"/>
  <c r="L441" i="3"/>
  <c r="M441" i="3"/>
  <c r="N441" i="3"/>
  <c r="O441" i="3"/>
  <c r="P441" i="3"/>
  <c r="I442" i="3"/>
  <c r="J442" i="3"/>
  <c r="K442" i="3"/>
  <c r="L442" i="3"/>
  <c r="M442" i="3"/>
  <c r="N442" i="3"/>
  <c r="O442" i="3"/>
  <c r="P442" i="3"/>
  <c r="I443" i="3"/>
  <c r="J443" i="3"/>
  <c r="K443" i="3"/>
  <c r="L443" i="3"/>
  <c r="M443" i="3"/>
  <c r="N443" i="3"/>
  <c r="O443" i="3"/>
  <c r="P443" i="3"/>
  <c r="I444" i="3"/>
  <c r="J444" i="3"/>
  <c r="K444" i="3"/>
  <c r="L444" i="3"/>
  <c r="M444" i="3"/>
  <c r="N444" i="3"/>
  <c r="O444" i="3"/>
  <c r="P444" i="3"/>
  <c r="I445" i="3"/>
  <c r="J445" i="3"/>
  <c r="K445" i="3"/>
  <c r="L445" i="3"/>
  <c r="M445" i="3"/>
  <c r="N445" i="3"/>
  <c r="O445" i="3"/>
  <c r="P445" i="3"/>
  <c r="I446" i="3"/>
  <c r="J446" i="3"/>
  <c r="K446" i="3"/>
  <c r="L446" i="3"/>
  <c r="M446" i="3"/>
  <c r="N446" i="3"/>
  <c r="O446" i="3"/>
  <c r="P446" i="3"/>
  <c r="I447" i="3"/>
  <c r="J447" i="3"/>
  <c r="K447" i="3"/>
  <c r="L447" i="3"/>
  <c r="M447" i="3"/>
  <c r="N447" i="3"/>
  <c r="O447" i="3"/>
  <c r="P447" i="3"/>
  <c r="I448" i="3"/>
  <c r="J448" i="3"/>
  <c r="K448" i="3"/>
  <c r="L448" i="3"/>
  <c r="M448" i="3"/>
  <c r="N448" i="3"/>
  <c r="O448" i="3"/>
  <c r="P448" i="3"/>
  <c r="I449" i="3"/>
  <c r="J449" i="3"/>
  <c r="K449" i="3"/>
  <c r="L449" i="3"/>
  <c r="M449" i="3"/>
  <c r="N449" i="3"/>
  <c r="O449" i="3"/>
  <c r="P449" i="3"/>
  <c r="I450" i="3"/>
  <c r="J450" i="3"/>
  <c r="K450" i="3"/>
  <c r="L450" i="3"/>
  <c r="M450" i="3"/>
  <c r="N450" i="3"/>
  <c r="O450" i="3"/>
  <c r="P450" i="3"/>
  <c r="I451" i="3"/>
  <c r="J451" i="3"/>
  <c r="K451" i="3"/>
  <c r="L451" i="3"/>
  <c r="M451" i="3"/>
  <c r="N451" i="3"/>
  <c r="O451" i="3"/>
  <c r="P451" i="3"/>
  <c r="I452" i="3"/>
  <c r="J452" i="3"/>
  <c r="K452" i="3"/>
  <c r="L452" i="3"/>
  <c r="M452" i="3"/>
  <c r="N452" i="3"/>
  <c r="O452" i="3"/>
  <c r="P452" i="3"/>
  <c r="I453" i="3"/>
  <c r="J453" i="3"/>
  <c r="K453" i="3"/>
  <c r="L453" i="3"/>
  <c r="M453" i="3"/>
  <c r="N453" i="3"/>
  <c r="O453" i="3"/>
  <c r="P453" i="3"/>
  <c r="I454" i="3"/>
  <c r="J454" i="3"/>
  <c r="K454" i="3"/>
  <c r="L454" i="3"/>
  <c r="M454" i="3"/>
  <c r="N454" i="3"/>
  <c r="O454" i="3"/>
  <c r="P454" i="3"/>
  <c r="I455" i="3"/>
  <c r="J455" i="3"/>
  <c r="K455" i="3"/>
  <c r="L455" i="3"/>
  <c r="M455" i="3"/>
  <c r="N455" i="3"/>
  <c r="O455" i="3"/>
  <c r="P455" i="3"/>
  <c r="I456" i="3"/>
  <c r="J456" i="3"/>
  <c r="K456" i="3"/>
  <c r="L456" i="3"/>
  <c r="M456" i="3"/>
  <c r="N456" i="3"/>
  <c r="O456" i="3"/>
  <c r="P456" i="3"/>
  <c r="I457" i="3"/>
  <c r="J457" i="3"/>
  <c r="K457" i="3"/>
  <c r="L457" i="3"/>
  <c r="M457" i="3"/>
  <c r="N457" i="3"/>
  <c r="O457" i="3"/>
  <c r="P457" i="3"/>
  <c r="I458" i="3"/>
  <c r="J458" i="3"/>
  <c r="K458" i="3"/>
  <c r="L458" i="3"/>
  <c r="M458" i="3"/>
  <c r="N458" i="3"/>
  <c r="O458" i="3"/>
  <c r="P458" i="3"/>
  <c r="I459" i="3"/>
  <c r="J459" i="3"/>
  <c r="K459" i="3"/>
  <c r="L459" i="3"/>
  <c r="M459" i="3"/>
  <c r="N459" i="3"/>
  <c r="O459" i="3"/>
  <c r="P459" i="3"/>
  <c r="I460" i="3"/>
  <c r="J460" i="3"/>
  <c r="K460" i="3"/>
  <c r="L460" i="3"/>
  <c r="M460" i="3"/>
  <c r="N460" i="3"/>
  <c r="O460" i="3"/>
  <c r="P460" i="3"/>
  <c r="I461" i="3"/>
  <c r="J461" i="3"/>
  <c r="K461" i="3"/>
  <c r="L461" i="3"/>
  <c r="M461" i="3"/>
  <c r="N461" i="3"/>
  <c r="O461" i="3"/>
  <c r="P461" i="3"/>
  <c r="I462" i="3"/>
  <c r="J462" i="3"/>
  <c r="K462" i="3"/>
  <c r="L462" i="3"/>
  <c r="M462" i="3"/>
  <c r="N462" i="3"/>
  <c r="O462" i="3"/>
  <c r="P462" i="3"/>
  <c r="I463" i="3"/>
  <c r="J463" i="3"/>
  <c r="K463" i="3"/>
  <c r="L463" i="3"/>
  <c r="M463" i="3"/>
  <c r="N463" i="3"/>
  <c r="O463" i="3"/>
  <c r="P463" i="3"/>
  <c r="I464" i="3"/>
  <c r="J464" i="3"/>
  <c r="K464" i="3"/>
  <c r="L464" i="3"/>
  <c r="M464" i="3"/>
  <c r="N464" i="3"/>
  <c r="O464" i="3"/>
  <c r="P464" i="3"/>
  <c r="I465" i="3"/>
  <c r="J465" i="3"/>
  <c r="K465" i="3"/>
  <c r="L465" i="3"/>
  <c r="M465" i="3"/>
  <c r="N465" i="3"/>
  <c r="O465" i="3"/>
  <c r="P465" i="3"/>
  <c r="I466" i="3"/>
  <c r="J466" i="3"/>
  <c r="K466" i="3"/>
  <c r="L466" i="3"/>
  <c r="M466" i="3"/>
  <c r="N466" i="3"/>
  <c r="O466" i="3"/>
  <c r="P466" i="3"/>
  <c r="I467" i="3"/>
  <c r="J467" i="3"/>
  <c r="K467" i="3"/>
  <c r="L467" i="3"/>
  <c r="M467" i="3"/>
  <c r="N467" i="3"/>
  <c r="O467" i="3"/>
  <c r="P467" i="3"/>
  <c r="I468" i="3"/>
  <c r="J468" i="3"/>
  <c r="K468" i="3"/>
  <c r="L468" i="3"/>
  <c r="M468" i="3"/>
  <c r="N468" i="3"/>
  <c r="O468" i="3"/>
  <c r="P468" i="3"/>
  <c r="I469" i="3"/>
  <c r="J469" i="3"/>
  <c r="K469" i="3"/>
  <c r="L469" i="3"/>
  <c r="M469" i="3"/>
  <c r="N469" i="3"/>
  <c r="O469" i="3"/>
  <c r="P469" i="3"/>
  <c r="I470" i="3"/>
  <c r="J470" i="3"/>
  <c r="K470" i="3"/>
  <c r="L470" i="3"/>
  <c r="M470" i="3"/>
  <c r="N470" i="3"/>
  <c r="O470" i="3"/>
  <c r="P470" i="3"/>
  <c r="I471" i="3"/>
  <c r="J471" i="3"/>
  <c r="K471" i="3"/>
  <c r="L471" i="3"/>
  <c r="M471" i="3"/>
  <c r="N471" i="3"/>
  <c r="O471" i="3"/>
  <c r="P471" i="3"/>
  <c r="I472" i="3"/>
  <c r="J472" i="3"/>
  <c r="K472" i="3"/>
  <c r="L472" i="3"/>
  <c r="M472" i="3"/>
  <c r="N472" i="3"/>
  <c r="O472" i="3"/>
  <c r="P472" i="3"/>
  <c r="I473" i="3"/>
  <c r="J473" i="3"/>
  <c r="K473" i="3"/>
  <c r="L473" i="3"/>
  <c r="M473" i="3"/>
  <c r="N473" i="3"/>
  <c r="O473" i="3"/>
  <c r="P473" i="3"/>
  <c r="I474" i="3"/>
  <c r="J474" i="3"/>
  <c r="K474" i="3"/>
  <c r="L474" i="3"/>
  <c r="M474" i="3"/>
  <c r="N474" i="3"/>
  <c r="O474" i="3"/>
  <c r="P474" i="3"/>
  <c r="I475" i="3"/>
  <c r="J475" i="3"/>
  <c r="K475" i="3"/>
  <c r="L475" i="3"/>
  <c r="M475" i="3"/>
  <c r="N475" i="3"/>
  <c r="O475" i="3"/>
  <c r="P475" i="3"/>
  <c r="I476" i="3"/>
  <c r="J476" i="3"/>
  <c r="K476" i="3"/>
  <c r="L476" i="3"/>
  <c r="M476" i="3"/>
  <c r="N476" i="3"/>
  <c r="O476" i="3"/>
  <c r="P476" i="3"/>
  <c r="I477" i="3"/>
  <c r="J477" i="3"/>
  <c r="K477" i="3"/>
  <c r="L477" i="3"/>
  <c r="M477" i="3"/>
  <c r="N477" i="3"/>
  <c r="O477" i="3"/>
  <c r="P477" i="3"/>
  <c r="I478" i="3"/>
  <c r="J478" i="3"/>
  <c r="K478" i="3"/>
  <c r="L478" i="3"/>
  <c r="M478" i="3"/>
  <c r="N478" i="3"/>
  <c r="O478" i="3"/>
  <c r="P478" i="3"/>
  <c r="I479" i="3"/>
  <c r="J479" i="3"/>
  <c r="K479" i="3"/>
  <c r="L479" i="3"/>
  <c r="M479" i="3"/>
  <c r="N479" i="3"/>
  <c r="O479" i="3"/>
  <c r="P479" i="3"/>
  <c r="I480" i="3"/>
  <c r="J480" i="3"/>
  <c r="K480" i="3"/>
  <c r="L480" i="3"/>
  <c r="M480" i="3"/>
  <c r="N480" i="3"/>
  <c r="O480" i="3"/>
  <c r="P480" i="3"/>
  <c r="I481" i="3"/>
  <c r="J481" i="3"/>
  <c r="K481" i="3"/>
  <c r="L481" i="3"/>
  <c r="M481" i="3"/>
  <c r="N481" i="3"/>
  <c r="O481" i="3"/>
  <c r="P481" i="3"/>
  <c r="I482" i="3"/>
  <c r="J482" i="3"/>
  <c r="K482" i="3"/>
  <c r="L482" i="3"/>
  <c r="M482" i="3"/>
  <c r="N482" i="3"/>
  <c r="O482" i="3"/>
  <c r="P482" i="3"/>
  <c r="I483" i="3"/>
  <c r="J483" i="3"/>
  <c r="K483" i="3"/>
  <c r="L483" i="3"/>
  <c r="M483" i="3"/>
  <c r="N483" i="3"/>
  <c r="O483" i="3"/>
  <c r="P483" i="3"/>
  <c r="I484" i="3"/>
  <c r="J484" i="3"/>
  <c r="K484" i="3"/>
  <c r="L484" i="3"/>
  <c r="M484" i="3"/>
  <c r="N484" i="3"/>
  <c r="O484" i="3"/>
  <c r="P484" i="3"/>
  <c r="I485" i="3"/>
  <c r="J485" i="3"/>
  <c r="K485" i="3"/>
  <c r="L485" i="3"/>
  <c r="M485" i="3"/>
  <c r="N485" i="3"/>
  <c r="O485" i="3"/>
  <c r="P485" i="3"/>
  <c r="I486" i="3"/>
  <c r="J486" i="3"/>
  <c r="K486" i="3"/>
  <c r="L486" i="3"/>
  <c r="M486" i="3"/>
  <c r="N486" i="3"/>
  <c r="O486" i="3"/>
  <c r="P486" i="3"/>
  <c r="I487" i="3"/>
  <c r="J487" i="3"/>
  <c r="K487" i="3"/>
  <c r="L487" i="3"/>
  <c r="M487" i="3"/>
  <c r="N487" i="3"/>
  <c r="O487" i="3"/>
  <c r="P487" i="3"/>
  <c r="I488" i="3"/>
  <c r="J488" i="3"/>
  <c r="K488" i="3"/>
  <c r="L488" i="3"/>
  <c r="M488" i="3"/>
  <c r="N488" i="3"/>
  <c r="O488" i="3"/>
  <c r="P488" i="3"/>
  <c r="I489" i="3"/>
  <c r="J489" i="3"/>
  <c r="K489" i="3"/>
  <c r="L489" i="3"/>
  <c r="M489" i="3"/>
  <c r="N489" i="3"/>
  <c r="O489" i="3"/>
  <c r="P489" i="3"/>
  <c r="I490" i="3"/>
  <c r="J490" i="3"/>
  <c r="K490" i="3"/>
  <c r="L490" i="3"/>
  <c r="M490" i="3"/>
  <c r="N490" i="3"/>
  <c r="O490" i="3"/>
  <c r="P490" i="3"/>
  <c r="I491" i="3"/>
  <c r="J491" i="3"/>
  <c r="K491" i="3"/>
  <c r="L491" i="3"/>
  <c r="M491" i="3"/>
  <c r="N491" i="3"/>
  <c r="O491" i="3"/>
  <c r="P491" i="3"/>
  <c r="I492" i="3"/>
  <c r="J492" i="3"/>
  <c r="K492" i="3"/>
  <c r="L492" i="3"/>
  <c r="M492" i="3"/>
  <c r="N492" i="3"/>
  <c r="O492" i="3"/>
  <c r="P492" i="3"/>
  <c r="I493" i="3"/>
  <c r="J493" i="3"/>
  <c r="K493" i="3"/>
  <c r="L493" i="3"/>
  <c r="M493" i="3"/>
  <c r="N493" i="3"/>
  <c r="O493" i="3"/>
  <c r="P493" i="3"/>
  <c r="I494" i="3"/>
  <c r="J494" i="3"/>
  <c r="K494" i="3"/>
  <c r="L494" i="3"/>
  <c r="M494" i="3"/>
  <c r="N494" i="3"/>
  <c r="O494" i="3"/>
  <c r="P494" i="3"/>
  <c r="I495" i="3"/>
  <c r="J495" i="3"/>
  <c r="K495" i="3"/>
  <c r="L495" i="3"/>
  <c r="M495" i="3"/>
  <c r="N495" i="3"/>
  <c r="O495" i="3"/>
  <c r="P495" i="3"/>
  <c r="I496" i="3"/>
  <c r="J496" i="3"/>
  <c r="K496" i="3"/>
  <c r="L496" i="3"/>
  <c r="M496" i="3"/>
  <c r="N496" i="3"/>
  <c r="O496" i="3"/>
  <c r="P496" i="3"/>
  <c r="I497" i="3"/>
  <c r="J497" i="3"/>
  <c r="K497" i="3"/>
  <c r="L497" i="3"/>
  <c r="M497" i="3"/>
  <c r="N497" i="3"/>
  <c r="O497" i="3"/>
  <c r="P497" i="3"/>
  <c r="I498" i="3"/>
  <c r="J498" i="3"/>
  <c r="K498" i="3"/>
  <c r="L498" i="3"/>
  <c r="M498" i="3"/>
  <c r="N498" i="3"/>
  <c r="O498" i="3"/>
  <c r="P498" i="3"/>
  <c r="I499" i="3"/>
  <c r="J499" i="3"/>
  <c r="K499" i="3"/>
  <c r="L499" i="3"/>
  <c r="M499" i="3"/>
  <c r="N499" i="3"/>
  <c r="O499" i="3"/>
  <c r="P499" i="3"/>
  <c r="I500" i="3"/>
  <c r="J500" i="3"/>
  <c r="K500" i="3"/>
  <c r="L500" i="3"/>
  <c r="M500" i="3"/>
  <c r="N500" i="3"/>
  <c r="O500" i="3"/>
  <c r="P500" i="3"/>
  <c r="I501" i="3"/>
  <c r="J501" i="3"/>
  <c r="K501" i="3"/>
  <c r="L501" i="3"/>
  <c r="M501" i="3"/>
  <c r="N501" i="3"/>
  <c r="O501" i="3"/>
  <c r="P501" i="3"/>
  <c r="I502" i="3"/>
  <c r="J502" i="3"/>
  <c r="K502" i="3"/>
  <c r="L502" i="3"/>
  <c r="M502" i="3"/>
  <c r="N502" i="3"/>
  <c r="O502" i="3"/>
  <c r="P502" i="3"/>
  <c r="I503" i="3"/>
  <c r="J503" i="3"/>
  <c r="K503" i="3"/>
  <c r="L503" i="3"/>
  <c r="M503" i="3"/>
  <c r="N503" i="3"/>
  <c r="O503" i="3"/>
  <c r="P503" i="3"/>
  <c r="I504" i="3"/>
  <c r="J504" i="3"/>
  <c r="K504" i="3"/>
  <c r="L504" i="3"/>
  <c r="M504" i="3"/>
  <c r="N504" i="3"/>
  <c r="O504" i="3"/>
  <c r="P504" i="3"/>
  <c r="I505" i="3"/>
  <c r="J505" i="3"/>
  <c r="K505" i="3"/>
  <c r="L505" i="3"/>
  <c r="M505" i="3"/>
  <c r="N505" i="3"/>
  <c r="O505" i="3"/>
  <c r="P505" i="3"/>
  <c r="I506" i="3"/>
  <c r="J506" i="3"/>
  <c r="K506" i="3"/>
  <c r="L506" i="3"/>
  <c r="M506" i="3"/>
  <c r="N506" i="3"/>
  <c r="O506" i="3"/>
  <c r="P506" i="3"/>
  <c r="I507" i="3"/>
  <c r="J507" i="3"/>
  <c r="K507" i="3"/>
  <c r="L507" i="3"/>
  <c r="M507" i="3"/>
  <c r="N507" i="3"/>
  <c r="O507" i="3"/>
  <c r="P507" i="3"/>
  <c r="I508" i="3"/>
  <c r="J508" i="3"/>
  <c r="K508" i="3"/>
  <c r="L508" i="3"/>
  <c r="M508" i="3"/>
  <c r="N508" i="3"/>
  <c r="O508" i="3"/>
  <c r="P508" i="3"/>
  <c r="I509" i="3"/>
  <c r="J509" i="3"/>
  <c r="K509" i="3"/>
  <c r="L509" i="3"/>
  <c r="M509" i="3"/>
  <c r="N509" i="3"/>
  <c r="O509" i="3"/>
  <c r="P509" i="3"/>
  <c r="I510" i="3"/>
  <c r="J510" i="3"/>
  <c r="K510" i="3"/>
  <c r="L510" i="3"/>
  <c r="M510" i="3"/>
  <c r="N510" i="3"/>
  <c r="O510" i="3"/>
  <c r="P510" i="3"/>
  <c r="I511" i="3"/>
  <c r="J511" i="3"/>
  <c r="K511" i="3"/>
  <c r="L511" i="3"/>
  <c r="M511" i="3"/>
  <c r="N511" i="3"/>
  <c r="O511" i="3"/>
  <c r="P511" i="3"/>
  <c r="I512" i="3"/>
  <c r="J512" i="3"/>
  <c r="K512" i="3"/>
  <c r="L512" i="3"/>
  <c r="M512" i="3"/>
  <c r="N512" i="3"/>
  <c r="O512" i="3"/>
  <c r="P512" i="3"/>
  <c r="I513" i="3"/>
  <c r="J513" i="3"/>
  <c r="K513" i="3"/>
  <c r="L513" i="3"/>
  <c r="M513" i="3"/>
  <c r="N513" i="3"/>
  <c r="O513" i="3"/>
  <c r="P513" i="3"/>
  <c r="I514" i="3"/>
  <c r="J514" i="3"/>
  <c r="K514" i="3"/>
  <c r="L514" i="3"/>
  <c r="M514" i="3"/>
  <c r="N514" i="3"/>
  <c r="O514" i="3"/>
  <c r="P514" i="3"/>
  <c r="I515" i="3"/>
  <c r="J515" i="3"/>
  <c r="K515" i="3"/>
  <c r="L515" i="3"/>
  <c r="M515" i="3"/>
  <c r="N515" i="3"/>
  <c r="O515" i="3"/>
  <c r="P515" i="3"/>
  <c r="I516" i="3"/>
  <c r="J516" i="3"/>
  <c r="K516" i="3"/>
  <c r="L516" i="3"/>
  <c r="M516" i="3"/>
  <c r="N516" i="3"/>
  <c r="O516" i="3"/>
  <c r="P516" i="3"/>
  <c r="I517" i="3"/>
  <c r="J517" i="3"/>
  <c r="K517" i="3"/>
  <c r="L517" i="3"/>
  <c r="M517" i="3"/>
  <c r="N517" i="3"/>
  <c r="O517" i="3"/>
  <c r="P517" i="3"/>
  <c r="I518" i="3"/>
  <c r="J518" i="3"/>
  <c r="K518" i="3"/>
  <c r="L518" i="3"/>
  <c r="M518" i="3"/>
  <c r="N518" i="3"/>
  <c r="O518" i="3"/>
  <c r="P518" i="3"/>
  <c r="I519" i="3"/>
  <c r="J519" i="3"/>
  <c r="K519" i="3"/>
  <c r="L519" i="3"/>
  <c r="M519" i="3"/>
  <c r="N519" i="3"/>
  <c r="O519" i="3"/>
  <c r="P519" i="3"/>
  <c r="I520" i="3"/>
  <c r="J520" i="3"/>
  <c r="K520" i="3"/>
  <c r="L520" i="3"/>
  <c r="M520" i="3"/>
  <c r="N520" i="3"/>
  <c r="O520" i="3"/>
  <c r="P520" i="3"/>
  <c r="I521" i="3"/>
  <c r="J521" i="3"/>
  <c r="K521" i="3"/>
  <c r="L521" i="3"/>
  <c r="M521" i="3"/>
  <c r="N521" i="3"/>
  <c r="O521" i="3"/>
  <c r="P521" i="3"/>
  <c r="I522" i="3"/>
  <c r="J522" i="3"/>
  <c r="K522" i="3"/>
  <c r="L522" i="3"/>
  <c r="M522" i="3"/>
  <c r="N522" i="3"/>
  <c r="O522" i="3"/>
  <c r="P522" i="3"/>
  <c r="I523" i="3"/>
  <c r="J523" i="3"/>
  <c r="K523" i="3"/>
  <c r="L523" i="3"/>
  <c r="M523" i="3"/>
  <c r="N523" i="3"/>
  <c r="O523" i="3"/>
  <c r="P523" i="3"/>
  <c r="I524" i="3"/>
  <c r="J524" i="3"/>
  <c r="K524" i="3"/>
  <c r="L524" i="3"/>
  <c r="M524" i="3"/>
  <c r="N524" i="3"/>
  <c r="O524" i="3"/>
  <c r="P524" i="3"/>
  <c r="I525" i="3"/>
  <c r="J525" i="3"/>
  <c r="K525" i="3"/>
  <c r="L525" i="3"/>
  <c r="M525" i="3"/>
  <c r="N525" i="3"/>
  <c r="O525" i="3"/>
  <c r="P525" i="3"/>
  <c r="I526" i="3"/>
  <c r="J526" i="3"/>
  <c r="K526" i="3"/>
  <c r="L526" i="3"/>
  <c r="M526" i="3"/>
  <c r="N526" i="3"/>
  <c r="O526" i="3"/>
  <c r="P526" i="3"/>
  <c r="I527" i="3"/>
  <c r="J527" i="3"/>
  <c r="K527" i="3"/>
  <c r="L527" i="3"/>
  <c r="M527" i="3"/>
  <c r="N527" i="3"/>
  <c r="O527" i="3"/>
  <c r="P527" i="3"/>
  <c r="I528" i="3"/>
  <c r="J528" i="3"/>
  <c r="K528" i="3"/>
  <c r="L528" i="3"/>
  <c r="M528" i="3"/>
  <c r="N528" i="3"/>
  <c r="O528" i="3"/>
  <c r="P528" i="3"/>
  <c r="I529" i="3"/>
  <c r="J529" i="3"/>
  <c r="K529" i="3"/>
  <c r="L529" i="3"/>
  <c r="M529" i="3"/>
  <c r="N529" i="3"/>
  <c r="O529" i="3"/>
  <c r="P529" i="3"/>
  <c r="I530" i="3"/>
  <c r="J530" i="3"/>
  <c r="K530" i="3"/>
  <c r="L530" i="3"/>
  <c r="M530" i="3"/>
  <c r="N530" i="3"/>
  <c r="O530" i="3"/>
  <c r="P530" i="3"/>
  <c r="I531" i="3"/>
  <c r="J531" i="3"/>
  <c r="K531" i="3"/>
  <c r="L531" i="3"/>
  <c r="M531" i="3"/>
  <c r="N531" i="3"/>
  <c r="O531" i="3"/>
  <c r="P531" i="3"/>
  <c r="I532" i="3"/>
  <c r="J532" i="3"/>
  <c r="K532" i="3"/>
  <c r="L532" i="3"/>
  <c r="M532" i="3"/>
  <c r="N532" i="3"/>
  <c r="O532" i="3"/>
  <c r="P532" i="3"/>
  <c r="I533" i="3"/>
  <c r="J533" i="3"/>
  <c r="K533" i="3"/>
  <c r="L533" i="3"/>
  <c r="M533" i="3"/>
  <c r="N533" i="3"/>
  <c r="O533" i="3"/>
  <c r="P533" i="3"/>
  <c r="I534" i="3"/>
  <c r="J534" i="3"/>
  <c r="K534" i="3"/>
  <c r="L534" i="3"/>
  <c r="M534" i="3"/>
  <c r="N534" i="3"/>
  <c r="O534" i="3"/>
  <c r="P534" i="3"/>
  <c r="I535" i="3"/>
  <c r="J535" i="3"/>
  <c r="K535" i="3"/>
  <c r="L535" i="3"/>
  <c r="M535" i="3"/>
  <c r="N535" i="3"/>
  <c r="O535" i="3"/>
  <c r="P535" i="3"/>
  <c r="I536" i="3"/>
  <c r="J536" i="3"/>
  <c r="K536" i="3"/>
  <c r="L536" i="3"/>
  <c r="M536" i="3"/>
  <c r="N536" i="3"/>
  <c r="O536" i="3"/>
  <c r="P536" i="3"/>
  <c r="I537" i="3"/>
  <c r="J537" i="3"/>
  <c r="K537" i="3"/>
  <c r="L537" i="3"/>
  <c r="M537" i="3"/>
  <c r="N537" i="3"/>
  <c r="O537" i="3"/>
  <c r="P537" i="3"/>
  <c r="I538" i="3"/>
  <c r="J538" i="3"/>
  <c r="K538" i="3"/>
  <c r="L538" i="3"/>
  <c r="M538" i="3"/>
  <c r="N538" i="3"/>
  <c r="O538" i="3"/>
  <c r="P538" i="3"/>
  <c r="I539" i="3"/>
  <c r="J539" i="3"/>
  <c r="K539" i="3"/>
  <c r="L539" i="3"/>
  <c r="M539" i="3"/>
  <c r="N539" i="3"/>
  <c r="O539" i="3"/>
  <c r="P539" i="3"/>
  <c r="I540" i="3"/>
  <c r="J540" i="3"/>
  <c r="K540" i="3"/>
  <c r="L540" i="3"/>
  <c r="M540" i="3"/>
  <c r="N540" i="3"/>
  <c r="O540" i="3"/>
  <c r="P540" i="3"/>
  <c r="I541" i="3"/>
  <c r="J541" i="3"/>
  <c r="K541" i="3"/>
  <c r="L541" i="3"/>
  <c r="M541" i="3"/>
  <c r="N541" i="3"/>
  <c r="O541" i="3"/>
  <c r="P541" i="3"/>
  <c r="I542" i="3"/>
  <c r="J542" i="3"/>
  <c r="K542" i="3"/>
  <c r="L542" i="3"/>
  <c r="M542" i="3"/>
  <c r="N542" i="3"/>
  <c r="O542" i="3"/>
  <c r="P542" i="3"/>
  <c r="I543" i="3"/>
  <c r="J543" i="3"/>
  <c r="K543" i="3"/>
  <c r="L543" i="3"/>
  <c r="M543" i="3"/>
  <c r="N543" i="3"/>
  <c r="O543" i="3"/>
  <c r="P543" i="3"/>
  <c r="I544" i="3"/>
  <c r="J544" i="3"/>
  <c r="K544" i="3"/>
  <c r="L544" i="3"/>
  <c r="M544" i="3"/>
  <c r="N544" i="3"/>
  <c r="O544" i="3"/>
  <c r="P544" i="3"/>
  <c r="I545" i="3"/>
  <c r="J545" i="3"/>
  <c r="K545" i="3"/>
  <c r="L545" i="3"/>
  <c r="M545" i="3"/>
  <c r="N545" i="3"/>
  <c r="O545" i="3"/>
  <c r="P545" i="3"/>
  <c r="I546" i="3"/>
  <c r="J546" i="3"/>
  <c r="K546" i="3"/>
  <c r="L546" i="3"/>
  <c r="M546" i="3"/>
  <c r="N546" i="3"/>
  <c r="O546" i="3"/>
  <c r="P546" i="3"/>
  <c r="I547" i="3"/>
  <c r="J547" i="3"/>
  <c r="K547" i="3"/>
  <c r="L547" i="3"/>
  <c r="M547" i="3"/>
  <c r="N547" i="3"/>
  <c r="O547" i="3"/>
  <c r="P547" i="3"/>
  <c r="I548" i="3"/>
  <c r="J548" i="3"/>
  <c r="K548" i="3"/>
  <c r="L548" i="3"/>
  <c r="M548" i="3"/>
  <c r="N548" i="3"/>
  <c r="O548" i="3"/>
  <c r="P548" i="3"/>
  <c r="I549" i="3"/>
  <c r="J549" i="3"/>
  <c r="K549" i="3"/>
  <c r="L549" i="3"/>
  <c r="M549" i="3"/>
  <c r="N549" i="3"/>
  <c r="O549" i="3"/>
  <c r="P549" i="3"/>
  <c r="I550" i="3"/>
  <c r="J550" i="3"/>
  <c r="K550" i="3"/>
  <c r="L550" i="3"/>
  <c r="M550" i="3"/>
  <c r="N550" i="3"/>
  <c r="O550" i="3"/>
  <c r="P550" i="3"/>
  <c r="I551" i="3"/>
  <c r="J551" i="3"/>
  <c r="K551" i="3"/>
  <c r="L551" i="3"/>
  <c r="M551" i="3"/>
  <c r="N551" i="3"/>
  <c r="O551" i="3"/>
  <c r="P551" i="3"/>
  <c r="I552" i="3"/>
  <c r="J552" i="3"/>
  <c r="K552" i="3"/>
  <c r="L552" i="3"/>
  <c r="M552" i="3"/>
  <c r="N552" i="3"/>
  <c r="O552" i="3"/>
  <c r="P552" i="3"/>
  <c r="I553" i="3"/>
  <c r="J553" i="3"/>
  <c r="K553" i="3"/>
  <c r="L553" i="3"/>
  <c r="M553" i="3"/>
  <c r="N553" i="3"/>
  <c r="O553" i="3"/>
  <c r="P553" i="3"/>
  <c r="I554" i="3"/>
  <c r="J554" i="3"/>
  <c r="K554" i="3"/>
  <c r="L554" i="3"/>
  <c r="M554" i="3"/>
  <c r="N554" i="3"/>
  <c r="O554" i="3"/>
  <c r="P554" i="3"/>
  <c r="I555" i="3"/>
  <c r="J555" i="3"/>
  <c r="K555" i="3"/>
  <c r="L555" i="3"/>
  <c r="M555" i="3"/>
  <c r="N555" i="3"/>
  <c r="O555" i="3"/>
  <c r="P555" i="3"/>
  <c r="I556" i="3"/>
  <c r="J556" i="3"/>
  <c r="K556" i="3"/>
  <c r="L556" i="3"/>
  <c r="M556" i="3"/>
  <c r="N556" i="3"/>
  <c r="O556" i="3"/>
  <c r="P556" i="3"/>
  <c r="I557" i="3"/>
  <c r="J557" i="3"/>
  <c r="K557" i="3"/>
  <c r="L557" i="3"/>
  <c r="M557" i="3"/>
  <c r="N557" i="3"/>
  <c r="O557" i="3"/>
  <c r="P557" i="3"/>
  <c r="I558" i="3"/>
  <c r="J558" i="3"/>
  <c r="K558" i="3"/>
  <c r="L558" i="3"/>
  <c r="M558" i="3"/>
  <c r="N558" i="3"/>
  <c r="O558" i="3"/>
  <c r="P558" i="3"/>
  <c r="I559" i="3"/>
  <c r="J559" i="3"/>
  <c r="K559" i="3"/>
  <c r="L559" i="3"/>
  <c r="M559" i="3"/>
  <c r="N559" i="3"/>
  <c r="O559" i="3"/>
  <c r="P559" i="3"/>
  <c r="I560" i="3"/>
  <c r="J560" i="3"/>
  <c r="K560" i="3"/>
  <c r="L560" i="3"/>
  <c r="M560" i="3"/>
  <c r="N560" i="3"/>
  <c r="O560" i="3"/>
  <c r="P560" i="3"/>
  <c r="I561" i="3"/>
  <c r="J561" i="3"/>
  <c r="K561" i="3"/>
  <c r="L561" i="3"/>
  <c r="M561" i="3"/>
  <c r="N561" i="3"/>
  <c r="O561" i="3"/>
  <c r="P561" i="3"/>
  <c r="I562" i="3"/>
  <c r="J562" i="3"/>
  <c r="K562" i="3"/>
  <c r="L562" i="3"/>
  <c r="M562" i="3"/>
  <c r="N562" i="3"/>
  <c r="O562" i="3"/>
  <c r="P562" i="3"/>
  <c r="I563" i="3"/>
  <c r="J563" i="3"/>
  <c r="K563" i="3"/>
  <c r="L563" i="3"/>
  <c r="M563" i="3"/>
  <c r="N563" i="3"/>
  <c r="O563" i="3"/>
  <c r="P563" i="3"/>
  <c r="I564" i="3"/>
  <c r="J564" i="3"/>
  <c r="K564" i="3"/>
  <c r="L564" i="3"/>
  <c r="M564" i="3"/>
  <c r="N564" i="3"/>
  <c r="O564" i="3"/>
  <c r="P564" i="3"/>
  <c r="I565" i="3"/>
  <c r="J565" i="3"/>
  <c r="K565" i="3"/>
  <c r="L565" i="3"/>
  <c r="M565" i="3"/>
  <c r="N565" i="3"/>
  <c r="O565" i="3"/>
  <c r="P565" i="3"/>
  <c r="I566" i="3"/>
  <c r="J566" i="3"/>
  <c r="K566" i="3"/>
  <c r="L566" i="3"/>
  <c r="M566" i="3"/>
  <c r="N566" i="3"/>
  <c r="O566" i="3"/>
  <c r="P566" i="3"/>
  <c r="I567" i="3"/>
  <c r="J567" i="3"/>
  <c r="K567" i="3"/>
  <c r="L567" i="3"/>
  <c r="M567" i="3"/>
  <c r="N567" i="3"/>
  <c r="O567" i="3"/>
  <c r="P567" i="3"/>
  <c r="I568" i="3"/>
  <c r="J568" i="3"/>
  <c r="K568" i="3"/>
  <c r="L568" i="3"/>
  <c r="M568" i="3"/>
  <c r="N568" i="3"/>
  <c r="O568" i="3"/>
  <c r="P568" i="3"/>
  <c r="I569" i="3"/>
  <c r="J569" i="3"/>
  <c r="K569" i="3"/>
  <c r="L569" i="3"/>
  <c r="M569" i="3"/>
  <c r="N569" i="3"/>
  <c r="O569" i="3"/>
  <c r="P569" i="3"/>
  <c r="I570" i="3"/>
  <c r="J570" i="3"/>
  <c r="K570" i="3"/>
  <c r="L570" i="3"/>
  <c r="M570" i="3"/>
  <c r="N570" i="3"/>
  <c r="O570" i="3"/>
  <c r="P570" i="3"/>
  <c r="I571" i="3"/>
  <c r="J571" i="3"/>
  <c r="K571" i="3"/>
  <c r="L571" i="3"/>
  <c r="M571" i="3"/>
  <c r="N571" i="3"/>
  <c r="O571" i="3"/>
  <c r="P571" i="3"/>
  <c r="I572" i="3"/>
  <c r="J572" i="3"/>
  <c r="K572" i="3"/>
  <c r="L572" i="3"/>
  <c r="M572" i="3"/>
  <c r="N572" i="3"/>
  <c r="O572" i="3"/>
  <c r="P572" i="3"/>
  <c r="I573" i="3"/>
  <c r="J573" i="3"/>
  <c r="K573" i="3"/>
  <c r="L573" i="3"/>
  <c r="M573" i="3"/>
  <c r="N573" i="3"/>
  <c r="O573" i="3"/>
  <c r="P573" i="3"/>
  <c r="I574" i="3"/>
  <c r="J574" i="3"/>
  <c r="K574" i="3"/>
  <c r="L574" i="3"/>
  <c r="M574" i="3"/>
  <c r="N574" i="3"/>
  <c r="O574" i="3"/>
  <c r="P574" i="3"/>
  <c r="I575" i="3"/>
  <c r="J575" i="3"/>
  <c r="K575" i="3"/>
  <c r="L575" i="3"/>
  <c r="M575" i="3"/>
  <c r="N575" i="3"/>
  <c r="O575" i="3"/>
  <c r="P575" i="3"/>
  <c r="I576" i="3"/>
  <c r="J576" i="3"/>
  <c r="K576" i="3"/>
  <c r="L576" i="3"/>
  <c r="M576" i="3"/>
  <c r="N576" i="3"/>
  <c r="O576" i="3"/>
  <c r="P576" i="3"/>
  <c r="I577" i="3"/>
  <c r="J577" i="3"/>
  <c r="K577" i="3"/>
  <c r="L577" i="3"/>
  <c r="M577" i="3"/>
  <c r="N577" i="3"/>
  <c r="O577" i="3"/>
  <c r="P577" i="3"/>
  <c r="I578" i="3"/>
  <c r="J578" i="3"/>
  <c r="K578" i="3"/>
  <c r="L578" i="3"/>
  <c r="M578" i="3"/>
  <c r="N578" i="3"/>
  <c r="O578" i="3"/>
  <c r="P578" i="3"/>
  <c r="I579" i="3"/>
  <c r="J579" i="3"/>
  <c r="K579" i="3"/>
  <c r="L579" i="3"/>
  <c r="M579" i="3"/>
  <c r="N579" i="3"/>
  <c r="O579" i="3"/>
  <c r="P579" i="3"/>
  <c r="I580" i="3"/>
  <c r="J580" i="3"/>
  <c r="K580" i="3"/>
  <c r="L580" i="3"/>
  <c r="M580" i="3"/>
  <c r="N580" i="3"/>
  <c r="O580" i="3"/>
  <c r="P580" i="3"/>
  <c r="I581" i="3"/>
  <c r="J581" i="3"/>
  <c r="K581" i="3"/>
  <c r="L581" i="3"/>
  <c r="M581" i="3"/>
  <c r="N581" i="3"/>
  <c r="O581" i="3"/>
  <c r="P581" i="3"/>
  <c r="I582" i="3"/>
  <c r="J582" i="3"/>
  <c r="K582" i="3"/>
  <c r="L582" i="3"/>
  <c r="M582" i="3"/>
  <c r="N582" i="3"/>
  <c r="O582" i="3"/>
  <c r="P582" i="3"/>
  <c r="I583" i="3"/>
  <c r="J583" i="3"/>
  <c r="K583" i="3"/>
  <c r="L583" i="3"/>
  <c r="M583" i="3"/>
  <c r="N583" i="3"/>
  <c r="O583" i="3"/>
  <c r="P583" i="3"/>
  <c r="I584" i="3"/>
  <c r="J584" i="3"/>
  <c r="K584" i="3"/>
  <c r="L584" i="3"/>
  <c r="M584" i="3"/>
  <c r="N584" i="3"/>
  <c r="O584" i="3"/>
  <c r="P584" i="3"/>
  <c r="I585" i="3"/>
  <c r="J585" i="3"/>
  <c r="K585" i="3"/>
  <c r="L585" i="3"/>
  <c r="M585" i="3"/>
  <c r="N585" i="3"/>
  <c r="O585" i="3"/>
  <c r="P585" i="3"/>
  <c r="I586" i="3"/>
  <c r="J586" i="3"/>
  <c r="K586" i="3"/>
  <c r="L586" i="3"/>
  <c r="M586" i="3"/>
  <c r="N586" i="3"/>
  <c r="O586" i="3"/>
  <c r="P586" i="3"/>
  <c r="I587" i="3"/>
  <c r="J587" i="3"/>
  <c r="K587" i="3"/>
  <c r="L587" i="3"/>
  <c r="M587" i="3"/>
  <c r="N587" i="3"/>
  <c r="O587" i="3"/>
  <c r="P587" i="3"/>
  <c r="I588" i="3"/>
  <c r="J588" i="3"/>
  <c r="K588" i="3"/>
  <c r="L588" i="3"/>
  <c r="M588" i="3"/>
  <c r="N588" i="3"/>
  <c r="O588" i="3"/>
  <c r="P588" i="3"/>
  <c r="I589" i="3"/>
  <c r="J589" i="3"/>
  <c r="K589" i="3"/>
  <c r="L589" i="3"/>
  <c r="M589" i="3"/>
  <c r="N589" i="3"/>
  <c r="O589" i="3"/>
  <c r="P589" i="3"/>
  <c r="I590" i="3"/>
  <c r="J590" i="3"/>
  <c r="K590" i="3"/>
  <c r="L590" i="3"/>
  <c r="M590" i="3"/>
  <c r="N590" i="3"/>
  <c r="O590" i="3"/>
  <c r="P590" i="3"/>
  <c r="I591" i="3"/>
  <c r="J591" i="3"/>
  <c r="K591" i="3"/>
  <c r="L591" i="3"/>
  <c r="M591" i="3"/>
  <c r="N591" i="3"/>
  <c r="O591" i="3"/>
  <c r="P591" i="3"/>
  <c r="I592" i="3"/>
  <c r="J592" i="3"/>
  <c r="K592" i="3"/>
  <c r="L592" i="3"/>
  <c r="M592" i="3"/>
  <c r="N592" i="3"/>
  <c r="O592" i="3"/>
  <c r="P592" i="3"/>
  <c r="I593" i="3"/>
  <c r="J593" i="3"/>
  <c r="K593" i="3"/>
  <c r="L593" i="3"/>
  <c r="M593" i="3"/>
  <c r="N593" i="3"/>
  <c r="O593" i="3"/>
  <c r="P593" i="3"/>
  <c r="I594" i="3"/>
  <c r="J594" i="3"/>
  <c r="K594" i="3"/>
  <c r="L594" i="3"/>
  <c r="M594" i="3"/>
  <c r="N594" i="3"/>
  <c r="O594" i="3"/>
  <c r="P594" i="3"/>
  <c r="I595" i="3"/>
  <c r="J595" i="3"/>
  <c r="K595" i="3"/>
  <c r="L595" i="3"/>
  <c r="M595" i="3"/>
  <c r="N595" i="3"/>
  <c r="O595" i="3"/>
  <c r="P595" i="3"/>
  <c r="I596" i="3"/>
  <c r="J596" i="3"/>
  <c r="K596" i="3"/>
  <c r="L596" i="3"/>
  <c r="M596" i="3"/>
  <c r="N596" i="3"/>
  <c r="O596" i="3"/>
  <c r="P596" i="3"/>
  <c r="I597" i="3"/>
  <c r="J597" i="3"/>
  <c r="K597" i="3"/>
  <c r="L597" i="3"/>
  <c r="M597" i="3"/>
  <c r="N597" i="3"/>
  <c r="O597" i="3"/>
  <c r="P597" i="3"/>
  <c r="I598" i="3"/>
  <c r="J598" i="3"/>
  <c r="K598" i="3"/>
  <c r="L598" i="3"/>
  <c r="M598" i="3"/>
  <c r="N598" i="3"/>
  <c r="O598" i="3"/>
  <c r="P598" i="3"/>
  <c r="I599" i="3"/>
  <c r="J599" i="3"/>
  <c r="K599" i="3"/>
  <c r="L599" i="3"/>
  <c r="M599" i="3"/>
  <c r="N599" i="3"/>
  <c r="O599" i="3"/>
  <c r="P599" i="3"/>
  <c r="I600" i="3"/>
  <c r="J600" i="3"/>
  <c r="K600" i="3"/>
  <c r="L600" i="3"/>
  <c r="M600" i="3"/>
  <c r="N600" i="3"/>
  <c r="O600" i="3"/>
  <c r="P600" i="3"/>
  <c r="I601" i="3"/>
  <c r="J601" i="3"/>
  <c r="K601" i="3"/>
  <c r="L601" i="3"/>
  <c r="M601" i="3"/>
  <c r="N601" i="3"/>
  <c r="O601" i="3"/>
  <c r="P601" i="3"/>
  <c r="I602" i="3"/>
  <c r="J602" i="3"/>
  <c r="K602" i="3"/>
  <c r="L602" i="3"/>
  <c r="M602" i="3"/>
  <c r="N602" i="3"/>
  <c r="O602" i="3"/>
  <c r="P602" i="3"/>
  <c r="I603" i="3"/>
  <c r="J603" i="3"/>
  <c r="K603" i="3"/>
  <c r="L603" i="3"/>
  <c r="M603" i="3"/>
  <c r="N603" i="3"/>
  <c r="O603" i="3"/>
  <c r="P603" i="3"/>
  <c r="I604" i="3"/>
  <c r="J604" i="3"/>
  <c r="K604" i="3"/>
  <c r="L604" i="3"/>
  <c r="M604" i="3"/>
  <c r="N604" i="3"/>
  <c r="O604" i="3"/>
  <c r="P604" i="3"/>
  <c r="I605" i="3"/>
  <c r="J605" i="3"/>
  <c r="K605" i="3"/>
  <c r="L605" i="3"/>
  <c r="M605" i="3"/>
  <c r="N605" i="3"/>
  <c r="O605" i="3"/>
  <c r="P605" i="3"/>
  <c r="I606" i="3"/>
  <c r="J606" i="3"/>
  <c r="K606" i="3"/>
  <c r="L606" i="3"/>
  <c r="M606" i="3"/>
  <c r="N606" i="3"/>
  <c r="O606" i="3"/>
  <c r="P606" i="3"/>
  <c r="I607" i="3"/>
  <c r="J607" i="3"/>
  <c r="K607" i="3"/>
  <c r="L607" i="3"/>
  <c r="M607" i="3"/>
  <c r="N607" i="3"/>
  <c r="O607" i="3"/>
  <c r="P607" i="3"/>
  <c r="I608" i="3"/>
  <c r="J608" i="3"/>
  <c r="K608" i="3"/>
  <c r="L608" i="3"/>
  <c r="M608" i="3"/>
  <c r="N608" i="3"/>
  <c r="O608" i="3"/>
  <c r="P608" i="3"/>
  <c r="I609" i="3"/>
  <c r="J609" i="3"/>
  <c r="K609" i="3"/>
  <c r="L609" i="3"/>
  <c r="M609" i="3"/>
  <c r="N609" i="3"/>
  <c r="O609" i="3"/>
  <c r="P609" i="3"/>
  <c r="I610" i="3"/>
  <c r="J610" i="3"/>
  <c r="K610" i="3"/>
  <c r="L610" i="3"/>
  <c r="M610" i="3"/>
  <c r="N610" i="3"/>
  <c r="O610" i="3"/>
  <c r="P610" i="3"/>
  <c r="I611" i="3"/>
  <c r="J611" i="3"/>
  <c r="K611" i="3"/>
  <c r="L611" i="3"/>
  <c r="M611" i="3"/>
  <c r="N611" i="3"/>
  <c r="O611" i="3"/>
  <c r="P611" i="3"/>
  <c r="I612" i="3"/>
  <c r="J612" i="3"/>
  <c r="K612" i="3"/>
  <c r="L612" i="3"/>
  <c r="M612" i="3"/>
  <c r="N612" i="3"/>
  <c r="O612" i="3"/>
  <c r="P612" i="3"/>
  <c r="I613" i="3"/>
  <c r="J613" i="3"/>
  <c r="K613" i="3"/>
  <c r="L613" i="3"/>
  <c r="M613" i="3"/>
  <c r="N613" i="3"/>
  <c r="O613" i="3"/>
  <c r="P613" i="3"/>
  <c r="I614" i="3"/>
  <c r="J614" i="3"/>
  <c r="K614" i="3"/>
  <c r="L614" i="3"/>
  <c r="M614" i="3"/>
  <c r="N614" i="3"/>
  <c r="O614" i="3"/>
  <c r="P614" i="3"/>
  <c r="I615" i="3"/>
  <c r="J615" i="3"/>
  <c r="K615" i="3"/>
  <c r="L615" i="3"/>
  <c r="M615" i="3"/>
  <c r="N615" i="3"/>
  <c r="O615" i="3"/>
  <c r="P615" i="3"/>
  <c r="I616" i="3"/>
  <c r="J616" i="3"/>
  <c r="K616" i="3"/>
  <c r="L616" i="3"/>
  <c r="M616" i="3"/>
  <c r="N616" i="3"/>
  <c r="O616" i="3"/>
  <c r="P616" i="3"/>
  <c r="I617" i="3"/>
  <c r="J617" i="3"/>
  <c r="K617" i="3"/>
  <c r="L617" i="3"/>
  <c r="M617" i="3"/>
  <c r="N617" i="3"/>
  <c r="O617" i="3"/>
  <c r="P617" i="3"/>
  <c r="I618" i="3"/>
  <c r="J618" i="3"/>
  <c r="K618" i="3"/>
  <c r="L618" i="3"/>
  <c r="M618" i="3"/>
  <c r="N618" i="3"/>
  <c r="O618" i="3"/>
  <c r="P618" i="3"/>
  <c r="I619" i="3"/>
  <c r="J619" i="3"/>
  <c r="K619" i="3"/>
  <c r="L619" i="3"/>
  <c r="M619" i="3"/>
  <c r="N619" i="3"/>
  <c r="O619" i="3"/>
  <c r="P619" i="3"/>
  <c r="I620" i="3"/>
  <c r="J620" i="3"/>
  <c r="K620" i="3"/>
  <c r="L620" i="3"/>
  <c r="M620" i="3"/>
  <c r="N620" i="3"/>
  <c r="O620" i="3"/>
  <c r="P620" i="3"/>
  <c r="I621" i="3"/>
  <c r="J621" i="3"/>
  <c r="K621" i="3"/>
  <c r="L621" i="3"/>
  <c r="M621" i="3"/>
  <c r="N621" i="3"/>
  <c r="O621" i="3"/>
  <c r="P621" i="3"/>
  <c r="I622" i="3"/>
  <c r="J622" i="3"/>
  <c r="K622" i="3"/>
  <c r="L622" i="3"/>
  <c r="M622" i="3"/>
  <c r="N622" i="3"/>
  <c r="O622" i="3"/>
  <c r="P622" i="3"/>
  <c r="I623" i="3"/>
  <c r="J623" i="3"/>
  <c r="K623" i="3"/>
  <c r="L623" i="3"/>
  <c r="M623" i="3"/>
  <c r="N623" i="3"/>
  <c r="O623" i="3"/>
  <c r="P623" i="3"/>
  <c r="I624" i="3"/>
  <c r="J624" i="3"/>
  <c r="K624" i="3"/>
  <c r="L624" i="3"/>
  <c r="M624" i="3"/>
  <c r="N624" i="3"/>
  <c r="O624" i="3"/>
  <c r="P624" i="3"/>
  <c r="I625" i="3"/>
  <c r="J625" i="3"/>
  <c r="K625" i="3"/>
  <c r="L625" i="3"/>
  <c r="M625" i="3"/>
  <c r="N625" i="3"/>
  <c r="O625" i="3"/>
  <c r="P625" i="3"/>
  <c r="I626" i="3"/>
  <c r="J626" i="3"/>
  <c r="K626" i="3"/>
  <c r="L626" i="3"/>
  <c r="M626" i="3"/>
  <c r="N626" i="3"/>
  <c r="O626" i="3"/>
  <c r="P626" i="3"/>
  <c r="I627" i="3"/>
  <c r="J627" i="3"/>
  <c r="K627" i="3"/>
  <c r="L627" i="3"/>
  <c r="M627" i="3"/>
  <c r="N627" i="3"/>
  <c r="O627" i="3"/>
  <c r="P627" i="3"/>
  <c r="I628" i="3"/>
  <c r="J628" i="3"/>
  <c r="K628" i="3"/>
  <c r="L628" i="3"/>
  <c r="M628" i="3"/>
  <c r="N628" i="3"/>
  <c r="O628" i="3"/>
  <c r="P628" i="3"/>
  <c r="I629" i="3"/>
  <c r="J629" i="3"/>
  <c r="K629" i="3"/>
  <c r="L629" i="3"/>
  <c r="M629" i="3"/>
  <c r="N629" i="3"/>
  <c r="O629" i="3"/>
  <c r="P629" i="3"/>
  <c r="I630" i="3"/>
  <c r="J630" i="3"/>
  <c r="K630" i="3"/>
  <c r="L630" i="3"/>
  <c r="M630" i="3"/>
  <c r="N630" i="3"/>
  <c r="O630" i="3"/>
  <c r="P630" i="3"/>
  <c r="I631" i="3"/>
  <c r="J631" i="3"/>
  <c r="K631" i="3"/>
  <c r="L631" i="3"/>
  <c r="M631" i="3"/>
  <c r="N631" i="3"/>
  <c r="O631" i="3"/>
  <c r="P631" i="3"/>
  <c r="I632" i="3"/>
  <c r="J632" i="3"/>
  <c r="K632" i="3"/>
  <c r="L632" i="3"/>
  <c r="M632" i="3"/>
  <c r="N632" i="3"/>
  <c r="O632" i="3"/>
  <c r="P632" i="3"/>
  <c r="I633" i="3"/>
  <c r="J633" i="3"/>
  <c r="K633" i="3"/>
  <c r="L633" i="3"/>
  <c r="M633" i="3"/>
  <c r="N633" i="3"/>
  <c r="O633" i="3"/>
  <c r="P633" i="3"/>
  <c r="I634" i="3"/>
  <c r="J634" i="3"/>
  <c r="K634" i="3"/>
  <c r="L634" i="3"/>
  <c r="M634" i="3"/>
  <c r="N634" i="3"/>
  <c r="O634" i="3"/>
  <c r="P634" i="3"/>
  <c r="I635" i="3"/>
  <c r="J635" i="3"/>
  <c r="K635" i="3"/>
  <c r="L635" i="3"/>
  <c r="M635" i="3"/>
  <c r="N635" i="3"/>
  <c r="O635" i="3"/>
  <c r="P635" i="3"/>
  <c r="I636" i="3"/>
  <c r="J636" i="3"/>
  <c r="K636" i="3"/>
  <c r="L636" i="3"/>
  <c r="M636" i="3"/>
  <c r="N636" i="3"/>
  <c r="O636" i="3"/>
  <c r="P636" i="3"/>
  <c r="I637" i="3"/>
  <c r="J637" i="3"/>
  <c r="K637" i="3"/>
  <c r="L637" i="3"/>
  <c r="M637" i="3"/>
  <c r="N637" i="3"/>
  <c r="O637" i="3"/>
  <c r="P637" i="3"/>
  <c r="I638" i="3"/>
  <c r="J638" i="3"/>
  <c r="K638" i="3"/>
  <c r="L638" i="3"/>
  <c r="M638" i="3"/>
  <c r="N638" i="3"/>
  <c r="O638" i="3"/>
  <c r="P638" i="3"/>
  <c r="I639" i="3"/>
  <c r="J639" i="3"/>
  <c r="K639" i="3"/>
  <c r="L639" i="3"/>
  <c r="M639" i="3"/>
  <c r="N639" i="3"/>
  <c r="O639" i="3"/>
  <c r="P639" i="3"/>
  <c r="I640" i="3"/>
  <c r="J640" i="3"/>
  <c r="K640" i="3"/>
  <c r="L640" i="3"/>
  <c r="M640" i="3"/>
  <c r="N640" i="3"/>
  <c r="O640" i="3"/>
  <c r="P640" i="3"/>
  <c r="I641" i="3"/>
  <c r="J641" i="3"/>
  <c r="K641" i="3"/>
  <c r="L641" i="3"/>
  <c r="M641" i="3"/>
  <c r="N641" i="3"/>
  <c r="O641" i="3"/>
  <c r="P641" i="3"/>
  <c r="I642" i="3"/>
  <c r="J642" i="3"/>
  <c r="K642" i="3"/>
  <c r="L642" i="3"/>
  <c r="M642" i="3"/>
  <c r="N642" i="3"/>
  <c r="O642" i="3"/>
  <c r="P642" i="3"/>
  <c r="I643" i="3"/>
  <c r="J643" i="3"/>
  <c r="K643" i="3"/>
  <c r="L643" i="3"/>
  <c r="M643" i="3"/>
  <c r="N643" i="3"/>
  <c r="O643" i="3"/>
  <c r="P643" i="3"/>
  <c r="I644" i="3"/>
  <c r="J644" i="3"/>
  <c r="K644" i="3"/>
  <c r="L644" i="3"/>
  <c r="M644" i="3"/>
  <c r="N644" i="3"/>
  <c r="O644" i="3"/>
  <c r="P644" i="3"/>
  <c r="I645" i="3"/>
  <c r="J645" i="3"/>
  <c r="K645" i="3"/>
  <c r="L645" i="3"/>
  <c r="M645" i="3"/>
  <c r="N645" i="3"/>
  <c r="O645" i="3"/>
  <c r="P645" i="3"/>
  <c r="I646" i="3"/>
  <c r="J646" i="3"/>
  <c r="K646" i="3"/>
  <c r="L646" i="3"/>
  <c r="M646" i="3"/>
  <c r="N646" i="3"/>
  <c r="O646" i="3"/>
  <c r="P646" i="3"/>
  <c r="I647" i="3"/>
  <c r="J647" i="3"/>
  <c r="K647" i="3"/>
  <c r="L647" i="3"/>
  <c r="M647" i="3"/>
  <c r="N647" i="3"/>
  <c r="O647" i="3"/>
  <c r="P647" i="3"/>
  <c r="I648" i="3"/>
  <c r="J648" i="3"/>
  <c r="K648" i="3"/>
  <c r="L648" i="3"/>
  <c r="M648" i="3"/>
  <c r="N648" i="3"/>
  <c r="O648" i="3"/>
  <c r="P648" i="3"/>
  <c r="I649" i="3"/>
  <c r="J649" i="3"/>
  <c r="K649" i="3"/>
  <c r="L649" i="3"/>
  <c r="M649" i="3"/>
  <c r="N649" i="3"/>
  <c r="O649" i="3"/>
  <c r="P649" i="3"/>
  <c r="I650" i="3"/>
  <c r="J650" i="3"/>
  <c r="K650" i="3"/>
  <c r="L650" i="3"/>
  <c r="M650" i="3"/>
  <c r="N650" i="3"/>
  <c r="O650" i="3"/>
  <c r="P650" i="3"/>
  <c r="I651" i="3"/>
  <c r="J651" i="3"/>
  <c r="K651" i="3"/>
  <c r="L651" i="3"/>
  <c r="M651" i="3"/>
  <c r="N651" i="3"/>
  <c r="O651" i="3"/>
  <c r="P651" i="3"/>
  <c r="I652" i="3"/>
  <c r="J652" i="3"/>
  <c r="K652" i="3"/>
  <c r="L652" i="3"/>
  <c r="M652" i="3"/>
  <c r="N652" i="3"/>
  <c r="O652" i="3"/>
  <c r="P652" i="3"/>
  <c r="I653" i="3"/>
  <c r="J653" i="3"/>
  <c r="K653" i="3"/>
  <c r="L653" i="3"/>
  <c r="M653" i="3"/>
  <c r="N653" i="3"/>
  <c r="O653" i="3"/>
  <c r="P653" i="3"/>
  <c r="I654" i="3"/>
  <c r="J654" i="3"/>
  <c r="K654" i="3"/>
  <c r="L654" i="3"/>
  <c r="M654" i="3"/>
  <c r="N654" i="3"/>
  <c r="O654" i="3"/>
  <c r="P654" i="3"/>
  <c r="I655" i="3"/>
  <c r="J655" i="3"/>
  <c r="K655" i="3"/>
  <c r="L655" i="3"/>
  <c r="M655" i="3"/>
  <c r="N655" i="3"/>
  <c r="O655" i="3"/>
  <c r="P655" i="3"/>
  <c r="I656" i="3"/>
  <c r="J656" i="3"/>
  <c r="K656" i="3"/>
  <c r="L656" i="3"/>
  <c r="M656" i="3"/>
  <c r="N656" i="3"/>
  <c r="O656" i="3"/>
  <c r="P656" i="3"/>
  <c r="I657" i="3"/>
  <c r="J657" i="3"/>
  <c r="K657" i="3"/>
  <c r="L657" i="3"/>
  <c r="M657" i="3"/>
  <c r="N657" i="3"/>
  <c r="O657" i="3"/>
  <c r="P657" i="3"/>
  <c r="I658" i="3"/>
  <c r="J658" i="3"/>
  <c r="K658" i="3"/>
  <c r="L658" i="3"/>
  <c r="M658" i="3"/>
  <c r="N658" i="3"/>
  <c r="O658" i="3"/>
  <c r="P658" i="3"/>
  <c r="I659" i="3"/>
  <c r="J659" i="3"/>
  <c r="K659" i="3"/>
  <c r="L659" i="3"/>
  <c r="M659" i="3"/>
  <c r="N659" i="3"/>
  <c r="O659" i="3"/>
  <c r="P659" i="3"/>
  <c r="I660" i="3"/>
  <c r="J660" i="3"/>
  <c r="K660" i="3"/>
  <c r="L660" i="3"/>
  <c r="M660" i="3"/>
  <c r="N660" i="3"/>
  <c r="O660" i="3"/>
  <c r="P660" i="3"/>
  <c r="I661" i="3"/>
  <c r="J661" i="3"/>
  <c r="K661" i="3"/>
  <c r="L661" i="3"/>
  <c r="M661" i="3"/>
  <c r="N661" i="3"/>
  <c r="O661" i="3"/>
  <c r="P661" i="3"/>
  <c r="I662" i="3"/>
  <c r="J662" i="3"/>
  <c r="K662" i="3"/>
  <c r="L662" i="3"/>
  <c r="M662" i="3"/>
  <c r="N662" i="3"/>
  <c r="O662" i="3"/>
  <c r="P662" i="3"/>
  <c r="I663" i="3"/>
  <c r="J663" i="3"/>
  <c r="K663" i="3"/>
  <c r="L663" i="3"/>
  <c r="M663" i="3"/>
  <c r="N663" i="3"/>
  <c r="O663" i="3"/>
  <c r="P663" i="3"/>
  <c r="I664" i="3"/>
  <c r="J664" i="3"/>
  <c r="K664" i="3"/>
  <c r="L664" i="3"/>
  <c r="M664" i="3"/>
  <c r="N664" i="3"/>
  <c r="O664" i="3"/>
  <c r="P664" i="3"/>
  <c r="I665" i="3"/>
  <c r="J665" i="3"/>
  <c r="K665" i="3"/>
  <c r="L665" i="3"/>
  <c r="M665" i="3"/>
  <c r="N665" i="3"/>
  <c r="O665" i="3"/>
  <c r="P665" i="3"/>
  <c r="I666" i="3"/>
  <c r="J666" i="3"/>
  <c r="K666" i="3"/>
  <c r="L666" i="3"/>
  <c r="M666" i="3"/>
  <c r="N666" i="3"/>
  <c r="O666" i="3"/>
  <c r="P666" i="3"/>
  <c r="I667" i="3"/>
  <c r="J667" i="3"/>
  <c r="K667" i="3"/>
  <c r="L667" i="3"/>
  <c r="M667" i="3"/>
  <c r="N667" i="3"/>
  <c r="O667" i="3"/>
  <c r="P667" i="3"/>
  <c r="I668" i="3"/>
  <c r="J668" i="3"/>
  <c r="K668" i="3"/>
  <c r="L668" i="3"/>
  <c r="M668" i="3"/>
  <c r="N668" i="3"/>
  <c r="O668" i="3"/>
  <c r="P668" i="3"/>
  <c r="I669" i="3"/>
  <c r="J669" i="3"/>
  <c r="K669" i="3"/>
  <c r="L669" i="3"/>
  <c r="M669" i="3"/>
  <c r="N669" i="3"/>
  <c r="O669" i="3"/>
  <c r="P669" i="3"/>
  <c r="I670" i="3"/>
  <c r="J670" i="3"/>
  <c r="K670" i="3"/>
  <c r="L670" i="3"/>
  <c r="M670" i="3"/>
  <c r="N670" i="3"/>
  <c r="O670" i="3"/>
  <c r="P670" i="3"/>
  <c r="I671" i="3"/>
  <c r="J671" i="3"/>
  <c r="K671" i="3"/>
  <c r="L671" i="3"/>
  <c r="M671" i="3"/>
  <c r="N671" i="3"/>
  <c r="O671" i="3"/>
  <c r="P671" i="3"/>
  <c r="I672" i="3"/>
  <c r="J672" i="3"/>
  <c r="K672" i="3"/>
  <c r="L672" i="3"/>
  <c r="M672" i="3"/>
  <c r="N672" i="3"/>
  <c r="O672" i="3"/>
  <c r="P672" i="3"/>
  <c r="I673" i="3"/>
  <c r="J673" i="3"/>
  <c r="K673" i="3"/>
  <c r="L673" i="3"/>
  <c r="M673" i="3"/>
  <c r="N673" i="3"/>
  <c r="O673" i="3"/>
  <c r="P673" i="3"/>
  <c r="I674" i="3"/>
  <c r="J674" i="3"/>
  <c r="K674" i="3"/>
  <c r="L674" i="3"/>
  <c r="M674" i="3"/>
  <c r="N674" i="3"/>
  <c r="O674" i="3"/>
  <c r="P674" i="3"/>
  <c r="I675" i="3"/>
  <c r="J675" i="3"/>
  <c r="K675" i="3"/>
  <c r="L675" i="3"/>
  <c r="M675" i="3"/>
  <c r="N675" i="3"/>
  <c r="O675" i="3"/>
  <c r="P675" i="3"/>
  <c r="I676" i="3"/>
  <c r="J676" i="3"/>
  <c r="K676" i="3"/>
  <c r="L676" i="3"/>
  <c r="M676" i="3"/>
  <c r="N676" i="3"/>
  <c r="O676" i="3"/>
  <c r="P676" i="3"/>
  <c r="I677" i="3"/>
  <c r="J677" i="3"/>
  <c r="K677" i="3"/>
  <c r="L677" i="3"/>
  <c r="M677" i="3"/>
  <c r="N677" i="3"/>
  <c r="O677" i="3"/>
  <c r="P677" i="3"/>
  <c r="I678" i="3"/>
  <c r="J678" i="3"/>
  <c r="K678" i="3"/>
  <c r="L678" i="3"/>
  <c r="M678" i="3"/>
  <c r="N678" i="3"/>
  <c r="O678" i="3"/>
  <c r="P678" i="3"/>
  <c r="I679" i="3"/>
  <c r="J679" i="3"/>
  <c r="K679" i="3"/>
  <c r="L679" i="3"/>
  <c r="M679" i="3"/>
  <c r="N679" i="3"/>
  <c r="O679" i="3"/>
  <c r="P679" i="3"/>
  <c r="I680" i="3"/>
  <c r="J680" i="3"/>
  <c r="K680" i="3"/>
  <c r="L680" i="3"/>
  <c r="M680" i="3"/>
  <c r="N680" i="3"/>
  <c r="O680" i="3"/>
  <c r="P680" i="3"/>
  <c r="I681" i="3"/>
  <c r="J681" i="3"/>
  <c r="K681" i="3"/>
  <c r="L681" i="3"/>
  <c r="M681" i="3"/>
  <c r="N681" i="3"/>
  <c r="O681" i="3"/>
  <c r="P681" i="3"/>
  <c r="I682" i="3"/>
  <c r="J682" i="3"/>
  <c r="K682" i="3"/>
  <c r="L682" i="3"/>
  <c r="M682" i="3"/>
  <c r="N682" i="3"/>
  <c r="O682" i="3"/>
  <c r="P682" i="3"/>
  <c r="I683" i="3"/>
  <c r="J683" i="3"/>
  <c r="K683" i="3"/>
  <c r="L683" i="3"/>
  <c r="M683" i="3"/>
  <c r="N683" i="3"/>
  <c r="O683" i="3"/>
  <c r="P683" i="3"/>
  <c r="I684" i="3"/>
  <c r="J684" i="3"/>
  <c r="K684" i="3"/>
  <c r="L684" i="3"/>
  <c r="M684" i="3"/>
  <c r="N684" i="3"/>
  <c r="O684" i="3"/>
  <c r="P684" i="3"/>
  <c r="I685" i="3"/>
  <c r="J685" i="3"/>
  <c r="K685" i="3"/>
  <c r="L685" i="3"/>
  <c r="M685" i="3"/>
  <c r="N685" i="3"/>
  <c r="O685" i="3"/>
  <c r="P685" i="3"/>
  <c r="I686" i="3"/>
  <c r="J686" i="3"/>
  <c r="K686" i="3"/>
  <c r="L686" i="3"/>
  <c r="M686" i="3"/>
  <c r="N686" i="3"/>
  <c r="O686" i="3"/>
  <c r="P686" i="3"/>
  <c r="I687" i="3"/>
  <c r="J687" i="3"/>
  <c r="K687" i="3"/>
  <c r="L687" i="3"/>
  <c r="M687" i="3"/>
  <c r="N687" i="3"/>
  <c r="O687" i="3"/>
  <c r="P687" i="3"/>
  <c r="I688" i="3"/>
  <c r="J688" i="3"/>
  <c r="K688" i="3"/>
  <c r="L688" i="3"/>
  <c r="M688" i="3"/>
  <c r="N688" i="3"/>
  <c r="O688" i="3"/>
  <c r="P688" i="3"/>
  <c r="I689" i="3"/>
  <c r="J689" i="3"/>
  <c r="K689" i="3"/>
  <c r="L689" i="3"/>
  <c r="M689" i="3"/>
  <c r="N689" i="3"/>
  <c r="O689" i="3"/>
  <c r="P689" i="3"/>
  <c r="I690" i="3"/>
  <c r="J690" i="3"/>
  <c r="K690" i="3"/>
  <c r="L690" i="3"/>
  <c r="M690" i="3"/>
  <c r="N690" i="3"/>
  <c r="O690" i="3"/>
  <c r="P690" i="3"/>
  <c r="I691" i="3"/>
  <c r="J691" i="3"/>
  <c r="K691" i="3"/>
  <c r="L691" i="3"/>
  <c r="M691" i="3"/>
  <c r="N691" i="3"/>
  <c r="O691" i="3"/>
  <c r="P691" i="3"/>
  <c r="I692" i="3"/>
  <c r="J692" i="3"/>
  <c r="K692" i="3"/>
  <c r="L692" i="3"/>
  <c r="M692" i="3"/>
  <c r="N692" i="3"/>
  <c r="O692" i="3"/>
  <c r="P692" i="3"/>
  <c r="I693" i="3"/>
  <c r="J693" i="3"/>
  <c r="K693" i="3"/>
  <c r="L693" i="3"/>
  <c r="M693" i="3"/>
  <c r="N693" i="3"/>
  <c r="O693" i="3"/>
  <c r="P693" i="3"/>
  <c r="I694" i="3"/>
  <c r="J694" i="3"/>
  <c r="K694" i="3"/>
  <c r="L694" i="3"/>
  <c r="M694" i="3"/>
  <c r="N694" i="3"/>
  <c r="O694" i="3"/>
  <c r="P694" i="3"/>
  <c r="I695" i="3"/>
  <c r="J695" i="3"/>
  <c r="K695" i="3"/>
  <c r="L695" i="3"/>
  <c r="M695" i="3"/>
  <c r="N695" i="3"/>
  <c r="O695" i="3"/>
  <c r="P695" i="3"/>
  <c r="I696" i="3"/>
  <c r="J696" i="3"/>
  <c r="K696" i="3"/>
  <c r="L696" i="3"/>
  <c r="M696" i="3"/>
  <c r="N696" i="3"/>
  <c r="O696" i="3"/>
  <c r="P696" i="3"/>
  <c r="I697" i="3"/>
  <c r="J697" i="3"/>
  <c r="K697" i="3"/>
  <c r="L697" i="3"/>
  <c r="M697" i="3"/>
  <c r="N697" i="3"/>
  <c r="O697" i="3"/>
  <c r="P697" i="3"/>
  <c r="I698" i="3"/>
  <c r="J698" i="3"/>
  <c r="K698" i="3"/>
  <c r="L698" i="3"/>
  <c r="M698" i="3"/>
  <c r="N698" i="3"/>
  <c r="O698" i="3"/>
  <c r="P698" i="3"/>
  <c r="I699" i="3"/>
  <c r="J699" i="3"/>
  <c r="K699" i="3"/>
  <c r="L699" i="3"/>
  <c r="M699" i="3"/>
  <c r="N699" i="3"/>
  <c r="O699" i="3"/>
  <c r="P699" i="3"/>
  <c r="I700" i="3"/>
  <c r="J700" i="3"/>
  <c r="K700" i="3"/>
  <c r="L700" i="3"/>
  <c r="M700" i="3"/>
  <c r="N700" i="3"/>
  <c r="O700" i="3"/>
  <c r="P700" i="3"/>
  <c r="I701" i="3"/>
  <c r="J701" i="3"/>
  <c r="K701" i="3"/>
  <c r="L701" i="3"/>
  <c r="M701" i="3"/>
  <c r="N701" i="3"/>
  <c r="O701" i="3"/>
  <c r="P701" i="3"/>
  <c r="I702" i="3"/>
  <c r="J702" i="3"/>
  <c r="K702" i="3"/>
  <c r="L702" i="3"/>
  <c r="M702" i="3"/>
  <c r="N702" i="3"/>
  <c r="O702" i="3"/>
  <c r="P702" i="3"/>
  <c r="I703" i="3"/>
  <c r="J703" i="3"/>
  <c r="K703" i="3"/>
  <c r="L703" i="3"/>
  <c r="M703" i="3"/>
  <c r="N703" i="3"/>
  <c r="O703" i="3"/>
  <c r="P703" i="3"/>
  <c r="I704" i="3"/>
  <c r="J704" i="3"/>
  <c r="K704" i="3"/>
  <c r="L704" i="3"/>
  <c r="M704" i="3"/>
  <c r="N704" i="3"/>
  <c r="O704" i="3"/>
  <c r="P704" i="3"/>
  <c r="I705" i="3"/>
  <c r="J705" i="3"/>
  <c r="K705" i="3"/>
  <c r="L705" i="3"/>
  <c r="M705" i="3"/>
  <c r="N705" i="3"/>
  <c r="O705" i="3"/>
  <c r="P705" i="3"/>
  <c r="I706" i="3"/>
  <c r="J706" i="3"/>
  <c r="K706" i="3"/>
  <c r="L706" i="3"/>
  <c r="M706" i="3"/>
  <c r="N706" i="3"/>
  <c r="O706" i="3"/>
  <c r="P706" i="3"/>
  <c r="I707" i="3"/>
  <c r="J707" i="3"/>
  <c r="K707" i="3"/>
  <c r="L707" i="3"/>
  <c r="M707" i="3"/>
  <c r="N707" i="3"/>
  <c r="O707" i="3"/>
  <c r="P707" i="3"/>
  <c r="I708" i="3"/>
  <c r="J708" i="3"/>
  <c r="K708" i="3"/>
  <c r="L708" i="3"/>
  <c r="M708" i="3"/>
  <c r="N708" i="3"/>
  <c r="O708" i="3"/>
  <c r="P708" i="3"/>
  <c r="I709" i="3"/>
  <c r="J709" i="3"/>
  <c r="K709" i="3"/>
  <c r="L709" i="3"/>
  <c r="M709" i="3"/>
  <c r="N709" i="3"/>
  <c r="O709" i="3"/>
  <c r="P709" i="3"/>
  <c r="I710" i="3"/>
  <c r="J710" i="3"/>
  <c r="K710" i="3"/>
  <c r="L710" i="3"/>
  <c r="M710" i="3"/>
  <c r="N710" i="3"/>
  <c r="O710" i="3"/>
  <c r="P710" i="3"/>
  <c r="I711" i="3"/>
  <c r="J711" i="3"/>
  <c r="K711" i="3"/>
  <c r="L711" i="3"/>
  <c r="M711" i="3"/>
  <c r="N711" i="3"/>
  <c r="O711" i="3"/>
  <c r="P711" i="3"/>
  <c r="I712" i="3"/>
  <c r="J712" i="3"/>
  <c r="K712" i="3"/>
  <c r="L712" i="3"/>
  <c r="M712" i="3"/>
  <c r="N712" i="3"/>
  <c r="O712" i="3"/>
  <c r="P712" i="3"/>
  <c r="I713" i="3"/>
  <c r="J713" i="3"/>
  <c r="K713" i="3"/>
  <c r="L713" i="3"/>
  <c r="M713" i="3"/>
  <c r="N713" i="3"/>
  <c r="O713" i="3"/>
  <c r="P713" i="3"/>
  <c r="I714" i="3"/>
  <c r="J714" i="3"/>
  <c r="K714" i="3"/>
  <c r="L714" i="3"/>
  <c r="M714" i="3"/>
  <c r="N714" i="3"/>
  <c r="O714" i="3"/>
  <c r="P714" i="3"/>
  <c r="I715" i="3"/>
  <c r="J715" i="3"/>
  <c r="K715" i="3"/>
  <c r="L715" i="3"/>
  <c r="M715" i="3"/>
  <c r="N715" i="3"/>
  <c r="O715" i="3"/>
  <c r="P715" i="3"/>
  <c r="I716" i="3"/>
  <c r="J716" i="3"/>
  <c r="K716" i="3"/>
  <c r="L716" i="3"/>
  <c r="M716" i="3"/>
  <c r="N716" i="3"/>
  <c r="O716" i="3"/>
  <c r="P716" i="3"/>
  <c r="I717" i="3"/>
  <c r="J717" i="3"/>
  <c r="K717" i="3"/>
  <c r="L717" i="3"/>
  <c r="M717" i="3"/>
  <c r="N717" i="3"/>
  <c r="O717" i="3"/>
  <c r="P717" i="3"/>
  <c r="I718" i="3"/>
  <c r="J718" i="3"/>
  <c r="K718" i="3"/>
  <c r="L718" i="3"/>
  <c r="M718" i="3"/>
  <c r="N718" i="3"/>
  <c r="O718" i="3"/>
  <c r="P718" i="3"/>
  <c r="I719" i="3"/>
  <c r="J719" i="3"/>
  <c r="K719" i="3"/>
  <c r="L719" i="3"/>
  <c r="M719" i="3"/>
  <c r="N719" i="3"/>
  <c r="O719" i="3"/>
  <c r="P719" i="3"/>
  <c r="I720" i="3"/>
  <c r="J720" i="3"/>
  <c r="K720" i="3"/>
  <c r="L720" i="3"/>
  <c r="M720" i="3"/>
  <c r="N720" i="3"/>
  <c r="O720" i="3"/>
  <c r="P720" i="3"/>
  <c r="I721" i="3"/>
  <c r="J721" i="3"/>
  <c r="K721" i="3"/>
  <c r="L721" i="3"/>
  <c r="M721" i="3"/>
  <c r="N721" i="3"/>
  <c r="O721" i="3"/>
  <c r="P721" i="3"/>
  <c r="I722" i="3"/>
  <c r="J722" i="3"/>
  <c r="K722" i="3"/>
  <c r="L722" i="3"/>
  <c r="M722" i="3"/>
  <c r="N722" i="3"/>
  <c r="O722" i="3"/>
  <c r="P722" i="3"/>
  <c r="I723" i="3"/>
  <c r="J723" i="3"/>
  <c r="K723" i="3"/>
  <c r="L723" i="3"/>
  <c r="M723" i="3"/>
  <c r="N723" i="3"/>
  <c r="O723" i="3"/>
  <c r="P723" i="3"/>
  <c r="I724" i="3"/>
  <c r="J724" i="3"/>
  <c r="K724" i="3"/>
  <c r="L724" i="3"/>
  <c r="M724" i="3"/>
  <c r="N724" i="3"/>
  <c r="O724" i="3"/>
  <c r="P724" i="3"/>
  <c r="I725" i="3"/>
  <c r="J725" i="3"/>
  <c r="K725" i="3"/>
  <c r="L725" i="3"/>
  <c r="M725" i="3"/>
  <c r="N725" i="3"/>
  <c r="O725" i="3"/>
  <c r="P725" i="3"/>
  <c r="I726" i="3"/>
  <c r="J726" i="3"/>
  <c r="K726" i="3"/>
  <c r="L726" i="3"/>
  <c r="M726" i="3"/>
  <c r="N726" i="3"/>
  <c r="O726" i="3"/>
  <c r="P726" i="3"/>
  <c r="I727" i="3"/>
  <c r="J727" i="3"/>
  <c r="K727" i="3"/>
  <c r="L727" i="3"/>
  <c r="M727" i="3"/>
  <c r="N727" i="3"/>
  <c r="O727" i="3"/>
  <c r="P727" i="3"/>
  <c r="I728" i="3"/>
  <c r="J728" i="3"/>
  <c r="K728" i="3"/>
  <c r="L728" i="3"/>
  <c r="M728" i="3"/>
  <c r="N728" i="3"/>
  <c r="O728" i="3"/>
  <c r="P728" i="3"/>
  <c r="I729" i="3"/>
  <c r="J729" i="3"/>
  <c r="K729" i="3"/>
  <c r="L729" i="3"/>
  <c r="M729" i="3"/>
  <c r="N729" i="3"/>
  <c r="O729" i="3"/>
  <c r="P729" i="3"/>
  <c r="I730" i="3"/>
  <c r="J730" i="3"/>
  <c r="K730" i="3"/>
  <c r="L730" i="3"/>
  <c r="M730" i="3"/>
  <c r="N730" i="3"/>
  <c r="O730" i="3"/>
  <c r="P730" i="3"/>
  <c r="I731" i="3"/>
  <c r="J731" i="3"/>
  <c r="K731" i="3"/>
  <c r="L731" i="3"/>
  <c r="M731" i="3"/>
  <c r="N731" i="3"/>
  <c r="O731" i="3"/>
  <c r="P731" i="3"/>
  <c r="I732" i="3"/>
  <c r="J732" i="3"/>
  <c r="K732" i="3"/>
  <c r="L732" i="3"/>
  <c r="M732" i="3"/>
  <c r="N732" i="3"/>
  <c r="O732" i="3"/>
  <c r="P732" i="3"/>
  <c r="I733" i="3"/>
  <c r="J733" i="3"/>
  <c r="K733" i="3"/>
  <c r="L733" i="3"/>
  <c r="M733" i="3"/>
  <c r="N733" i="3"/>
  <c r="O733" i="3"/>
  <c r="P733" i="3"/>
  <c r="I734" i="3"/>
  <c r="J734" i="3"/>
  <c r="K734" i="3"/>
  <c r="L734" i="3"/>
  <c r="M734" i="3"/>
  <c r="N734" i="3"/>
  <c r="O734" i="3"/>
  <c r="P734" i="3"/>
  <c r="I735" i="3"/>
  <c r="J735" i="3"/>
  <c r="K735" i="3"/>
  <c r="L735" i="3"/>
  <c r="M735" i="3"/>
  <c r="N735" i="3"/>
  <c r="O735" i="3"/>
  <c r="P735" i="3"/>
  <c r="I736" i="3"/>
  <c r="J736" i="3"/>
  <c r="K736" i="3"/>
  <c r="L736" i="3"/>
  <c r="M736" i="3"/>
  <c r="N736" i="3"/>
  <c r="O736" i="3"/>
  <c r="P736" i="3"/>
  <c r="I737" i="3"/>
  <c r="J737" i="3"/>
  <c r="K737" i="3"/>
  <c r="L737" i="3"/>
  <c r="M737" i="3"/>
  <c r="N737" i="3"/>
  <c r="O737" i="3"/>
  <c r="P737" i="3"/>
  <c r="I738" i="3"/>
  <c r="J738" i="3"/>
  <c r="K738" i="3"/>
  <c r="L738" i="3"/>
  <c r="M738" i="3"/>
  <c r="N738" i="3"/>
  <c r="O738" i="3"/>
  <c r="P738" i="3"/>
  <c r="I739" i="3"/>
  <c r="J739" i="3"/>
  <c r="K739" i="3"/>
  <c r="L739" i="3"/>
  <c r="M739" i="3"/>
  <c r="N739" i="3"/>
  <c r="O739" i="3"/>
  <c r="P739" i="3"/>
  <c r="I740" i="3"/>
  <c r="J740" i="3"/>
  <c r="K740" i="3"/>
  <c r="L740" i="3"/>
  <c r="M740" i="3"/>
  <c r="N740" i="3"/>
  <c r="O740" i="3"/>
  <c r="P740" i="3"/>
  <c r="I741" i="3"/>
  <c r="J741" i="3"/>
  <c r="K741" i="3"/>
  <c r="L741" i="3"/>
  <c r="M741" i="3"/>
  <c r="N741" i="3"/>
  <c r="O741" i="3"/>
  <c r="P741" i="3"/>
  <c r="I742" i="3"/>
  <c r="J742" i="3"/>
  <c r="K742" i="3"/>
  <c r="L742" i="3"/>
  <c r="M742" i="3"/>
  <c r="N742" i="3"/>
  <c r="O742" i="3"/>
  <c r="P742" i="3"/>
  <c r="I743" i="3"/>
  <c r="J743" i="3"/>
  <c r="K743" i="3"/>
  <c r="L743" i="3"/>
  <c r="M743" i="3"/>
  <c r="N743" i="3"/>
  <c r="O743" i="3"/>
  <c r="P743" i="3"/>
  <c r="I744" i="3"/>
  <c r="J744" i="3"/>
  <c r="K744" i="3"/>
  <c r="L744" i="3"/>
  <c r="M744" i="3"/>
  <c r="N744" i="3"/>
  <c r="O744" i="3"/>
  <c r="P744" i="3"/>
  <c r="I745" i="3"/>
  <c r="J745" i="3"/>
  <c r="K745" i="3"/>
  <c r="L745" i="3"/>
  <c r="M745" i="3"/>
  <c r="N745" i="3"/>
  <c r="O745" i="3"/>
  <c r="P745" i="3"/>
  <c r="I746" i="3"/>
  <c r="J746" i="3"/>
  <c r="K746" i="3"/>
  <c r="L746" i="3"/>
  <c r="M746" i="3"/>
  <c r="N746" i="3"/>
  <c r="O746" i="3"/>
  <c r="P746" i="3"/>
  <c r="I747" i="3"/>
  <c r="J747" i="3"/>
  <c r="K747" i="3"/>
  <c r="L747" i="3"/>
  <c r="M747" i="3"/>
  <c r="N747" i="3"/>
  <c r="O747" i="3"/>
  <c r="P747" i="3"/>
  <c r="I748" i="3"/>
  <c r="J748" i="3"/>
  <c r="K748" i="3"/>
  <c r="L748" i="3"/>
  <c r="M748" i="3"/>
  <c r="N748" i="3"/>
  <c r="O748" i="3"/>
  <c r="P748" i="3"/>
  <c r="I749" i="3"/>
  <c r="J749" i="3"/>
  <c r="K749" i="3"/>
  <c r="L749" i="3"/>
  <c r="M749" i="3"/>
  <c r="N749" i="3"/>
  <c r="O749" i="3"/>
  <c r="P749" i="3"/>
  <c r="I750" i="3"/>
  <c r="J750" i="3"/>
  <c r="K750" i="3"/>
  <c r="L750" i="3"/>
  <c r="M750" i="3"/>
  <c r="N750" i="3"/>
  <c r="O750" i="3"/>
  <c r="P750" i="3"/>
  <c r="I751" i="3"/>
  <c r="J751" i="3"/>
  <c r="K751" i="3"/>
  <c r="L751" i="3"/>
  <c r="M751" i="3"/>
  <c r="N751" i="3"/>
  <c r="O751" i="3"/>
  <c r="P751" i="3"/>
  <c r="I752" i="3"/>
  <c r="J752" i="3"/>
  <c r="K752" i="3"/>
  <c r="L752" i="3"/>
  <c r="M752" i="3"/>
  <c r="N752" i="3"/>
  <c r="O752" i="3"/>
  <c r="P752" i="3"/>
  <c r="I753" i="3"/>
  <c r="J753" i="3"/>
  <c r="K753" i="3"/>
  <c r="L753" i="3"/>
  <c r="M753" i="3"/>
  <c r="N753" i="3"/>
  <c r="O753" i="3"/>
  <c r="P753" i="3"/>
  <c r="I754" i="3"/>
  <c r="J754" i="3"/>
  <c r="K754" i="3"/>
  <c r="L754" i="3"/>
  <c r="M754" i="3"/>
  <c r="N754" i="3"/>
  <c r="O754" i="3"/>
  <c r="P754" i="3"/>
  <c r="I755" i="3"/>
  <c r="J755" i="3"/>
  <c r="K755" i="3"/>
  <c r="L755" i="3"/>
  <c r="M755" i="3"/>
  <c r="N755" i="3"/>
  <c r="O755" i="3"/>
  <c r="P755" i="3"/>
  <c r="I756" i="3"/>
  <c r="J756" i="3"/>
  <c r="K756" i="3"/>
  <c r="L756" i="3"/>
  <c r="M756" i="3"/>
  <c r="N756" i="3"/>
  <c r="O756" i="3"/>
  <c r="P756" i="3"/>
  <c r="I757" i="3"/>
  <c r="J757" i="3"/>
  <c r="K757" i="3"/>
  <c r="L757" i="3"/>
  <c r="M757" i="3"/>
  <c r="N757" i="3"/>
  <c r="O757" i="3"/>
  <c r="P757" i="3"/>
  <c r="I758" i="3"/>
  <c r="J758" i="3"/>
  <c r="K758" i="3"/>
  <c r="L758" i="3"/>
  <c r="M758" i="3"/>
  <c r="N758" i="3"/>
  <c r="O758" i="3"/>
  <c r="P758" i="3"/>
  <c r="I759" i="3"/>
  <c r="J759" i="3"/>
  <c r="K759" i="3"/>
  <c r="L759" i="3"/>
  <c r="M759" i="3"/>
  <c r="N759" i="3"/>
  <c r="O759" i="3"/>
  <c r="P759" i="3"/>
  <c r="I760" i="3"/>
  <c r="J760" i="3"/>
  <c r="K760" i="3"/>
  <c r="L760" i="3"/>
  <c r="M760" i="3"/>
  <c r="N760" i="3"/>
  <c r="O760" i="3"/>
  <c r="P760" i="3"/>
  <c r="I761" i="3"/>
  <c r="J761" i="3"/>
  <c r="K761" i="3"/>
  <c r="L761" i="3"/>
  <c r="M761" i="3"/>
  <c r="N761" i="3"/>
  <c r="O761" i="3"/>
  <c r="P761" i="3"/>
  <c r="I762" i="3"/>
  <c r="J762" i="3"/>
  <c r="K762" i="3"/>
  <c r="L762" i="3"/>
  <c r="M762" i="3"/>
  <c r="N762" i="3"/>
  <c r="O762" i="3"/>
  <c r="P762" i="3"/>
  <c r="I763" i="3"/>
  <c r="J763" i="3"/>
  <c r="K763" i="3"/>
  <c r="L763" i="3"/>
  <c r="M763" i="3"/>
  <c r="N763" i="3"/>
  <c r="O763" i="3"/>
  <c r="P763" i="3"/>
  <c r="I764" i="3"/>
  <c r="J764" i="3"/>
  <c r="K764" i="3"/>
  <c r="L764" i="3"/>
  <c r="M764" i="3"/>
  <c r="N764" i="3"/>
  <c r="O764" i="3"/>
  <c r="P764" i="3"/>
  <c r="I765" i="3"/>
  <c r="J765" i="3"/>
  <c r="K765" i="3"/>
  <c r="L765" i="3"/>
  <c r="M765" i="3"/>
  <c r="N765" i="3"/>
  <c r="O765" i="3"/>
  <c r="P765" i="3"/>
  <c r="I766" i="3"/>
  <c r="J766" i="3"/>
  <c r="K766" i="3"/>
  <c r="L766" i="3"/>
  <c r="M766" i="3"/>
  <c r="N766" i="3"/>
  <c r="O766" i="3"/>
  <c r="P766" i="3"/>
  <c r="I767" i="3"/>
  <c r="J767" i="3"/>
  <c r="K767" i="3"/>
  <c r="L767" i="3"/>
  <c r="M767" i="3"/>
  <c r="N767" i="3"/>
  <c r="O767" i="3"/>
  <c r="P767" i="3"/>
  <c r="I768" i="3"/>
  <c r="J768" i="3"/>
  <c r="K768" i="3"/>
  <c r="L768" i="3"/>
  <c r="M768" i="3"/>
  <c r="N768" i="3"/>
  <c r="O768" i="3"/>
  <c r="P768" i="3"/>
  <c r="I769" i="3"/>
  <c r="J769" i="3"/>
  <c r="K769" i="3"/>
  <c r="L769" i="3"/>
  <c r="M769" i="3"/>
  <c r="N769" i="3"/>
  <c r="O769" i="3"/>
  <c r="P769" i="3"/>
  <c r="I770" i="3"/>
  <c r="J770" i="3"/>
  <c r="K770" i="3"/>
  <c r="L770" i="3"/>
  <c r="M770" i="3"/>
  <c r="N770" i="3"/>
  <c r="O770" i="3"/>
  <c r="P770" i="3"/>
  <c r="I771" i="3"/>
  <c r="J771" i="3"/>
  <c r="K771" i="3"/>
  <c r="L771" i="3"/>
  <c r="M771" i="3"/>
  <c r="N771" i="3"/>
  <c r="O771" i="3"/>
  <c r="P771" i="3"/>
  <c r="I772" i="3"/>
  <c r="J772" i="3"/>
  <c r="K772" i="3"/>
  <c r="L772" i="3"/>
  <c r="M772" i="3"/>
  <c r="N772" i="3"/>
  <c r="O772" i="3"/>
  <c r="P772" i="3"/>
  <c r="I773" i="3"/>
  <c r="J773" i="3"/>
  <c r="K773" i="3"/>
  <c r="L773" i="3"/>
  <c r="M773" i="3"/>
  <c r="N773" i="3"/>
  <c r="O773" i="3"/>
  <c r="P773" i="3"/>
  <c r="I774" i="3"/>
  <c r="J774" i="3"/>
  <c r="K774" i="3"/>
  <c r="L774" i="3"/>
  <c r="M774" i="3"/>
  <c r="N774" i="3"/>
  <c r="O774" i="3"/>
  <c r="P774" i="3"/>
  <c r="I775" i="3"/>
  <c r="J775" i="3"/>
  <c r="K775" i="3"/>
  <c r="L775" i="3"/>
  <c r="M775" i="3"/>
  <c r="N775" i="3"/>
  <c r="O775" i="3"/>
  <c r="P775" i="3"/>
  <c r="I776" i="3"/>
  <c r="J776" i="3"/>
  <c r="K776" i="3"/>
  <c r="L776" i="3"/>
  <c r="M776" i="3"/>
  <c r="N776" i="3"/>
  <c r="O776" i="3"/>
  <c r="P776" i="3"/>
  <c r="I777" i="3"/>
  <c r="J777" i="3"/>
  <c r="K777" i="3"/>
  <c r="L777" i="3"/>
  <c r="M777" i="3"/>
  <c r="N777" i="3"/>
  <c r="O777" i="3"/>
  <c r="P777" i="3"/>
  <c r="I778" i="3"/>
  <c r="J778" i="3"/>
  <c r="K778" i="3"/>
  <c r="L778" i="3"/>
  <c r="M778" i="3"/>
  <c r="N778" i="3"/>
  <c r="O778" i="3"/>
  <c r="P778" i="3"/>
  <c r="I779" i="3"/>
  <c r="J779" i="3"/>
  <c r="K779" i="3"/>
  <c r="L779" i="3"/>
  <c r="M779" i="3"/>
  <c r="N779" i="3"/>
  <c r="O779" i="3"/>
  <c r="P779" i="3"/>
  <c r="I780" i="3"/>
  <c r="J780" i="3"/>
  <c r="K780" i="3"/>
  <c r="L780" i="3"/>
  <c r="M780" i="3"/>
  <c r="N780" i="3"/>
  <c r="O780" i="3"/>
  <c r="P780" i="3"/>
  <c r="I781" i="3"/>
  <c r="J781" i="3"/>
  <c r="K781" i="3"/>
  <c r="L781" i="3"/>
  <c r="M781" i="3"/>
  <c r="N781" i="3"/>
  <c r="O781" i="3"/>
  <c r="P781" i="3"/>
  <c r="I782" i="3"/>
  <c r="J782" i="3"/>
  <c r="K782" i="3"/>
  <c r="L782" i="3"/>
  <c r="M782" i="3"/>
  <c r="N782" i="3"/>
  <c r="O782" i="3"/>
  <c r="P782" i="3"/>
  <c r="I783" i="3"/>
  <c r="J783" i="3"/>
  <c r="K783" i="3"/>
  <c r="L783" i="3"/>
  <c r="M783" i="3"/>
  <c r="N783" i="3"/>
  <c r="O783" i="3"/>
  <c r="P783" i="3"/>
  <c r="I784" i="3"/>
  <c r="J784" i="3"/>
  <c r="K784" i="3"/>
  <c r="L784" i="3"/>
  <c r="M784" i="3"/>
  <c r="N784" i="3"/>
  <c r="O784" i="3"/>
  <c r="P784" i="3"/>
  <c r="I785" i="3"/>
  <c r="J785" i="3"/>
  <c r="K785" i="3"/>
  <c r="L785" i="3"/>
  <c r="M785" i="3"/>
  <c r="N785" i="3"/>
  <c r="O785" i="3"/>
  <c r="P785" i="3"/>
  <c r="I786" i="3"/>
  <c r="J786" i="3"/>
  <c r="K786" i="3"/>
  <c r="L786" i="3"/>
  <c r="M786" i="3"/>
  <c r="N786" i="3"/>
  <c r="O786" i="3"/>
  <c r="P786" i="3"/>
  <c r="I787" i="3"/>
  <c r="J787" i="3"/>
  <c r="K787" i="3"/>
  <c r="L787" i="3"/>
  <c r="M787" i="3"/>
  <c r="N787" i="3"/>
  <c r="O787" i="3"/>
  <c r="P787" i="3"/>
  <c r="I788" i="3"/>
  <c r="J788" i="3"/>
  <c r="K788" i="3"/>
  <c r="L788" i="3"/>
  <c r="M788" i="3"/>
  <c r="N788" i="3"/>
  <c r="O788" i="3"/>
  <c r="P788" i="3"/>
  <c r="I789" i="3"/>
  <c r="J789" i="3"/>
  <c r="K789" i="3"/>
  <c r="L789" i="3"/>
  <c r="M789" i="3"/>
  <c r="N789" i="3"/>
  <c r="O789" i="3"/>
  <c r="P789" i="3"/>
  <c r="I790" i="3"/>
  <c r="J790" i="3"/>
  <c r="K790" i="3"/>
  <c r="L790" i="3"/>
  <c r="M790" i="3"/>
  <c r="N790" i="3"/>
  <c r="O790" i="3"/>
  <c r="P790" i="3"/>
  <c r="I791" i="3"/>
  <c r="J791" i="3"/>
  <c r="K791" i="3"/>
  <c r="L791" i="3"/>
  <c r="M791" i="3"/>
  <c r="N791" i="3"/>
  <c r="O791" i="3"/>
  <c r="P791" i="3"/>
  <c r="I792" i="3"/>
  <c r="J792" i="3"/>
  <c r="K792" i="3"/>
  <c r="L792" i="3"/>
  <c r="M792" i="3"/>
  <c r="N792" i="3"/>
  <c r="O792" i="3"/>
  <c r="P792" i="3"/>
  <c r="I793" i="3"/>
  <c r="J793" i="3"/>
  <c r="K793" i="3"/>
  <c r="L793" i="3"/>
  <c r="M793" i="3"/>
  <c r="N793" i="3"/>
  <c r="O793" i="3"/>
  <c r="P793" i="3"/>
  <c r="I794" i="3"/>
  <c r="J794" i="3"/>
  <c r="K794" i="3"/>
  <c r="L794" i="3"/>
  <c r="M794" i="3"/>
  <c r="N794" i="3"/>
  <c r="O794" i="3"/>
  <c r="P794" i="3"/>
  <c r="I795" i="3"/>
  <c r="J795" i="3"/>
  <c r="K795" i="3"/>
  <c r="L795" i="3"/>
  <c r="M795" i="3"/>
  <c r="N795" i="3"/>
  <c r="O795" i="3"/>
  <c r="P795" i="3"/>
  <c r="I796" i="3"/>
  <c r="J796" i="3"/>
  <c r="K796" i="3"/>
  <c r="L796" i="3"/>
  <c r="M796" i="3"/>
  <c r="N796" i="3"/>
  <c r="O796" i="3"/>
  <c r="P796" i="3"/>
  <c r="I797" i="3"/>
  <c r="J797" i="3"/>
  <c r="K797" i="3"/>
  <c r="L797" i="3"/>
  <c r="M797" i="3"/>
  <c r="N797" i="3"/>
  <c r="O797" i="3"/>
  <c r="P797" i="3"/>
  <c r="I798" i="3"/>
  <c r="J798" i="3"/>
  <c r="K798" i="3"/>
  <c r="L798" i="3"/>
  <c r="M798" i="3"/>
  <c r="N798" i="3"/>
  <c r="O798" i="3"/>
  <c r="P798" i="3"/>
  <c r="I799" i="3"/>
  <c r="J799" i="3"/>
  <c r="K799" i="3"/>
  <c r="L799" i="3"/>
  <c r="M799" i="3"/>
  <c r="N799" i="3"/>
  <c r="O799" i="3"/>
  <c r="P799" i="3"/>
  <c r="I800" i="3"/>
  <c r="J800" i="3"/>
  <c r="K800" i="3"/>
  <c r="L800" i="3"/>
  <c r="M800" i="3"/>
  <c r="N800" i="3"/>
  <c r="O800" i="3"/>
  <c r="P800" i="3"/>
  <c r="I801" i="3"/>
  <c r="J801" i="3"/>
  <c r="K801" i="3"/>
  <c r="L801" i="3"/>
  <c r="M801" i="3"/>
  <c r="N801" i="3"/>
  <c r="O801" i="3"/>
  <c r="P801" i="3"/>
  <c r="I802" i="3"/>
  <c r="J802" i="3"/>
  <c r="K802" i="3"/>
  <c r="L802" i="3"/>
  <c r="M802" i="3"/>
  <c r="N802" i="3"/>
  <c r="O802" i="3"/>
  <c r="P802" i="3"/>
  <c r="I803" i="3"/>
  <c r="J803" i="3"/>
  <c r="K803" i="3"/>
  <c r="L803" i="3"/>
  <c r="M803" i="3"/>
  <c r="N803" i="3"/>
  <c r="O803" i="3"/>
  <c r="P803" i="3"/>
  <c r="I804" i="3"/>
  <c r="J804" i="3"/>
  <c r="K804" i="3"/>
  <c r="L804" i="3"/>
  <c r="M804" i="3"/>
  <c r="N804" i="3"/>
  <c r="O804" i="3"/>
  <c r="P804" i="3"/>
  <c r="I805" i="3"/>
  <c r="J805" i="3"/>
  <c r="K805" i="3"/>
  <c r="L805" i="3"/>
  <c r="M805" i="3"/>
  <c r="N805" i="3"/>
  <c r="O805" i="3"/>
  <c r="P805" i="3"/>
  <c r="I806" i="3"/>
  <c r="J806" i="3"/>
  <c r="K806" i="3"/>
  <c r="L806" i="3"/>
  <c r="M806" i="3"/>
  <c r="N806" i="3"/>
  <c r="O806" i="3"/>
  <c r="P806" i="3"/>
  <c r="I807" i="3"/>
  <c r="J807" i="3"/>
  <c r="K807" i="3"/>
  <c r="L807" i="3"/>
  <c r="M807" i="3"/>
  <c r="N807" i="3"/>
  <c r="O807" i="3"/>
  <c r="P807" i="3"/>
  <c r="I808" i="3"/>
  <c r="J808" i="3"/>
  <c r="K808" i="3"/>
  <c r="L808" i="3"/>
  <c r="M808" i="3"/>
  <c r="N808" i="3"/>
  <c r="O808" i="3"/>
  <c r="P808" i="3"/>
  <c r="I809" i="3"/>
  <c r="J809" i="3"/>
  <c r="K809" i="3"/>
  <c r="L809" i="3"/>
  <c r="M809" i="3"/>
  <c r="N809" i="3"/>
  <c r="O809" i="3"/>
  <c r="P809" i="3"/>
  <c r="I810" i="3"/>
  <c r="J810" i="3"/>
  <c r="K810" i="3"/>
  <c r="L810" i="3"/>
  <c r="M810" i="3"/>
  <c r="N810" i="3"/>
  <c r="O810" i="3"/>
  <c r="P810" i="3"/>
  <c r="I811" i="3"/>
  <c r="J811" i="3"/>
  <c r="K811" i="3"/>
  <c r="L811" i="3"/>
  <c r="M811" i="3"/>
  <c r="N811" i="3"/>
  <c r="O811" i="3"/>
  <c r="P811" i="3"/>
  <c r="I812" i="3"/>
  <c r="J812" i="3"/>
  <c r="K812" i="3"/>
  <c r="L812" i="3"/>
  <c r="M812" i="3"/>
  <c r="N812" i="3"/>
  <c r="O812" i="3"/>
  <c r="P812" i="3"/>
  <c r="I813" i="3"/>
  <c r="J813" i="3"/>
  <c r="K813" i="3"/>
  <c r="L813" i="3"/>
  <c r="M813" i="3"/>
  <c r="N813" i="3"/>
  <c r="O813" i="3"/>
  <c r="P813" i="3"/>
  <c r="I814" i="3"/>
  <c r="J814" i="3"/>
  <c r="K814" i="3"/>
  <c r="L814" i="3"/>
  <c r="M814" i="3"/>
  <c r="N814" i="3"/>
  <c r="O814" i="3"/>
  <c r="P814" i="3"/>
  <c r="I815" i="3"/>
  <c r="J815" i="3"/>
  <c r="K815" i="3"/>
  <c r="L815" i="3"/>
  <c r="M815" i="3"/>
  <c r="N815" i="3"/>
  <c r="O815" i="3"/>
  <c r="P815" i="3"/>
  <c r="I816" i="3"/>
  <c r="J816" i="3"/>
  <c r="K816" i="3"/>
  <c r="L816" i="3"/>
  <c r="M816" i="3"/>
  <c r="N816" i="3"/>
  <c r="O816" i="3"/>
  <c r="P816" i="3"/>
  <c r="I817" i="3"/>
  <c r="J817" i="3"/>
  <c r="K817" i="3"/>
  <c r="L817" i="3"/>
  <c r="M817" i="3"/>
  <c r="N817" i="3"/>
  <c r="O817" i="3"/>
  <c r="P817" i="3"/>
  <c r="I818" i="3"/>
  <c r="J818" i="3"/>
  <c r="K818" i="3"/>
  <c r="L818" i="3"/>
  <c r="M818" i="3"/>
  <c r="N818" i="3"/>
  <c r="O818" i="3"/>
  <c r="P818" i="3"/>
  <c r="I819" i="3"/>
  <c r="J819" i="3"/>
  <c r="K819" i="3"/>
  <c r="L819" i="3"/>
  <c r="M819" i="3"/>
  <c r="N819" i="3"/>
  <c r="O819" i="3"/>
  <c r="P819" i="3"/>
  <c r="I820" i="3"/>
  <c r="J820" i="3"/>
  <c r="K820" i="3"/>
  <c r="L820" i="3"/>
  <c r="M820" i="3"/>
  <c r="N820" i="3"/>
  <c r="O820" i="3"/>
  <c r="P820" i="3"/>
  <c r="I821" i="3"/>
  <c r="J821" i="3"/>
  <c r="K821" i="3"/>
  <c r="L821" i="3"/>
  <c r="M821" i="3"/>
  <c r="N821" i="3"/>
  <c r="O821" i="3"/>
  <c r="P821" i="3"/>
  <c r="I822" i="3"/>
  <c r="J822" i="3"/>
  <c r="K822" i="3"/>
  <c r="L822" i="3"/>
  <c r="M822" i="3"/>
  <c r="N822" i="3"/>
  <c r="O822" i="3"/>
  <c r="P822" i="3"/>
  <c r="I823" i="3"/>
  <c r="J823" i="3"/>
  <c r="K823" i="3"/>
  <c r="L823" i="3"/>
  <c r="M823" i="3"/>
  <c r="N823" i="3"/>
  <c r="O823" i="3"/>
  <c r="P823" i="3"/>
  <c r="I824" i="3"/>
  <c r="J824" i="3"/>
  <c r="K824" i="3"/>
  <c r="L824" i="3"/>
  <c r="M824" i="3"/>
  <c r="N824" i="3"/>
  <c r="O824" i="3"/>
  <c r="P824" i="3"/>
  <c r="I825" i="3"/>
  <c r="J825" i="3"/>
  <c r="K825" i="3"/>
  <c r="L825" i="3"/>
  <c r="M825" i="3"/>
  <c r="N825" i="3"/>
  <c r="O825" i="3"/>
  <c r="P825" i="3"/>
  <c r="I826" i="3"/>
  <c r="J826" i="3"/>
  <c r="K826" i="3"/>
  <c r="L826" i="3"/>
  <c r="M826" i="3"/>
  <c r="N826" i="3"/>
  <c r="O826" i="3"/>
  <c r="P826" i="3"/>
  <c r="I827" i="3"/>
  <c r="J827" i="3"/>
  <c r="K827" i="3"/>
  <c r="L827" i="3"/>
  <c r="M827" i="3"/>
  <c r="N827" i="3"/>
  <c r="O827" i="3"/>
  <c r="P827" i="3"/>
  <c r="I828" i="3"/>
  <c r="J828" i="3"/>
  <c r="K828" i="3"/>
  <c r="L828" i="3"/>
  <c r="M828" i="3"/>
  <c r="N828" i="3"/>
  <c r="O828" i="3"/>
  <c r="P828" i="3"/>
  <c r="I829" i="3"/>
  <c r="J829" i="3"/>
  <c r="K829" i="3"/>
  <c r="L829" i="3"/>
  <c r="M829" i="3"/>
  <c r="N829" i="3"/>
  <c r="O829" i="3"/>
  <c r="P829" i="3"/>
  <c r="I830" i="3"/>
  <c r="J830" i="3"/>
  <c r="K830" i="3"/>
  <c r="L830" i="3"/>
  <c r="M830" i="3"/>
  <c r="N830" i="3"/>
  <c r="O830" i="3"/>
  <c r="P830" i="3"/>
  <c r="I831" i="3"/>
  <c r="J831" i="3"/>
  <c r="K831" i="3"/>
  <c r="L831" i="3"/>
  <c r="M831" i="3"/>
  <c r="N831" i="3"/>
  <c r="O831" i="3"/>
  <c r="P831" i="3"/>
  <c r="I832" i="3"/>
  <c r="J832" i="3"/>
  <c r="K832" i="3"/>
  <c r="L832" i="3"/>
  <c r="M832" i="3"/>
  <c r="N832" i="3"/>
  <c r="O832" i="3"/>
  <c r="P832" i="3"/>
  <c r="I833" i="3"/>
  <c r="J833" i="3"/>
  <c r="K833" i="3"/>
  <c r="L833" i="3"/>
  <c r="M833" i="3"/>
  <c r="N833" i="3"/>
  <c r="O833" i="3"/>
  <c r="P833" i="3"/>
  <c r="I834" i="3"/>
  <c r="J834" i="3"/>
  <c r="K834" i="3"/>
  <c r="L834" i="3"/>
  <c r="M834" i="3"/>
  <c r="N834" i="3"/>
  <c r="O834" i="3"/>
  <c r="P834" i="3"/>
  <c r="I835" i="3"/>
  <c r="J835" i="3"/>
  <c r="K835" i="3"/>
  <c r="L835" i="3"/>
  <c r="M835" i="3"/>
  <c r="N835" i="3"/>
  <c r="O835" i="3"/>
  <c r="P835" i="3"/>
  <c r="I836" i="3"/>
  <c r="J836" i="3"/>
  <c r="K836" i="3"/>
  <c r="L836" i="3"/>
  <c r="M836" i="3"/>
  <c r="N836" i="3"/>
  <c r="O836" i="3"/>
  <c r="P836" i="3"/>
  <c r="I837" i="3"/>
  <c r="J837" i="3"/>
  <c r="K837" i="3"/>
  <c r="L837" i="3"/>
  <c r="M837" i="3"/>
  <c r="N837" i="3"/>
  <c r="O837" i="3"/>
  <c r="P837" i="3"/>
  <c r="I838" i="3"/>
  <c r="J838" i="3"/>
  <c r="K838" i="3"/>
  <c r="L838" i="3"/>
  <c r="M838" i="3"/>
  <c r="N838" i="3"/>
  <c r="O838" i="3"/>
  <c r="P838" i="3"/>
  <c r="I839" i="3"/>
  <c r="J839" i="3"/>
  <c r="K839" i="3"/>
  <c r="L839" i="3"/>
  <c r="M839" i="3"/>
  <c r="N839" i="3"/>
  <c r="O839" i="3"/>
  <c r="P839" i="3"/>
  <c r="I840" i="3"/>
  <c r="J840" i="3"/>
  <c r="K840" i="3"/>
  <c r="L840" i="3"/>
  <c r="M840" i="3"/>
  <c r="N840" i="3"/>
  <c r="O840" i="3"/>
  <c r="P840" i="3"/>
  <c r="I841" i="3"/>
  <c r="J841" i="3"/>
  <c r="K841" i="3"/>
  <c r="L841" i="3"/>
  <c r="M841" i="3"/>
  <c r="N841" i="3"/>
  <c r="O841" i="3"/>
  <c r="P841" i="3"/>
  <c r="I842" i="3"/>
  <c r="J842" i="3"/>
  <c r="K842" i="3"/>
  <c r="L842" i="3"/>
  <c r="M842" i="3"/>
  <c r="N842" i="3"/>
  <c r="O842" i="3"/>
  <c r="P842" i="3"/>
  <c r="I843" i="3"/>
  <c r="J843" i="3"/>
  <c r="K843" i="3"/>
  <c r="L843" i="3"/>
  <c r="M843" i="3"/>
  <c r="N843" i="3"/>
  <c r="O843" i="3"/>
  <c r="P843" i="3"/>
  <c r="I844" i="3"/>
  <c r="J844" i="3"/>
  <c r="K844" i="3"/>
  <c r="L844" i="3"/>
  <c r="M844" i="3"/>
  <c r="N844" i="3"/>
  <c r="O844" i="3"/>
  <c r="P844" i="3"/>
  <c r="I845" i="3"/>
  <c r="J845" i="3"/>
  <c r="K845" i="3"/>
  <c r="L845" i="3"/>
  <c r="M845" i="3"/>
  <c r="N845" i="3"/>
  <c r="O845" i="3"/>
  <c r="P845" i="3"/>
  <c r="I846" i="3"/>
  <c r="J846" i="3"/>
  <c r="K846" i="3"/>
  <c r="L846" i="3"/>
  <c r="M846" i="3"/>
  <c r="N846" i="3"/>
  <c r="O846" i="3"/>
  <c r="P846" i="3"/>
  <c r="I847" i="3"/>
  <c r="J847" i="3"/>
  <c r="K847" i="3"/>
  <c r="L847" i="3"/>
  <c r="M847" i="3"/>
  <c r="N847" i="3"/>
  <c r="O847" i="3"/>
  <c r="P847" i="3"/>
  <c r="I848" i="3"/>
  <c r="J848" i="3"/>
  <c r="K848" i="3"/>
  <c r="L848" i="3"/>
  <c r="M848" i="3"/>
  <c r="N848" i="3"/>
  <c r="O848" i="3"/>
  <c r="P848" i="3"/>
  <c r="I849" i="3"/>
  <c r="J849" i="3"/>
  <c r="K849" i="3"/>
  <c r="L849" i="3"/>
  <c r="M849" i="3"/>
  <c r="N849" i="3"/>
  <c r="O849" i="3"/>
  <c r="P849" i="3"/>
  <c r="I850" i="3"/>
  <c r="J850" i="3"/>
  <c r="K850" i="3"/>
  <c r="L850" i="3"/>
  <c r="M850" i="3"/>
  <c r="N850" i="3"/>
  <c r="O850" i="3"/>
  <c r="P850" i="3"/>
  <c r="I851" i="3"/>
  <c r="J851" i="3"/>
  <c r="K851" i="3"/>
  <c r="L851" i="3"/>
  <c r="M851" i="3"/>
  <c r="N851" i="3"/>
  <c r="O851" i="3"/>
  <c r="P851" i="3"/>
  <c r="I852" i="3"/>
  <c r="J852" i="3"/>
  <c r="K852" i="3"/>
  <c r="L852" i="3"/>
  <c r="M852" i="3"/>
  <c r="N852" i="3"/>
  <c r="O852" i="3"/>
  <c r="P852" i="3"/>
  <c r="I853" i="3"/>
  <c r="J853" i="3"/>
  <c r="K853" i="3"/>
  <c r="L853" i="3"/>
  <c r="M853" i="3"/>
  <c r="N853" i="3"/>
  <c r="O853" i="3"/>
  <c r="P853" i="3"/>
  <c r="I854" i="3"/>
  <c r="J854" i="3"/>
  <c r="K854" i="3"/>
  <c r="L854" i="3"/>
  <c r="M854" i="3"/>
  <c r="N854" i="3"/>
  <c r="O854" i="3"/>
  <c r="P854" i="3"/>
  <c r="I855" i="3"/>
  <c r="J855" i="3"/>
  <c r="K855" i="3"/>
  <c r="L855" i="3"/>
  <c r="M855" i="3"/>
  <c r="N855" i="3"/>
  <c r="O855" i="3"/>
  <c r="P855" i="3"/>
  <c r="I856" i="3"/>
  <c r="J856" i="3"/>
  <c r="K856" i="3"/>
  <c r="L856" i="3"/>
  <c r="M856" i="3"/>
  <c r="N856" i="3"/>
  <c r="O856" i="3"/>
  <c r="P856" i="3"/>
  <c r="I857" i="3"/>
  <c r="J857" i="3"/>
  <c r="K857" i="3"/>
  <c r="L857" i="3"/>
  <c r="M857" i="3"/>
  <c r="N857" i="3"/>
  <c r="O857" i="3"/>
  <c r="P857" i="3"/>
  <c r="I858" i="3"/>
  <c r="J858" i="3"/>
  <c r="K858" i="3"/>
  <c r="L858" i="3"/>
  <c r="M858" i="3"/>
  <c r="N858" i="3"/>
  <c r="O858" i="3"/>
  <c r="P858" i="3"/>
  <c r="I859" i="3"/>
  <c r="J859" i="3"/>
  <c r="K859" i="3"/>
  <c r="L859" i="3"/>
  <c r="M859" i="3"/>
  <c r="N859" i="3"/>
  <c r="O859" i="3"/>
  <c r="P859" i="3"/>
  <c r="I860" i="3"/>
  <c r="J860" i="3"/>
  <c r="K860" i="3"/>
  <c r="L860" i="3"/>
  <c r="M860" i="3"/>
  <c r="N860" i="3"/>
  <c r="O860" i="3"/>
  <c r="P860" i="3"/>
  <c r="I861" i="3"/>
  <c r="J861" i="3"/>
  <c r="K861" i="3"/>
  <c r="L861" i="3"/>
  <c r="M861" i="3"/>
  <c r="N861" i="3"/>
  <c r="O861" i="3"/>
  <c r="P861" i="3"/>
  <c r="I862" i="3"/>
  <c r="J862" i="3"/>
  <c r="K862" i="3"/>
  <c r="L862" i="3"/>
  <c r="M862" i="3"/>
  <c r="N862" i="3"/>
  <c r="O862" i="3"/>
  <c r="P862" i="3"/>
  <c r="I863" i="3"/>
  <c r="J863" i="3"/>
  <c r="K863" i="3"/>
  <c r="L863" i="3"/>
  <c r="M863" i="3"/>
  <c r="N863" i="3"/>
  <c r="O863" i="3"/>
  <c r="P863" i="3"/>
  <c r="I864" i="3"/>
  <c r="J864" i="3"/>
  <c r="K864" i="3"/>
  <c r="L864" i="3"/>
  <c r="M864" i="3"/>
  <c r="N864" i="3"/>
  <c r="O864" i="3"/>
  <c r="P864" i="3"/>
  <c r="I865" i="3"/>
  <c r="J865" i="3"/>
  <c r="K865" i="3"/>
  <c r="L865" i="3"/>
  <c r="M865" i="3"/>
  <c r="N865" i="3"/>
  <c r="O865" i="3"/>
  <c r="P865" i="3"/>
  <c r="I866" i="3"/>
  <c r="J866" i="3"/>
  <c r="K866" i="3"/>
  <c r="L866" i="3"/>
  <c r="M866" i="3"/>
  <c r="N866" i="3"/>
  <c r="O866" i="3"/>
  <c r="P866" i="3"/>
  <c r="I867" i="3"/>
  <c r="J867" i="3"/>
  <c r="K867" i="3"/>
  <c r="L867" i="3"/>
  <c r="M867" i="3"/>
  <c r="N867" i="3"/>
  <c r="O867" i="3"/>
  <c r="P867" i="3"/>
  <c r="I868" i="3"/>
  <c r="J868" i="3"/>
  <c r="K868" i="3"/>
  <c r="L868" i="3"/>
  <c r="M868" i="3"/>
  <c r="N868" i="3"/>
  <c r="O868" i="3"/>
  <c r="P868" i="3"/>
  <c r="I869" i="3"/>
  <c r="J869" i="3"/>
  <c r="K869" i="3"/>
  <c r="L869" i="3"/>
  <c r="M869" i="3"/>
  <c r="N869" i="3"/>
  <c r="O869" i="3"/>
  <c r="P869" i="3"/>
  <c r="I870" i="3"/>
  <c r="J870" i="3"/>
  <c r="K870" i="3"/>
  <c r="L870" i="3"/>
  <c r="M870" i="3"/>
  <c r="N870" i="3"/>
  <c r="O870" i="3"/>
  <c r="P870" i="3"/>
  <c r="I871" i="3"/>
  <c r="J871" i="3"/>
  <c r="K871" i="3"/>
  <c r="L871" i="3"/>
  <c r="M871" i="3"/>
  <c r="N871" i="3"/>
  <c r="O871" i="3"/>
  <c r="P871" i="3"/>
  <c r="I872" i="3"/>
  <c r="J872" i="3"/>
  <c r="K872" i="3"/>
  <c r="L872" i="3"/>
  <c r="M872" i="3"/>
  <c r="N872" i="3"/>
  <c r="O872" i="3"/>
  <c r="P872" i="3"/>
  <c r="I873" i="3"/>
  <c r="J873" i="3"/>
  <c r="K873" i="3"/>
  <c r="L873" i="3"/>
  <c r="M873" i="3"/>
  <c r="N873" i="3"/>
  <c r="O873" i="3"/>
  <c r="P873" i="3"/>
  <c r="I874" i="3"/>
  <c r="J874" i="3"/>
  <c r="K874" i="3"/>
  <c r="L874" i="3"/>
  <c r="M874" i="3"/>
  <c r="N874" i="3"/>
  <c r="O874" i="3"/>
  <c r="P874" i="3"/>
  <c r="I875" i="3"/>
  <c r="J875" i="3"/>
  <c r="K875" i="3"/>
  <c r="L875" i="3"/>
  <c r="M875" i="3"/>
  <c r="N875" i="3"/>
  <c r="O875" i="3"/>
  <c r="P875" i="3"/>
  <c r="I876" i="3"/>
  <c r="J876" i="3"/>
  <c r="K876" i="3"/>
  <c r="L876" i="3"/>
  <c r="M876" i="3"/>
  <c r="N876" i="3"/>
  <c r="O876" i="3"/>
  <c r="P876" i="3"/>
  <c r="I877" i="3"/>
  <c r="J877" i="3"/>
  <c r="K877" i="3"/>
  <c r="L877" i="3"/>
  <c r="M877" i="3"/>
  <c r="N877" i="3"/>
  <c r="O877" i="3"/>
  <c r="P877" i="3"/>
  <c r="I878" i="3"/>
  <c r="J878" i="3"/>
  <c r="K878" i="3"/>
  <c r="L878" i="3"/>
  <c r="M878" i="3"/>
  <c r="N878" i="3"/>
  <c r="O878" i="3"/>
  <c r="P878" i="3"/>
  <c r="I879" i="3"/>
  <c r="J879" i="3"/>
  <c r="K879" i="3"/>
  <c r="L879" i="3"/>
  <c r="M879" i="3"/>
  <c r="N879" i="3"/>
  <c r="O879" i="3"/>
  <c r="P879" i="3"/>
  <c r="I880" i="3"/>
  <c r="J880" i="3"/>
  <c r="K880" i="3"/>
  <c r="L880" i="3"/>
  <c r="M880" i="3"/>
  <c r="N880" i="3"/>
  <c r="O880" i="3"/>
  <c r="P880" i="3"/>
  <c r="I881" i="3"/>
  <c r="J881" i="3"/>
  <c r="K881" i="3"/>
  <c r="L881" i="3"/>
  <c r="M881" i="3"/>
  <c r="N881" i="3"/>
  <c r="O881" i="3"/>
  <c r="P881" i="3"/>
  <c r="I882" i="3"/>
  <c r="J882" i="3"/>
  <c r="K882" i="3"/>
  <c r="L882" i="3"/>
  <c r="M882" i="3"/>
  <c r="N882" i="3"/>
  <c r="O882" i="3"/>
  <c r="P882" i="3"/>
  <c r="I883" i="3"/>
  <c r="J883" i="3"/>
  <c r="K883" i="3"/>
  <c r="L883" i="3"/>
  <c r="M883" i="3"/>
  <c r="N883" i="3"/>
  <c r="O883" i="3"/>
  <c r="P883" i="3"/>
  <c r="I884" i="3"/>
  <c r="J884" i="3"/>
  <c r="K884" i="3"/>
  <c r="L884" i="3"/>
  <c r="M884" i="3"/>
  <c r="N884" i="3"/>
  <c r="O884" i="3"/>
  <c r="P884" i="3"/>
  <c r="I885" i="3"/>
  <c r="J885" i="3"/>
  <c r="K885" i="3"/>
  <c r="L885" i="3"/>
  <c r="M885" i="3"/>
  <c r="N885" i="3"/>
  <c r="O885" i="3"/>
  <c r="P885" i="3"/>
  <c r="I886" i="3"/>
  <c r="J886" i="3"/>
  <c r="K886" i="3"/>
  <c r="L886" i="3"/>
  <c r="M886" i="3"/>
  <c r="N886" i="3"/>
  <c r="O886" i="3"/>
  <c r="P886" i="3"/>
  <c r="I887" i="3"/>
  <c r="J887" i="3"/>
  <c r="K887" i="3"/>
  <c r="L887" i="3"/>
  <c r="M887" i="3"/>
  <c r="N887" i="3"/>
  <c r="O887" i="3"/>
  <c r="P887" i="3"/>
  <c r="I888" i="3"/>
  <c r="J888" i="3"/>
  <c r="K888" i="3"/>
  <c r="L888" i="3"/>
  <c r="M888" i="3"/>
  <c r="N888" i="3"/>
  <c r="O888" i="3"/>
  <c r="P888" i="3"/>
  <c r="I889" i="3"/>
  <c r="J889" i="3"/>
  <c r="K889" i="3"/>
  <c r="L889" i="3"/>
  <c r="M889" i="3"/>
  <c r="N889" i="3"/>
  <c r="O889" i="3"/>
  <c r="P889" i="3"/>
  <c r="I890" i="3"/>
  <c r="J890" i="3"/>
  <c r="K890" i="3"/>
  <c r="L890" i="3"/>
  <c r="M890" i="3"/>
  <c r="N890" i="3"/>
  <c r="O890" i="3"/>
  <c r="P890" i="3"/>
  <c r="I891" i="3"/>
  <c r="J891" i="3"/>
  <c r="K891" i="3"/>
  <c r="L891" i="3"/>
  <c r="M891" i="3"/>
  <c r="N891" i="3"/>
  <c r="O891" i="3"/>
  <c r="P891" i="3"/>
  <c r="I892" i="3"/>
  <c r="J892" i="3"/>
  <c r="K892" i="3"/>
  <c r="L892" i="3"/>
  <c r="M892" i="3"/>
  <c r="N892" i="3"/>
  <c r="O892" i="3"/>
  <c r="P892" i="3"/>
  <c r="I893" i="3"/>
  <c r="J893" i="3"/>
  <c r="K893" i="3"/>
  <c r="L893" i="3"/>
  <c r="M893" i="3"/>
  <c r="N893" i="3"/>
  <c r="O893" i="3"/>
  <c r="P893" i="3"/>
  <c r="I894" i="3"/>
  <c r="J894" i="3"/>
  <c r="K894" i="3"/>
  <c r="L894" i="3"/>
  <c r="M894" i="3"/>
  <c r="N894" i="3"/>
  <c r="O894" i="3"/>
  <c r="P894" i="3"/>
  <c r="I895" i="3"/>
  <c r="J895" i="3"/>
  <c r="K895" i="3"/>
  <c r="L895" i="3"/>
  <c r="M895" i="3"/>
  <c r="N895" i="3"/>
  <c r="O895" i="3"/>
  <c r="P895" i="3"/>
  <c r="I896" i="3"/>
  <c r="J896" i="3"/>
  <c r="K896" i="3"/>
  <c r="L896" i="3"/>
  <c r="M896" i="3"/>
  <c r="N896" i="3"/>
  <c r="O896" i="3"/>
  <c r="P896" i="3"/>
  <c r="I897" i="3"/>
  <c r="J897" i="3"/>
  <c r="K897" i="3"/>
  <c r="L897" i="3"/>
  <c r="M897" i="3"/>
  <c r="N897" i="3"/>
  <c r="O897" i="3"/>
  <c r="P897" i="3"/>
  <c r="I898" i="3"/>
  <c r="J898" i="3"/>
  <c r="K898" i="3"/>
  <c r="L898" i="3"/>
  <c r="M898" i="3"/>
  <c r="N898" i="3"/>
  <c r="O898" i="3"/>
  <c r="P898" i="3"/>
  <c r="I899" i="3"/>
  <c r="J899" i="3"/>
  <c r="K899" i="3"/>
  <c r="L899" i="3"/>
  <c r="M899" i="3"/>
  <c r="N899" i="3"/>
  <c r="O899" i="3"/>
  <c r="P899" i="3"/>
  <c r="I900" i="3"/>
  <c r="J900" i="3"/>
  <c r="K900" i="3"/>
  <c r="L900" i="3"/>
  <c r="M900" i="3"/>
  <c r="N900" i="3"/>
  <c r="O900" i="3"/>
  <c r="P900" i="3"/>
  <c r="I901" i="3"/>
  <c r="J901" i="3"/>
  <c r="K901" i="3"/>
  <c r="L901" i="3"/>
  <c r="M901" i="3"/>
  <c r="N901" i="3"/>
  <c r="O901" i="3"/>
  <c r="P901" i="3"/>
  <c r="I902" i="3"/>
  <c r="J902" i="3"/>
  <c r="K902" i="3"/>
  <c r="L902" i="3"/>
  <c r="M902" i="3"/>
  <c r="N902" i="3"/>
  <c r="O902" i="3"/>
  <c r="P902" i="3"/>
  <c r="I903" i="3"/>
  <c r="J903" i="3"/>
  <c r="K903" i="3"/>
  <c r="L903" i="3"/>
  <c r="M903" i="3"/>
  <c r="N903" i="3"/>
  <c r="O903" i="3"/>
  <c r="P903" i="3"/>
  <c r="I904" i="3"/>
  <c r="J904" i="3"/>
  <c r="K904" i="3"/>
  <c r="L904" i="3"/>
  <c r="M904" i="3"/>
  <c r="N904" i="3"/>
  <c r="O904" i="3"/>
  <c r="P904" i="3"/>
  <c r="I905" i="3"/>
  <c r="J905" i="3"/>
  <c r="K905" i="3"/>
  <c r="L905" i="3"/>
  <c r="M905" i="3"/>
  <c r="N905" i="3"/>
  <c r="O905" i="3"/>
  <c r="P905" i="3"/>
  <c r="I906" i="3"/>
  <c r="J906" i="3"/>
  <c r="K906" i="3"/>
  <c r="L906" i="3"/>
  <c r="M906" i="3"/>
  <c r="N906" i="3"/>
  <c r="O906" i="3"/>
  <c r="P906" i="3"/>
  <c r="I907" i="3"/>
  <c r="J907" i="3"/>
  <c r="K907" i="3"/>
  <c r="L907" i="3"/>
  <c r="M907" i="3"/>
  <c r="N907" i="3"/>
  <c r="O907" i="3"/>
  <c r="P907" i="3"/>
  <c r="I908" i="3"/>
  <c r="J908" i="3"/>
  <c r="K908" i="3"/>
  <c r="L908" i="3"/>
  <c r="M908" i="3"/>
  <c r="N908" i="3"/>
  <c r="O908" i="3"/>
  <c r="P908" i="3"/>
  <c r="I909" i="3"/>
  <c r="J909" i="3"/>
  <c r="K909" i="3"/>
  <c r="L909" i="3"/>
  <c r="M909" i="3"/>
  <c r="N909" i="3"/>
  <c r="O909" i="3"/>
  <c r="P909" i="3"/>
  <c r="I910" i="3"/>
  <c r="J910" i="3"/>
  <c r="K910" i="3"/>
  <c r="L910" i="3"/>
  <c r="M910" i="3"/>
  <c r="N910" i="3"/>
  <c r="O910" i="3"/>
  <c r="P910" i="3"/>
  <c r="I911" i="3"/>
  <c r="J911" i="3"/>
  <c r="K911" i="3"/>
  <c r="L911" i="3"/>
  <c r="M911" i="3"/>
  <c r="N911" i="3"/>
  <c r="O911" i="3"/>
  <c r="P911" i="3"/>
  <c r="I912" i="3"/>
  <c r="J912" i="3"/>
  <c r="K912" i="3"/>
  <c r="L912" i="3"/>
  <c r="M912" i="3"/>
  <c r="N912" i="3"/>
  <c r="O912" i="3"/>
  <c r="P912" i="3"/>
  <c r="I913" i="3"/>
  <c r="J913" i="3"/>
  <c r="K913" i="3"/>
  <c r="L913" i="3"/>
  <c r="M913" i="3"/>
  <c r="N913" i="3"/>
  <c r="O913" i="3"/>
  <c r="P913" i="3"/>
  <c r="I914" i="3"/>
  <c r="J914" i="3"/>
  <c r="K914" i="3"/>
  <c r="L914" i="3"/>
  <c r="M914" i="3"/>
  <c r="N914" i="3"/>
  <c r="O914" i="3"/>
  <c r="P914" i="3"/>
  <c r="I915" i="3"/>
  <c r="J915" i="3"/>
  <c r="K915" i="3"/>
  <c r="L915" i="3"/>
  <c r="M915" i="3"/>
  <c r="N915" i="3"/>
  <c r="O915" i="3"/>
  <c r="P915" i="3"/>
  <c r="I916" i="3"/>
  <c r="J916" i="3"/>
  <c r="K916" i="3"/>
  <c r="L916" i="3"/>
  <c r="M916" i="3"/>
  <c r="N916" i="3"/>
  <c r="O916" i="3"/>
  <c r="P916" i="3"/>
  <c r="I917" i="3"/>
  <c r="J917" i="3"/>
  <c r="K917" i="3"/>
  <c r="L917" i="3"/>
  <c r="M917" i="3"/>
  <c r="N917" i="3"/>
  <c r="O917" i="3"/>
  <c r="P917" i="3"/>
  <c r="I918" i="3"/>
  <c r="J918" i="3"/>
  <c r="K918" i="3"/>
  <c r="L918" i="3"/>
  <c r="M918" i="3"/>
  <c r="N918" i="3"/>
  <c r="O918" i="3"/>
  <c r="P918" i="3"/>
  <c r="I919" i="3"/>
  <c r="J919" i="3"/>
  <c r="K919" i="3"/>
  <c r="L919" i="3"/>
  <c r="M919" i="3"/>
  <c r="N919" i="3"/>
  <c r="O919" i="3"/>
  <c r="P919" i="3"/>
  <c r="I920" i="3"/>
  <c r="J920" i="3"/>
  <c r="K920" i="3"/>
  <c r="L920" i="3"/>
  <c r="M920" i="3"/>
  <c r="N920" i="3"/>
  <c r="O920" i="3"/>
  <c r="P920" i="3"/>
  <c r="I921" i="3"/>
  <c r="J921" i="3"/>
  <c r="K921" i="3"/>
  <c r="L921" i="3"/>
  <c r="M921" i="3"/>
  <c r="N921" i="3"/>
  <c r="O921" i="3"/>
  <c r="P921" i="3"/>
  <c r="I922" i="3"/>
  <c r="J922" i="3"/>
  <c r="K922" i="3"/>
  <c r="L922" i="3"/>
  <c r="M922" i="3"/>
  <c r="N922" i="3"/>
  <c r="O922" i="3"/>
  <c r="P922" i="3"/>
  <c r="I923" i="3"/>
  <c r="J923" i="3"/>
  <c r="K923" i="3"/>
  <c r="L923" i="3"/>
  <c r="M923" i="3"/>
  <c r="N923" i="3"/>
  <c r="O923" i="3"/>
  <c r="P923" i="3"/>
  <c r="I924" i="3"/>
  <c r="J924" i="3"/>
  <c r="K924" i="3"/>
  <c r="L924" i="3"/>
  <c r="M924" i="3"/>
  <c r="N924" i="3"/>
  <c r="O924" i="3"/>
  <c r="P924" i="3"/>
  <c r="I925" i="3"/>
  <c r="J925" i="3"/>
  <c r="K925" i="3"/>
  <c r="L925" i="3"/>
  <c r="M925" i="3"/>
  <c r="N925" i="3"/>
  <c r="O925" i="3"/>
  <c r="P925" i="3"/>
  <c r="I926" i="3"/>
  <c r="J926" i="3"/>
  <c r="K926" i="3"/>
  <c r="L926" i="3"/>
  <c r="M926" i="3"/>
  <c r="N926" i="3"/>
  <c r="O926" i="3"/>
  <c r="P926" i="3"/>
  <c r="I927" i="3"/>
  <c r="J927" i="3"/>
  <c r="K927" i="3"/>
  <c r="L927" i="3"/>
  <c r="M927" i="3"/>
  <c r="N927" i="3"/>
  <c r="O927" i="3"/>
  <c r="P927" i="3"/>
  <c r="I928" i="3"/>
  <c r="J928" i="3"/>
  <c r="K928" i="3"/>
  <c r="L928" i="3"/>
  <c r="M928" i="3"/>
  <c r="N928" i="3"/>
  <c r="O928" i="3"/>
  <c r="P928" i="3"/>
  <c r="I929" i="3"/>
  <c r="J929" i="3"/>
  <c r="K929" i="3"/>
  <c r="L929" i="3"/>
  <c r="M929" i="3"/>
  <c r="N929" i="3"/>
  <c r="O929" i="3"/>
  <c r="P929" i="3"/>
  <c r="I930" i="3"/>
  <c r="J930" i="3"/>
  <c r="K930" i="3"/>
  <c r="L930" i="3"/>
  <c r="M930" i="3"/>
  <c r="N930" i="3"/>
  <c r="O930" i="3"/>
  <c r="P930" i="3"/>
  <c r="I931" i="3"/>
  <c r="J931" i="3"/>
  <c r="K931" i="3"/>
  <c r="L931" i="3"/>
  <c r="M931" i="3"/>
  <c r="N931" i="3"/>
  <c r="O931" i="3"/>
  <c r="P931" i="3"/>
  <c r="I932" i="3"/>
  <c r="J932" i="3"/>
  <c r="K932" i="3"/>
  <c r="L932" i="3"/>
  <c r="M932" i="3"/>
  <c r="N932" i="3"/>
  <c r="O932" i="3"/>
  <c r="P932" i="3"/>
  <c r="I933" i="3"/>
  <c r="J933" i="3"/>
  <c r="K933" i="3"/>
  <c r="L933" i="3"/>
  <c r="M933" i="3"/>
  <c r="N933" i="3"/>
  <c r="O933" i="3"/>
  <c r="P933" i="3"/>
  <c r="I934" i="3"/>
  <c r="J934" i="3"/>
  <c r="K934" i="3"/>
  <c r="L934" i="3"/>
  <c r="M934" i="3"/>
  <c r="N934" i="3"/>
  <c r="O934" i="3"/>
  <c r="P934" i="3"/>
  <c r="I935" i="3"/>
  <c r="J935" i="3"/>
  <c r="K935" i="3"/>
  <c r="L935" i="3"/>
  <c r="M935" i="3"/>
  <c r="N935" i="3"/>
  <c r="O935" i="3"/>
  <c r="P935" i="3"/>
  <c r="I936" i="3"/>
  <c r="J936" i="3"/>
  <c r="K936" i="3"/>
  <c r="L936" i="3"/>
  <c r="M936" i="3"/>
  <c r="N936" i="3"/>
  <c r="O936" i="3"/>
  <c r="P936" i="3"/>
  <c r="I937" i="3"/>
  <c r="J937" i="3"/>
  <c r="K937" i="3"/>
  <c r="L937" i="3"/>
  <c r="M937" i="3"/>
  <c r="N937" i="3"/>
  <c r="O937" i="3"/>
  <c r="P937" i="3"/>
  <c r="I938" i="3"/>
  <c r="J938" i="3"/>
  <c r="K938" i="3"/>
  <c r="L938" i="3"/>
  <c r="M938" i="3"/>
  <c r="N938" i="3"/>
  <c r="O938" i="3"/>
  <c r="P938" i="3"/>
  <c r="I939" i="3"/>
  <c r="J939" i="3"/>
  <c r="K939" i="3"/>
  <c r="L939" i="3"/>
  <c r="M939" i="3"/>
  <c r="N939" i="3"/>
  <c r="O939" i="3"/>
  <c r="P939" i="3"/>
  <c r="I940" i="3"/>
  <c r="J940" i="3"/>
  <c r="K940" i="3"/>
  <c r="L940" i="3"/>
  <c r="M940" i="3"/>
  <c r="N940" i="3"/>
  <c r="O940" i="3"/>
  <c r="P940" i="3"/>
  <c r="I941" i="3"/>
  <c r="J941" i="3"/>
  <c r="K941" i="3"/>
  <c r="L941" i="3"/>
  <c r="M941" i="3"/>
  <c r="N941" i="3"/>
  <c r="O941" i="3"/>
  <c r="P941" i="3"/>
  <c r="I942" i="3"/>
  <c r="J942" i="3"/>
  <c r="K942" i="3"/>
  <c r="L942" i="3"/>
  <c r="M942" i="3"/>
  <c r="N942" i="3"/>
  <c r="O942" i="3"/>
  <c r="P942" i="3"/>
  <c r="I943" i="3"/>
  <c r="J943" i="3"/>
  <c r="K943" i="3"/>
  <c r="L943" i="3"/>
  <c r="M943" i="3"/>
  <c r="N943" i="3"/>
  <c r="O943" i="3"/>
  <c r="P943" i="3"/>
  <c r="I944" i="3"/>
  <c r="J944" i="3"/>
  <c r="K944" i="3"/>
  <c r="L944" i="3"/>
  <c r="M944" i="3"/>
  <c r="N944" i="3"/>
  <c r="O944" i="3"/>
  <c r="P944" i="3"/>
  <c r="I945" i="3"/>
  <c r="J945" i="3"/>
  <c r="K945" i="3"/>
  <c r="L945" i="3"/>
  <c r="M945" i="3"/>
  <c r="N945" i="3"/>
  <c r="O945" i="3"/>
  <c r="P945" i="3"/>
  <c r="I946" i="3"/>
  <c r="J946" i="3"/>
  <c r="K946" i="3"/>
  <c r="L946" i="3"/>
  <c r="M946" i="3"/>
  <c r="N946" i="3"/>
  <c r="O946" i="3"/>
  <c r="P946" i="3"/>
  <c r="I947" i="3"/>
  <c r="J947" i="3"/>
  <c r="K947" i="3"/>
  <c r="L947" i="3"/>
  <c r="M947" i="3"/>
  <c r="N947" i="3"/>
  <c r="O947" i="3"/>
  <c r="P947" i="3"/>
  <c r="I948" i="3"/>
  <c r="J948" i="3"/>
  <c r="K948" i="3"/>
  <c r="L948" i="3"/>
  <c r="M948" i="3"/>
  <c r="N948" i="3"/>
  <c r="O948" i="3"/>
  <c r="P948" i="3"/>
  <c r="I949" i="3"/>
  <c r="J949" i="3"/>
  <c r="K949" i="3"/>
  <c r="L949" i="3"/>
  <c r="M949" i="3"/>
  <c r="N949" i="3"/>
  <c r="O949" i="3"/>
  <c r="P949" i="3"/>
  <c r="I950" i="3"/>
  <c r="J950" i="3"/>
  <c r="K950" i="3"/>
  <c r="L950" i="3"/>
  <c r="M950" i="3"/>
  <c r="N950" i="3"/>
  <c r="O950" i="3"/>
  <c r="P950" i="3"/>
  <c r="I951" i="3"/>
  <c r="J951" i="3"/>
  <c r="K951" i="3"/>
  <c r="L951" i="3"/>
  <c r="M951" i="3"/>
  <c r="N951" i="3"/>
  <c r="O951" i="3"/>
  <c r="P951" i="3"/>
  <c r="I952" i="3"/>
  <c r="J952" i="3"/>
  <c r="K952" i="3"/>
  <c r="L952" i="3"/>
  <c r="M952" i="3"/>
  <c r="N952" i="3"/>
  <c r="O952" i="3"/>
  <c r="P952" i="3"/>
  <c r="I953" i="3"/>
  <c r="J953" i="3"/>
  <c r="K953" i="3"/>
  <c r="L953" i="3"/>
  <c r="M953" i="3"/>
  <c r="N953" i="3"/>
  <c r="O953" i="3"/>
  <c r="P953" i="3"/>
  <c r="I954" i="3"/>
  <c r="J954" i="3"/>
  <c r="K954" i="3"/>
  <c r="L954" i="3"/>
  <c r="M954" i="3"/>
  <c r="N954" i="3"/>
  <c r="O954" i="3"/>
  <c r="P954" i="3"/>
  <c r="I955" i="3"/>
  <c r="J955" i="3"/>
  <c r="K955" i="3"/>
  <c r="L955" i="3"/>
  <c r="M955" i="3"/>
  <c r="N955" i="3"/>
  <c r="O955" i="3"/>
  <c r="P955" i="3"/>
  <c r="I956" i="3"/>
  <c r="J956" i="3"/>
  <c r="K956" i="3"/>
  <c r="L956" i="3"/>
  <c r="M956" i="3"/>
  <c r="N956" i="3"/>
  <c r="O956" i="3"/>
  <c r="P956" i="3"/>
  <c r="I957" i="3"/>
  <c r="J957" i="3"/>
  <c r="K957" i="3"/>
  <c r="L957" i="3"/>
  <c r="M957" i="3"/>
  <c r="N957" i="3"/>
  <c r="O957" i="3"/>
  <c r="P957" i="3"/>
  <c r="I958" i="3"/>
  <c r="J958" i="3"/>
  <c r="K958" i="3"/>
  <c r="L958" i="3"/>
  <c r="M958" i="3"/>
  <c r="N958" i="3"/>
  <c r="O958" i="3"/>
  <c r="P958" i="3"/>
  <c r="I959" i="3"/>
  <c r="J959" i="3"/>
  <c r="K959" i="3"/>
  <c r="L959" i="3"/>
  <c r="M959" i="3"/>
  <c r="N959" i="3"/>
  <c r="O959" i="3"/>
  <c r="P959" i="3"/>
  <c r="I960" i="3"/>
  <c r="J960" i="3"/>
  <c r="K960" i="3"/>
  <c r="L960" i="3"/>
  <c r="M960" i="3"/>
  <c r="N960" i="3"/>
  <c r="O960" i="3"/>
  <c r="P960" i="3"/>
  <c r="I961" i="3"/>
  <c r="J961" i="3"/>
  <c r="K961" i="3"/>
  <c r="L961" i="3"/>
  <c r="M961" i="3"/>
  <c r="N961" i="3"/>
  <c r="O961" i="3"/>
  <c r="P961" i="3"/>
  <c r="I962" i="3"/>
  <c r="J962" i="3"/>
  <c r="K962" i="3"/>
  <c r="L962" i="3"/>
  <c r="M962" i="3"/>
  <c r="N962" i="3"/>
  <c r="O962" i="3"/>
  <c r="P962" i="3"/>
  <c r="I963" i="3"/>
  <c r="J963" i="3"/>
  <c r="K963" i="3"/>
  <c r="L963" i="3"/>
  <c r="M963" i="3"/>
  <c r="N963" i="3"/>
  <c r="O963" i="3"/>
  <c r="P963" i="3"/>
  <c r="I964" i="3"/>
  <c r="J964" i="3"/>
  <c r="K964" i="3"/>
  <c r="L964" i="3"/>
  <c r="M964" i="3"/>
  <c r="N964" i="3"/>
  <c r="O964" i="3"/>
  <c r="P964" i="3"/>
  <c r="I965" i="3"/>
  <c r="J965" i="3"/>
  <c r="K965" i="3"/>
  <c r="L965" i="3"/>
  <c r="M965" i="3"/>
  <c r="N965" i="3"/>
  <c r="O965" i="3"/>
  <c r="P965" i="3"/>
  <c r="I966" i="3"/>
  <c r="J966" i="3"/>
  <c r="K966" i="3"/>
  <c r="L966" i="3"/>
  <c r="M966" i="3"/>
  <c r="N966" i="3"/>
  <c r="O966" i="3"/>
  <c r="P966" i="3"/>
  <c r="I967" i="3"/>
  <c r="J967" i="3"/>
  <c r="K967" i="3"/>
  <c r="L967" i="3"/>
  <c r="M967" i="3"/>
  <c r="N967" i="3"/>
  <c r="O967" i="3"/>
  <c r="P967" i="3"/>
  <c r="I968" i="3"/>
  <c r="J968" i="3"/>
  <c r="K968" i="3"/>
  <c r="L968" i="3"/>
  <c r="M968" i="3"/>
  <c r="N968" i="3"/>
  <c r="O968" i="3"/>
  <c r="P968" i="3"/>
  <c r="I969" i="3"/>
  <c r="J969" i="3"/>
  <c r="K969" i="3"/>
  <c r="L969" i="3"/>
  <c r="M969" i="3"/>
  <c r="N969" i="3"/>
  <c r="O969" i="3"/>
  <c r="P969" i="3"/>
  <c r="I970" i="3"/>
  <c r="J970" i="3"/>
  <c r="K970" i="3"/>
  <c r="L970" i="3"/>
  <c r="M970" i="3"/>
  <c r="N970" i="3"/>
  <c r="O970" i="3"/>
  <c r="P970" i="3"/>
  <c r="I971" i="3"/>
  <c r="J971" i="3"/>
  <c r="K971" i="3"/>
  <c r="L971" i="3"/>
  <c r="M971" i="3"/>
  <c r="N971" i="3"/>
  <c r="O971" i="3"/>
  <c r="P971" i="3"/>
  <c r="I972" i="3"/>
  <c r="J972" i="3"/>
  <c r="K972" i="3"/>
  <c r="L972" i="3"/>
  <c r="M972" i="3"/>
  <c r="N972" i="3"/>
  <c r="O972" i="3"/>
  <c r="P972" i="3"/>
  <c r="I973" i="3"/>
  <c r="J973" i="3"/>
  <c r="K973" i="3"/>
  <c r="L973" i="3"/>
  <c r="M973" i="3"/>
  <c r="N973" i="3"/>
  <c r="O973" i="3"/>
  <c r="P973" i="3"/>
  <c r="I974" i="3"/>
  <c r="J974" i="3"/>
  <c r="K974" i="3"/>
  <c r="L974" i="3"/>
  <c r="M974" i="3"/>
  <c r="N974" i="3"/>
  <c r="O974" i="3"/>
  <c r="P974" i="3"/>
  <c r="I975" i="3"/>
  <c r="J975" i="3"/>
  <c r="K975" i="3"/>
  <c r="L975" i="3"/>
  <c r="M975" i="3"/>
  <c r="N975" i="3"/>
  <c r="O975" i="3"/>
  <c r="P975" i="3"/>
  <c r="I976" i="3"/>
  <c r="J976" i="3"/>
  <c r="K976" i="3"/>
  <c r="L976" i="3"/>
  <c r="M976" i="3"/>
  <c r="N976" i="3"/>
  <c r="O976" i="3"/>
  <c r="P976" i="3"/>
  <c r="I977" i="3"/>
  <c r="J977" i="3"/>
  <c r="K977" i="3"/>
  <c r="L977" i="3"/>
  <c r="M977" i="3"/>
  <c r="N977" i="3"/>
  <c r="O977" i="3"/>
  <c r="P977" i="3"/>
  <c r="I978" i="3"/>
  <c r="J978" i="3"/>
  <c r="K978" i="3"/>
  <c r="L978" i="3"/>
  <c r="M978" i="3"/>
  <c r="N978" i="3"/>
  <c r="O978" i="3"/>
  <c r="P978" i="3"/>
  <c r="I979" i="3"/>
  <c r="J979" i="3"/>
  <c r="K979" i="3"/>
  <c r="L979" i="3"/>
  <c r="M979" i="3"/>
  <c r="N979" i="3"/>
  <c r="O979" i="3"/>
  <c r="P979" i="3"/>
  <c r="I980" i="3"/>
  <c r="J980" i="3"/>
  <c r="K980" i="3"/>
  <c r="L980" i="3"/>
  <c r="M980" i="3"/>
  <c r="N980" i="3"/>
  <c r="O980" i="3"/>
  <c r="P980" i="3"/>
  <c r="I981" i="3"/>
  <c r="J981" i="3"/>
  <c r="K981" i="3"/>
  <c r="L981" i="3"/>
  <c r="M981" i="3"/>
  <c r="N981" i="3"/>
  <c r="O981" i="3"/>
  <c r="P981" i="3"/>
  <c r="I982" i="3"/>
  <c r="J982" i="3"/>
  <c r="K982" i="3"/>
  <c r="L982" i="3"/>
  <c r="M982" i="3"/>
  <c r="N982" i="3"/>
  <c r="O982" i="3"/>
  <c r="P982" i="3"/>
  <c r="I983" i="3"/>
  <c r="J983" i="3"/>
  <c r="K983" i="3"/>
  <c r="L983" i="3"/>
  <c r="M983" i="3"/>
  <c r="N983" i="3"/>
  <c r="O983" i="3"/>
  <c r="P983" i="3"/>
  <c r="I984" i="3"/>
  <c r="J984" i="3"/>
  <c r="K984" i="3"/>
  <c r="L984" i="3"/>
  <c r="M984" i="3"/>
  <c r="N984" i="3"/>
  <c r="O984" i="3"/>
  <c r="P984" i="3"/>
  <c r="I985" i="3"/>
  <c r="J985" i="3"/>
  <c r="K985" i="3"/>
  <c r="L985" i="3"/>
  <c r="M985" i="3"/>
  <c r="N985" i="3"/>
  <c r="O985" i="3"/>
  <c r="P985" i="3"/>
  <c r="I986" i="3"/>
  <c r="J986" i="3"/>
  <c r="K986" i="3"/>
  <c r="L986" i="3"/>
  <c r="M986" i="3"/>
  <c r="N986" i="3"/>
  <c r="O986" i="3"/>
  <c r="P986" i="3"/>
  <c r="I987" i="3"/>
  <c r="J987" i="3"/>
  <c r="K987" i="3"/>
  <c r="L987" i="3"/>
  <c r="M987" i="3"/>
  <c r="N987" i="3"/>
  <c r="O987" i="3"/>
  <c r="P987" i="3"/>
  <c r="I988" i="3"/>
  <c r="J988" i="3"/>
  <c r="K988" i="3"/>
  <c r="L988" i="3"/>
  <c r="M988" i="3"/>
  <c r="N988" i="3"/>
  <c r="O988" i="3"/>
  <c r="P988" i="3"/>
  <c r="I989" i="3"/>
  <c r="J989" i="3"/>
  <c r="K989" i="3"/>
  <c r="L989" i="3"/>
  <c r="M989" i="3"/>
  <c r="N989" i="3"/>
  <c r="O989" i="3"/>
  <c r="P989" i="3"/>
  <c r="I990" i="3"/>
  <c r="J990" i="3"/>
  <c r="K990" i="3"/>
  <c r="L990" i="3"/>
  <c r="M990" i="3"/>
  <c r="N990" i="3"/>
  <c r="O990" i="3"/>
  <c r="P990" i="3"/>
  <c r="I991" i="3"/>
  <c r="J991" i="3"/>
  <c r="K991" i="3"/>
  <c r="L991" i="3"/>
  <c r="M991" i="3"/>
  <c r="N991" i="3"/>
  <c r="O991" i="3"/>
  <c r="P991" i="3"/>
  <c r="I992" i="3"/>
  <c r="J992" i="3"/>
  <c r="K992" i="3"/>
  <c r="L992" i="3"/>
  <c r="M992" i="3"/>
  <c r="N992" i="3"/>
  <c r="O992" i="3"/>
  <c r="P992" i="3"/>
  <c r="I993" i="3"/>
  <c r="J993" i="3"/>
  <c r="K993" i="3"/>
  <c r="L993" i="3"/>
  <c r="M993" i="3"/>
  <c r="N993" i="3"/>
  <c r="O993" i="3"/>
  <c r="P993" i="3"/>
  <c r="I994" i="3"/>
  <c r="J994" i="3"/>
  <c r="K994" i="3"/>
  <c r="L994" i="3"/>
  <c r="M994" i="3"/>
  <c r="N994" i="3"/>
  <c r="O994" i="3"/>
  <c r="P994" i="3"/>
  <c r="I995" i="3"/>
  <c r="J995" i="3"/>
  <c r="K995" i="3"/>
  <c r="L995" i="3"/>
  <c r="M995" i="3"/>
  <c r="N995" i="3"/>
  <c r="O995" i="3"/>
  <c r="P995" i="3"/>
  <c r="I996" i="3"/>
  <c r="J996" i="3"/>
  <c r="K996" i="3"/>
  <c r="L996" i="3"/>
  <c r="M996" i="3"/>
  <c r="N996" i="3"/>
  <c r="O996" i="3"/>
  <c r="P996" i="3"/>
  <c r="I997" i="3"/>
  <c r="J997" i="3"/>
  <c r="K997" i="3"/>
  <c r="L997" i="3"/>
  <c r="M997" i="3"/>
  <c r="N997" i="3"/>
  <c r="O997" i="3"/>
  <c r="P997" i="3"/>
  <c r="I998" i="3"/>
  <c r="J998" i="3"/>
  <c r="K998" i="3"/>
  <c r="L998" i="3"/>
  <c r="M998" i="3"/>
  <c r="N998" i="3"/>
  <c r="O998" i="3"/>
  <c r="P998" i="3"/>
  <c r="I999" i="3"/>
  <c r="J999" i="3"/>
  <c r="K999" i="3"/>
  <c r="L999" i="3"/>
  <c r="M999" i="3"/>
  <c r="N999" i="3"/>
  <c r="O999" i="3"/>
  <c r="P999" i="3"/>
  <c r="I1000" i="3"/>
  <c r="J1000" i="3"/>
  <c r="K1000" i="3"/>
  <c r="L1000" i="3"/>
  <c r="M1000" i="3"/>
  <c r="N1000" i="3"/>
  <c r="O1000" i="3"/>
  <c r="P1000" i="3"/>
  <c r="I1001" i="3"/>
  <c r="J1001" i="3"/>
  <c r="K1001" i="3"/>
  <c r="L1001" i="3"/>
  <c r="M1001" i="3"/>
  <c r="N1001" i="3"/>
  <c r="O1001" i="3"/>
  <c r="P1001" i="3"/>
  <c r="I1002" i="3"/>
  <c r="J1002" i="3"/>
  <c r="K1002" i="3"/>
  <c r="L1002" i="3"/>
  <c r="M1002" i="3"/>
  <c r="N1002" i="3"/>
  <c r="O1002" i="3"/>
  <c r="P1002" i="3"/>
  <c r="I1003" i="3"/>
  <c r="J1003" i="3"/>
  <c r="K1003" i="3"/>
  <c r="L1003" i="3"/>
  <c r="M1003" i="3"/>
  <c r="N1003" i="3"/>
  <c r="O1003" i="3"/>
  <c r="P1003" i="3"/>
  <c r="I1004" i="3"/>
  <c r="J1004" i="3"/>
  <c r="K1004" i="3"/>
  <c r="L1004" i="3"/>
  <c r="M1004" i="3"/>
  <c r="N1004" i="3"/>
  <c r="O1004" i="3"/>
  <c r="P1004" i="3"/>
  <c r="I1005" i="3"/>
  <c r="J1005" i="3"/>
  <c r="K1005" i="3"/>
  <c r="L1005" i="3"/>
  <c r="M1005" i="3"/>
  <c r="N1005" i="3"/>
  <c r="O1005" i="3"/>
  <c r="P1005" i="3"/>
  <c r="I1006" i="3"/>
  <c r="J1006" i="3"/>
  <c r="K1006" i="3"/>
  <c r="L1006" i="3"/>
  <c r="M1006" i="3"/>
  <c r="N1006" i="3"/>
  <c r="O1006" i="3"/>
  <c r="P1006" i="3"/>
  <c r="I1007" i="3"/>
  <c r="J1007" i="3"/>
  <c r="K1007" i="3"/>
  <c r="L1007" i="3"/>
  <c r="M1007" i="3"/>
  <c r="N1007" i="3"/>
  <c r="O1007" i="3"/>
  <c r="P1007" i="3"/>
  <c r="I1008" i="3"/>
  <c r="J1008" i="3"/>
  <c r="K1008" i="3"/>
  <c r="L1008" i="3"/>
  <c r="M1008" i="3"/>
  <c r="N1008" i="3"/>
  <c r="O1008" i="3"/>
  <c r="P1008" i="3"/>
  <c r="I1009" i="3"/>
  <c r="J1009" i="3"/>
  <c r="K1009" i="3"/>
  <c r="L1009" i="3"/>
  <c r="M1009" i="3"/>
  <c r="N1009" i="3"/>
  <c r="O1009" i="3"/>
  <c r="P1009" i="3"/>
  <c r="J3" i="3"/>
  <c r="K3" i="3"/>
  <c r="L3" i="3"/>
  <c r="M3" i="3"/>
  <c r="N3" i="3"/>
  <c r="O3" i="3"/>
  <c r="P3" i="3"/>
  <c r="I3" i="3"/>
  <c r="M14" i="2"/>
  <c r="N14" i="2"/>
  <c r="L14" i="2"/>
  <c r="H20" i="2" s="1"/>
  <c r="I20" i="2"/>
  <c r="J20" i="2"/>
  <c r="G20" i="2"/>
  <c r="F20" i="2"/>
  <c r="E20" i="2"/>
  <c r="D20" i="2"/>
  <c r="I14" i="2"/>
  <c r="E14" i="2"/>
  <c r="G8" i="2"/>
  <c r="G7" i="2"/>
  <c r="G14" i="2" s="1"/>
  <c r="C7" i="2"/>
  <c r="C14" i="2" s="1"/>
  <c r="AB3" i="3" l="1"/>
  <c r="AB4" i="3" s="1"/>
  <c r="AI3" i="3"/>
  <c r="AI4" i="3" s="1"/>
  <c r="AI2" i="3"/>
  <c r="X881" i="3" s="1"/>
  <c r="X1004" i="3"/>
  <c r="X941" i="3"/>
  <c r="T934" i="3"/>
  <c r="X884" i="3"/>
  <c r="T877" i="3"/>
  <c r="V998" i="3"/>
  <c r="V932" i="3"/>
  <c r="V863" i="3"/>
  <c r="V833" i="3"/>
  <c r="S917" i="3"/>
  <c r="AE2" i="3"/>
  <c r="T961" i="3" s="1"/>
  <c r="S662" i="3"/>
  <c r="X862" i="3"/>
  <c r="X859" i="3"/>
  <c r="X844" i="3"/>
  <c r="X841" i="3"/>
  <c r="X826" i="3"/>
  <c r="X823" i="3"/>
  <c r="X808" i="3"/>
  <c r="X805" i="3"/>
  <c r="X790" i="3"/>
  <c r="X787" i="3"/>
  <c r="X772" i="3"/>
  <c r="X769" i="3"/>
  <c r="X754" i="3"/>
  <c r="X751" i="3"/>
  <c r="X736" i="3"/>
  <c r="X733" i="3"/>
  <c r="X718" i="3"/>
  <c r="X715" i="3"/>
  <c r="X700" i="3"/>
  <c r="X697" i="3"/>
  <c r="X682" i="3"/>
  <c r="X679" i="3"/>
  <c r="X664" i="3"/>
  <c r="X661" i="3"/>
  <c r="X646" i="3"/>
  <c r="X643" i="3"/>
  <c r="X628" i="3"/>
  <c r="X625" i="3"/>
  <c r="X619" i="3"/>
  <c r="W898" i="3"/>
  <c r="V934" i="3"/>
  <c r="V925" i="3"/>
  <c r="V922" i="3"/>
  <c r="V916" i="3"/>
  <c r="V907" i="3"/>
  <c r="V904" i="3"/>
  <c r="V898" i="3"/>
  <c r="V889" i="3"/>
  <c r="V886" i="3"/>
  <c r="V880" i="3"/>
  <c r="V871" i="3"/>
  <c r="V868" i="3"/>
  <c r="V862" i="3"/>
  <c r="V853" i="3"/>
  <c r="V850" i="3"/>
  <c r="V844" i="3"/>
  <c r="V835" i="3"/>
  <c r="V832" i="3"/>
  <c r="V826" i="3"/>
  <c r="V817" i="3"/>
  <c r="V814" i="3"/>
  <c r="V808" i="3"/>
  <c r="V799" i="3"/>
  <c r="V796" i="3"/>
  <c r="V790" i="3"/>
  <c r="V781" i="3"/>
  <c r="V778" i="3"/>
  <c r="V772" i="3"/>
  <c r="V763" i="3"/>
  <c r="V760" i="3"/>
  <c r="V754" i="3"/>
  <c r="V745" i="3"/>
  <c r="V742" i="3"/>
  <c r="V736" i="3"/>
  <c r="V727" i="3"/>
  <c r="V724" i="3"/>
  <c r="V718" i="3"/>
  <c r="V709" i="3"/>
  <c r="T796" i="3"/>
  <c r="X794" i="3"/>
  <c r="T793" i="3"/>
  <c r="X791" i="3"/>
  <c r="T790" i="3"/>
  <c r="T787" i="3"/>
  <c r="T784" i="3"/>
  <c r="X782" i="3"/>
  <c r="T781" i="3"/>
  <c r="X779" i="3"/>
  <c r="T778" i="3"/>
  <c r="X776" i="3"/>
  <c r="T775" i="3"/>
  <c r="X773" i="3"/>
  <c r="T772" i="3"/>
  <c r="T769" i="3"/>
  <c r="T766" i="3"/>
  <c r="X764" i="3"/>
  <c r="T763" i="3"/>
  <c r="X761" i="3"/>
  <c r="T760" i="3"/>
  <c r="X758" i="3"/>
  <c r="T757" i="3"/>
  <c r="X755" i="3"/>
  <c r="T754" i="3"/>
  <c r="T751" i="3"/>
  <c r="T748" i="3"/>
  <c r="X746" i="3"/>
  <c r="T745" i="3"/>
  <c r="X743" i="3"/>
  <c r="T742" i="3"/>
  <c r="X740" i="3"/>
  <c r="T739" i="3"/>
  <c r="X737" i="3"/>
  <c r="T736" i="3"/>
  <c r="T733" i="3"/>
  <c r="T730" i="3"/>
  <c r="X728" i="3"/>
  <c r="T727" i="3"/>
  <c r="X725" i="3"/>
  <c r="T724" i="3"/>
  <c r="X722" i="3"/>
  <c r="T721" i="3"/>
  <c r="X719" i="3"/>
  <c r="T718" i="3"/>
  <c r="T715" i="3"/>
  <c r="T712" i="3"/>
  <c r="X710" i="3"/>
  <c r="T709" i="3"/>
  <c r="X707" i="3"/>
  <c r="T706" i="3"/>
  <c r="X704" i="3"/>
  <c r="T703" i="3"/>
  <c r="X701" i="3"/>
  <c r="T700" i="3"/>
  <c r="T697" i="3"/>
  <c r="T694" i="3"/>
  <c r="X692" i="3"/>
  <c r="T691" i="3"/>
  <c r="X689" i="3"/>
  <c r="T688" i="3"/>
  <c r="X686" i="3"/>
  <c r="T685" i="3"/>
  <c r="X683" i="3"/>
  <c r="T682" i="3"/>
  <c r="T679" i="3"/>
  <c r="T676" i="3"/>
  <c r="X674" i="3"/>
  <c r="T673" i="3"/>
  <c r="X671" i="3"/>
  <c r="T670" i="3"/>
  <c r="X668" i="3"/>
  <c r="T667" i="3"/>
  <c r="X665" i="3"/>
  <c r="T664" i="3"/>
  <c r="T661" i="3"/>
  <c r="T658" i="3"/>
  <c r="X656" i="3"/>
  <c r="T655" i="3"/>
  <c r="X653" i="3"/>
  <c r="T652" i="3"/>
  <c r="X650" i="3"/>
  <c r="T649" i="3"/>
  <c r="X647" i="3"/>
  <c r="T646" i="3"/>
  <c r="T643" i="3"/>
  <c r="T640" i="3"/>
  <c r="X638" i="3"/>
  <c r="T637" i="3"/>
  <c r="X635" i="3"/>
  <c r="T634" i="3"/>
  <c r="X632" i="3"/>
  <c r="T631" i="3"/>
  <c r="X629" i="3"/>
  <c r="T628" i="3"/>
  <c r="T625" i="3"/>
  <c r="T622" i="3"/>
  <c r="X620" i="3"/>
  <c r="T619" i="3"/>
  <c r="X617" i="3"/>
  <c r="T616" i="3"/>
  <c r="X614" i="3"/>
  <c r="T613" i="3"/>
  <c r="X611" i="3"/>
  <c r="T610" i="3"/>
  <c r="T607" i="3"/>
  <c r="T604" i="3"/>
  <c r="X602" i="3"/>
  <c r="T601" i="3"/>
  <c r="X599" i="3"/>
  <c r="T598" i="3"/>
  <c r="X596" i="3"/>
  <c r="T595" i="3"/>
  <c r="X593" i="3"/>
  <c r="T592" i="3"/>
  <c r="T589" i="3"/>
  <c r="T586" i="3"/>
  <c r="X584" i="3"/>
  <c r="T583" i="3"/>
  <c r="X581" i="3"/>
  <c r="T580" i="3"/>
  <c r="X578" i="3"/>
  <c r="T577" i="3"/>
  <c r="X575" i="3"/>
  <c r="T574" i="3"/>
  <c r="T571" i="3"/>
  <c r="T568" i="3"/>
  <c r="W773" i="3"/>
  <c r="S718" i="3"/>
  <c r="S646" i="3"/>
  <c r="S934" i="3"/>
  <c r="V950" i="3"/>
  <c r="V881" i="3"/>
  <c r="V866" i="3"/>
  <c r="V749" i="3"/>
  <c r="V746" i="3"/>
  <c r="V743" i="3"/>
  <c r="V740" i="3"/>
  <c r="V731" i="3"/>
  <c r="V728" i="3"/>
  <c r="V719" i="3"/>
  <c r="V710" i="3"/>
  <c r="V707" i="3"/>
  <c r="V704" i="3"/>
  <c r="V701" i="3"/>
  <c r="V692" i="3"/>
  <c r="V689" i="3"/>
  <c r="V686" i="3"/>
  <c r="V683" i="3"/>
  <c r="V674" i="3"/>
  <c r="V671" i="3"/>
  <c r="V668" i="3"/>
  <c r="V665" i="3"/>
  <c r="V656" i="3"/>
  <c r="V653" i="3"/>
  <c r="V650" i="3"/>
  <c r="V647" i="3"/>
  <c r="V638" i="3"/>
  <c r="V635" i="3"/>
  <c r="V1004" i="3"/>
  <c r="V992" i="3"/>
  <c r="V836" i="3"/>
  <c r="V824" i="3"/>
  <c r="V725" i="3"/>
  <c r="U1007" i="3"/>
  <c r="U884" i="3"/>
  <c r="W956" i="3"/>
  <c r="W920" i="3"/>
  <c r="W857" i="3"/>
  <c r="W833" i="3"/>
  <c r="AH3" i="3"/>
  <c r="AH4" i="3" s="1"/>
  <c r="AH7" i="3" s="1"/>
  <c r="AH9" i="3" s="1"/>
  <c r="AH2" i="3"/>
  <c r="W926" i="3" s="1"/>
  <c r="V1001" i="3"/>
  <c r="V995" i="3"/>
  <c r="V989" i="3"/>
  <c r="V980" i="3"/>
  <c r="V974" i="3"/>
  <c r="V968" i="3"/>
  <c r="V962" i="3"/>
  <c r="R955" i="3"/>
  <c r="V947" i="3"/>
  <c r="V935" i="3"/>
  <c r="V926" i="3"/>
  <c r="V923" i="3"/>
  <c r="V917" i="3"/>
  <c r="V911" i="3"/>
  <c r="V905" i="3"/>
  <c r="V899" i="3"/>
  <c r="V893" i="3"/>
  <c r="V872" i="3"/>
  <c r="V860" i="3"/>
  <c r="V857" i="3"/>
  <c r="V854" i="3"/>
  <c r="V848" i="3"/>
  <c r="V830" i="3"/>
  <c r="R829" i="3"/>
  <c r="V827" i="3"/>
  <c r="V821" i="3"/>
  <c r="V818" i="3"/>
  <c r="V815" i="3"/>
  <c r="V806" i="3"/>
  <c r="V803" i="3"/>
  <c r="V800" i="3"/>
  <c r="V797" i="3"/>
  <c r="V794" i="3"/>
  <c r="V791" i="3"/>
  <c r="V788" i="3"/>
  <c r="V785" i="3"/>
  <c r="V782" i="3"/>
  <c r="V779" i="3"/>
  <c r="V776" i="3"/>
  <c r="V773" i="3"/>
  <c r="V767" i="3"/>
  <c r="R766" i="3"/>
  <c r="V764" i="3"/>
  <c r="V761" i="3"/>
  <c r="V722" i="3"/>
  <c r="AG2" i="3"/>
  <c r="V914" i="3" s="1"/>
  <c r="V3" i="3"/>
  <c r="U968" i="3"/>
  <c r="U857" i="3"/>
  <c r="U827" i="3"/>
  <c r="U752" i="3"/>
  <c r="W597" i="3"/>
  <c r="W588" i="3"/>
  <c r="W573" i="3"/>
  <c r="S551" i="3"/>
  <c r="S530" i="3"/>
  <c r="S509" i="3"/>
  <c r="W501" i="3"/>
  <c r="S488" i="3"/>
  <c r="W483" i="3"/>
  <c r="W465" i="3"/>
  <c r="S443" i="3"/>
  <c r="S422" i="3"/>
  <c r="S401" i="3"/>
  <c r="W393" i="3"/>
  <c r="S380" i="3"/>
  <c r="W375" i="3"/>
  <c r="W357" i="3"/>
  <c r="S335" i="3"/>
  <c r="S314" i="3"/>
  <c r="S293" i="3"/>
  <c r="W285" i="3"/>
  <c r="S272" i="3"/>
  <c r="W267" i="3"/>
  <c r="W249" i="3"/>
  <c r="W243" i="3"/>
  <c r="S227" i="3"/>
  <c r="W222" i="3"/>
  <c r="S206" i="3"/>
  <c r="W201" i="3"/>
  <c r="W195" i="3"/>
  <c r="S185" i="3"/>
  <c r="W180" i="3"/>
  <c r="W177" i="3"/>
  <c r="W174" i="3"/>
  <c r="W171" i="3"/>
  <c r="W168" i="3"/>
  <c r="S164" i="3"/>
  <c r="W159" i="3"/>
  <c r="W156" i="3"/>
  <c r="W153" i="3"/>
  <c r="W150" i="3"/>
  <c r="W147" i="3"/>
  <c r="W141" i="3"/>
  <c r="W135" i="3"/>
  <c r="W132" i="3"/>
  <c r="W129" i="3"/>
  <c r="W126" i="3"/>
  <c r="S119" i="3"/>
  <c r="W114" i="3"/>
  <c r="W111" i="3"/>
  <c r="W108" i="3"/>
  <c r="W105" i="3"/>
  <c r="W102" i="3"/>
  <c r="S98" i="3"/>
  <c r="W93" i="3"/>
  <c r="AC2" i="3"/>
  <c r="R709" i="3" s="1"/>
  <c r="U987" i="3"/>
  <c r="U966" i="3"/>
  <c r="U954" i="3"/>
  <c r="U945" i="3"/>
  <c r="U924" i="3"/>
  <c r="U903" i="3"/>
  <c r="U879" i="3"/>
  <c r="U858" i="3"/>
  <c r="U846" i="3"/>
  <c r="U837" i="3"/>
  <c r="U816" i="3"/>
  <c r="U795" i="3"/>
  <c r="U771" i="3"/>
  <c r="U750" i="3"/>
  <c r="U738" i="3"/>
  <c r="U729" i="3"/>
  <c r="U708" i="3"/>
  <c r="U687" i="3"/>
  <c r="T615" i="3"/>
  <c r="X613" i="3"/>
  <c r="T612" i="3"/>
  <c r="X610" i="3"/>
  <c r="T609" i="3"/>
  <c r="X607" i="3"/>
  <c r="T606" i="3"/>
  <c r="X604" i="3"/>
  <c r="T603" i="3"/>
  <c r="X601" i="3"/>
  <c r="T600" i="3"/>
  <c r="X598" i="3"/>
  <c r="T597" i="3"/>
  <c r="X595" i="3"/>
  <c r="T594" i="3"/>
  <c r="X592" i="3"/>
  <c r="T591" i="3"/>
  <c r="X589" i="3"/>
  <c r="T588" i="3"/>
  <c r="X586" i="3"/>
  <c r="T585" i="3"/>
  <c r="X583" i="3"/>
  <c r="T582" i="3"/>
  <c r="X580" i="3"/>
  <c r="T579" i="3"/>
  <c r="X577" i="3"/>
  <c r="T576" i="3"/>
  <c r="X574" i="3"/>
  <c r="T573" i="3"/>
  <c r="X571" i="3"/>
  <c r="T570" i="3"/>
  <c r="X568" i="3"/>
  <c r="T567" i="3"/>
  <c r="X565" i="3"/>
  <c r="T564" i="3"/>
  <c r="X562" i="3"/>
  <c r="T561" i="3"/>
  <c r="X559" i="3"/>
  <c r="T558" i="3"/>
  <c r="X556" i="3"/>
  <c r="T555" i="3"/>
  <c r="X553" i="3"/>
  <c r="T552" i="3"/>
  <c r="X550" i="3"/>
  <c r="T549" i="3"/>
  <c r="X547" i="3"/>
  <c r="T546" i="3"/>
  <c r="X544" i="3"/>
  <c r="T543" i="3"/>
  <c r="X541" i="3"/>
  <c r="T540" i="3"/>
  <c r="X538" i="3"/>
  <c r="T537" i="3"/>
  <c r="X535" i="3"/>
  <c r="T534" i="3"/>
  <c r="X532" i="3"/>
  <c r="T531" i="3"/>
  <c r="X529" i="3"/>
  <c r="T528" i="3"/>
  <c r="X526" i="3"/>
  <c r="T525" i="3"/>
  <c r="X523" i="3"/>
  <c r="T522" i="3"/>
  <c r="X520" i="3"/>
  <c r="T519" i="3"/>
  <c r="X517" i="3"/>
  <c r="T516" i="3"/>
  <c r="X514" i="3"/>
  <c r="T513" i="3"/>
  <c r="X511" i="3"/>
  <c r="T510" i="3"/>
  <c r="X508" i="3"/>
  <c r="T507" i="3"/>
  <c r="X505" i="3"/>
  <c r="T504" i="3"/>
  <c r="X502" i="3"/>
  <c r="T501" i="3"/>
  <c r="X499" i="3"/>
  <c r="T498" i="3"/>
  <c r="X496" i="3"/>
  <c r="T495" i="3"/>
  <c r="X493" i="3"/>
  <c r="T492" i="3"/>
  <c r="X490" i="3"/>
  <c r="T489" i="3"/>
  <c r="X487" i="3"/>
  <c r="T486" i="3"/>
  <c r="X484" i="3"/>
  <c r="T483" i="3"/>
  <c r="X481" i="3"/>
  <c r="T480" i="3"/>
  <c r="X478" i="3"/>
  <c r="T477" i="3"/>
  <c r="X475" i="3"/>
  <c r="T474" i="3"/>
  <c r="X472" i="3"/>
  <c r="T471" i="3"/>
  <c r="X469" i="3"/>
  <c r="T468" i="3"/>
  <c r="X466" i="3"/>
  <c r="T465" i="3"/>
  <c r="X463" i="3"/>
  <c r="T462" i="3"/>
  <c r="X460" i="3"/>
  <c r="T459" i="3"/>
  <c r="X457" i="3"/>
  <c r="T456" i="3"/>
  <c r="X454" i="3"/>
  <c r="T453" i="3"/>
  <c r="X451" i="3"/>
  <c r="T450" i="3"/>
  <c r="X448" i="3"/>
  <c r="T447" i="3"/>
  <c r="X445" i="3"/>
  <c r="T444" i="3"/>
  <c r="X442" i="3"/>
  <c r="T441" i="3"/>
  <c r="X439" i="3"/>
  <c r="T438" i="3"/>
  <c r="X436" i="3"/>
  <c r="T435" i="3"/>
  <c r="X433" i="3"/>
  <c r="T432" i="3"/>
  <c r="X430" i="3"/>
  <c r="W745" i="3"/>
  <c r="W742" i="3"/>
  <c r="W739" i="3"/>
  <c r="W736" i="3"/>
  <c r="S732" i="3"/>
  <c r="W727" i="3"/>
  <c r="W724" i="3"/>
  <c r="W721" i="3"/>
  <c r="W718" i="3"/>
  <c r="W715" i="3"/>
  <c r="W709" i="3"/>
  <c r="W703" i="3"/>
  <c r="W700" i="3"/>
  <c r="W697" i="3"/>
  <c r="W694" i="3"/>
  <c r="S687" i="3"/>
  <c r="W682" i="3"/>
  <c r="W679" i="3"/>
  <c r="W676" i="3"/>
  <c r="W673" i="3"/>
  <c r="W670" i="3"/>
  <c r="S666" i="3"/>
  <c r="W661" i="3"/>
  <c r="W658" i="3"/>
  <c r="W655" i="3"/>
  <c r="W652" i="3"/>
  <c r="W649" i="3"/>
  <c r="S645" i="3"/>
  <c r="W640" i="3"/>
  <c r="W637" i="3"/>
  <c r="W634" i="3"/>
  <c r="W631" i="3"/>
  <c r="W628" i="3"/>
  <c r="S624" i="3"/>
  <c r="W619" i="3"/>
  <c r="W616" i="3"/>
  <c r="W613" i="3"/>
  <c r="W610" i="3"/>
  <c r="W607" i="3"/>
  <c r="W601" i="3"/>
  <c r="W595" i="3"/>
  <c r="W592" i="3"/>
  <c r="W589" i="3"/>
  <c r="W586" i="3"/>
  <c r="W580" i="3"/>
  <c r="W577" i="3"/>
  <c r="W574" i="3"/>
  <c r="S573" i="3"/>
  <c r="W571" i="3"/>
  <c r="W568" i="3"/>
  <c r="W565" i="3"/>
  <c r="W562" i="3"/>
  <c r="S561" i="3"/>
  <c r="V706" i="3"/>
  <c r="V703" i="3"/>
  <c r="V700" i="3"/>
  <c r="V697" i="3"/>
  <c r="V694" i="3"/>
  <c r="V691" i="3"/>
  <c r="V688" i="3"/>
  <c r="V685" i="3"/>
  <c r="R684" i="3"/>
  <c r="V682" i="3"/>
  <c r="V679" i="3"/>
  <c r="V676" i="3"/>
  <c r="V673" i="3"/>
  <c r="R672" i="3"/>
  <c r="V670" i="3"/>
  <c r="V667" i="3"/>
  <c r="V664" i="3"/>
  <c r="V661" i="3"/>
  <c r="V658" i="3"/>
  <c r="V655" i="3"/>
  <c r="V652" i="3"/>
  <c r="V649" i="3"/>
  <c r="V646" i="3"/>
  <c r="V643" i="3"/>
  <c r="V640" i="3"/>
  <c r="V637" i="3"/>
  <c r="V634" i="3"/>
  <c r="R633" i="3"/>
  <c r="V631" i="3"/>
  <c r="V628" i="3"/>
  <c r="V625" i="3"/>
  <c r="R624" i="3"/>
  <c r="V622" i="3"/>
  <c r="V619" i="3"/>
  <c r="V616" i="3"/>
  <c r="V613" i="3"/>
  <c r="V610" i="3"/>
  <c r="V607" i="3"/>
  <c r="V604" i="3"/>
  <c r="V601" i="3"/>
  <c r="V598" i="3"/>
  <c r="V595" i="3"/>
  <c r="R594" i="3"/>
  <c r="V592" i="3"/>
  <c r="V589" i="3"/>
  <c r="V586" i="3"/>
  <c r="R585" i="3"/>
  <c r="V583" i="3"/>
  <c r="V580" i="3"/>
  <c r="V577" i="3"/>
  <c r="V574" i="3"/>
  <c r="V571" i="3"/>
  <c r="V568" i="3"/>
  <c r="V565" i="3"/>
  <c r="V562" i="3"/>
  <c r="V559" i="3"/>
  <c r="V556" i="3"/>
  <c r="V553" i="3"/>
  <c r="V550" i="3"/>
  <c r="V547" i="3"/>
  <c r="R546" i="3"/>
  <c r="V544" i="3"/>
  <c r="V541" i="3"/>
  <c r="U568" i="3"/>
  <c r="U556" i="3"/>
  <c r="U529" i="3"/>
  <c r="U517" i="3"/>
  <c r="U496" i="3"/>
  <c r="U490" i="3"/>
  <c r="U478" i="3"/>
  <c r="U469" i="3"/>
  <c r="U457" i="3"/>
  <c r="U439" i="3"/>
  <c r="U430" i="3"/>
  <c r="U418" i="3"/>
  <c r="X566" i="3"/>
  <c r="T565" i="3"/>
  <c r="X563" i="3"/>
  <c r="T562" i="3"/>
  <c r="X560" i="3"/>
  <c r="T559" i="3"/>
  <c r="X557" i="3"/>
  <c r="T556" i="3"/>
  <c r="X554" i="3"/>
  <c r="T553" i="3"/>
  <c r="X551" i="3"/>
  <c r="T550" i="3"/>
  <c r="X548" i="3"/>
  <c r="T547" i="3"/>
  <c r="X545" i="3"/>
  <c r="T544" i="3"/>
  <c r="X542" i="3"/>
  <c r="T541" i="3"/>
  <c r="X539" i="3"/>
  <c r="T538" i="3"/>
  <c r="X536" i="3"/>
  <c r="T535" i="3"/>
  <c r="X533" i="3"/>
  <c r="T532" i="3"/>
  <c r="X530" i="3"/>
  <c r="T529" i="3"/>
  <c r="X527" i="3"/>
  <c r="T526" i="3"/>
  <c r="X524" i="3"/>
  <c r="T523" i="3"/>
  <c r="X521" i="3"/>
  <c r="T520" i="3"/>
  <c r="X518" i="3"/>
  <c r="T517" i="3"/>
  <c r="X515" i="3"/>
  <c r="T514" i="3"/>
  <c r="X512" i="3"/>
  <c r="T511" i="3"/>
  <c r="X509" i="3"/>
  <c r="T508" i="3"/>
  <c r="X506" i="3"/>
  <c r="T505" i="3"/>
  <c r="X503" i="3"/>
  <c r="T502" i="3"/>
  <c r="X500" i="3"/>
  <c r="T499" i="3"/>
  <c r="X497" i="3"/>
  <c r="T496" i="3"/>
  <c r="X494" i="3"/>
  <c r="T493" i="3"/>
  <c r="X491" i="3"/>
  <c r="T490" i="3"/>
  <c r="X488" i="3"/>
  <c r="T487" i="3"/>
  <c r="X485" i="3"/>
  <c r="T484" i="3"/>
  <c r="X482" i="3"/>
  <c r="T481" i="3"/>
  <c r="X479" i="3"/>
  <c r="T478" i="3"/>
  <c r="X476" i="3"/>
  <c r="T475" i="3"/>
  <c r="X473" i="3"/>
  <c r="T472" i="3"/>
  <c r="X470" i="3"/>
  <c r="T469" i="3"/>
  <c r="X467" i="3"/>
  <c r="T466" i="3"/>
  <c r="X464" i="3"/>
  <c r="T463" i="3"/>
  <c r="X461" i="3"/>
  <c r="T460" i="3"/>
  <c r="X458" i="3"/>
  <c r="T457" i="3"/>
  <c r="X455" i="3"/>
  <c r="T454" i="3"/>
  <c r="X452" i="3"/>
  <c r="T451" i="3"/>
  <c r="X449" i="3"/>
  <c r="T448" i="3"/>
  <c r="X446" i="3"/>
  <c r="T445" i="3"/>
  <c r="X443" i="3"/>
  <c r="T442" i="3"/>
  <c r="X440" i="3"/>
  <c r="T439" i="3"/>
  <c r="X437" i="3"/>
  <c r="T436" i="3"/>
  <c r="X434" i="3"/>
  <c r="T433" i="3"/>
  <c r="X431" i="3"/>
  <c r="T430" i="3"/>
  <c r="X428" i="3"/>
  <c r="T427" i="3"/>
  <c r="X425" i="3"/>
  <c r="T424" i="3"/>
  <c r="X422" i="3"/>
  <c r="T421" i="3"/>
  <c r="X419" i="3"/>
  <c r="T418" i="3"/>
  <c r="X416" i="3"/>
  <c r="T415" i="3"/>
  <c r="X413" i="3"/>
  <c r="T412" i="3"/>
  <c r="X410" i="3"/>
  <c r="T409" i="3"/>
  <c r="X407" i="3"/>
  <c r="T406" i="3"/>
  <c r="X404" i="3"/>
  <c r="T403" i="3"/>
  <c r="X401" i="3"/>
  <c r="T400" i="3"/>
  <c r="X398" i="3"/>
  <c r="S577" i="3"/>
  <c r="W575" i="3"/>
  <c r="W572" i="3"/>
  <c r="W569" i="3"/>
  <c r="W566" i="3"/>
  <c r="W563" i="3"/>
  <c r="W560" i="3"/>
  <c r="W557" i="3"/>
  <c r="W554" i="3"/>
  <c r="W551" i="3"/>
  <c r="W548" i="3"/>
  <c r="W545" i="3"/>
  <c r="S544" i="3"/>
  <c r="W542" i="3"/>
  <c r="W539" i="3"/>
  <c r="S538" i="3"/>
  <c r="W536" i="3"/>
  <c r="W533" i="3"/>
  <c r="W530" i="3"/>
  <c r="W527" i="3"/>
  <c r="S526" i="3"/>
  <c r="W524" i="3"/>
  <c r="W521" i="3"/>
  <c r="W518" i="3"/>
  <c r="W515" i="3"/>
  <c r="W512" i="3"/>
  <c r="W509" i="3"/>
  <c r="W506" i="3"/>
  <c r="S505" i="3"/>
  <c r="W503" i="3"/>
  <c r="W500" i="3"/>
  <c r="S499" i="3"/>
  <c r="W497" i="3"/>
  <c r="W494" i="3"/>
  <c r="W491" i="3"/>
  <c r="W488" i="3"/>
  <c r="S487" i="3"/>
  <c r="W485" i="3"/>
  <c r="W482" i="3"/>
  <c r="W479" i="3"/>
  <c r="W476" i="3"/>
  <c r="W473" i="3"/>
  <c r="W470" i="3"/>
  <c r="W467" i="3"/>
  <c r="S466" i="3"/>
  <c r="W464" i="3"/>
  <c r="W461" i="3"/>
  <c r="S460" i="3"/>
  <c r="W458" i="3"/>
  <c r="W455" i="3"/>
  <c r="W452" i="3"/>
  <c r="W449" i="3"/>
  <c r="S448" i="3"/>
  <c r="W446" i="3"/>
  <c r="W443" i="3"/>
  <c r="W440" i="3"/>
  <c r="W437" i="3"/>
  <c r="W434" i="3"/>
  <c r="W431" i="3"/>
  <c r="W428" i="3"/>
  <c r="S427" i="3"/>
  <c r="W425" i="3"/>
  <c r="W422" i="3"/>
  <c r="W419" i="3"/>
  <c r="W416" i="3"/>
  <c r="W413" i="3"/>
  <c r="W410" i="3"/>
  <c r="S409" i="3"/>
  <c r="W407" i="3"/>
  <c r="V632" i="3"/>
  <c r="V629" i="3"/>
  <c r="R628" i="3"/>
  <c r="V626" i="3"/>
  <c r="V623" i="3"/>
  <c r="V620" i="3"/>
  <c r="V617" i="3"/>
  <c r="R616" i="3"/>
  <c r="V614" i="3"/>
  <c r="V611" i="3"/>
  <c r="R610" i="3"/>
  <c r="V608" i="3"/>
  <c r="V605" i="3"/>
  <c r="V602" i="3"/>
  <c r="V599" i="3"/>
  <c r="R598" i="3"/>
  <c r="V596" i="3"/>
  <c r="V593" i="3"/>
  <c r="R592" i="3"/>
  <c r="V590" i="3"/>
  <c r="V587" i="3"/>
  <c r="V584" i="3"/>
  <c r="V581" i="3"/>
  <c r="R580" i="3"/>
  <c r="V578" i="3"/>
  <c r="V575" i="3"/>
  <c r="R574" i="3"/>
  <c r="V572" i="3"/>
  <c r="V569" i="3"/>
  <c r="V566" i="3"/>
  <c r="V563" i="3"/>
  <c r="R562" i="3"/>
  <c r="V560" i="3"/>
  <c r="V557" i="3"/>
  <c r="R556" i="3"/>
  <c r="V554" i="3"/>
  <c r="V551" i="3"/>
  <c r="V548" i="3"/>
  <c r="V545" i="3"/>
  <c r="R544" i="3"/>
  <c r="V542" i="3"/>
  <c r="V539" i="3"/>
  <c r="R538" i="3"/>
  <c r="V536" i="3"/>
  <c r="V533" i="3"/>
  <c r="V530" i="3"/>
  <c r="V527" i="3"/>
  <c r="R526" i="3"/>
  <c r="V524" i="3"/>
  <c r="V521" i="3"/>
  <c r="R520" i="3"/>
  <c r="V518" i="3"/>
  <c r="V515" i="3"/>
  <c r="V512" i="3"/>
  <c r="V509" i="3"/>
  <c r="R508" i="3"/>
  <c r="V506" i="3"/>
  <c r="V503" i="3"/>
  <c r="R502" i="3"/>
  <c r="V500" i="3"/>
  <c r="V497" i="3"/>
  <c r="V494" i="3"/>
  <c r="V491" i="3"/>
  <c r="R490" i="3"/>
  <c r="V488" i="3"/>
  <c r="V485" i="3"/>
  <c r="R484" i="3"/>
  <c r="V482" i="3"/>
  <c r="V479" i="3"/>
  <c r="V476" i="3"/>
  <c r="V473" i="3"/>
  <c r="R472" i="3"/>
  <c r="V470" i="3"/>
  <c r="V467" i="3"/>
  <c r="R466" i="3"/>
  <c r="V464" i="3"/>
  <c r="V461" i="3"/>
  <c r="V458" i="3"/>
  <c r="V455" i="3"/>
  <c r="R454" i="3"/>
  <c r="V452" i="3"/>
  <c r="V449" i="3"/>
  <c r="R448" i="3"/>
  <c r="V446" i="3"/>
  <c r="V443" i="3"/>
  <c r="V440" i="3"/>
  <c r="V437" i="3"/>
  <c r="R436" i="3"/>
  <c r="U719" i="3"/>
  <c r="U680" i="3"/>
  <c r="U617" i="3"/>
  <c r="U578" i="3"/>
  <c r="U575" i="3"/>
  <c r="U569" i="3"/>
  <c r="U554" i="3"/>
  <c r="U548" i="3"/>
  <c r="U536" i="3"/>
  <c r="U515" i="3"/>
  <c r="U509" i="3"/>
  <c r="U497" i="3"/>
  <c r="U476" i="3"/>
  <c r="U470" i="3"/>
  <c r="U458" i="3"/>
  <c r="U716" i="3"/>
  <c r="U704" i="3"/>
  <c r="U689" i="3"/>
  <c r="U686" i="3"/>
  <c r="U674" i="3"/>
  <c r="U659" i="3"/>
  <c r="U656" i="3"/>
  <c r="U629" i="3"/>
  <c r="U599" i="3"/>
  <c r="U590" i="3"/>
  <c r="AF2" i="3"/>
  <c r="U899" i="3" s="1"/>
  <c r="X1008" i="3"/>
  <c r="T1007" i="3"/>
  <c r="X1005" i="3"/>
  <c r="T1004" i="3"/>
  <c r="X1002" i="3"/>
  <c r="T1001" i="3"/>
  <c r="X999" i="3"/>
  <c r="T998" i="3"/>
  <c r="X996" i="3"/>
  <c r="T995" i="3"/>
  <c r="X993" i="3"/>
  <c r="T992" i="3"/>
  <c r="X990" i="3"/>
  <c r="T989" i="3"/>
  <c r="X987" i="3"/>
  <c r="T986" i="3"/>
  <c r="X984" i="3"/>
  <c r="T983" i="3"/>
  <c r="X981" i="3"/>
  <c r="T980" i="3"/>
  <c r="X978" i="3"/>
  <c r="T977" i="3"/>
  <c r="X975" i="3"/>
  <c r="T974" i="3"/>
  <c r="X972" i="3"/>
  <c r="T971" i="3"/>
  <c r="X969" i="3"/>
  <c r="T968" i="3"/>
  <c r="X966" i="3"/>
  <c r="T965" i="3"/>
  <c r="X963" i="3"/>
  <c r="T962" i="3"/>
  <c r="X960" i="3"/>
  <c r="T959" i="3"/>
  <c r="X957" i="3"/>
  <c r="T956" i="3"/>
  <c r="X954" i="3"/>
  <c r="T953" i="3"/>
  <c r="X951" i="3"/>
  <c r="T950" i="3"/>
  <c r="X948" i="3"/>
  <c r="T947" i="3"/>
  <c r="X945" i="3"/>
  <c r="T944" i="3"/>
  <c r="X942" i="3"/>
  <c r="T941" i="3"/>
  <c r="X939" i="3"/>
  <c r="T938" i="3"/>
  <c r="X936" i="3"/>
  <c r="T935" i="3"/>
  <c r="X933" i="3"/>
  <c r="T932" i="3"/>
  <c r="X930" i="3"/>
  <c r="T929" i="3"/>
  <c r="X927" i="3"/>
  <c r="T926" i="3"/>
  <c r="X924" i="3"/>
  <c r="T923" i="3"/>
  <c r="X921" i="3"/>
  <c r="T920" i="3"/>
  <c r="X918" i="3"/>
  <c r="T917" i="3"/>
  <c r="X915" i="3"/>
  <c r="T914" i="3"/>
  <c r="X912" i="3"/>
  <c r="T911" i="3"/>
  <c r="X909" i="3"/>
  <c r="T908" i="3"/>
  <c r="X906" i="3"/>
  <c r="T905" i="3"/>
  <c r="X903" i="3"/>
  <c r="T902" i="3"/>
  <c r="X900" i="3"/>
  <c r="T899" i="3"/>
  <c r="X897" i="3"/>
  <c r="T896" i="3"/>
  <c r="X894" i="3"/>
  <c r="T893" i="3"/>
  <c r="X891" i="3"/>
  <c r="T890" i="3"/>
  <c r="X888" i="3"/>
  <c r="T887" i="3"/>
  <c r="X885" i="3"/>
  <c r="T884" i="3"/>
  <c r="X882" i="3"/>
  <c r="T881" i="3"/>
  <c r="X879" i="3"/>
  <c r="T878" i="3"/>
  <c r="X876" i="3"/>
  <c r="T875" i="3"/>
  <c r="X873" i="3"/>
  <c r="T872" i="3"/>
  <c r="X870" i="3"/>
  <c r="T869" i="3"/>
  <c r="X867" i="3"/>
  <c r="T866" i="3"/>
  <c r="X864" i="3"/>
  <c r="T863" i="3"/>
  <c r="X861" i="3"/>
  <c r="T860" i="3"/>
  <c r="X858" i="3"/>
  <c r="T857" i="3"/>
  <c r="X855" i="3"/>
  <c r="T854" i="3"/>
  <c r="X852" i="3"/>
  <c r="T851" i="3"/>
  <c r="X849" i="3"/>
  <c r="T848" i="3"/>
  <c r="X846" i="3"/>
  <c r="T845" i="3"/>
  <c r="X843" i="3"/>
  <c r="T842" i="3"/>
  <c r="X840" i="3"/>
  <c r="T839" i="3"/>
  <c r="X837" i="3"/>
  <c r="T836" i="3"/>
  <c r="X834" i="3"/>
  <c r="T833" i="3"/>
  <c r="X831" i="3"/>
  <c r="T830" i="3"/>
  <c r="X828" i="3"/>
  <c r="T827" i="3"/>
  <c r="X825" i="3"/>
  <c r="T824" i="3"/>
  <c r="X822" i="3"/>
  <c r="T821" i="3"/>
  <c r="X819" i="3"/>
  <c r="T818" i="3"/>
  <c r="X816" i="3"/>
  <c r="T815" i="3"/>
  <c r="X813" i="3"/>
  <c r="T812" i="3"/>
  <c r="X810" i="3"/>
  <c r="T809" i="3"/>
  <c r="X807" i="3"/>
  <c r="T806" i="3"/>
  <c r="X804" i="3"/>
  <c r="AD2" i="3"/>
  <c r="S773" i="3" s="1"/>
  <c r="V1008" i="3"/>
  <c r="V1005" i="3"/>
  <c r="V1002" i="3"/>
  <c r="V999" i="3"/>
  <c r="R998" i="3"/>
  <c r="V996" i="3"/>
  <c r="V993" i="3"/>
  <c r="V990" i="3"/>
  <c r="V987" i="3"/>
  <c r="V984" i="3"/>
  <c r="V981" i="3"/>
  <c r="R980" i="3"/>
  <c r="V978" i="3"/>
  <c r="V975" i="3"/>
  <c r="V972" i="3"/>
  <c r="V969" i="3"/>
  <c r="V966" i="3"/>
  <c r="V963" i="3"/>
  <c r="R962" i="3"/>
  <c r="V960" i="3"/>
  <c r="V957" i="3"/>
  <c r="V954" i="3"/>
  <c r="V951" i="3"/>
  <c r="V948" i="3"/>
  <c r="V945" i="3"/>
  <c r="R944" i="3"/>
  <c r="V942" i="3"/>
  <c r="V939" i="3"/>
  <c r="V936" i="3"/>
  <c r="V933" i="3"/>
  <c r="V930" i="3"/>
  <c r="V927" i="3"/>
  <c r="R926" i="3"/>
  <c r="V924" i="3"/>
  <c r="V921" i="3"/>
  <c r="V918" i="3"/>
  <c r="V915" i="3"/>
  <c r="V912" i="3"/>
  <c r="V909" i="3"/>
  <c r="R908" i="3"/>
  <c r="V906" i="3"/>
  <c r="V903" i="3"/>
  <c r="V900" i="3"/>
  <c r="V897" i="3"/>
  <c r="V894" i="3"/>
  <c r="V891" i="3"/>
  <c r="R890" i="3"/>
  <c r="V888" i="3"/>
  <c r="V885" i="3"/>
  <c r="V882" i="3"/>
  <c r="V879" i="3"/>
  <c r="V876" i="3"/>
  <c r="V873" i="3"/>
  <c r="R872" i="3"/>
  <c r="V870" i="3"/>
  <c r="V867" i="3"/>
  <c r="V864" i="3"/>
  <c r="V861" i="3"/>
  <c r="V858" i="3"/>
  <c r="V855" i="3"/>
  <c r="R854" i="3"/>
  <c r="V852" i="3"/>
  <c r="V849" i="3"/>
  <c r="V846" i="3"/>
  <c r="V843" i="3"/>
  <c r="V840" i="3"/>
  <c r="V837" i="3"/>
  <c r="R836" i="3"/>
  <c r="V834" i="3"/>
  <c r="V831" i="3"/>
  <c r="V828" i="3"/>
  <c r="V825" i="3"/>
  <c r="V822" i="3"/>
  <c r="V819" i="3"/>
  <c r="R818" i="3"/>
  <c r="V816" i="3"/>
  <c r="V813" i="3"/>
  <c r="V810" i="3"/>
  <c r="V807" i="3"/>
  <c r="V804" i="3"/>
  <c r="V801" i="3"/>
  <c r="R800" i="3"/>
  <c r="V798" i="3"/>
  <c r="V795" i="3"/>
  <c r="U672" i="3"/>
  <c r="U660" i="3"/>
  <c r="U657" i="3"/>
  <c r="U654" i="3"/>
  <c r="U651" i="3"/>
  <c r="U648" i="3"/>
  <c r="U642" i="3"/>
  <c r="U639" i="3"/>
  <c r="U636" i="3"/>
  <c r="U633" i="3"/>
  <c r="U630" i="3"/>
  <c r="U624" i="3"/>
  <c r="U621" i="3"/>
  <c r="U618" i="3"/>
  <c r="U615" i="3"/>
  <c r="U612" i="3"/>
  <c r="U606" i="3"/>
  <c r="U603" i="3"/>
  <c r="U600" i="3"/>
  <c r="U597" i="3"/>
  <c r="U594" i="3"/>
  <c r="U588" i="3"/>
  <c r="U585" i="3"/>
  <c r="U582" i="3"/>
  <c r="U579" i="3"/>
  <c r="U576" i="3"/>
  <c r="U570" i="3"/>
  <c r="U567" i="3"/>
  <c r="U564" i="3"/>
  <c r="U561" i="3"/>
  <c r="U558" i="3"/>
  <c r="U552" i="3"/>
  <c r="U549" i="3"/>
  <c r="U546" i="3"/>
  <c r="U543" i="3"/>
  <c r="U540" i="3"/>
  <c r="U534" i="3"/>
  <c r="U531" i="3"/>
  <c r="U528" i="3"/>
  <c r="U525" i="3"/>
  <c r="U522" i="3"/>
  <c r="U516" i="3"/>
  <c r="U513" i="3"/>
  <c r="U510" i="3"/>
  <c r="U507" i="3"/>
  <c r="U504" i="3"/>
  <c r="U498" i="3"/>
  <c r="U495" i="3"/>
  <c r="U492" i="3"/>
  <c r="U489" i="3"/>
  <c r="U486" i="3"/>
  <c r="U480" i="3"/>
  <c r="U477" i="3"/>
  <c r="U474" i="3"/>
  <c r="U471" i="3"/>
  <c r="U468" i="3"/>
  <c r="U462" i="3"/>
  <c r="U459" i="3"/>
  <c r="U456" i="3"/>
  <c r="U453" i="3"/>
  <c r="U450" i="3"/>
  <c r="U444" i="3"/>
  <c r="U441" i="3"/>
  <c r="U438" i="3"/>
  <c r="U435" i="3"/>
  <c r="U432" i="3"/>
  <c r="U426" i="3"/>
  <c r="U423" i="3"/>
  <c r="U420" i="3"/>
  <c r="U417" i="3"/>
  <c r="U414" i="3"/>
  <c r="T429" i="3"/>
  <c r="X427" i="3"/>
  <c r="T426" i="3"/>
  <c r="X424" i="3"/>
  <c r="T423" i="3"/>
  <c r="X421" i="3"/>
  <c r="T420" i="3"/>
  <c r="X418" i="3"/>
  <c r="T417" i="3"/>
  <c r="X415" i="3"/>
  <c r="T414" i="3"/>
  <c r="X412" i="3"/>
  <c r="T411" i="3"/>
  <c r="X409" i="3"/>
  <c r="T408" i="3"/>
  <c r="X406" i="3"/>
  <c r="T405" i="3"/>
  <c r="X403" i="3"/>
  <c r="T402" i="3"/>
  <c r="X400" i="3"/>
  <c r="T399" i="3"/>
  <c r="X397" i="3"/>
  <c r="T396" i="3"/>
  <c r="X394" i="3"/>
  <c r="T393" i="3"/>
  <c r="X391" i="3"/>
  <c r="T390" i="3"/>
  <c r="X388" i="3"/>
  <c r="T387" i="3"/>
  <c r="X385" i="3"/>
  <c r="T384" i="3"/>
  <c r="X382" i="3"/>
  <c r="T381" i="3"/>
  <c r="X379" i="3"/>
  <c r="T378" i="3"/>
  <c r="X376" i="3"/>
  <c r="T375" i="3"/>
  <c r="X373" i="3"/>
  <c r="T372" i="3"/>
  <c r="X370" i="3"/>
  <c r="T369" i="3"/>
  <c r="X367" i="3"/>
  <c r="T366" i="3"/>
  <c r="X364" i="3"/>
  <c r="T363" i="3"/>
  <c r="X361" i="3"/>
  <c r="T360" i="3"/>
  <c r="X358" i="3"/>
  <c r="T357" i="3"/>
  <c r="X355" i="3"/>
  <c r="T354" i="3"/>
  <c r="X352" i="3"/>
  <c r="T351" i="3"/>
  <c r="X349" i="3"/>
  <c r="T348" i="3"/>
  <c r="X346" i="3"/>
  <c r="T345" i="3"/>
  <c r="X343" i="3"/>
  <c r="T342" i="3"/>
  <c r="X340" i="3"/>
  <c r="T339" i="3"/>
  <c r="X337" i="3"/>
  <c r="T336" i="3"/>
  <c r="X334" i="3"/>
  <c r="T333" i="3"/>
  <c r="X331" i="3"/>
  <c r="T330" i="3"/>
  <c r="X328" i="3"/>
  <c r="T327" i="3"/>
  <c r="X325" i="3"/>
  <c r="T324" i="3"/>
  <c r="X322" i="3"/>
  <c r="T321" i="3"/>
  <c r="X319" i="3"/>
  <c r="T318" i="3"/>
  <c r="X316" i="3"/>
  <c r="T315" i="3"/>
  <c r="X313" i="3"/>
  <c r="T312" i="3"/>
  <c r="X310" i="3"/>
  <c r="T309" i="3"/>
  <c r="X307" i="3"/>
  <c r="T306" i="3"/>
  <c r="X304" i="3"/>
  <c r="T303" i="3"/>
  <c r="X301" i="3"/>
  <c r="T300" i="3"/>
  <c r="X298" i="3"/>
  <c r="W556" i="3"/>
  <c r="W553" i="3"/>
  <c r="S552" i="3"/>
  <c r="W550" i="3"/>
  <c r="W547" i="3"/>
  <c r="S546" i="3"/>
  <c r="W544" i="3"/>
  <c r="S543" i="3"/>
  <c r="W541" i="3"/>
  <c r="S540" i="3"/>
  <c r="W538" i="3"/>
  <c r="W535" i="3"/>
  <c r="S534" i="3"/>
  <c r="W532" i="3"/>
  <c r="W529" i="3"/>
  <c r="S528" i="3"/>
  <c r="W526" i="3"/>
  <c r="S525" i="3"/>
  <c r="W523" i="3"/>
  <c r="S522" i="3"/>
  <c r="W520" i="3"/>
  <c r="W517" i="3"/>
  <c r="S516" i="3"/>
  <c r="W514" i="3"/>
  <c r="W511" i="3"/>
  <c r="S510" i="3"/>
  <c r="W508" i="3"/>
  <c r="S507" i="3"/>
  <c r="W505" i="3"/>
  <c r="S504" i="3"/>
  <c r="W502" i="3"/>
  <c r="W499" i="3"/>
  <c r="S498" i="3"/>
  <c r="W496" i="3"/>
  <c r="W493" i="3"/>
  <c r="S492" i="3"/>
  <c r="W490" i="3"/>
  <c r="S489" i="3"/>
  <c r="W487" i="3"/>
  <c r="S486" i="3"/>
  <c r="W484" i="3"/>
  <c r="W481" i="3"/>
  <c r="S480" i="3"/>
  <c r="W478" i="3"/>
  <c r="W475" i="3"/>
  <c r="S474" i="3"/>
  <c r="W472" i="3"/>
  <c r="S471" i="3"/>
  <c r="W469" i="3"/>
  <c r="S468" i="3"/>
  <c r="W466" i="3"/>
  <c r="W463" i="3"/>
  <c r="S462" i="3"/>
  <c r="W460" i="3"/>
  <c r="W457" i="3"/>
  <c r="S456" i="3"/>
  <c r="W454" i="3"/>
  <c r="S453" i="3"/>
  <c r="W451" i="3"/>
  <c r="S450" i="3"/>
  <c r="W448" i="3"/>
  <c r="W445" i="3"/>
  <c r="V538" i="3"/>
  <c r="V535" i="3"/>
  <c r="R534" i="3"/>
  <c r="V532" i="3"/>
  <c r="V529" i="3"/>
  <c r="V526" i="3"/>
  <c r="V523" i="3"/>
  <c r="V520" i="3"/>
  <c r="V517" i="3"/>
  <c r="R516" i="3"/>
  <c r="V514" i="3"/>
  <c r="V511" i="3"/>
  <c r="V508" i="3"/>
  <c r="V505" i="3"/>
  <c r="V502" i="3"/>
  <c r="V499" i="3"/>
  <c r="R498" i="3"/>
  <c r="V496" i="3"/>
  <c r="V493" i="3"/>
  <c r="V490" i="3"/>
  <c r="V487" i="3"/>
  <c r="V484" i="3"/>
  <c r="V481" i="3"/>
  <c r="R480" i="3"/>
  <c r="V478" i="3"/>
  <c r="V475" i="3"/>
  <c r="V472" i="3"/>
  <c r="V469" i="3"/>
  <c r="V466" i="3"/>
  <c r="V463" i="3"/>
  <c r="R462" i="3"/>
  <c r="V460" i="3"/>
  <c r="V457" i="3"/>
  <c r="V454" i="3"/>
  <c r="V451" i="3"/>
  <c r="V448" i="3"/>
  <c r="V445" i="3"/>
  <c r="R444" i="3"/>
  <c r="V442" i="3"/>
  <c r="V439" i="3"/>
  <c r="V436" i="3"/>
  <c r="V433" i="3"/>
  <c r="V430" i="3"/>
  <c r="V427" i="3"/>
  <c r="R426" i="3"/>
  <c r="V424" i="3"/>
  <c r="V421" i="3"/>
  <c r="V418" i="3"/>
  <c r="V415" i="3"/>
  <c r="U400" i="3"/>
  <c r="U394" i="3"/>
  <c r="U391" i="3"/>
  <c r="U388" i="3"/>
  <c r="U385" i="3"/>
  <c r="U382" i="3"/>
  <c r="U376" i="3"/>
  <c r="U373" i="3"/>
  <c r="U370" i="3"/>
  <c r="U367" i="3"/>
  <c r="U364" i="3"/>
  <c r="U358" i="3"/>
  <c r="U355" i="3"/>
  <c r="U352" i="3"/>
  <c r="U349" i="3"/>
  <c r="U346" i="3"/>
  <c r="U340" i="3"/>
  <c r="U337" i="3"/>
  <c r="U334" i="3"/>
  <c r="U331" i="3"/>
  <c r="U328" i="3"/>
  <c r="U322" i="3"/>
  <c r="U319" i="3"/>
  <c r="U316" i="3"/>
  <c r="U313" i="3"/>
  <c r="U310" i="3"/>
  <c r="U304" i="3"/>
  <c r="U301" i="3"/>
  <c r="U298" i="3"/>
  <c r="U295" i="3"/>
  <c r="U292" i="3"/>
  <c r="T397" i="3"/>
  <c r="X395" i="3"/>
  <c r="T394" i="3"/>
  <c r="X392" i="3"/>
  <c r="T391" i="3"/>
  <c r="X389" i="3"/>
  <c r="T388" i="3"/>
  <c r="X386" i="3"/>
  <c r="T385" i="3"/>
  <c r="X383" i="3"/>
  <c r="T382" i="3"/>
  <c r="X380" i="3"/>
  <c r="T379" i="3"/>
  <c r="X377" i="3"/>
  <c r="T376" i="3"/>
  <c r="X374" i="3"/>
  <c r="T373" i="3"/>
  <c r="X371" i="3"/>
  <c r="T370" i="3"/>
  <c r="X368" i="3"/>
  <c r="T367" i="3"/>
  <c r="X365" i="3"/>
  <c r="T364" i="3"/>
  <c r="X362" i="3"/>
  <c r="T361" i="3"/>
  <c r="X359" i="3"/>
  <c r="T358" i="3"/>
  <c r="X356" i="3"/>
  <c r="T355" i="3"/>
  <c r="X353" i="3"/>
  <c r="T352" i="3"/>
  <c r="X350" i="3"/>
  <c r="T349" i="3"/>
  <c r="X347" i="3"/>
  <c r="T346" i="3"/>
  <c r="X344" i="3"/>
  <c r="T343" i="3"/>
  <c r="X341" i="3"/>
  <c r="T340" i="3"/>
  <c r="X338" i="3"/>
  <c r="T337" i="3"/>
  <c r="X335" i="3"/>
  <c r="T334" i="3"/>
  <c r="X332" i="3"/>
  <c r="T331" i="3"/>
  <c r="X329" i="3"/>
  <c r="T328" i="3"/>
  <c r="X326" i="3"/>
  <c r="T325" i="3"/>
  <c r="X323" i="3"/>
  <c r="T322" i="3"/>
  <c r="X320" i="3"/>
  <c r="T319" i="3"/>
  <c r="X317" i="3"/>
  <c r="T316" i="3"/>
  <c r="X314" i="3"/>
  <c r="T313" i="3"/>
  <c r="X311" i="3"/>
  <c r="T310" i="3"/>
  <c r="X308" i="3"/>
  <c r="T307" i="3"/>
  <c r="X305" i="3"/>
  <c r="T304" i="3"/>
  <c r="X302" i="3"/>
  <c r="T301" i="3"/>
  <c r="X299" i="3"/>
  <c r="T298" i="3"/>
  <c r="X296" i="3"/>
  <c r="T295" i="3"/>
  <c r="X293" i="3"/>
  <c r="T292" i="3"/>
  <c r="X290" i="3"/>
  <c r="T289" i="3"/>
  <c r="X287" i="3"/>
  <c r="T286" i="3"/>
  <c r="X284" i="3"/>
  <c r="T283" i="3"/>
  <c r="X281" i="3"/>
  <c r="T280" i="3"/>
  <c r="X278" i="3"/>
  <c r="T277" i="3"/>
  <c r="W404" i="3"/>
  <c r="S403" i="3"/>
  <c r="W401" i="3"/>
  <c r="S400" i="3"/>
  <c r="W398" i="3"/>
  <c r="S397" i="3"/>
  <c r="W395" i="3"/>
  <c r="S394" i="3"/>
  <c r="W392" i="3"/>
  <c r="S391" i="3"/>
  <c r="W389" i="3"/>
  <c r="W386" i="3"/>
  <c r="S385" i="3"/>
  <c r="W383" i="3"/>
  <c r="S382" i="3"/>
  <c r="W380" i="3"/>
  <c r="S379" i="3"/>
  <c r="W377" i="3"/>
  <c r="S376" i="3"/>
  <c r="W374" i="3"/>
  <c r="S373" i="3"/>
  <c r="W371" i="3"/>
  <c r="W368" i="3"/>
  <c r="S367" i="3"/>
  <c r="W365" i="3"/>
  <c r="S364" i="3"/>
  <c r="W362" i="3"/>
  <c r="S361" i="3"/>
  <c r="W359" i="3"/>
  <c r="S358" i="3"/>
  <c r="W356" i="3"/>
  <c r="S355" i="3"/>
  <c r="W353" i="3"/>
  <c r="W350" i="3"/>
  <c r="S349" i="3"/>
  <c r="W347" i="3"/>
  <c r="S346" i="3"/>
  <c r="W344" i="3"/>
  <c r="S343" i="3"/>
  <c r="W341" i="3"/>
  <c r="S340" i="3"/>
  <c r="W338" i="3"/>
  <c r="S337" i="3"/>
  <c r="W335" i="3"/>
  <c r="W332" i="3"/>
  <c r="S331" i="3"/>
  <c r="W329" i="3"/>
  <c r="S328" i="3"/>
  <c r="W326" i="3"/>
  <c r="S325" i="3"/>
  <c r="W323" i="3"/>
  <c r="S322" i="3"/>
  <c r="W320" i="3"/>
  <c r="S319" i="3"/>
  <c r="W317" i="3"/>
  <c r="S316" i="3"/>
  <c r="W314" i="3"/>
  <c r="S313" i="3"/>
  <c r="W311" i="3"/>
  <c r="S310" i="3"/>
  <c r="W308" i="3"/>
  <c r="S307" i="3"/>
  <c r="W305" i="3"/>
  <c r="S304" i="3"/>
  <c r="W302" i="3"/>
  <c r="S301" i="3"/>
  <c r="W299" i="3"/>
  <c r="S298" i="3"/>
  <c r="W296" i="3"/>
  <c r="S295" i="3"/>
  <c r="W293" i="3"/>
  <c r="S292" i="3"/>
  <c r="W290" i="3"/>
  <c r="S289" i="3"/>
  <c r="W287" i="3"/>
  <c r="S286" i="3"/>
  <c r="W284" i="3"/>
  <c r="S283" i="3"/>
  <c r="V434" i="3"/>
  <c r="V431" i="3"/>
  <c r="R430" i="3"/>
  <c r="V428" i="3"/>
  <c r="V425" i="3"/>
  <c r="V422" i="3"/>
  <c r="V419" i="3"/>
  <c r="R418" i="3"/>
  <c r="V416" i="3"/>
  <c r="V413" i="3"/>
  <c r="R412" i="3"/>
  <c r="V410" i="3"/>
  <c r="V407" i="3"/>
  <c r="V404" i="3"/>
  <c r="V401" i="3"/>
  <c r="R400" i="3"/>
  <c r="V398" i="3"/>
  <c r="V395" i="3"/>
  <c r="R394" i="3"/>
  <c r="V392" i="3"/>
  <c r="V389" i="3"/>
  <c r="V386" i="3"/>
  <c r="V383" i="3"/>
  <c r="R382" i="3"/>
  <c r="V380" i="3"/>
  <c r="V377" i="3"/>
  <c r="R376" i="3"/>
  <c r="V374" i="3"/>
  <c r="V371" i="3"/>
  <c r="V368" i="3"/>
  <c r="V365" i="3"/>
  <c r="R364" i="3"/>
  <c r="V362" i="3"/>
  <c r="V359" i="3"/>
  <c r="R358" i="3"/>
  <c r="V356" i="3"/>
  <c r="V353" i="3"/>
  <c r="V350" i="3"/>
  <c r="V347" i="3"/>
  <c r="R346" i="3"/>
  <c r="V344" i="3"/>
  <c r="V341" i="3"/>
  <c r="R340" i="3"/>
  <c r="V338" i="3"/>
  <c r="V335" i="3"/>
  <c r="V332" i="3"/>
  <c r="V329" i="3"/>
  <c r="R328" i="3"/>
  <c r="V326" i="3"/>
  <c r="V323" i="3"/>
  <c r="R322" i="3"/>
  <c r="V320" i="3"/>
  <c r="V317" i="3"/>
  <c r="V314" i="3"/>
  <c r="V311" i="3"/>
  <c r="R310" i="3"/>
  <c r="V308" i="3"/>
  <c r="V305" i="3"/>
  <c r="R304" i="3"/>
  <c r="V302" i="3"/>
  <c r="V299" i="3"/>
  <c r="V296" i="3"/>
  <c r="V293" i="3"/>
  <c r="R292" i="3"/>
  <c r="U449" i="3"/>
  <c r="U446" i="3"/>
  <c r="U443" i="3"/>
  <c r="U440" i="3"/>
  <c r="U437" i="3"/>
  <c r="U434" i="3"/>
  <c r="U431" i="3"/>
  <c r="U428" i="3"/>
  <c r="U425" i="3"/>
  <c r="U422" i="3"/>
  <c r="U419" i="3"/>
  <c r="U416" i="3"/>
  <c r="U413" i="3"/>
  <c r="U410" i="3"/>
  <c r="U407" i="3"/>
  <c r="U404" i="3"/>
  <c r="U401" i="3"/>
  <c r="U398" i="3"/>
  <c r="U395" i="3"/>
  <c r="U392" i="3"/>
  <c r="U389" i="3"/>
  <c r="U386" i="3"/>
  <c r="U383" i="3"/>
  <c r="U380" i="3"/>
  <c r="Q379" i="3"/>
  <c r="U377" i="3"/>
  <c r="U374" i="3"/>
  <c r="U371" i="3"/>
  <c r="U368" i="3"/>
  <c r="U365" i="3"/>
  <c r="U362" i="3"/>
  <c r="U359" i="3"/>
  <c r="U356" i="3"/>
  <c r="U353" i="3"/>
  <c r="U350" i="3"/>
  <c r="U347" i="3"/>
  <c r="U344" i="3"/>
  <c r="U341" i="3"/>
  <c r="U338" i="3"/>
  <c r="U335" i="3"/>
  <c r="U332" i="3"/>
  <c r="U329" i="3"/>
  <c r="U326" i="3"/>
  <c r="U323" i="3"/>
  <c r="U320" i="3"/>
  <c r="U317" i="3"/>
  <c r="U314" i="3"/>
  <c r="U311" i="3"/>
  <c r="U308" i="3"/>
  <c r="T803" i="3"/>
  <c r="X801" i="3"/>
  <c r="T800" i="3"/>
  <c r="X798" i="3"/>
  <c r="T797" i="3"/>
  <c r="X795" i="3"/>
  <c r="T794" i="3"/>
  <c r="X792" i="3"/>
  <c r="T791" i="3"/>
  <c r="X789" i="3"/>
  <c r="T788" i="3"/>
  <c r="X786" i="3"/>
  <c r="T785" i="3"/>
  <c r="X783" i="3"/>
  <c r="T782" i="3"/>
  <c r="X780" i="3"/>
  <c r="T779" i="3"/>
  <c r="X777" i="3"/>
  <c r="T776" i="3"/>
  <c r="X774" i="3"/>
  <c r="T773" i="3"/>
  <c r="X771" i="3"/>
  <c r="T770" i="3"/>
  <c r="X768" i="3"/>
  <c r="T767" i="3"/>
  <c r="X765" i="3"/>
  <c r="T764" i="3"/>
  <c r="X762" i="3"/>
  <c r="T761" i="3"/>
  <c r="X759" i="3"/>
  <c r="T758" i="3"/>
  <c r="X756" i="3"/>
  <c r="T755" i="3"/>
  <c r="X753" i="3"/>
  <c r="T752" i="3"/>
  <c r="X750" i="3"/>
  <c r="T749" i="3"/>
  <c r="X747" i="3"/>
  <c r="T746" i="3"/>
  <c r="X744" i="3"/>
  <c r="T743" i="3"/>
  <c r="X741" i="3"/>
  <c r="T740" i="3"/>
  <c r="X738" i="3"/>
  <c r="T737" i="3"/>
  <c r="X735" i="3"/>
  <c r="T734" i="3"/>
  <c r="X732" i="3"/>
  <c r="T731" i="3"/>
  <c r="X729" i="3"/>
  <c r="T728" i="3"/>
  <c r="X726" i="3"/>
  <c r="T725" i="3"/>
  <c r="X723" i="3"/>
  <c r="T722" i="3"/>
  <c r="X720" i="3"/>
  <c r="T719" i="3"/>
  <c r="X717" i="3"/>
  <c r="T716" i="3"/>
  <c r="X714" i="3"/>
  <c r="T713" i="3"/>
  <c r="X711" i="3"/>
  <c r="T710" i="3"/>
  <c r="X708" i="3"/>
  <c r="T707" i="3"/>
  <c r="X705" i="3"/>
  <c r="T704" i="3"/>
  <c r="X702" i="3"/>
  <c r="T701" i="3"/>
  <c r="X699" i="3"/>
  <c r="T698" i="3"/>
  <c r="X696" i="3"/>
  <c r="T695" i="3"/>
  <c r="X693" i="3"/>
  <c r="T692" i="3"/>
  <c r="X690" i="3"/>
  <c r="T689" i="3"/>
  <c r="X687" i="3"/>
  <c r="T686" i="3"/>
  <c r="X684" i="3"/>
  <c r="T683" i="3"/>
  <c r="X681" i="3"/>
  <c r="T680" i="3"/>
  <c r="X678" i="3"/>
  <c r="T677" i="3"/>
  <c r="X675" i="3"/>
  <c r="T674" i="3"/>
  <c r="X672" i="3"/>
  <c r="T671" i="3"/>
  <c r="X669" i="3"/>
  <c r="T668" i="3"/>
  <c r="X666" i="3"/>
  <c r="T665" i="3"/>
  <c r="X663" i="3"/>
  <c r="T662" i="3"/>
  <c r="X660" i="3"/>
  <c r="T659" i="3"/>
  <c r="X657" i="3"/>
  <c r="T656" i="3"/>
  <c r="X654" i="3"/>
  <c r="T653" i="3"/>
  <c r="X651" i="3"/>
  <c r="T650" i="3"/>
  <c r="X648" i="3"/>
  <c r="T647" i="3"/>
  <c r="X645" i="3"/>
  <c r="T644" i="3"/>
  <c r="X642" i="3"/>
  <c r="T641" i="3"/>
  <c r="X639" i="3"/>
  <c r="T638" i="3"/>
  <c r="X636" i="3"/>
  <c r="T635" i="3"/>
  <c r="X633" i="3"/>
  <c r="T632" i="3"/>
  <c r="X630" i="3"/>
  <c r="T629" i="3"/>
  <c r="X627" i="3"/>
  <c r="T626" i="3"/>
  <c r="X624" i="3"/>
  <c r="T623" i="3"/>
  <c r="X621" i="3"/>
  <c r="T620" i="3"/>
  <c r="X618" i="3"/>
  <c r="T617" i="3"/>
  <c r="X615" i="3"/>
  <c r="T614" i="3"/>
  <c r="X612" i="3"/>
  <c r="T611" i="3"/>
  <c r="X609" i="3"/>
  <c r="T608" i="3"/>
  <c r="X606" i="3"/>
  <c r="T605" i="3"/>
  <c r="X603" i="3"/>
  <c r="T602" i="3"/>
  <c r="X600" i="3"/>
  <c r="T599" i="3"/>
  <c r="X597" i="3"/>
  <c r="T596" i="3"/>
  <c r="X594" i="3"/>
  <c r="T593" i="3"/>
  <c r="X591" i="3"/>
  <c r="T590" i="3"/>
  <c r="X588" i="3"/>
  <c r="T587" i="3"/>
  <c r="X585" i="3"/>
  <c r="T584" i="3"/>
  <c r="X582" i="3"/>
  <c r="T581" i="3"/>
  <c r="X579" i="3"/>
  <c r="T578" i="3"/>
  <c r="X576" i="3"/>
  <c r="T575" i="3"/>
  <c r="X573" i="3"/>
  <c r="T572" i="3"/>
  <c r="X570" i="3"/>
  <c r="T569" i="3"/>
  <c r="X567" i="3"/>
  <c r="T566" i="3"/>
  <c r="X564" i="3"/>
  <c r="T563" i="3"/>
  <c r="X561" i="3"/>
  <c r="T560" i="3"/>
  <c r="X558" i="3"/>
  <c r="T557" i="3"/>
  <c r="X555" i="3"/>
  <c r="T554" i="3"/>
  <c r="X552" i="3"/>
  <c r="T551" i="3"/>
  <c r="X549" i="3"/>
  <c r="T548" i="3"/>
  <c r="X546" i="3"/>
  <c r="T545" i="3"/>
  <c r="X543" i="3"/>
  <c r="T542" i="3"/>
  <c r="X540" i="3"/>
  <c r="T539" i="3"/>
  <c r="X537" i="3"/>
  <c r="T536" i="3"/>
  <c r="X534" i="3"/>
  <c r="T533" i="3"/>
  <c r="X531" i="3"/>
  <c r="T530" i="3"/>
  <c r="X528" i="3"/>
  <c r="T527" i="3"/>
  <c r="X525" i="3"/>
  <c r="T524" i="3"/>
  <c r="X522" i="3"/>
  <c r="T521" i="3"/>
  <c r="X519" i="3"/>
  <c r="T518" i="3"/>
  <c r="X516" i="3"/>
  <c r="T515" i="3"/>
  <c r="X513" i="3"/>
  <c r="T512" i="3"/>
  <c r="X510" i="3"/>
  <c r="T509" i="3"/>
  <c r="X507" i="3"/>
  <c r="T506" i="3"/>
  <c r="X504" i="3"/>
  <c r="T503" i="3"/>
  <c r="X501" i="3"/>
  <c r="T500" i="3"/>
  <c r="X498" i="3"/>
  <c r="T497" i="3"/>
  <c r="X495" i="3"/>
  <c r="T494" i="3"/>
  <c r="R794" i="3"/>
  <c r="V792" i="3"/>
  <c r="V789" i="3"/>
  <c r="V786" i="3"/>
  <c r="V783" i="3"/>
  <c r="R782" i="3"/>
  <c r="V780" i="3"/>
  <c r="V777" i="3"/>
  <c r="R776" i="3"/>
  <c r="V774" i="3"/>
  <c r="V771" i="3"/>
  <c r="V768" i="3"/>
  <c r="V765" i="3"/>
  <c r="R764" i="3"/>
  <c r="V762" i="3"/>
  <c r="V759" i="3"/>
  <c r="R758" i="3"/>
  <c r="V756" i="3"/>
  <c r="V753" i="3"/>
  <c r="V750" i="3"/>
  <c r="V747" i="3"/>
  <c r="R746" i="3"/>
  <c r="V744" i="3"/>
  <c r="V741" i="3"/>
  <c r="R740" i="3"/>
  <c r="V738" i="3"/>
  <c r="V735" i="3"/>
  <c r="V732" i="3"/>
  <c r="V729" i="3"/>
  <c r="R728" i="3"/>
  <c r="V726" i="3"/>
  <c r="V723" i="3"/>
  <c r="R722" i="3"/>
  <c r="V720" i="3"/>
  <c r="R719" i="3"/>
  <c r="V717" i="3"/>
  <c r="V714" i="3"/>
  <c r="V711" i="3"/>
  <c r="R710" i="3"/>
  <c r="V708" i="3"/>
  <c r="V705" i="3"/>
  <c r="R704" i="3"/>
  <c r="V702" i="3"/>
  <c r="R701" i="3"/>
  <c r="V699" i="3"/>
  <c r="V696" i="3"/>
  <c r="V693" i="3"/>
  <c r="R692" i="3"/>
  <c r="V690" i="3"/>
  <c r="V687" i="3"/>
  <c r="R686" i="3"/>
  <c r="V684" i="3"/>
  <c r="R683" i="3"/>
  <c r="V681" i="3"/>
  <c r="V678" i="3"/>
  <c r="V675" i="3"/>
  <c r="R674" i="3"/>
  <c r="V672" i="3"/>
  <c r="V669" i="3"/>
  <c r="R668" i="3"/>
  <c r="V666" i="3"/>
  <c r="R665" i="3"/>
  <c r="V663" i="3"/>
  <c r="R662" i="3"/>
  <c r="V660" i="3"/>
  <c r="V657" i="3"/>
  <c r="R656" i="3"/>
  <c r="V654" i="3"/>
  <c r="V651" i="3"/>
  <c r="R650" i="3"/>
  <c r="V648" i="3"/>
  <c r="R647" i="3"/>
  <c r="V645" i="3"/>
  <c r="R644" i="3"/>
  <c r="V642" i="3"/>
  <c r="V639" i="3"/>
  <c r="R638" i="3"/>
  <c r="V636" i="3"/>
  <c r="V633" i="3"/>
  <c r="R632" i="3"/>
  <c r="V630" i="3"/>
  <c r="R629" i="3"/>
  <c r="V627" i="3"/>
  <c r="R626" i="3"/>
  <c r="V624" i="3"/>
  <c r="R623" i="3"/>
  <c r="V621" i="3"/>
  <c r="R620" i="3"/>
  <c r="V618" i="3"/>
  <c r="V615" i="3"/>
  <c r="R614" i="3"/>
  <c r="V612" i="3"/>
  <c r="R611" i="3"/>
  <c r="V609" i="3"/>
  <c r="R608" i="3"/>
  <c r="V606" i="3"/>
  <c r="R605" i="3"/>
  <c r="V603" i="3"/>
  <c r="R602" i="3"/>
  <c r="V600" i="3"/>
  <c r="V597" i="3"/>
  <c r="R596" i="3"/>
  <c r="V594" i="3"/>
  <c r="R593" i="3"/>
  <c r="V591" i="3"/>
  <c r="R590" i="3"/>
  <c r="V588" i="3"/>
  <c r="R587" i="3"/>
  <c r="V585" i="3"/>
  <c r="R584" i="3"/>
  <c r="V582" i="3"/>
  <c r="V579" i="3"/>
  <c r="R578" i="3"/>
  <c r="V576" i="3"/>
  <c r="R575" i="3"/>
  <c r="V573" i="3"/>
  <c r="R572" i="3"/>
  <c r="V570" i="3"/>
  <c r="R569" i="3"/>
  <c r="V567" i="3"/>
  <c r="R566" i="3"/>
  <c r="V564" i="3"/>
  <c r="V561" i="3"/>
  <c r="R560" i="3"/>
  <c r="V558" i="3"/>
  <c r="R557" i="3"/>
  <c r="V555" i="3"/>
  <c r="R554" i="3"/>
  <c r="V552" i="3"/>
  <c r="R551" i="3"/>
  <c r="V549" i="3"/>
  <c r="R548" i="3"/>
  <c r="V546" i="3"/>
  <c r="V543" i="3"/>
  <c r="R542" i="3"/>
  <c r="V540" i="3"/>
  <c r="R539" i="3"/>
  <c r="V537" i="3"/>
  <c r="R536" i="3"/>
  <c r="V534" i="3"/>
  <c r="R533" i="3"/>
  <c r="V531" i="3"/>
  <c r="R530" i="3"/>
  <c r="V528" i="3"/>
  <c r="V525" i="3"/>
  <c r="R524" i="3"/>
  <c r="V522" i="3"/>
  <c r="R521" i="3"/>
  <c r="V519" i="3"/>
  <c r="R518" i="3"/>
  <c r="V516" i="3"/>
  <c r="R515" i="3"/>
  <c r="V513" i="3"/>
  <c r="R512" i="3"/>
  <c r="V510" i="3"/>
  <c r="V507" i="3"/>
  <c r="R506" i="3"/>
  <c r="V504" i="3"/>
  <c r="R503" i="3"/>
  <c r="V501" i="3"/>
  <c r="R500" i="3"/>
  <c r="V498" i="3"/>
  <c r="R497" i="3"/>
  <c r="V495" i="3"/>
  <c r="R494" i="3"/>
  <c r="V492" i="3"/>
  <c r="V489" i="3"/>
  <c r="R488" i="3"/>
  <c r="U408" i="3"/>
  <c r="U405" i="3"/>
  <c r="U402" i="3"/>
  <c r="U399" i="3"/>
  <c r="U396" i="3"/>
  <c r="U390" i="3"/>
  <c r="U387" i="3"/>
  <c r="U384" i="3"/>
  <c r="U381" i="3"/>
  <c r="U378" i="3"/>
  <c r="U372" i="3"/>
  <c r="U369" i="3"/>
  <c r="U366" i="3"/>
  <c r="U363" i="3"/>
  <c r="U360" i="3"/>
  <c r="U354" i="3"/>
  <c r="U351" i="3"/>
  <c r="U348" i="3"/>
  <c r="U345" i="3"/>
  <c r="U342" i="3"/>
  <c r="U336" i="3"/>
  <c r="U333" i="3"/>
  <c r="U330" i="3"/>
  <c r="U327" i="3"/>
  <c r="U324" i="3"/>
  <c r="Q320" i="3"/>
  <c r="U318" i="3"/>
  <c r="U315" i="3"/>
  <c r="U312" i="3"/>
  <c r="U309" i="3"/>
  <c r="U306" i="3"/>
  <c r="U300" i="3"/>
  <c r="Q299" i="3"/>
  <c r="U297" i="3"/>
  <c r="U294" i="3"/>
  <c r="U291" i="3"/>
  <c r="U288" i="3"/>
  <c r="U282" i="3"/>
  <c r="U279" i="3"/>
  <c r="Q278" i="3"/>
  <c r="U276" i="3"/>
  <c r="U273" i="3"/>
  <c r="U270" i="3"/>
  <c r="U264" i="3"/>
  <c r="U261" i="3"/>
  <c r="U258" i="3"/>
  <c r="Q257" i="3"/>
  <c r="U255" i="3"/>
  <c r="U252" i="3"/>
  <c r="U246" i="3"/>
  <c r="U243" i="3"/>
  <c r="U240" i="3"/>
  <c r="U237" i="3"/>
  <c r="Q236" i="3"/>
  <c r="U234" i="3"/>
  <c r="U228" i="3"/>
  <c r="U225" i="3"/>
  <c r="U222" i="3"/>
  <c r="U219" i="3"/>
  <c r="U216" i="3"/>
  <c r="Q212" i="3"/>
  <c r="U210" i="3"/>
  <c r="U207" i="3"/>
  <c r="U204" i="3"/>
  <c r="U201" i="3"/>
  <c r="U198" i="3"/>
  <c r="U192" i="3"/>
  <c r="Q191" i="3"/>
  <c r="U189" i="3"/>
  <c r="T297" i="3"/>
  <c r="X295" i="3"/>
  <c r="T294" i="3"/>
  <c r="X292" i="3"/>
  <c r="T291" i="3"/>
  <c r="X289" i="3"/>
  <c r="T288" i="3"/>
  <c r="X286" i="3"/>
  <c r="T285" i="3"/>
  <c r="X283" i="3"/>
  <c r="T282" i="3"/>
  <c r="X280" i="3"/>
  <c r="T279" i="3"/>
  <c r="X277" i="3"/>
  <c r="T276" i="3"/>
  <c r="X274" i="3"/>
  <c r="T273" i="3"/>
  <c r="X271" i="3"/>
  <c r="T270" i="3"/>
  <c r="X268" i="3"/>
  <c r="T267" i="3"/>
  <c r="X265" i="3"/>
  <c r="T264" i="3"/>
  <c r="X262" i="3"/>
  <c r="T261" i="3"/>
  <c r="X259" i="3"/>
  <c r="T258" i="3"/>
  <c r="X256" i="3"/>
  <c r="T255" i="3"/>
  <c r="X253" i="3"/>
  <c r="T252" i="3"/>
  <c r="X250" i="3"/>
  <c r="T249" i="3"/>
  <c r="X247" i="3"/>
  <c r="T246" i="3"/>
  <c r="X244" i="3"/>
  <c r="T243" i="3"/>
  <c r="X241" i="3"/>
  <c r="T240" i="3"/>
  <c r="X238" i="3"/>
  <c r="T237" i="3"/>
  <c r="X235" i="3"/>
  <c r="T234" i="3"/>
  <c r="X232" i="3"/>
  <c r="T231" i="3"/>
  <c r="X229" i="3"/>
  <c r="T228" i="3"/>
  <c r="X226" i="3"/>
  <c r="T225" i="3"/>
  <c r="X223" i="3"/>
  <c r="T222" i="3"/>
  <c r="X220" i="3"/>
  <c r="T219" i="3"/>
  <c r="X217" i="3"/>
  <c r="T216" i="3"/>
  <c r="X214" i="3"/>
  <c r="T213" i="3"/>
  <c r="X211" i="3"/>
  <c r="T210" i="3"/>
  <c r="X208" i="3"/>
  <c r="T207" i="3"/>
  <c r="X205" i="3"/>
  <c r="T204" i="3"/>
  <c r="X202" i="3"/>
  <c r="T201" i="3"/>
  <c r="X199" i="3"/>
  <c r="T198" i="3"/>
  <c r="X196" i="3"/>
  <c r="T195" i="3"/>
  <c r="X193" i="3"/>
  <c r="T192" i="3"/>
  <c r="X190" i="3"/>
  <c r="S444" i="3"/>
  <c r="W442" i="3"/>
  <c r="S441" i="3"/>
  <c r="W439" i="3"/>
  <c r="S438" i="3"/>
  <c r="W436" i="3"/>
  <c r="S435" i="3"/>
  <c r="W433" i="3"/>
  <c r="S432" i="3"/>
  <c r="W430" i="3"/>
  <c r="S429" i="3"/>
  <c r="W427" i="3"/>
  <c r="S426" i="3"/>
  <c r="W424" i="3"/>
  <c r="S423" i="3"/>
  <c r="W421" i="3"/>
  <c r="S420" i="3"/>
  <c r="W418" i="3"/>
  <c r="S417" i="3"/>
  <c r="W415" i="3"/>
  <c r="S414" i="3"/>
  <c r="W412" i="3"/>
  <c r="S411" i="3"/>
  <c r="W409" i="3"/>
  <c r="S408" i="3"/>
  <c r="W406" i="3"/>
  <c r="S405" i="3"/>
  <c r="W403" i="3"/>
  <c r="S402" i="3"/>
  <c r="W400" i="3"/>
  <c r="S399" i="3"/>
  <c r="W397" i="3"/>
  <c r="S396" i="3"/>
  <c r="W394" i="3"/>
  <c r="S393" i="3"/>
  <c r="W391" i="3"/>
  <c r="S390" i="3"/>
  <c r="W388" i="3"/>
  <c r="S387" i="3"/>
  <c r="W385" i="3"/>
  <c r="S384" i="3"/>
  <c r="W382" i="3"/>
  <c r="S381" i="3"/>
  <c r="W379" i="3"/>
  <c r="S378" i="3"/>
  <c r="W376" i="3"/>
  <c r="S375" i="3"/>
  <c r="W373" i="3"/>
  <c r="S372" i="3"/>
  <c r="W370" i="3"/>
  <c r="S369" i="3"/>
  <c r="W367" i="3"/>
  <c r="S366" i="3"/>
  <c r="W364" i="3"/>
  <c r="S363" i="3"/>
  <c r="W361" i="3"/>
  <c r="S360" i="3"/>
  <c r="W358" i="3"/>
  <c r="S357" i="3"/>
  <c r="W355" i="3"/>
  <c r="S354" i="3"/>
  <c r="W352" i="3"/>
  <c r="S351" i="3"/>
  <c r="W349" i="3"/>
  <c r="S348" i="3"/>
  <c r="W346" i="3"/>
  <c r="S345" i="3"/>
  <c r="W343" i="3"/>
  <c r="S342" i="3"/>
  <c r="W340" i="3"/>
  <c r="S339" i="3"/>
  <c r="W337" i="3"/>
  <c r="S336" i="3"/>
  <c r="W334" i="3"/>
  <c r="S333" i="3"/>
  <c r="W331" i="3"/>
  <c r="S330" i="3"/>
  <c r="V412" i="3"/>
  <c r="V409" i="3"/>
  <c r="R408" i="3"/>
  <c r="V406" i="3"/>
  <c r="R405" i="3"/>
  <c r="V403" i="3"/>
  <c r="R402" i="3"/>
  <c r="V400" i="3"/>
  <c r="R399" i="3"/>
  <c r="V397" i="3"/>
  <c r="R396" i="3"/>
  <c r="V394" i="3"/>
  <c r="V391" i="3"/>
  <c r="R390" i="3"/>
  <c r="V388" i="3"/>
  <c r="R387" i="3"/>
  <c r="V385" i="3"/>
  <c r="R384" i="3"/>
  <c r="V382" i="3"/>
  <c r="R381" i="3"/>
  <c r="V379" i="3"/>
  <c r="R378" i="3"/>
  <c r="V376" i="3"/>
  <c r="V373" i="3"/>
  <c r="R372" i="3"/>
  <c r="V370" i="3"/>
  <c r="R369" i="3"/>
  <c r="V367" i="3"/>
  <c r="R366" i="3"/>
  <c r="V364" i="3"/>
  <c r="R363" i="3"/>
  <c r="V361" i="3"/>
  <c r="R360" i="3"/>
  <c r="V358" i="3"/>
  <c r="V355" i="3"/>
  <c r="R354" i="3"/>
  <c r="V352" i="3"/>
  <c r="R351" i="3"/>
  <c r="V349" i="3"/>
  <c r="R348" i="3"/>
  <c r="V346" i="3"/>
  <c r="R345" i="3"/>
  <c r="V343" i="3"/>
  <c r="R342" i="3"/>
  <c r="V340" i="3"/>
  <c r="V337" i="3"/>
  <c r="R336" i="3"/>
  <c r="V334" i="3"/>
  <c r="R333" i="3"/>
  <c r="V331" i="3"/>
  <c r="R330" i="3"/>
  <c r="V328" i="3"/>
  <c r="R327" i="3"/>
  <c r="V325" i="3"/>
  <c r="R324" i="3"/>
  <c r="V322" i="3"/>
  <c r="V319" i="3"/>
  <c r="R318" i="3"/>
  <c r="V316" i="3"/>
  <c r="R315" i="3"/>
  <c r="V313" i="3"/>
  <c r="R312" i="3"/>
  <c r="V310" i="3"/>
  <c r="R309" i="3"/>
  <c r="V307" i="3"/>
  <c r="R306" i="3"/>
  <c r="V304" i="3"/>
  <c r="U286" i="3"/>
  <c r="U283" i="3"/>
  <c r="U280" i="3"/>
  <c r="U277" i="3"/>
  <c r="U274" i="3"/>
  <c r="U271" i="3"/>
  <c r="Q270" i="3"/>
  <c r="U268" i="3"/>
  <c r="U265" i="3"/>
  <c r="U262" i="3"/>
  <c r="U259" i="3"/>
  <c r="U256" i="3"/>
  <c r="U253" i="3"/>
  <c r="U250" i="3"/>
  <c r="U247" i="3"/>
  <c r="U244" i="3"/>
  <c r="U241" i="3"/>
  <c r="U238" i="3"/>
  <c r="U235" i="3"/>
  <c r="U232" i="3"/>
  <c r="U229" i="3"/>
  <c r="U226" i="3"/>
  <c r="U223" i="3"/>
  <c r="U220" i="3"/>
  <c r="U217" i="3"/>
  <c r="U214" i="3"/>
  <c r="U211" i="3"/>
  <c r="Q210" i="3"/>
  <c r="U208" i="3"/>
  <c r="U205" i="3"/>
  <c r="U202" i="3"/>
  <c r="U199" i="3"/>
  <c r="U196" i="3"/>
  <c r="U193" i="3"/>
  <c r="U190" i="3"/>
  <c r="U187" i="3"/>
  <c r="U184" i="3"/>
  <c r="U181" i="3"/>
  <c r="U178" i="3"/>
  <c r="X275" i="3"/>
  <c r="T274" i="3"/>
  <c r="X272" i="3"/>
  <c r="T271" i="3"/>
  <c r="X269" i="3"/>
  <c r="T268" i="3"/>
  <c r="X266" i="3"/>
  <c r="T265" i="3"/>
  <c r="X263" i="3"/>
  <c r="T262" i="3"/>
  <c r="X260" i="3"/>
  <c r="T259" i="3"/>
  <c r="X257" i="3"/>
  <c r="T256" i="3"/>
  <c r="X254" i="3"/>
  <c r="T253" i="3"/>
  <c r="X251" i="3"/>
  <c r="T250" i="3"/>
  <c r="X248" i="3"/>
  <c r="T247" i="3"/>
  <c r="X245" i="3"/>
  <c r="T244" i="3"/>
  <c r="X242" i="3"/>
  <c r="T241" i="3"/>
  <c r="X239" i="3"/>
  <c r="T238" i="3"/>
  <c r="X236" i="3"/>
  <c r="T235" i="3"/>
  <c r="X233" i="3"/>
  <c r="T232" i="3"/>
  <c r="X230" i="3"/>
  <c r="T229" i="3"/>
  <c r="X227" i="3"/>
  <c r="T226" i="3"/>
  <c r="X224" i="3"/>
  <c r="T223" i="3"/>
  <c r="X221" i="3"/>
  <c r="T220" i="3"/>
  <c r="X218" i="3"/>
  <c r="T217" i="3"/>
  <c r="X215" i="3"/>
  <c r="T214" i="3"/>
  <c r="X212" i="3"/>
  <c r="T211" i="3"/>
  <c r="X209" i="3"/>
  <c r="T208" i="3"/>
  <c r="X206" i="3"/>
  <c r="T205" i="3"/>
  <c r="X203" i="3"/>
  <c r="T202" i="3"/>
  <c r="X200" i="3"/>
  <c r="T199" i="3"/>
  <c r="X197" i="3"/>
  <c r="T196" i="3"/>
  <c r="X194" i="3"/>
  <c r="T193" i="3"/>
  <c r="X191" i="3"/>
  <c r="T190" i="3"/>
  <c r="X188" i="3"/>
  <c r="T187" i="3"/>
  <c r="X185" i="3"/>
  <c r="T184" i="3"/>
  <c r="X182" i="3"/>
  <c r="T181" i="3"/>
  <c r="X179" i="3"/>
  <c r="T178" i="3"/>
  <c r="X176" i="3"/>
  <c r="T175" i="3"/>
  <c r="W281" i="3"/>
  <c r="S280" i="3"/>
  <c r="W278" i="3"/>
  <c r="S277" i="3"/>
  <c r="W275" i="3"/>
  <c r="S274" i="3"/>
  <c r="W272" i="3"/>
  <c r="S271" i="3"/>
  <c r="W269" i="3"/>
  <c r="S268" i="3"/>
  <c r="W266" i="3"/>
  <c r="S265" i="3"/>
  <c r="W263" i="3"/>
  <c r="S262" i="3"/>
  <c r="W260" i="3"/>
  <c r="S259" i="3"/>
  <c r="W257" i="3"/>
  <c r="S256" i="3"/>
  <c r="W254" i="3"/>
  <c r="S253" i="3"/>
  <c r="W251" i="3"/>
  <c r="S250" i="3"/>
  <c r="W248" i="3"/>
  <c r="S247" i="3"/>
  <c r="W245" i="3"/>
  <c r="S244" i="3"/>
  <c r="W242" i="3"/>
  <c r="S241" i="3"/>
  <c r="W239" i="3"/>
  <c r="S238" i="3"/>
  <c r="W236" i="3"/>
  <c r="S235" i="3"/>
  <c r="W233" i="3"/>
  <c r="S232" i="3"/>
  <c r="W230" i="3"/>
  <c r="S229" i="3"/>
  <c r="W227" i="3"/>
  <c r="S226" i="3"/>
  <c r="W224" i="3"/>
  <c r="S223" i="3"/>
  <c r="W221" i="3"/>
  <c r="S220" i="3"/>
  <c r="W218" i="3"/>
  <c r="S217" i="3"/>
  <c r="W215" i="3"/>
  <c r="S214" i="3"/>
  <c r="W212" i="3"/>
  <c r="S211" i="3"/>
  <c r="W209" i="3"/>
  <c r="S208" i="3"/>
  <c r="W206" i="3"/>
  <c r="S205" i="3"/>
  <c r="W203" i="3"/>
  <c r="S202" i="3"/>
  <c r="W200" i="3"/>
  <c r="S199" i="3"/>
  <c r="W197" i="3"/>
  <c r="S196" i="3"/>
  <c r="W194" i="3"/>
  <c r="S193" i="3"/>
  <c r="W191" i="3"/>
  <c r="S190" i="3"/>
  <c r="W188" i="3"/>
  <c r="S187" i="3"/>
  <c r="W185" i="3"/>
  <c r="S184" i="3"/>
  <c r="W182" i="3"/>
  <c r="S181" i="3"/>
  <c r="V290" i="3"/>
  <c r="R289" i="3"/>
  <c r="V287" i="3"/>
  <c r="R286" i="3"/>
  <c r="V284" i="3"/>
  <c r="R283" i="3"/>
  <c r="V281" i="3"/>
  <c r="R280" i="3"/>
  <c r="V278" i="3"/>
  <c r="R277" i="3"/>
  <c r="V275" i="3"/>
  <c r="R274" i="3"/>
  <c r="V272" i="3"/>
  <c r="R271" i="3"/>
  <c r="V269" i="3"/>
  <c r="R268" i="3"/>
  <c r="V266" i="3"/>
  <c r="R265" i="3"/>
  <c r="V263" i="3"/>
  <c r="R262" i="3"/>
  <c r="V260" i="3"/>
  <c r="R259" i="3"/>
  <c r="V257" i="3"/>
  <c r="R256" i="3"/>
  <c r="V254" i="3"/>
  <c r="R253" i="3"/>
  <c r="V251" i="3"/>
  <c r="R250" i="3"/>
  <c r="V248" i="3"/>
  <c r="R247" i="3"/>
  <c r="V245" i="3"/>
  <c r="R244" i="3"/>
  <c r="V242" i="3"/>
  <c r="R241" i="3"/>
  <c r="V239" i="3"/>
  <c r="R238" i="3"/>
  <c r="V236" i="3"/>
  <c r="R235" i="3"/>
  <c r="V233" i="3"/>
  <c r="R232" i="3"/>
  <c r="V230" i="3"/>
  <c r="R229" i="3"/>
  <c r="V227" i="3"/>
  <c r="R226" i="3"/>
  <c r="V224" i="3"/>
  <c r="R223" i="3"/>
  <c r="V221" i="3"/>
  <c r="R220" i="3"/>
  <c r="V218" i="3"/>
  <c r="R217" i="3"/>
  <c r="V215" i="3"/>
  <c r="R214" i="3"/>
  <c r="V212" i="3"/>
  <c r="R211" i="3"/>
  <c r="V209" i="3"/>
  <c r="R208" i="3"/>
  <c r="V206" i="3"/>
  <c r="R205" i="3"/>
  <c r="V203" i="3"/>
  <c r="R202" i="3"/>
  <c r="V200" i="3"/>
  <c r="R199" i="3"/>
  <c r="V197" i="3"/>
  <c r="R196" i="3"/>
  <c r="V194" i="3"/>
  <c r="R193" i="3"/>
  <c r="V191" i="3"/>
  <c r="R190" i="3"/>
  <c r="V188" i="3"/>
  <c r="R187" i="3"/>
  <c r="V185" i="3"/>
  <c r="R184" i="3"/>
  <c r="V182" i="3"/>
  <c r="R181" i="3"/>
  <c r="V179" i="3"/>
  <c r="R178" i="3"/>
  <c r="U305" i="3"/>
  <c r="U302" i="3"/>
  <c r="U299" i="3"/>
  <c r="U296" i="3"/>
  <c r="Q295" i="3"/>
  <c r="U293" i="3"/>
  <c r="U290" i="3"/>
  <c r="U287" i="3"/>
  <c r="U284" i="3"/>
  <c r="U281" i="3"/>
  <c r="U278" i="3"/>
  <c r="U275" i="3"/>
  <c r="U272" i="3"/>
  <c r="U269" i="3"/>
  <c r="U266" i="3"/>
  <c r="U263" i="3"/>
  <c r="U260" i="3"/>
  <c r="U257" i="3"/>
  <c r="Q256" i="3"/>
  <c r="U254" i="3"/>
  <c r="U251" i="3"/>
  <c r="U248" i="3"/>
  <c r="U245" i="3"/>
  <c r="U242" i="3"/>
  <c r="U239" i="3"/>
  <c r="U236" i="3"/>
  <c r="U233" i="3"/>
  <c r="U230" i="3"/>
  <c r="U227" i="3"/>
  <c r="U224" i="3"/>
  <c r="U221" i="3"/>
  <c r="U218" i="3"/>
  <c r="Q217" i="3"/>
  <c r="U215" i="3"/>
  <c r="U212" i="3"/>
  <c r="U209" i="3"/>
  <c r="U206" i="3"/>
  <c r="U203" i="3"/>
  <c r="U200" i="3"/>
  <c r="U197" i="3"/>
  <c r="U194" i="3"/>
  <c r="U191" i="3"/>
  <c r="U188" i="3"/>
  <c r="U185" i="3"/>
  <c r="X492" i="3"/>
  <c r="T491" i="3"/>
  <c r="X489" i="3"/>
  <c r="T488" i="3"/>
  <c r="X486" i="3"/>
  <c r="T485" i="3"/>
  <c r="X483" i="3"/>
  <c r="T482" i="3"/>
  <c r="X480" i="3"/>
  <c r="T479" i="3"/>
  <c r="X477" i="3"/>
  <c r="T476" i="3"/>
  <c r="X474" i="3"/>
  <c r="T473" i="3"/>
  <c r="X471" i="3"/>
  <c r="T470" i="3"/>
  <c r="X468" i="3"/>
  <c r="T467" i="3"/>
  <c r="X465" i="3"/>
  <c r="T464" i="3"/>
  <c r="X462" i="3"/>
  <c r="T461" i="3"/>
  <c r="X459" i="3"/>
  <c r="T458" i="3"/>
  <c r="X456" i="3"/>
  <c r="T455" i="3"/>
  <c r="X453" i="3"/>
  <c r="T452" i="3"/>
  <c r="X450" i="3"/>
  <c r="T449" i="3"/>
  <c r="X447" i="3"/>
  <c r="T446" i="3"/>
  <c r="X444" i="3"/>
  <c r="T443" i="3"/>
  <c r="X441" i="3"/>
  <c r="T440" i="3"/>
  <c r="X438" i="3"/>
  <c r="T437" i="3"/>
  <c r="X435" i="3"/>
  <c r="T434" i="3"/>
  <c r="X432" i="3"/>
  <c r="T431" i="3"/>
  <c r="X429" i="3"/>
  <c r="T428" i="3"/>
  <c r="X426" i="3"/>
  <c r="T425" i="3"/>
  <c r="X423" i="3"/>
  <c r="T422" i="3"/>
  <c r="X420" i="3"/>
  <c r="T419" i="3"/>
  <c r="X417" i="3"/>
  <c r="T416" i="3"/>
  <c r="X414" i="3"/>
  <c r="T413" i="3"/>
  <c r="X411" i="3"/>
  <c r="T410" i="3"/>
  <c r="X408" i="3"/>
  <c r="T407" i="3"/>
  <c r="X405" i="3"/>
  <c r="T404" i="3"/>
  <c r="X402" i="3"/>
  <c r="T401" i="3"/>
  <c r="X399" i="3"/>
  <c r="T398" i="3"/>
  <c r="X396" i="3"/>
  <c r="T395" i="3"/>
  <c r="X393" i="3"/>
  <c r="T392" i="3"/>
  <c r="X390" i="3"/>
  <c r="T389" i="3"/>
  <c r="X387" i="3"/>
  <c r="T386" i="3"/>
  <c r="X384" i="3"/>
  <c r="T383" i="3"/>
  <c r="X381" i="3"/>
  <c r="T380" i="3"/>
  <c r="X378" i="3"/>
  <c r="T377" i="3"/>
  <c r="X375" i="3"/>
  <c r="T374" i="3"/>
  <c r="X372" i="3"/>
  <c r="T371" i="3"/>
  <c r="X369" i="3"/>
  <c r="T368" i="3"/>
  <c r="X366" i="3"/>
  <c r="T365" i="3"/>
  <c r="X363" i="3"/>
  <c r="T362" i="3"/>
  <c r="X360" i="3"/>
  <c r="T359" i="3"/>
  <c r="X357" i="3"/>
  <c r="T356" i="3"/>
  <c r="X354" i="3"/>
  <c r="T353" i="3"/>
  <c r="X351" i="3"/>
  <c r="T350" i="3"/>
  <c r="X348" i="3"/>
  <c r="T347" i="3"/>
  <c r="X345" i="3"/>
  <c r="T344" i="3"/>
  <c r="X342" i="3"/>
  <c r="T341" i="3"/>
  <c r="X339" i="3"/>
  <c r="T338" i="3"/>
  <c r="X336" i="3"/>
  <c r="T335" i="3"/>
  <c r="X333" i="3"/>
  <c r="T332" i="3"/>
  <c r="X330" i="3"/>
  <c r="T329" i="3"/>
  <c r="X327" i="3"/>
  <c r="T326" i="3"/>
  <c r="X324" i="3"/>
  <c r="T323" i="3"/>
  <c r="X321" i="3"/>
  <c r="T320" i="3"/>
  <c r="X318" i="3"/>
  <c r="T317" i="3"/>
  <c r="X315" i="3"/>
  <c r="T314" i="3"/>
  <c r="X312" i="3"/>
  <c r="T311" i="3"/>
  <c r="X309" i="3"/>
  <c r="T308" i="3"/>
  <c r="X306" i="3"/>
  <c r="T305" i="3"/>
  <c r="X303" i="3"/>
  <c r="T302" i="3"/>
  <c r="X300" i="3"/>
  <c r="T299" i="3"/>
  <c r="X297" i="3"/>
  <c r="T296" i="3"/>
  <c r="X294" i="3"/>
  <c r="T293" i="3"/>
  <c r="X291" i="3"/>
  <c r="T290" i="3"/>
  <c r="X288" i="3"/>
  <c r="T287" i="3"/>
  <c r="X285" i="3"/>
  <c r="T284" i="3"/>
  <c r="X282" i="3"/>
  <c r="T281" i="3"/>
  <c r="X279" i="3"/>
  <c r="T278" i="3"/>
  <c r="X276" i="3"/>
  <c r="T275" i="3"/>
  <c r="X273" i="3"/>
  <c r="T272" i="3"/>
  <c r="X270" i="3"/>
  <c r="T269" i="3"/>
  <c r="X267" i="3"/>
  <c r="T266" i="3"/>
  <c r="X264" i="3"/>
  <c r="T263" i="3"/>
  <c r="X261" i="3"/>
  <c r="T260" i="3"/>
  <c r="X258" i="3"/>
  <c r="T257" i="3"/>
  <c r="X255" i="3"/>
  <c r="T254" i="3"/>
  <c r="X252" i="3"/>
  <c r="T251" i="3"/>
  <c r="X249" i="3"/>
  <c r="T248" i="3"/>
  <c r="X246" i="3"/>
  <c r="T245" i="3"/>
  <c r="X243" i="3"/>
  <c r="T242" i="3"/>
  <c r="X240" i="3"/>
  <c r="T239" i="3"/>
  <c r="V486" i="3"/>
  <c r="R485" i="3"/>
  <c r="V483" i="3"/>
  <c r="R482" i="3"/>
  <c r="V480" i="3"/>
  <c r="R479" i="3"/>
  <c r="V477" i="3"/>
  <c r="R476" i="3"/>
  <c r="V474" i="3"/>
  <c r="R473" i="3"/>
  <c r="V471" i="3"/>
  <c r="R470" i="3"/>
  <c r="V468" i="3"/>
  <c r="R467" i="3"/>
  <c r="V465" i="3"/>
  <c r="R464" i="3"/>
  <c r="V462" i="3"/>
  <c r="R461" i="3"/>
  <c r="V459" i="3"/>
  <c r="R458" i="3"/>
  <c r="V456" i="3"/>
  <c r="R455" i="3"/>
  <c r="V453" i="3"/>
  <c r="R452" i="3"/>
  <c r="V450" i="3"/>
  <c r="R449" i="3"/>
  <c r="V447" i="3"/>
  <c r="R446" i="3"/>
  <c r="V444" i="3"/>
  <c r="R443" i="3"/>
  <c r="V441" i="3"/>
  <c r="R440" i="3"/>
  <c r="V438" i="3"/>
  <c r="R437" i="3"/>
  <c r="V435" i="3"/>
  <c r="R434" i="3"/>
  <c r="V432" i="3"/>
  <c r="R431" i="3"/>
  <c r="V429" i="3"/>
  <c r="R428" i="3"/>
  <c r="V426" i="3"/>
  <c r="R425" i="3"/>
  <c r="V423" i="3"/>
  <c r="R422" i="3"/>
  <c r="V420" i="3"/>
  <c r="R419" i="3"/>
  <c r="V417" i="3"/>
  <c r="R416" i="3"/>
  <c r="V414" i="3"/>
  <c r="R413" i="3"/>
  <c r="V411" i="3"/>
  <c r="R410" i="3"/>
  <c r="V408" i="3"/>
  <c r="R407" i="3"/>
  <c r="V405" i="3"/>
  <c r="R404" i="3"/>
  <c r="V402" i="3"/>
  <c r="R401" i="3"/>
  <c r="V399" i="3"/>
  <c r="R398" i="3"/>
  <c r="V396" i="3"/>
  <c r="R395" i="3"/>
  <c r="V393" i="3"/>
  <c r="R392" i="3"/>
  <c r="V390" i="3"/>
  <c r="R389" i="3"/>
  <c r="V387" i="3"/>
  <c r="R386" i="3"/>
  <c r="V384" i="3"/>
  <c r="R383" i="3"/>
  <c r="V381" i="3"/>
  <c r="R380" i="3"/>
  <c r="V378" i="3"/>
  <c r="R377" i="3"/>
  <c r="V375" i="3"/>
  <c r="R374" i="3"/>
  <c r="V372" i="3"/>
  <c r="R371" i="3"/>
  <c r="V369" i="3"/>
  <c r="R368" i="3"/>
  <c r="V366" i="3"/>
  <c r="R365" i="3"/>
  <c r="V363" i="3"/>
  <c r="R362" i="3"/>
  <c r="V360" i="3"/>
  <c r="R359" i="3"/>
  <c r="V357" i="3"/>
  <c r="R356" i="3"/>
  <c r="V354" i="3"/>
  <c r="R353" i="3"/>
  <c r="V351" i="3"/>
  <c r="R350" i="3"/>
  <c r="V348" i="3"/>
  <c r="R347" i="3"/>
  <c r="V345" i="3"/>
  <c r="R344" i="3"/>
  <c r="V342" i="3"/>
  <c r="R341" i="3"/>
  <c r="V339" i="3"/>
  <c r="R338" i="3"/>
  <c r="V336" i="3"/>
  <c r="R335" i="3"/>
  <c r="V333" i="3"/>
  <c r="R332" i="3"/>
  <c r="V330" i="3"/>
  <c r="R329" i="3"/>
  <c r="V327" i="3"/>
  <c r="R326" i="3"/>
  <c r="V324" i="3"/>
  <c r="R323" i="3"/>
  <c r="V321" i="3"/>
  <c r="R320" i="3"/>
  <c r="V318" i="3"/>
  <c r="R317" i="3"/>
  <c r="V315" i="3"/>
  <c r="R314" i="3"/>
  <c r="V312" i="3"/>
  <c r="R311" i="3"/>
  <c r="V309" i="3"/>
  <c r="R308" i="3"/>
  <c r="V306" i="3"/>
  <c r="R305" i="3"/>
  <c r="V303" i="3"/>
  <c r="R302" i="3"/>
  <c r="V300" i="3"/>
  <c r="R299" i="3"/>
  <c r="V297" i="3"/>
  <c r="R296" i="3"/>
  <c r="V294" i="3"/>
  <c r="R293" i="3"/>
  <c r="V291" i="3"/>
  <c r="R290" i="3"/>
  <c r="V288" i="3"/>
  <c r="R287" i="3"/>
  <c r="V285" i="3"/>
  <c r="R284" i="3"/>
  <c r="V282" i="3"/>
  <c r="R281" i="3"/>
  <c r="V279" i="3"/>
  <c r="R278" i="3"/>
  <c r="V276" i="3"/>
  <c r="R275" i="3"/>
  <c r="V273" i="3"/>
  <c r="R272" i="3"/>
  <c r="V270" i="3"/>
  <c r="R269" i="3"/>
  <c r="V267" i="3"/>
  <c r="R266" i="3"/>
  <c r="V264" i="3"/>
  <c r="R263" i="3"/>
  <c r="V261" i="3"/>
  <c r="R260" i="3"/>
  <c r="V258" i="3"/>
  <c r="R257" i="3"/>
  <c r="V255" i="3"/>
  <c r="R254" i="3"/>
  <c r="V252" i="3"/>
  <c r="R251" i="3"/>
  <c r="V249" i="3"/>
  <c r="R248" i="3"/>
  <c r="V246" i="3"/>
  <c r="R245" i="3"/>
  <c r="V243" i="3"/>
  <c r="R242" i="3"/>
  <c r="V240" i="3"/>
  <c r="R239" i="3"/>
  <c r="V237" i="3"/>
  <c r="R236" i="3"/>
  <c r="V234" i="3"/>
  <c r="R233" i="3"/>
  <c r="Q188" i="3"/>
  <c r="U186" i="3"/>
  <c r="U183" i="3"/>
  <c r="U180" i="3"/>
  <c r="U177" i="3"/>
  <c r="U174" i="3"/>
  <c r="U171" i="3"/>
  <c r="U168" i="3"/>
  <c r="U165" i="3"/>
  <c r="U162" i="3"/>
  <c r="U159" i="3"/>
  <c r="U156" i="3"/>
  <c r="U153" i="3"/>
  <c r="U150" i="3"/>
  <c r="U147" i="3"/>
  <c r="U144" i="3"/>
  <c r="U141" i="3"/>
  <c r="U138" i="3"/>
  <c r="U135" i="3"/>
  <c r="U132" i="3"/>
  <c r="U129" i="3"/>
  <c r="Q128" i="3"/>
  <c r="U126" i="3"/>
  <c r="U123" i="3"/>
  <c r="U120" i="3"/>
  <c r="U117" i="3"/>
  <c r="U114" i="3"/>
  <c r="U111" i="3"/>
  <c r="U108" i="3"/>
  <c r="U105" i="3"/>
  <c r="U102" i="3"/>
  <c r="U99" i="3"/>
  <c r="U96" i="3"/>
  <c r="U93" i="3"/>
  <c r="U90" i="3"/>
  <c r="Q89" i="3"/>
  <c r="U87" i="3"/>
  <c r="U84" i="3"/>
  <c r="U81" i="3"/>
  <c r="U78" i="3"/>
  <c r="U75" i="3"/>
  <c r="U72" i="3"/>
  <c r="U69" i="3"/>
  <c r="U66" i="3"/>
  <c r="U63" i="3"/>
  <c r="U60" i="3"/>
  <c r="U57" i="3"/>
  <c r="U54" i="3"/>
  <c r="U51" i="3"/>
  <c r="Q50" i="3"/>
  <c r="U48" i="3"/>
  <c r="U45" i="3"/>
  <c r="U42" i="3"/>
  <c r="U39" i="3"/>
  <c r="U36" i="3"/>
  <c r="U33" i="3"/>
  <c r="U30" i="3"/>
  <c r="U27" i="3"/>
  <c r="U24" i="3"/>
  <c r="U21" i="3"/>
  <c r="U18" i="3"/>
  <c r="U15" i="3"/>
  <c r="U12" i="3"/>
  <c r="Q11" i="3"/>
  <c r="U9" i="3"/>
  <c r="U6" i="3"/>
  <c r="T189" i="3"/>
  <c r="X187" i="3"/>
  <c r="T186" i="3"/>
  <c r="X184" i="3"/>
  <c r="T183" i="3"/>
  <c r="X181" i="3"/>
  <c r="T180" i="3"/>
  <c r="X178" i="3"/>
  <c r="T177" i="3"/>
  <c r="X175" i="3"/>
  <c r="T174" i="3"/>
  <c r="X172" i="3"/>
  <c r="T171" i="3"/>
  <c r="X169" i="3"/>
  <c r="T168" i="3"/>
  <c r="X166" i="3"/>
  <c r="T165" i="3"/>
  <c r="X163" i="3"/>
  <c r="T162" i="3"/>
  <c r="X160" i="3"/>
  <c r="T159" i="3"/>
  <c r="X157" i="3"/>
  <c r="T156" i="3"/>
  <c r="X154" i="3"/>
  <c r="T153" i="3"/>
  <c r="X151" i="3"/>
  <c r="T150" i="3"/>
  <c r="X148" i="3"/>
  <c r="T147" i="3"/>
  <c r="X145" i="3"/>
  <c r="T144" i="3"/>
  <c r="X142" i="3"/>
  <c r="T141" i="3"/>
  <c r="X139" i="3"/>
  <c r="T138" i="3"/>
  <c r="X136" i="3"/>
  <c r="T135" i="3"/>
  <c r="X133" i="3"/>
  <c r="T132" i="3"/>
  <c r="X130" i="3"/>
  <c r="T129" i="3"/>
  <c r="X127" i="3"/>
  <c r="AE3" i="3"/>
  <c r="AE4" i="3" s="1"/>
  <c r="AE7" i="3" s="1"/>
  <c r="AE9" i="3" s="1"/>
  <c r="T126" i="3"/>
  <c r="X124" i="3"/>
  <c r="T123" i="3"/>
  <c r="X121" i="3"/>
  <c r="T120" i="3"/>
  <c r="X118" i="3"/>
  <c r="T117" i="3"/>
  <c r="X115" i="3"/>
  <c r="T114" i="3"/>
  <c r="X112" i="3"/>
  <c r="T111" i="3"/>
  <c r="X109" i="3"/>
  <c r="T108" i="3"/>
  <c r="X106" i="3"/>
  <c r="T105" i="3"/>
  <c r="X103" i="3"/>
  <c r="T102" i="3"/>
  <c r="X100" i="3"/>
  <c r="T99" i="3"/>
  <c r="W328" i="3"/>
  <c r="S327" i="3"/>
  <c r="W325" i="3"/>
  <c r="S324" i="3"/>
  <c r="W322" i="3"/>
  <c r="S321" i="3"/>
  <c r="W319" i="3"/>
  <c r="S318" i="3"/>
  <c r="W316" i="3"/>
  <c r="S315" i="3"/>
  <c r="W313" i="3"/>
  <c r="S312" i="3"/>
  <c r="W310" i="3"/>
  <c r="S309" i="3"/>
  <c r="W307" i="3"/>
  <c r="S306" i="3"/>
  <c r="W304" i="3"/>
  <c r="S303" i="3"/>
  <c r="W301" i="3"/>
  <c r="S300" i="3"/>
  <c r="W298" i="3"/>
  <c r="S297" i="3"/>
  <c r="W295" i="3"/>
  <c r="S294" i="3"/>
  <c r="W292" i="3"/>
  <c r="S291" i="3"/>
  <c r="W289" i="3"/>
  <c r="S288" i="3"/>
  <c r="W286" i="3"/>
  <c r="S285" i="3"/>
  <c r="W283" i="3"/>
  <c r="S282" i="3"/>
  <c r="W280" i="3"/>
  <c r="S279" i="3"/>
  <c r="W277" i="3"/>
  <c r="S276" i="3"/>
  <c r="W274" i="3"/>
  <c r="S273" i="3"/>
  <c r="W271" i="3"/>
  <c r="S270" i="3"/>
  <c r="W268" i="3"/>
  <c r="S267" i="3"/>
  <c r="W265" i="3"/>
  <c r="S264" i="3"/>
  <c r="W262" i="3"/>
  <c r="S261" i="3"/>
  <c r="W259" i="3"/>
  <c r="R303" i="3"/>
  <c r="V301" i="3"/>
  <c r="R300" i="3"/>
  <c r="V298" i="3"/>
  <c r="R297" i="3"/>
  <c r="V295" i="3"/>
  <c r="R294" i="3"/>
  <c r="V292" i="3"/>
  <c r="R291" i="3"/>
  <c r="V289" i="3"/>
  <c r="V286" i="3"/>
  <c r="R285" i="3"/>
  <c r="V283" i="3"/>
  <c r="R282" i="3"/>
  <c r="V280" i="3"/>
  <c r="R279" i="3"/>
  <c r="V277" i="3"/>
  <c r="R276" i="3"/>
  <c r="V274" i="3"/>
  <c r="R273" i="3"/>
  <c r="V271" i="3"/>
  <c r="V268" i="3"/>
  <c r="R267" i="3"/>
  <c r="V265" i="3"/>
  <c r="R264" i="3"/>
  <c r="V262" i="3"/>
  <c r="R261" i="3"/>
  <c r="V259" i="3"/>
  <c r="R258" i="3"/>
  <c r="V256" i="3"/>
  <c r="R255" i="3"/>
  <c r="V253" i="3"/>
  <c r="V250" i="3"/>
  <c r="R249" i="3"/>
  <c r="V247" i="3"/>
  <c r="R246" i="3"/>
  <c r="V244" i="3"/>
  <c r="R243" i="3"/>
  <c r="V241" i="3"/>
  <c r="R240" i="3"/>
  <c r="V238" i="3"/>
  <c r="R237" i="3"/>
  <c r="V235" i="3"/>
  <c r="V232" i="3"/>
  <c r="R231" i="3"/>
  <c r="U175" i="3"/>
  <c r="U172" i="3"/>
  <c r="U169" i="3"/>
  <c r="U166" i="3"/>
  <c r="U163" i="3"/>
  <c r="Q162" i="3"/>
  <c r="U160" i="3"/>
  <c r="U157" i="3"/>
  <c r="U154" i="3"/>
  <c r="U151" i="3"/>
  <c r="U148" i="3"/>
  <c r="U145" i="3"/>
  <c r="Q144" i="3"/>
  <c r="U142" i="3"/>
  <c r="U139" i="3"/>
  <c r="U136" i="3"/>
  <c r="U133" i="3"/>
  <c r="U130" i="3"/>
  <c r="U127" i="3"/>
  <c r="Q126" i="3"/>
  <c r="U124" i="3"/>
  <c r="U121" i="3"/>
  <c r="U118" i="3"/>
  <c r="U115" i="3"/>
  <c r="U112" i="3"/>
  <c r="U109" i="3"/>
  <c r="Q108" i="3"/>
  <c r="U106" i="3"/>
  <c r="U103" i="3"/>
  <c r="U100" i="3"/>
  <c r="U97" i="3"/>
  <c r="U94" i="3"/>
  <c r="U91" i="3"/>
  <c r="X173" i="3"/>
  <c r="T172" i="3"/>
  <c r="X170" i="3"/>
  <c r="T169" i="3"/>
  <c r="X167" i="3"/>
  <c r="T166" i="3"/>
  <c r="X164" i="3"/>
  <c r="T163" i="3"/>
  <c r="X161" i="3"/>
  <c r="T160" i="3"/>
  <c r="X158" i="3"/>
  <c r="T157" i="3"/>
  <c r="X155" i="3"/>
  <c r="T154" i="3"/>
  <c r="X152" i="3"/>
  <c r="T151" i="3"/>
  <c r="X149" i="3"/>
  <c r="T148" i="3"/>
  <c r="X146" i="3"/>
  <c r="T145" i="3"/>
  <c r="X143" i="3"/>
  <c r="T142" i="3"/>
  <c r="X140" i="3"/>
  <c r="T139" i="3"/>
  <c r="X137" i="3"/>
  <c r="T136" i="3"/>
  <c r="X134" i="3"/>
  <c r="T133" i="3"/>
  <c r="X131" i="3"/>
  <c r="T130" i="3"/>
  <c r="X128" i="3"/>
  <c r="T127" i="3"/>
  <c r="X125" i="3"/>
  <c r="T124" i="3"/>
  <c r="X122" i="3"/>
  <c r="T121" i="3"/>
  <c r="X119" i="3"/>
  <c r="T118" i="3"/>
  <c r="X116" i="3"/>
  <c r="T115" i="3"/>
  <c r="X113" i="3"/>
  <c r="T112" i="3"/>
  <c r="X110" i="3"/>
  <c r="T109" i="3"/>
  <c r="X107" i="3"/>
  <c r="T106" i="3"/>
  <c r="X104" i="3"/>
  <c r="T103" i="3"/>
  <c r="X101" i="3"/>
  <c r="T100" i="3"/>
  <c r="X98" i="3"/>
  <c r="T97" i="3"/>
  <c r="X95" i="3"/>
  <c r="T94" i="3"/>
  <c r="X92" i="3"/>
  <c r="W179" i="3"/>
  <c r="S178" i="3"/>
  <c r="W176" i="3"/>
  <c r="S175" i="3"/>
  <c r="W173" i="3"/>
  <c r="S172" i="3"/>
  <c r="W170" i="3"/>
  <c r="S169" i="3"/>
  <c r="W167" i="3"/>
  <c r="S166" i="3"/>
  <c r="W164" i="3"/>
  <c r="S163" i="3"/>
  <c r="W161" i="3"/>
  <c r="S160" i="3"/>
  <c r="W158" i="3"/>
  <c r="S157" i="3"/>
  <c r="W155" i="3"/>
  <c r="S154" i="3"/>
  <c r="W152" i="3"/>
  <c r="S151" i="3"/>
  <c r="W149" i="3"/>
  <c r="S148" i="3"/>
  <c r="W146" i="3"/>
  <c r="S145" i="3"/>
  <c r="W143" i="3"/>
  <c r="S142" i="3"/>
  <c r="W140" i="3"/>
  <c r="S139" i="3"/>
  <c r="W137" i="3"/>
  <c r="S136" i="3"/>
  <c r="W134" i="3"/>
  <c r="S133" i="3"/>
  <c r="W131" i="3"/>
  <c r="S130" i="3"/>
  <c r="W128" i="3"/>
  <c r="S127" i="3"/>
  <c r="W125" i="3"/>
  <c r="S124" i="3"/>
  <c r="W122" i="3"/>
  <c r="S121" i="3"/>
  <c r="W119" i="3"/>
  <c r="S118" i="3"/>
  <c r="W116" i="3"/>
  <c r="S115" i="3"/>
  <c r="W113" i="3"/>
  <c r="S112" i="3"/>
  <c r="W110" i="3"/>
  <c r="S109" i="3"/>
  <c r="W107" i="3"/>
  <c r="S106" i="3"/>
  <c r="W104" i="3"/>
  <c r="S103" i="3"/>
  <c r="W101" i="3"/>
  <c r="S100" i="3"/>
  <c r="V176" i="3"/>
  <c r="R175" i="3"/>
  <c r="V173" i="3"/>
  <c r="R172" i="3"/>
  <c r="V170" i="3"/>
  <c r="R169" i="3"/>
  <c r="V167" i="3"/>
  <c r="R166" i="3"/>
  <c r="V164" i="3"/>
  <c r="R163" i="3"/>
  <c r="V161" i="3"/>
  <c r="R160" i="3"/>
  <c r="V158" i="3"/>
  <c r="R157" i="3"/>
  <c r="V155" i="3"/>
  <c r="R154" i="3"/>
  <c r="V152" i="3"/>
  <c r="R151" i="3"/>
  <c r="V149" i="3"/>
  <c r="R148" i="3"/>
  <c r="V146" i="3"/>
  <c r="R145" i="3"/>
  <c r="V143" i="3"/>
  <c r="R142" i="3"/>
  <c r="V140" i="3"/>
  <c r="R139" i="3"/>
  <c r="V137" i="3"/>
  <c r="R136" i="3"/>
  <c r="V134" i="3"/>
  <c r="R133" i="3"/>
  <c r="V131" i="3"/>
  <c r="R130" i="3"/>
  <c r="V128" i="3"/>
  <c r="R127" i="3"/>
  <c r="V125" i="3"/>
  <c r="R124" i="3"/>
  <c r="V122" i="3"/>
  <c r="R121" i="3"/>
  <c r="V119" i="3"/>
  <c r="R118" i="3"/>
  <c r="V116" i="3"/>
  <c r="R115" i="3"/>
  <c r="V113" i="3"/>
  <c r="R112" i="3"/>
  <c r="V110" i="3"/>
  <c r="R109" i="3"/>
  <c r="V107" i="3"/>
  <c r="R106" i="3"/>
  <c r="V104" i="3"/>
  <c r="R103" i="3"/>
  <c r="V101" i="3"/>
  <c r="R100" i="3"/>
  <c r="V98" i="3"/>
  <c r="R97" i="3"/>
  <c r="V95" i="3"/>
  <c r="R94" i="3"/>
  <c r="V92" i="3"/>
  <c r="R91" i="3"/>
  <c r="U182" i="3"/>
  <c r="Q181" i="3"/>
  <c r="U179" i="3"/>
  <c r="U176" i="3"/>
  <c r="U173" i="3"/>
  <c r="U170" i="3"/>
  <c r="U167" i="3"/>
  <c r="U164" i="3"/>
  <c r="U161" i="3"/>
  <c r="U158" i="3"/>
  <c r="U155" i="3"/>
  <c r="U152" i="3"/>
  <c r="U149" i="3"/>
  <c r="U146" i="3"/>
  <c r="U143" i="3"/>
  <c r="Q142" i="3"/>
  <c r="U140" i="3"/>
  <c r="U137" i="3"/>
  <c r="U134" i="3"/>
  <c r="U131" i="3"/>
  <c r="U128" i="3"/>
  <c r="U125" i="3"/>
  <c r="U122" i="3"/>
  <c r="U119" i="3"/>
  <c r="U116" i="3"/>
  <c r="U113" i="3"/>
  <c r="U110" i="3"/>
  <c r="U107" i="3"/>
  <c r="U104" i="3"/>
  <c r="Q103" i="3"/>
  <c r="U101" i="3"/>
  <c r="X237" i="3"/>
  <c r="T236" i="3"/>
  <c r="X234" i="3"/>
  <c r="T233" i="3"/>
  <c r="X231" i="3"/>
  <c r="T230" i="3"/>
  <c r="X228" i="3"/>
  <c r="T227" i="3"/>
  <c r="X225" i="3"/>
  <c r="T224" i="3"/>
  <c r="X222" i="3"/>
  <c r="T221" i="3"/>
  <c r="X219" i="3"/>
  <c r="T218" i="3"/>
  <c r="X216" i="3"/>
  <c r="T215" i="3"/>
  <c r="X213" i="3"/>
  <c r="T212" i="3"/>
  <c r="X210" i="3"/>
  <c r="T209" i="3"/>
  <c r="X207" i="3"/>
  <c r="T206" i="3"/>
  <c r="X204" i="3"/>
  <c r="T203" i="3"/>
  <c r="X201" i="3"/>
  <c r="T200" i="3"/>
  <c r="X198" i="3"/>
  <c r="T197" i="3"/>
  <c r="X195" i="3"/>
  <c r="T194" i="3"/>
  <c r="X192" i="3"/>
  <c r="T191" i="3"/>
  <c r="X189" i="3"/>
  <c r="T188" i="3"/>
  <c r="X186" i="3"/>
  <c r="T185" i="3"/>
  <c r="X183" i="3"/>
  <c r="T182" i="3"/>
  <c r="X180" i="3"/>
  <c r="T179" i="3"/>
  <c r="X177" i="3"/>
  <c r="T176" i="3"/>
  <c r="X174" i="3"/>
  <c r="T173" i="3"/>
  <c r="X171" i="3"/>
  <c r="T170" i="3"/>
  <c r="X168" i="3"/>
  <c r="T167" i="3"/>
  <c r="X165" i="3"/>
  <c r="T164" i="3"/>
  <c r="X162" i="3"/>
  <c r="T161" i="3"/>
  <c r="X159" i="3"/>
  <c r="T158" i="3"/>
  <c r="X156" i="3"/>
  <c r="T155" i="3"/>
  <c r="X153" i="3"/>
  <c r="T152" i="3"/>
  <c r="X150" i="3"/>
  <c r="T149" i="3"/>
  <c r="X147" i="3"/>
  <c r="T146" i="3"/>
  <c r="X144" i="3"/>
  <c r="T143" i="3"/>
  <c r="X141" i="3"/>
  <c r="T140" i="3"/>
  <c r="X138" i="3"/>
  <c r="T137" i="3"/>
  <c r="X135" i="3"/>
  <c r="T134" i="3"/>
  <c r="X132" i="3"/>
  <c r="T131" i="3"/>
  <c r="X129" i="3"/>
  <c r="T128" i="3"/>
  <c r="X126" i="3"/>
  <c r="T125" i="3"/>
  <c r="X123" i="3"/>
  <c r="T122" i="3"/>
  <c r="X120" i="3"/>
  <c r="T119" i="3"/>
  <c r="X117" i="3"/>
  <c r="T116" i="3"/>
  <c r="X114" i="3"/>
  <c r="T113" i="3"/>
  <c r="X111" i="3"/>
  <c r="T110" i="3"/>
  <c r="X108" i="3"/>
  <c r="T107" i="3"/>
  <c r="X105" i="3"/>
  <c r="T104" i="3"/>
  <c r="X102" i="3"/>
  <c r="T101" i="3"/>
  <c r="X99" i="3"/>
  <c r="T98" i="3"/>
  <c r="X96" i="3"/>
  <c r="T95" i="3"/>
  <c r="X93" i="3"/>
  <c r="T92" i="3"/>
  <c r="X90" i="3"/>
  <c r="T89" i="3"/>
  <c r="X87" i="3"/>
  <c r="T86" i="3"/>
  <c r="X84" i="3"/>
  <c r="T83" i="3"/>
  <c r="X81" i="3"/>
  <c r="T80" i="3"/>
  <c r="X78" i="3"/>
  <c r="T77" i="3"/>
  <c r="X75" i="3"/>
  <c r="T74" i="3"/>
  <c r="X72" i="3"/>
  <c r="T71" i="3"/>
  <c r="X69" i="3"/>
  <c r="T68" i="3"/>
  <c r="X66" i="3"/>
  <c r="T65" i="3"/>
  <c r="X63" i="3"/>
  <c r="T62" i="3"/>
  <c r="X60" i="3"/>
  <c r="T59" i="3"/>
  <c r="X57" i="3"/>
  <c r="T56" i="3"/>
  <c r="X54" i="3"/>
  <c r="T53" i="3"/>
  <c r="X51" i="3"/>
  <c r="T50" i="3"/>
  <c r="X48" i="3"/>
  <c r="T47" i="3"/>
  <c r="X45" i="3"/>
  <c r="T44" i="3"/>
  <c r="X42" i="3"/>
  <c r="T41" i="3"/>
  <c r="X39" i="3"/>
  <c r="T38" i="3"/>
  <c r="X36" i="3"/>
  <c r="T35" i="3"/>
  <c r="X33" i="3"/>
  <c r="T32" i="3"/>
  <c r="X30" i="3"/>
  <c r="T29" i="3"/>
  <c r="X27" i="3"/>
  <c r="T26" i="3"/>
  <c r="X24" i="3"/>
  <c r="T23" i="3"/>
  <c r="X21" i="3"/>
  <c r="T20" i="3"/>
  <c r="X18" i="3"/>
  <c r="T17" i="3"/>
  <c r="X15" i="3"/>
  <c r="T14" i="3"/>
  <c r="X12" i="3"/>
  <c r="T11" i="3"/>
  <c r="X9" i="3"/>
  <c r="T8" i="3"/>
  <c r="X6" i="3"/>
  <c r="T5" i="3"/>
  <c r="X97" i="3"/>
  <c r="T96" i="3"/>
  <c r="X94" i="3"/>
  <c r="T93" i="3"/>
  <c r="X91" i="3"/>
  <c r="T90" i="3"/>
  <c r="X88" i="3"/>
  <c r="T87" i="3"/>
  <c r="X85" i="3"/>
  <c r="T84" i="3"/>
  <c r="X82" i="3"/>
  <c r="T81" i="3"/>
  <c r="X79" i="3"/>
  <c r="T78" i="3"/>
  <c r="X76" i="3"/>
  <c r="T75" i="3"/>
  <c r="X73" i="3"/>
  <c r="T72" i="3"/>
  <c r="X70" i="3"/>
  <c r="T69" i="3"/>
  <c r="X67" i="3"/>
  <c r="T66" i="3"/>
  <c r="X64" i="3"/>
  <c r="T63" i="3"/>
  <c r="X61" i="3"/>
  <c r="T60" i="3"/>
  <c r="X58" i="3"/>
  <c r="T57" i="3"/>
  <c r="X55" i="3"/>
  <c r="T54" i="3"/>
  <c r="X52" i="3"/>
  <c r="T51" i="3"/>
  <c r="X49" i="3"/>
  <c r="T48" i="3"/>
  <c r="X46" i="3"/>
  <c r="T45" i="3"/>
  <c r="X43" i="3"/>
  <c r="T42" i="3"/>
  <c r="X40" i="3"/>
  <c r="T39" i="3"/>
  <c r="X37" i="3"/>
  <c r="T36" i="3"/>
  <c r="X34" i="3"/>
  <c r="T33" i="3"/>
  <c r="X31" i="3"/>
  <c r="T30" i="3"/>
  <c r="X28" i="3"/>
  <c r="T27" i="3"/>
  <c r="X25" i="3"/>
  <c r="T24" i="3"/>
  <c r="X22" i="3"/>
  <c r="T21" i="3"/>
  <c r="X19" i="3"/>
  <c r="T18" i="3"/>
  <c r="X16" i="3"/>
  <c r="T15" i="3"/>
  <c r="X13" i="3"/>
  <c r="T12" i="3"/>
  <c r="X10" i="3"/>
  <c r="T9" i="3"/>
  <c r="X7" i="3"/>
  <c r="T6" i="3"/>
  <c r="X4" i="3"/>
  <c r="S258" i="3"/>
  <c r="W256" i="3"/>
  <c r="S255" i="3"/>
  <c r="W253" i="3"/>
  <c r="S252" i="3"/>
  <c r="W250" i="3"/>
  <c r="S249" i="3"/>
  <c r="W247" i="3"/>
  <c r="S246" i="3"/>
  <c r="W244" i="3"/>
  <c r="S243" i="3"/>
  <c r="W241" i="3"/>
  <c r="S240" i="3"/>
  <c r="W238" i="3"/>
  <c r="S237" i="3"/>
  <c r="W235" i="3"/>
  <c r="S234" i="3"/>
  <c r="W232" i="3"/>
  <c r="S231" i="3"/>
  <c r="W229" i="3"/>
  <c r="S228" i="3"/>
  <c r="W226" i="3"/>
  <c r="S225" i="3"/>
  <c r="W223" i="3"/>
  <c r="S222" i="3"/>
  <c r="W220" i="3"/>
  <c r="S219" i="3"/>
  <c r="W217" i="3"/>
  <c r="S216" i="3"/>
  <c r="W214" i="3"/>
  <c r="S213" i="3"/>
  <c r="W211" i="3"/>
  <c r="S210" i="3"/>
  <c r="W208" i="3"/>
  <c r="S207" i="3"/>
  <c r="W205" i="3"/>
  <c r="S204" i="3"/>
  <c r="W202" i="3"/>
  <c r="S201" i="3"/>
  <c r="W199" i="3"/>
  <c r="S198" i="3"/>
  <c r="W196" i="3"/>
  <c r="S195" i="3"/>
  <c r="W193" i="3"/>
  <c r="S192" i="3"/>
  <c r="W190" i="3"/>
  <c r="S189" i="3"/>
  <c r="W187" i="3"/>
  <c r="S186" i="3"/>
  <c r="W184" i="3"/>
  <c r="S183" i="3"/>
  <c r="W181" i="3"/>
  <c r="S180" i="3"/>
  <c r="W178" i="3"/>
  <c r="S177" i="3"/>
  <c r="W175" i="3"/>
  <c r="S174" i="3"/>
  <c r="W172" i="3"/>
  <c r="S171" i="3"/>
  <c r="W169" i="3"/>
  <c r="S168" i="3"/>
  <c r="W166" i="3"/>
  <c r="S165" i="3"/>
  <c r="W163" i="3"/>
  <c r="S162" i="3"/>
  <c r="W160" i="3"/>
  <c r="S159" i="3"/>
  <c r="W157" i="3"/>
  <c r="S156" i="3"/>
  <c r="W154" i="3"/>
  <c r="S153" i="3"/>
  <c r="W151" i="3"/>
  <c r="S150" i="3"/>
  <c r="W148" i="3"/>
  <c r="S147" i="3"/>
  <c r="W145" i="3"/>
  <c r="S144" i="3"/>
  <c r="W142" i="3"/>
  <c r="S141" i="3"/>
  <c r="W139" i="3"/>
  <c r="S138" i="3"/>
  <c r="W136" i="3"/>
  <c r="S135" i="3"/>
  <c r="W133" i="3"/>
  <c r="S132" i="3"/>
  <c r="W130" i="3"/>
  <c r="S129" i="3"/>
  <c r="W127" i="3"/>
  <c r="S126" i="3"/>
  <c r="W124" i="3"/>
  <c r="S123" i="3"/>
  <c r="W121" i="3"/>
  <c r="S120" i="3"/>
  <c r="W118" i="3"/>
  <c r="S117" i="3"/>
  <c r="W115" i="3"/>
  <c r="S114" i="3"/>
  <c r="W112" i="3"/>
  <c r="S111" i="3"/>
  <c r="W109" i="3"/>
  <c r="S108" i="3"/>
  <c r="W106" i="3"/>
  <c r="S105" i="3"/>
  <c r="W103" i="3"/>
  <c r="S102" i="3"/>
  <c r="W100" i="3"/>
  <c r="S99" i="3"/>
  <c r="W97" i="3"/>
  <c r="S96" i="3"/>
  <c r="W94" i="3"/>
  <c r="S93" i="3"/>
  <c r="W91" i="3"/>
  <c r="S90" i="3"/>
  <c r="W88" i="3"/>
  <c r="S87" i="3"/>
  <c r="W85" i="3"/>
  <c r="S84" i="3"/>
  <c r="W82" i="3"/>
  <c r="S81" i="3"/>
  <c r="W79" i="3"/>
  <c r="S78" i="3"/>
  <c r="W76" i="3"/>
  <c r="S75" i="3"/>
  <c r="W73" i="3"/>
  <c r="S72" i="3"/>
  <c r="W70" i="3"/>
  <c r="S69" i="3"/>
  <c r="W67" i="3"/>
  <c r="S66" i="3"/>
  <c r="W64" i="3"/>
  <c r="S63" i="3"/>
  <c r="W61" i="3"/>
  <c r="S60" i="3"/>
  <c r="W58" i="3"/>
  <c r="S57" i="3"/>
  <c r="W55" i="3"/>
  <c r="S54" i="3"/>
  <c r="W52" i="3"/>
  <c r="S51" i="3"/>
  <c r="W49" i="3"/>
  <c r="S48" i="3"/>
  <c r="W46" i="3"/>
  <c r="S45" i="3"/>
  <c r="W43" i="3"/>
  <c r="S42" i="3"/>
  <c r="W40" i="3"/>
  <c r="S39" i="3"/>
  <c r="W37" i="3"/>
  <c r="S36" i="3"/>
  <c r="W34" i="3"/>
  <c r="S33" i="3"/>
  <c r="W31" i="3"/>
  <c r="S30" i="3"/>
  <c r="W28" i="3"/>
  <c r="S27" i="3"/>
  <c r="W25" i="3"/>
  <c r="S24" i="3"/>
  <c r="W22" i="3"/>
  <c r="S21" i="3"/>
  <c r="W19" i="3"/>
  <c r="S18" i="3"/>
  <c r="W16" i="3"/>
  <c r="S15" i="3"/>
  <c r="W13" i="3"/>
  <c r="S12" i="3"/>
  <c r="W10" i="3"/>
  <c r="S9" i="3"/>
  <c r="W7" i="3"/>
  <c r="S6" i="3"/>
  <c r="W4" i="3"/>
  <c r="V229" i="3"/>
  <c r="R228" i="3"/>
  <c r="V226" i="3"/>
  <c r="R225" i="3"/>
  <c r="V223" i="3"/>
  <c r="R222" i="3"/>
  <c r="V220" i="3"/>
  <c r="R219" i="3"/>
  <c r="V217" i="3"/>
  <c r="R216" i="3"/>
  <c r="V214" i="3"/>
  <c r="R213" i="3"/>
  <c r="V211" i="3"/>
  <c r="R210" i="3"/>
  <c r="V208" i="3"/>
  <c r="R207" i="3"/>
  <c r="V205" i="3"/>
  <c r="R204" i="3"/>
  <c r="V202" i="3"/>
  <c r="R201" i="3"/>
  <c r="V199" i="3"/>
  <c r="R198" i="3"/>
  <c r="V196" i="3"/>
  <c r="R195" i="3"/>
  <c r="V193" i="3"/>
  <c r="R192" i="3"/>
  <c r="V190" i="3"/>
  <c r="R189" i="3"/>
  <c r="V187" i="3"/>
  <c r="R186" i="3"/>
  <c r="V184" i="3"/>
  <c r="R183" i="3"/>
  <c r="V181" i="3"/>
  <c r="R180" i="3"/>
  <c r="V178" i="3"/>
  <c r="R177" i="3"/>
  <c r="V175" i="3"/>
  <c r="R174" i="3"/>
  <c r="V172" i="3"/>
  <c r="R171" i="3"/>
  <c r="V169" i="3"/>
  <c r="R168" i="3"/>
  <c r="V166" i="3"/>
  <c r="R165" i="3"/>
  <c r="V163" i="3"/>
  <c r="R162" i="3"/>
  <c r="V160" i="3"/>
  <c r="R159" i="3"/>
  <c r="V157" i="3"/>
  <c r="R156" i="3"/>
  <c r="V154" i="3"/>
  <c r="R153" i="3"/>
  <c r="V151" i="3"/>
  <c r="R150" i="3"/>
  <c r="V148" i="3"/>
  <c r="R147" i="3"/>
  <c r="V145" i="3"/>
  <c r="R144" i="3"/>
  <c r="V142" i="3"/>
  <c r="R141" i="3"/>
  <c r="V139" i="3"/>
  <c r="R138" i="3"/>
  <c r="V136" i="3"/>
  <c r="R135" i="3"/>
  <c r="V133" i="3"/>
  <c r="R132" i="3"/>
  <c r="V130" i="3"/>
  <c r="R129" i="3"/>
  <c r="V127" i="3"/>
  <c r="R126" i="3"/>
  <c r="V124" i="3"/>
  <c r="R123" i="3"/>
  <c r="V121" i="3"/>
  <c r="R120" i="3"/>
  <c r="V118" i="3"/>
  <c r="R117" i="3"/>
  <c r="V115" i="3"/>
  <c r="R114" i="3"/>
  <c r="V112" i="3"/>
  <c r="R111" i="3"/>
  <c r="V109" i="3"/>
  <c r="R108" i="3"/>
  <c r="V106" i="3"/>
  <c r="R105" i="3"/>
  <c r="V103" i="3"/>
  <c r="R102" i="3"/>
  <c r="V100" i="3"/>
  <c r="R99" i="3"/>
  <c r="V97" i="3"/>
  <c r="R96" i="3"/>
  <c r="V94" i="3"/>
  <c r="R93" i="3"/>
  <c r="V91" i="3"/>
  <c r="R90" i="3"/>
  <c r="V88" i="3"/>
  <c r="R87" i="3"/>
  <c r="V85" i="3"/>
  <c r="R84" i="3"/>
  <c r="V82" i="3"/>
  <c r="R81" i="3"/>
  <c r="V79" i="3"/>
  <c r="R78" i="3"/>
  <c r="V76" i="3"/>
  <c r="R75" i="3"/>
  <c r="V73" i="3"/>
  <c r="R72" i="3"/>
  <c r="V70" i="3"/>
  <c r="R69" i="3"/>
  <c r="V67" i="3"/>
  <c r="R66" i="3"/>
  <c r="V64" i="3"/>
  <c r="R63" i="3"/>
  <c r="V61" i="3"/>
  <c r="R60" i="3"/>
  <c r="V58" i="3"/>
  <c r="R57" i="3"/>
  <c r="V55" i="3"/>
  <c r="R54" i="3"/>
  <c r="V52" i="3"/>
  <c r="R51" i="3"/>
  <c r="V49" i="3"/>
  <c r="R48" i="3"/>
  <c r="V46" i="3"/>
  <c r="R45" i="3"/>
  <c r="V43" i="3"/>
  <c r="R42" i="3"/>
  <c r="V40" i="3"/>
  <c r="R39" i="3"/>
  <c r="V37" i="3"/>
  <c r="R36" i="3"/>
  <c r="V34" i="3"/>
  <c r="R33" i="3"/>
  <c r="V31" i="3"/>
  <c r="R30" i="3"/>
  <c r="V28" i="3"/>
  <c r="R27" i="3"/>
  <c r="V25" i="3"/>
  <c r="R24" i="3"/>
  <c r="V22" i="3"/>
  <c r="R21" i="3"/>
  <c r="V19" i="3"/>
  <c r="R18" i="3"/>
  <c r="V16" i="3"/>
  <c r="R15" i="3"/>
  <c r="V13" i="3"/>
  <c r="R12" i="3"/>
  <c r="V10" i="3"/>
  <c r="R9" i="3"/>
  <c r="V7" i="3"/>
  <c r="R6" i="3"/>
  <c r="V4" i="3"/>
  <c r="U88" i="3"/>
  <c r="U85" i="3"/>
  <c r="U82" i="3"/>
  <c r="U79" i="3"/>
  <c r="U76" i="3"/>
  <c r="U73" i="3"/>
  <c r="U70" i="3"/>
  <c r="U67" i="3"/>
  <c r="U64" i="3"/>
  <c r="U61" i="3"/>
  <c r="U58" i="3"/>
  <c r="U55" i="3"/>
  <c r="U52" i="3"/>
  <c r="U49" i="3"/>
  <c r="U46" i="3"/>
  <c r="U43" i="3"/>
  <c r="U40" i="3"/>
  <c r="U37" i="3"/>
  <c r="U34" i="3"/>
  <c r="U31" i="3"/>
  <c r="U28" i="3"/>
  <c r="U25" i="3"/>
  <c r="U22" i="3"/>
  <c r="U19" i="3"/>
  <c r="U16" i="3"/>
  <c r="U13" i="3"/>
  <c r="U10" i="3"/>
  <c r="U7" i="3"/>
  <c r="U4" i="3"/>
  <c r="T91" i="3"/>
  <c r="X89" i="3"/>
  <c r="T88" i="3"/>
  <c r="X86" i="3"/>
  <c r="T85" i="3"/>
  <c r="X83" i="3"/>
  <c r="T82" i="3"/>
  <c r="X80" i="3"/>
  <c r="T79" i="3"/>
  <c r="X77" i="3"/>
  <c r="T76" i="3"/>
  <c r="X74" i="3"/>
  <c r="T73" i="3"/>
  <c r="X71" i="3"/>
  <c r="T70" i="3"/>
  <c r="X68" i="3"/>
  <c r="T67" i="3"/>
  <c r="X65" i="3"/>
  <c r="T64" i="3"/>
  <c r="X62" i="3"/>
  <c r="T61" i="3"/>
  <c r="X59" i="3"/>
  <c r="T58" i="3"/>
  <c r="X56" i="3"/>
  <c r="T55" i="3"/>
  <c r="X53" i="3"/>
  <c r="T52" i="3"/>
  <c r="X50" i="3"/>
  <c r="T49" i="3"/>
  <c r="X47" i="3"/>
  <c r="T46" i="3"/>
  <c r="X44" i="3"/>
  <c r="T43" i="3"/>
  <c r="X41" i="3"/>
  <c r="T40" i="3"/>
  <c r="X38" i="3"/>
  <c r="T37" i="3"/>
  <c r="X35" i="3"/>
  <c r="T34" i="3"/>
  <c r="X32" i="3"/>
  <c r="T31" i="3"/>
  <c r="X29" i="3"/>
  <c r="T28" i="3"/>
  <c r="X26" i="3"/>
  <c r="T25" i="3"/>
  <c r="X23" i="3"/>
  <c r="T22" i="3"/>
  <c r="X20" i="3"/>
  <c r="T19" i="3"/>
  <c r="X17" i="3"/>
  <c r="T16" i="3"/>
  <c r="X14" i="3"/>
  <c r="T13" i="3"/>
  <c r="X11" i="3"/>
  <c r="T10" i="3"/>
  <c r="X8" i="3"/>
  <c r="T7" i="3"/>
  <c r="X5" i="3"/>
  <c r="T4" i="3"/>
  <c r="W98" i="3"/>
  <c r="S97" i="3"/>
  <c r="W95" i="3"/>
  <c r="S94" i="3"/>
  <c r="W92" i="3"/>
  <c r="S91" i="3"/>
  <c r="W89" i="3"/>
  <c r="S88" i="3"/>
  <c r="W86" i="3"/>
  <c r="S85" i="3"/>
  <c r="W83" i="3"/>
  <c r="S82" i="3"/>
  <c r="W80" i="3"/>
  <c r="S79" i="3"/>
  <c r="W77" i="3"/>
  <c r="S76" i="3"/>
  <c r="W74" i="3"/>
  <c r="S73" i="3"/>
  <c r="W71" i="3"/>
  <c r="S70" i="3"/>
  <c r="W68" i="3"/>
  <c r="S67" i="3"/>
  <c r="W65" i="3"/>
  <c r="S64" i="3"/>
  <c r="W62" i="3"/>
  <c r="S61" i="3"/>
  <c r="W59" i="3"/>
  <c r="S58" i="3"/>
  <c r="W56" i="3"/>
  <c r="S55" i="3"/>
  <c r="W53" i="3"/>
  <c r="S52" i="3"/>
  <c r="W50" i="3"/>
  <c r="S49" i="3"/>
  <c r="W47" i="3"/>
  <c r="S46" i="3"/>
  <c r="W44" i="3"/>
  <c r="S43" i="3"/>
  <c r="W41" i="3"/>
  <c r="S40" i="3"/>
  <c r="W38" i="3"/>
  <c r="S37" i="3"/>
  <c r="W35" i="3"/>
  <c r="S34" i="3"/>
  <c r="W32" i="3"/>
  <c r="S31" i="3"/>
  <c r="W29" i="3"/>
  <c r="S28" i="3"/>
  <c r="W26" i="3"/>
  <c r="S25" i="3"/>
  <c r="W23" i="3"/>
  <c r="S22" i="3"/>
  <c r="W20" i="3"/>
  <c r="S19" i="3"/>
  <c r="W17" i="3"/>
  <c r="S16" i="3"/>
  <c r="W14" i="3"/>
  <c r="S13" i="3"/>
  <c r="W11" i="3"/>
  <c r="S10" i="3"/>
  <c r="W8" i="3"/>
  <c r="S7" i="3"/>
  <c r="W5" i="3"/>
  <c r="S4" i="3"/>
  <c r="V89" i="3"/>
  <c r="R88" i="3"/>
  <c r="V86" i="3"/>
  <c r="R85" i="3"/>
  <c r="V83" i="3"/>
  <c r="R82" i="3"/>
  <c r="V80" i="3"/>
  <c r="R79" i="3"/>
  <c r="V77" i="3"/>
  <c r="R76" i="3"/>
  <c r="V74" i="3"/>
  <c r="R73" i="3"/>
  <c r="V71" i="3"/>
  <c r="R70" i="3"/>
  <c r="V68" i="3"/>
  <c r="R67" i="3"/>
  <c r="V65" i="3"/>
  <c r="R64" i="3"/>
  <c r="V62" i="3"/>
  <c r="R61" i="3"/>
  <c r="V59" i="3"/>
  <c r="R58" i="3"/>
  <c r="V56" i="3"/>
  <c r="R55" i="3"/>
  <c r="V53" i="3"/>
  <c r="R52" i="3"/>
  <c r="V50" i="3"/>
  <c r="R49" i="3"/>
  <c r="V47" i="3"/>
  <c r="R46" i="3"/>
  <c r="V44" i="3"/>
  <c r="R43" i="3"/>
  <c r="V41" i="3"/>
  <c r="R40" i="3"/>
  <c r="V38" i="3"/>
  <c r="R37" i="3"/>
  <c r="V35" i="3"/>
  <c r="R34" i="3"/>
  <c r="V32" i="3"/>
  <c r="R31" i="3"/>
  <c r="V29" i="3"/>
  <c r="R28" i="3"/>
  <c r="V26" i="3"/>
  <c r="R25" i="3"/>
  <c r="V23" i="3"/>
  <c r="R22" i="3"/>
  <c r="V20" i="3"/>
  <c r="R19" i="3"/>
  <c r="V17" i="3"/>
  <c r="R16" i="3"/>
  <c r="V14" i="3"/>
  <c r="R13" i="3"/>
  <c r="V11" i="3"/>
  <c r="R10" i="3"/>
  <c r="V8" i="3"/>
  <c r="R7" i="3"/>
  <c r="V5" i="3"/>
  <c r="R4" i="3"/>
  <c r="U98" i="3"/>
  <c r="U95" i="3"/>
  <c r="U92" i="3"/>
  <c r="U89" i="3"/>
  <c r="U86" i="3"/>
  <c r="U83" i="3"/>
  <c r="U80" i="3"/>
  <c r="U77" i="3"/>
  <c r="U74" i="3"/>
  <c r="U71" i="3"/>
  <c r="U68" i="3"/>
  <c r="U65" i="3"/>
  <c r="U62" i="3"/>
  <c r="U59" i="3"/>
  <c r="U56" i="3"/>
  <c r="U53" i="3"/>
  <c r="U50" i="3"/>
  <c r="U47" i="3"/>
  <c r="U44" i="3"/>
  <c r="U41" i="3"/>
  <c r="U38" i="3"/>
  <c r="U35" i="3"/>
  <c r="U32" i="3"/>
  <c r="U29" i="3"/>
  <c r="U26" i="3"/>
  <c r="U23" i="3"/>
  <c r="U20" i="3"/>
  <c r="U17" i="3"/>
  <c r="U14" i="3"/>
  <c r="U11" i="3"/>
  <c r="U8" i="3"/>
  <c r="U5" i="3"/>
  <c r="W90" i="3"/>
  <c r="S89" i="3"/>
  <c r="W87" i="3"/>
  <c r="S86" i="3"/>
  <c r="W84" i="3"/>
  <c r="S83" i="3"/>
  <c r="W81" i="3"/>
  <c r="S80" i="3"/>
  <c r="W78" i="3"/>
  <c r="S77" i="3"/>
  <c r="W75" i="3"/>
  <c r="S74" i="3"/>
  <c r="W72" i="3"/>
  <c r="S71" i="3"/>
  <c r="W69" i="3"/>
  <c r="S68" i="3"/>
  <c r="W66" i="3"/>
  <c r="S65" i="3"/>
  <c r="W63" i="3"/>
  <c r="S62" i="3"/>
  <c r="W60" i="3"/>
  <c r="S59" i="3"/>
  <c r="W57" i="3"/>
  <c r="S56" i="3"/>
  <c r="W54" i="3"/>
  <c r="S53" i="3"/>
  <c r="W51" i="3"/>
  <c r="S50" i="3"/>
  <c r="W48" i="3"/>
  <c r="S47" i="3"/>
  <c r="W45" i="3"/>
  <c r="S44" i="3"/>
  <c r="W42" i="3"/>
  <c r="S41" i="3"/>
  <c r="W39" i="3"/>
  <c r="S38" i="3"/>
  <c r="W36" i="3"/>
  <c r="S35" i="3"/>
  <c r="W33" i="3"/>
  <c r="S32" i="3"/>
  <c r="W30" i="3"/>
  <c r="S29" i="3"/>
  <c r="W27" i="3"/>
  <c r="S26" i="3"/>
  <c r="W24" i="3"/>
  <c r="S23" i="3"/>
  <c r="W21" i="3"/>
  <c r="S20" i="3"/>
  <c r="W18" i="3"/>
  <c r="S17" i="3"/>
  <c r="W15" i="3"/>
  <c r="S14" i="3"/>
  <c r="W12" i="3"/>
  <c r="S11" i="3"/>
  <c r="W9" i="3"/>
  <c r="S8" i="3"/>
  <c r="W6" i="3"/>
  <c r="S5" i="3"/>
  <c r="V231" i="3"/>
  <c r="R230" i="3"/>
  <c r="V228" i="3"/>
  <c r="R227" i="3"/>
  <c r="V225" i="3"/>
  <c r="R224" i="3"/>
  <c r="V222" i="3"/>
  <c r="R221" i="3"/>
  <c r="V219" i="3"/>
  <c r="R218" i="3"/>
  <c r="V216" i="3"/>
  <c r="R215" i="3"/>
  <c r="V213" i="3"/>
  <c r="R212" i="3"/>
  <c r="V210" i="3"/>
  <c r="R209" i="3"/>
  <c r="V207" i="3"/>
  <c r="R206" i="3"/>
  <c r="V204" i="3"/>
  <c r="R203" i="3"/>
  <c r="V201" i="3"/>
  <c r="R200" i="3"/>
  <c r="V198" i="3"/>
  <c r="R197" i="3"/>
  <c r="V195" i="3"/>
  <c r="R194" i="3"/>
  <c r="V192" i="3"/>
  <c r="R191" i="3"/>
  <c r="V189" i="3"/>
  <c r="R188" i="3"/>
  <c r="V186" i="3"/>
  <c r="R185" i="3"/>
  <c r="V183" i="3"/>
  <c r="R182" i="3"/>
  <c r="V180" i="3"/>
  <c r="R179" i="3"/>
  <c r="V177" i="3"/>
  <c r="R176" i="3"/>
  <c r="V174" i="3"/>
  <c r="R173" i="3"/>
  <c r="V171" i="3"/>
  <c r="R170" i="3"/>
  <c r="V168" i="3"/>
  <c r="R167" i="3"/>
  <c r="V165" i="3"/>
  <c r="R164" i="3"/>
  <c r="V162" i="3"/>
  <c r="R161" i="3"/>
  <c r="V159" i="3"/>
  <c r="R158" i="3"/>
  <c r="V156" i="3"/>
  <c r="R155" i="3"/>
  <c r="V153" i="3"/>
  <c r="R152" i="3"/>
  <c r="V150" i="3"/>
  <c r="R149" i="3"/>
  <c r="V147" i="3"/>
  <c r="R146" i="3"/>
  <c r="V144" i="3"/>
  <c r="R143" i="3"/>
  <c r="V141" i="3"/>
  <c r="R140" i="3"/>
  <c r="V138" i="3"/>
  <c r="R137" i="3"/>
  <c r="V135" i="3"/>
  <c r="R134" i="3"/>
  <c r="V132" i="3"/>
  <c r="R131" i="3"/>
  <c r="V129" i="3"/>
  <c r="R128" i="3"/>
  <c r="V126" i="3"/>
  <c r="R125" i="3"/>
  <c r="V123" i="3"/>
  <c r="R122" i="3"/>
  <c r="V120" i="3"/>
  <c r="R119" i="3"/>
  <c r="V117" i="3"/>
  <c r="R116" i="3"/>
  <c r="V114" i="3"/>
  <c r="R113" i="3"/>
  <c r="V111" i="3"/>
  <c r="R110" i="3"/>
  <c r="V108" i="3"/>
  <c r="R107" i="3"/>
  <c r="V105" i="3"/>
  <c r="R104" i="3"/>
  <c r="V102" i="3"/>
  <c r="R101" i="3"/>
  <c r="V99" i="3"/>
  <c r="R98" i="3"/>
  <c r="V96" i="3"/>
  <c r="R95" i="3"/>
  <c r="V93" i="3"/>
  <c r="R92" i="3"/>
  <c r="V90" i="3"/>
  <c r="R89" i="3"/>
  <c r="V87" i="3"/>
  <c r="R86" i="3"/>
  <c r="V84" i="3"/>
  <c r="R83" i="3"/>
  <c r="V81" i="3"/>
  <c r="R80" i="3"/>
  <c r="V78" i="3"/>
  <c r="R77" i="3"/>
  <c r="V75" i="3"/>
  <c r="R74" i="3"/>
  <c r="V72" i="3"/>
  <c r="R71" i="3"/>
  <c r="V69" i="3"/>
  <c r="R68" i="3"/>
  <c r="V66" i="3"/>
  <c r="R65" i="3"/>
  <c r="V63" i="3"/>
  <c r="R62" i="3"/>
  <c r="V60" i="3"/>
  <c r="R59" i="3"/>
  <c r="V57" i="3"/>
  <c r="R56" i="3"/>
  <c r="V54" i="3"/>
  <c r="R53" i="3"/>
  <c r="V51" i="3"/>
  <c r="R50" i="3"/>
  <c r="V48" i="3"/>
  <c r="R47" i="3"/>
  <c r="V45" i="3"/>
  <c r="R44" i="3"/>
  <c r="V42" i="3"/>
  <c r="R41" i="3"/>
  <c r="V39" i="3"/>
  <c r="R38" i="3"/>
  <c r="V36" i="3"/>
  <c r="R35" i="3"/>
  <c r="V33" i="3"/>
  <c r="R32" i="3"/>
  <c r="V30" i="3"/>
  <c r="R29" i="3"/>
  <c r="V27" i="3"/>
  <c r="R26" i="3"/>
  <c r="V24" i="3"/>
  <c r="R23" i="3"/>
  <c r="V21" i="3"/>
  <c r="R20" i="3"/>
  <c r="V18" i="3"/>
  <c r="R17" i="3"/>
  <c r="V15" i="3"/>
  <c r="R14" i="3"/>
  <c r="V12" i="3"/>
  <c r="R11" i="3"/>
  <c r="V9" i="3"/>
  <c r="R8" i="3"/>
  <c r="V6" i="3"/>
  <c r="R5" i="3"/>
  <c r="AB7" i="3"/>
  <c r="AB9" i="3" s="1"/>
  <c r="AG3" i="3"/>
  <c r="AG4" i="3" s="1"/>
  <c r="AG7" i="3" s="1"/>
  <c r="AG9" i="3" s="1"/>
  <c r="AB2" i="3"/>
  <c r="Q592" i="3" s="1"/>
  <c r="AF3" i="3"/>
  <c r="AF4" i="3" s="1"/>
  <c r="AF7" i="3" s="1"/>
  <c r="AF9" i="3" s="1"/>
  <c r="AI7" i="3"/>
  <c r="AI9" i="3" s="1"/>
  <c r="AD3" i="3"/>
  <c r="AD4" i="3" s="1"/>
  <c r="AD7" i="3" s="1"/>
  <c r="AD9" i="3" s="1"/>
  <c r="AC3" i="3"/>
  <c r="AC4" i="3" s="1"/>
  <c r="AC7" i="3" s="1"/>
  <c r="AC9" i="3" s="1"/>
  <c r="Q344" i="3" l="1"/>
  <c r="Q365" i="3"/>
  <c r="Q386" i="3"/>
  <c r="Q407" i="3"/>
  <c r="Q319" i="3"/>
  <c r="Q418" i="3"/>
  <c r="Q604" i="3"/>
  <c r="Q517" i="3"/>
  <c r="Q622" i="3"/>
  <c r="Q13" i="3"/>
  <c r="Q31" i="3"/>
  <c r="Q49" i="3"/>
  <c r="Q67" i="3"/>
  <c r="Q85" i="3"/>
  <c r="Q6" i="3"/>
  <c r="Q24" i="3"/>
  <c r="Q42" i="3"/>
  <c r="Q60" i="3"/>
  <c r="Q78" i="3"/>
  <c r="Q124" i="3"/>
  <c r="Q163" i="3"/>
  <c r="Q32" i="3"/>
  <c r="Q71" i="3"/>
  <c r="Q110" i="3"/>
  <c r="Q170" i="3"/>
  <c r="Q199" i="3"/>
  <c r="Q238" i="3"/>
  <c r="Q277" i="3"/>
  <c r="Q192" i="3"/>
  <c r="Q252" i="3"/>
  <c r="Q361" i="3"/>
  <c r="Q400" i="3"/>
  <c r="Q439" i="3"/>
  <c r="Q410" i="3"/>
  <c r="Q446" i="3"/>
  <c r="Q482" i="3"/>
  <c r="Q518" i="3"/>
  <c r="Q554" i="3"/>
  <c r="Q590" i="3"/>
  <c r="Q626" i="3"/>
  <c r="Q662" i="3"/>
  <c r="Q619" i="3"/>
  <c r="Q736" i="3"/>
  <c r="Q529" i="3"/>
  <c r="Q658" i="3"/>
  <c r="Q420" i="3"/>
  <c r="Q498" i="3"/>
  <c r="Q716" i="3"/>
  <c r="Q977" i="3"/>
  <c r="Q775" i="3"/>
  <c r="Q106" i="3"/>
  <c r="Q145" i="3"/>
  <c r="Q93" i="3"/>
  <c r="Q111" i="3"/>
  <c r="Q129" i="3"/>
  <c r="Q147" i="3"/>
  <c r="Q165" i="3"/>
  <c r="Q14" i="3"/>
  <c r="Q53" i="3"/>
  <c r="Q92" i="3"/>
  <c r="Q152" i="3"/>
  <c r="Q220" i="3"/>
  <c r="Q259" i="3"/>
  <c r="Q298" i="3"/>
  <c r="Q234" i="3"/>
  <c r="Q273" i="3"/>
  <c r="Q194" i="3"/>
  <c r="Q218" i="3"/>
  <c r="Q239" i="3"/>
  <c r="Q260" i="3"/>
  <c r="Q281" i="3"/>
  <c r="Q302" i="3"/>
  <c r="Q326" i="3"/>
  <c r="Q347" i="3"/>
  <c r="Q368" i="3"/>
  <c r="Q389" i="3"/>
  <c r="Q343" i="3"/>
  <c r="Q382" i="3"/>
  <c r="Q421" i="3"/>
  <c r="Q457" i="3"/>
  <c r="Q535" i="3"/>
  <c r="Q510" i="3"/>
  <c r="Q799" i="3"/>
  <c r="Q16" i="3"/>
  <c r="Q34" i="3"/>
  <c r="Q52" i="3"/>
  <c r="Q70" i="3"/>
  <c r="Q88" i="3"/>
  <c r="Q9" i="3"/>
  <c r="Q27" i="3"/>
  <c r="Q45" i="3"/>
  <c r="Q63" i="3"/>
  <c r="Q81" i="3"/>
  <c r="Q127" i="3"/>
  <c r="Q35" i="3"/>
  <c r="Q74" i="3"/>
  <c r="Q134" i="3"/>
  <c r="Q173" i="3"/>
  <c r="Q202" i="3"/>
  <c r="Q241" i="3"/>
  <c r="Q280" i="3"/>
  <c r="Q216" i="3"/>
  <c r="Q255" i="3"/>
  <c r="Q325" i="3"/>
  <c r="Q364" i="3"/>
  <c r="Q403" i="3"/>
  <c r="Q442" i="3"/>
  <c r="Q631" i="3"/>
  <c r="Q685" i="3"/>
  <c r="Q438" i="3"/>
  <c r="Q869" i="3"/>
  <c r="Q998" i="3"/>
  <c r="Q109" i="3"/>
  <c r="Q169" i="3"/>
  <c r="Q96" i="3"/>
  <c r="Q114" i="3"/>
  <c r="Q132" i="3"/>
  <c r="Q150" i="3"/>
  <c r="Q168" i="3"/>
  <c r="Q17" i="3"/>
  <c r="Q56" i="3"/>
  <c r="Q116" i="3"/>
  <c r="Q155" i="3"/>
  <c r="Q223" i="3"/>
  <c r="Q262" i="3"/>
  <c r="Q198" i="3"/>
  <c r="Q237" i="3"/>
  <c r="Q276" i="3"/>
  <c r="Q200" i="3"/>
  <c r="Q221" i="3"/>
  <c r="Q242" i="3"/>
  <c r="Q263" i="3"/>
  <c r="Q284" i="3"/>
  <c r="Q308" i="3"/>
  <c r="Q329" i="3"/>
  <c r="Q350" i="3"/>
  <c r="Q371" i="3"/>
  <c r="Q392" i="3"/>
  <c r="Q346" i="3"/>
  <c r="Q385" i="3"/>
  <c r="Q424" i="3"/>
  <c r="Q288" i="3"/>
  <c r="Q324" i="3"/>
  <c r="Q360" i="3"/>
  <c r="Q396" i="3"/>
  <c r="Q646" i="3"/>
  <c r="Q19" i="3"/>
  <c r="Q37" i="3"/>
  <c r="Q55" i="3"/>
  <c r="Q73" i="3"/>
  <c r="Q91" i="3"/>
  <c r="Q12" i="3"/>
  <c r="Q30" i="3"/>
  <c r="Q48" i="3"/>
  <c r="Q66" i="3"/>
  <c r="Q84" i="3"/>
  <c r="Q151" i="3"/>
  <c r="Q38" i="3"/>
  <c r="Q98" i="3"/>
  <c r="Q137" i="3"/>
  <c r="Q176" i="3"/>
  <c r="Q205" i="3"/>
  <c r="Q244" i="3"/>
  <c r="Q304" i="3"/>
  <c r="Q180" i="3"/>
  <c r="Q219" i="3"/>
  <c r="Q258" i="3"/>
  <c r="Q328" i="3"/>
  <c r="Q367" i="3"/>
  <c r="Q406" i="3"/>
  <c r="Q445" i="3"/>
  <c r="Q450" i="3"/>
  <c r="Q537" i="3"/>
  <c r="Q761" i="3"/>
  <c r="Q890" i="3"/>
  <c r="Q886" i="3"/>
  <c r="Q133" i="3"/>
  <c r="Q172" i="3"/>
  <c r="Q99" i="3"/>
  <c r="Q117" i="3"/>
  <c r="Q135" i="3"/>
  <c r="Q153" i="3"/>
  <c r="Q171" i="3"/>
  <c r="Q20" i="3"/>
  <c r="Q80" i="3"/>
  <c r="Q119" i="3"/>
  <c r="Q158" i="3"/>
  <c r="Q187" i="3"/>
  <c r="Q226" i="3"/>
  <c r="Q286" i="3"/>
  <c r="Q201" i="3"/>
  <c r="Q240" i="3"/>
  <c r="Q279" i="3"/>
  <c r="Q203" i="3"/>
  <c r="Q224" i="3"/>
  <c r="Q245" i="3"/>
  <c r="Q266" i="3"/>
  <c r="Q290" i="3"/>
  <c r="Q311" i="3"/>
  <c r="Q332" i="3"/>
  <c r="Q353" i="3"/>
  <c r="Q374" i="3"/>
  <c r="Q398" i="3"/>
  <c r="Q310" i="3"/>
  <c r="Q349" i="3"/>
  <c r="Q388" i="3"/>
  <c r="Q427" i="3"/>
  <c r="Q478" i="3"/>
  <c r="Q556" i="3"/>
  <c r="Q549" i="3"/>
  <c r="Q913" i="3"/>
  <c r="Q4" i="3"/>
  <c r="Q22" i="3"/>
  <c r="Q40" i="3"/>
  <c r="Q58" i="3"/>
  <c r="Q76" i="3"/>
  <c r="Q94" i="3"/>
  <c r="Q15" i="3"/>
  <c r="Q33" i="3"/>
  <c r="Q51" i="3"/>
  <c r="Q69" i="3"/>
  <c r="Q87" i="3"/>
  <c r="Q115" i="3"/>
  <c r="Q154" i="3"/>
  <c r="Q62" i="3"/>
  <c r="Q101" i="3"/>
  <c r="Q140" i="3"/>
  <c r="Q179" i="3"/>
  <c r="Q208" i="3"/>
  <c r="Q268" i="3"/>
  <c r="Q307" i="3"/>
  <c r="Q183" i="3"/>
  <c r="Q222" i="3"/>
  <c r="Q261" i="3"/>
  <c r="Q331" i="3"/>
  <c r="Q370" i="3"/>
  <c r="Q409" i="3"/>
  <c r="Q428" i="3"/>
  <c r="Q464" i="3"/>
  <c r="Q500" i="3"/>
  <c r="Q536" i="3"/>
  <c r="Q572" i="3"/>
  <c r="Q608" i="3"/>
  <c r="Q644" i="3"/>
  <c r="Q490" i="3"/>
  <c r="Q459" i="3"/>
  <c r="Q782" i="3"/>
  <c r="Q911" i="3"/>
  <c r="Q940" i="3"/>
  <c r="Q136" i="3"/>
  <c r="Q175" i="3"/>
  <c r="Q102" i="3"/>
  <c r="Q120" i="3"/>
  <c r="Q138" i="3"/>
  <c r="Q156" i="3"/>
  <c r="Q174" i="3"/>
  <c r="Q44" i="3"/>
  <c r="Q83" i="3"/>
  <c r="Q122" i="3"/>
  <c r="Q161" i="3"/>
  <c r="Q190" i="3"/>
  <c r="Q250" i="3"/>
  <c r="Q289" i="3"/>
  <c r="Q204" i="3"/>
  <c r="Q243" i="3"/>
  <c r="Q282" i="3"/>
  <c r="Q206" i="3"/>
  <c r="Q227" i="3"/>
  <c r="Q248" i="3"/>
  <c r="Q272" i="3"/>
  <c r="Q293" i="3"/>
  <c r="Q314" i="3"/>
  <c r="Q335" i="3"/>
  <c r="Q356" i="3"/>
  <c r="Q380" i="3"/>
  <c r="Q401" i="3"/>
  <c r="Q313" i="3"/>
  <c r="Q352" i="3"/>
  <c r="Q391" i="3"/>
  <c r="Q451" i="3"/>
  <c r="Q496" i="3"/>
  <c r="Q7" i="3"/>
  <c r="Q25" i="3"/>
  <c r="Q43" i="3"/>
  <c r="Q61" i="3"/>
  <c r="Q79" i="3"/>
  <c r="Q97" i="3"/>
  <c r="Q18" i="3"/>
  <c r="Q36" i="3"/>
  <c r="Q54" i="3"/>
  <c r="Q72" i="3"/>
  <c r="Q90" i="3"/>
  <c r="Q118" i="3"/>
  <c r="Q157" i="3"/>
  <c r="Q26" i="3"/>
  <c r="Q65" i="3"/>
  <c r="Q104" i="3"/>
  <c r="Q143" i="3"/>
  <c r="Q182" i="3"/>
  <c r="Q232" i="3"/>
  <c r="Q271" i="3"/>
  <c r="Q186" i="3"/>
  <c r="Q225" i="3"/>
  <c r="Q264" i="3"/>
  <c r="Q334" i="3"/>
  <c r="Q373" i="3"/>
  <c r="Q433" i="3"/>
  <c r="Q477" i="3"/>
  <c r="Q576" i="3"/>
  <c r="Q803" i="3"/>
  <c r="Q932" i="3"/>
  <c r="Q997" i="3"/>
  <c r="Q100" i="3"/>
  <c r="Q139" i="3"/>
  <c r="Q178" i="3"/>
  <c r="Q105" i="3"/>
  <c r="Q123" i="3"/>
  <c r="Q141" i="3"/>
  <c r="Q159" i="3"/>
  <c r="Q177" i="3"/>
  <c r="Q8" i="3"/>
  <c r="Q47" i="3"/>
  <c r="Q86" i="3"/>
  <c r="Q125" i="3"/>
  <c r="Q164" i="3"/>
  <c r="Q214" i="3"/>
  <c r="Q253" i="3"/>
  <c r="Q292" i="3"/>
  <c r="Q207" i="3"/>
  <c r="Q246" i="3"/>
  <c r="Q209" i="3"/>
  <c r="Q230" i="3"/>
  <c r="Q254" i="3"/>
  <c r="Q275" i="3"/>
  <c r="Q296" i="3"/>
  <c r="Q317" i="3"/>
  <c r="Q338" i="3"/>
  <c r="Q362" i="3"/>
  <c r="Q383" i="3"/>
  <c r="Q404" i="3"/>
  <c r="Q316" i="3"/>
  <c r="Q355" i="3"/>
  <c r="Q415" i="3"/>
  <c r="Q306" i="3"/>
  <c r="Q342" i="3"/>
  <c r="Q378" i="3"/>
  <c r="Q927" i="3"/>
  <c r="Q1002" i="3"/>
  <c r="Q918" i="3"/>
  <c r="Q873" i="3"/>
  <c r="Q855" i="3"/>
  <c r="Q837" i="3"/>
  <c r="Q868" i="3"/>
  <c r="Q781" i="3"/>
  <c r="Q967" i="3"/>
  <c r="Q943" i="3"/>
  <c r="Q922" i="3"/>
  <c r="Q898" i="3"/>
  <c r="Q826" i="3"/>
  <c r="Q1007" i="3"/>
  <c r="Q989" i="3"/>
  <c r="Q971" i="3"/>
  <c r="Q953" i="3"/>
  <c r="Q935" i="3"/>
  <c r="Q917" i="3"/>
  <c r="Q899" i="3"/>
  <c r="Q881" i="3"/>
  <c r="Q863" i="3"/>
  <c r="Q845" i="3"/>
  <c r="Q827" i="3"/>
  <c r="Q809" i="3"/>
  <c r="Q791" i="3"/>
  <c r="Q773" i="3"/>
  <c r="Q755" i="3"/>
  <c r="Q737" i="3"/>
  <c r="Q719" i="3"/>
  <c r="Q701" i="3"/>
  <c r="Q683" i="3"/>
  <c r="Q921" i="3"/>
  <c r="Q996" i="3"/>
  <c r="Q894" i="3"/>
  <c r="Q822" i="3"/>
  <c r="Q804" i="3"/>
  <c r="Q786" i="3"/>
  <c r="Q768" i="3"/>
  <c r="Q750" i="3"/>
  <c r="Q732" i="3"/>
  <c r="Q714" i="3"/>
  <c r="Q696" i="3"/>
  <c r="Q678" i="3"/>
  <c r="Q660" i="3"/>
  <c r="Q642" i="3"/>
  <c r="Q624" i="3"/>
  <c r="Q606" i="3"/>
  <c r="Q588" i="3"/>
  <c r="Q862" i="3"/>
  <c r="Q915" i="3"/>
  <c r="Q987" i="3"/>
  <c r="Q891" i="3"/>
  <c r="Q888" i="3"/>
  <c r="Q870" i="3"/>
  <c r="Q852" i="3"/>
  <c r="Q834" i="3"/>
  <c r="Q936" i="3"/>
  <c r="Q928" i="3"/>
  <c r="Q739" i="3"/>
  <c r="Q909" i="3"/>
  <c r="Q999" i="3"/>
  <c r="Q819" i="3"/>
  <c r="Q801" i="3"/>
  <c r="Q783" i="3"/>
  <c r="Q765" i="3"/>
  <c r="Q747" i="3"/>
  <c r="Q729" i="3"/>
  <c r="Q711" i="3"/>
  <c r="Q693" i="3"/>
  <c r="Q675" i="3"/>
  <c r="Q657" i="3"/>
  <c r="Q639" i="3"/>
  <c r="Q621" i="3"/>
  <c r="Q603" i="3"/>
  <c r="Q585" i="3"/>
  <c r="Q984" i="3"/>
  <c r="Q885" i="3"/>
  <c r="Q867" i="3"/>
  <c r="Q849" i="3"/>
  <c r="Q831" i="3"/>
  <c r="Q993" i="3"/>
  <c r="Q978" i="3"/>
  <c r="Q966" i="3"/>
  <c r="Q969" i="3"/>
  <c r="Q924" i="3"/>
  <c r="Q816" i="3"/>
  <c r="Q798" i="3"/>
  <c r="Q780" i="3"/>
  <c r="Q762" i="3"/>
  <c r="Q744" i="3"/>
  <c r="Q726" i="3"/>
  <c r="Q708" i="3"/>
  <c r="Q690" i="3"/>
  <c r="Q672" i="3"/>
  <c r="Q654" i="3"/>
  <c r="Q636" i="3"/>
  <c r="Q618" i="3"/>
  <c r="Q600" i="3"/>
  <c r="Q994" i="3"/>
  <c r="Q838" i="3"/>
  <c r="Q957" i="3"/>
  <c r="Q945" i="3"/>
  <c r="Q882" i="3"/>
  <c r="Q864" i="3"/>
  <c r="Q846" i="3"/>
  <c r="Q828" i="3"/>
  <c r="Q963" i="3"/>
  <c r="Q981" i="3"/>
  <c r="Q939" i="3"/>
  <c r="Q813" i="3"/>
  <c r="Q795" i="3"/>
  <c r="Q777" i="3"/>
  <c r="Q759" i="3"/>
  <c r="Q741" i="3"/>
  <c r="Q723" i="3"/>
  <c r="Q705" i="3"/>
  <c r="Q687" i="3"/>
  <c r="Q669" i="3"/>
  <c r="Q651" i="3"/>
  <c r="Q633" i="3"/>
  <c r="Q615" i="3"/>
  <c r="Q597" i="3"/>
  <c r="Q948" i="3"/>
  <c r="Q912" i="3"/>
  <c r="Q879" i="3"/>
  <c r="Q861" i="3"/>
  <c r="Q843" i="3"/>
  <c r="Q1005" i="3"/>
  <c r="Q900" i="3"/>
  <c r="Q975" i="3"/>
  <c r="Q990" i="3"/>
  <c r="Q972" i="3"/>
  <c r="Q951" i="3"/>
  <c r="Q906" i="3"/>
  <c r="Q930" i="3"/>
  <c r="Q876" i="3"/>
  <c r="Q858" i="3"/>
  <c r="Q840" i="3"/>
  <c r="Q960" i="3"/>
  <c r="Q3" i="3"/>
  <c r="AB28" i="3" s="1" a="1"/>
  <c r="Q897" i="3"/>
  <c r="Q942" i="3"/>
  <c r="Q880" i="3"/>
  <c r="Q970" i="3"/>
  <c r="Q925" i="3"/>
  <c r="Q877" i="3"/>
  <c r="Q853" i="3"/>
  <c r="Q829" i="3"/>
  <c r="Q766" i="3"/>
  <c r="Q992" i="3"/>
  <c r="Q974" i="3"/>
  <c r="Q956" i="3"/>
  <c r="Q938" i="3"/>
  <c r="Q920" i="3"/>
  <c r="Q902" i="3"/>
  <c r="Q884" i="3"/>
  <c r="Q866" i="3"/>
  <c r="Q848" i="3"/>
  <c r="Q830" i="3"/>
  <c r="Q812" i="3"/>
  <c r="Q794" i="3"/>
  <c r="Q776" i="3"/>
  <c r="Q758" i="3"/>
  <c r="Q740" i="3"/>
  <c r="Q722" i="3"/>
  <c r="Q704" i="3"/>
  <c r="Q686" i="3"/>
  <c r="Q579" i="3"/>
  <c r="Q561" i="3"/>
  <c r="Q543" i="3"/>
  <c r="Q525" i="3"/>
  <c r="Q507" i="3"/>
  <c r="Q489" i="3"/>
  <c r="Q471" i="3"/>
  <c r="Q453" i="3"/>
  <c r="Q435" i="3"/>
  <c r="Q417" i="3"/>
  <c r="Q727" i="3"/>
  <c r="Q673" i="3"/>
  <c r="Q577" i="3"/>
  <c r="Q733" i="3"/>
  <c r="Q706" i="3"/>
  <c r="Q679" i="3"/>
  <c r="Q601" i="3"/>
  <c r="Q1008" i="3"/>
  <c r="Q903" i="3"/>
  <c r="Q933" i="3"/>
  <c r="Q954" i="3"/>
  <c r="Q825" i="3"/>
  <c r="Q807" i="3"/>
  <c r="Q789" i="3"/>
  <c r="Q771" i="3"/>
  <c r="Q753" i="3"/>
  <c r="Q735" i="3"/>
  <c r="Q717" i="3"/>
  <c r="Q699" i="3"/>
  <c r="Q774" i="3"/>
  <c r="Q627" i="3"/>
  <c r="Q1000" i="3"/>
  <c r="Q874" i="3"/>
  <c r="Q964" i="3"/>
  <c r="Q883" i="3"/>
  <c r="Q856" i="3"/>
  <c r="Q751" i="3"/>
  <c r="Q555" i="3"/>
  <c r="Q516" i="3"/>
  <c r="Q756" i="3"/>
  <c r="Q612" i="3"/>
  <c r="Q988" i="3"/>
  <c r="Q850" i="3"/>
  <c r="Q991" i="3"/>
  <c r="Q937" i="3"/>
  <c r="Q910" i="3"/>
  <c r="Q796" i="3"/>
  <c r="Q772" i="3"/>
  <c r="Q995" i="3"/>
  <c r="Q950" i="3"/>
  <c r="Q929" i="3"/>
  <c r="Q908" i="3"/>
  <c r="Q887" i="3"/>
  <c r="Q842" i="3"/>
  <c r="Q821" i="3"/>
  <c r="Q800" i="3"/>
  <c r="Q779" i="3"/>
  <c r="Q734" i="3"/>
  <c r="Q713" i="3"/>
  <c r="Q692" i="3"/>
  <c r="Q573" i="3"/>
  <c r="Q534" i="3"/>
  <c r="Q495" i="3"/>
  <c r="Q456" i="3"/>
  <c r="Q607" i="3"/>
  <c r="Q574" i="3"/>
  <c r="Q553" i="3"/>
  <c r="Q514" i="3"/>
  <c r="Q475" i="3"/>
  <c r="Q712" i="3"/>
  <c r="Q655" i="3"/>
  <c r="Q625" i="3"/>
  <c r="Q598" i="3"/>
  <c r="Q659" i="3"/>
  <c r="Q641" i="3"/>
  <c r="Q623" i="3"/>
  <c r="Q605" i="3"/>
  <c r="Q587" i="3"/>
  <c r="Q569" i="3"/>
  <c r="Q551" i="3"/>
  <c r="Q533" i="3"/>
  <c r="Q515" i="3"/>
  <c r="Q497" i="3"/>
  <c r="Q479" i="3"/>
  <c r="Q461" i="3"/>
  <c r="Q443" i="3"/>
  <c r="Q425" i="3"/>
  <c r="Q393" i="3"/>
  <c r="Q375" i="3"/>
  <c r="Q357" i="3"/>
  <c r="Q339" i="3"/>
  <c r="Q321" i="3"/>
  <c r="Q303" i="3"/>
  <c r="Q738" i="3"/>
  <c r="Q609" i="3"/>
  <c r="Q979" i="3"/>
  <c r="Q844" i="3"/>
  <c r="Q961" i="3"/>
  <c r="Q934" i="3"/>
  <c r="Q907" i="3"/>
  <c r="Q847" i="3"/>
  <c r="Q820" i="3"/>
  <c r="Q748" i="3"/>
  <c r="Q552" i="3"/>
  <c r="Q513" i="3"/>
  <c r="Q474" i="3"/>
  <c r="Q414" i="3"/>
  <c r="Q730" i="3"/>
  <c r="Q532" i="3"/>
  <c r="Q493" i="3"/>
  <c r="Q454" i="3"/>
  <c r="Q682" i="3"/>
  <c r="Q595" i="3"/>
  <c r="Q720" i="3"/>
  <c r="Q594" i="3"/>
  <c r="Q985" i="3"/>
  <c r="Q958" i="3"/>
  <c r="Q793" i="3"/>
  <c r="Q769" i="3"/>
  <c r="Q745" i="3"/>
  <c r="Q968" i="3"/>
  <c r="Q947" i="3"/>
  <c r="Q926" i="3"/>
  <c r="Q905" i="3"/>
  <c r="Q860" i="3"/>
  <c r="Q839" i="3"/>
  <c r="Q818" i="3"/>
  <c r="Q797" i="3"/>
  <c r="Q752" i="3"/>
  <c r="Q731" i="3"/>
  <c r="Q710" i="3"/>
  <c r="Q689" i="3"/>
  <c r="Q570" i="3"/>
  <c r="Q531" i="3"/>
  <c r="Q492" i="3"/>
  <c r="Q432" i="3"/>
  <c r="Q571" i="3"/>
  <c r="Q550" i="3"/>
  <c r="Q511" i="3"/>
  <c r="Q472" i="3"/>
  <c r="Q709" i="3"/>
  <c r="Q676" i="3"/>
  <c r="Q674" i="3"/>
  <c r="Q656" i="3"/>
  <c r="Q638" i="3"/>
  <c r="Q620" i="3"/>
  <c r="Q602" i="3"/>
  <c r="Q584" i="3"/>
  <c r="Q566" i="3"/>
  <c r="Q548" i="3"/>
  <c r="Q530" i="3"/>
  <c r="Q512" i="3"/>
  <c r="Q494" i="3"/>
  <c r="Q476" i="3"/>
  <c r="Q458" i="3"/>
  <c r="Q440" i="3"/>
  <c r="Q422" i="3"/>
  <c r="Q390" i="3"/>
  <c r="Q372" i="3"/>
  <c r="Q354" i="3"/>
  <c r="Q336" i="3"/>
  <c r="Q318" i="3"/>
  <c r="Q300" i="3"/>
  <c r="Q702" i="3"/>
  <c r="Q591" i="3"/>
  <c r="Q823" i="3"/>
  <c r="Q931" i="3"/>
  <c r="Q904" i="3"/>
  <c r="Q871" i="3"/>
  <c r="Q817" i="3"/>
  <c r="Q790" i="3"/>
  <c r="Q742" i="3"/>
  <c r="Q684" i="3"/>
  <c r="Q952" i="3"/>
  <c r="Q814" i="3"/>
  <c r="Q1009" i="3"/>
  <c r="Q982" i="3"/>
  <c r="Q955" i="3"/>
  <c r="Q901" i="3"/>
  <c r="Q841" i="3"/>
  <c r="Q763" i="3"/>
  <c r="Q986" i="3"/>
  <c r="Q965" i="3"/>
  <c r="Q944" i="3"/>
  <c r="Q923" i="3"/>
  <c r="Q878" i="3"/>
  <c r="Q857" i="3"/>
  <c r="Q836" i="3"/>
  <c r="Q815" i="3"/>
  <c r="Q770" i="3"/>
  <c r="Q749" i="3"/>
  <c r="Q728" i="3"/>
  <c r="Q707" i="3"/>
  <c r="Q567" i="3"/>
  <c r="Q528" i="3"/>
  <c r="Q468" i="3"/>
  <c r="Q429" i="3"/>
  <c r="Q652" i="3"/>
  <c r="Q589" i="3"/>
  <c r="Q568" i="3"/>
  <c r="Q547" i="3"/>
  <c r="Q508" i="3"/>
  <c r="Q469" i="3"/>
  <c r="Q616" i="3"/>
  <c r="Q671" i="3"/>
  <c r="Q653" i="3"/>
  <c r="Q635" i="3"/>
  <c r="Q617" i="3"/>
  <c r="Q599" i="3"/>
  <c r="Q581" i="3"/>
  <c r="Q563" i="3"/>
  <c r="Q545" i="3"/>
  <c r="Q527" i="3"/>
  <c r="Q509" i="3"/>
  <c r="Q491" i="3"/>
  <c r="Q473" i="3"/>
  <c r="Q455" i="3"/>
  <c r="Q437" i="3"/>
  <c r="Q419" i="3"/>
  <c r="Q387" i="3"/>
  <c r="Q369" i="3"/>
  <c r="Q351" i="3"/>
  <c r="Q333" i="3"/>
  <c r="Q315" i="3"/>
  <c r="Q297" i="3"/>
  <c r="Q681" i="3"/>
  <c r="Q808" i="3"/>
  <c r="Q1006" i="3"/>
  <c r="Q787" i="3"/>
  <c r="Q760" i="3"/>
  <c r="Q546" i="3"/>
  <c r="Q486" i="3"/>
  <c r="Q447" i="3"/>
  <c r="Q408" i="3"/>
  <c r="Q649" i="3"/>
  <c r="Q586" i="3"/>
  <c r="Q526" i="3"/>
  <c r="Q487" i="3"/>
  <c r="Q466" i="3"/>
  <c r="Q700" i="3"/>
  <c r="Q670" i="3"/>
  <c r="Q559" i="3"/>
  <c r="Q666" i="3"/>
  <c r="Q895" i="3"/>
  <c r="Q865" i="3"/>
  <c r="Q811" i="3"/>
  <c r="Q784" i="3"/>
  <c r="Q1004" i="3"/>
  <c r="Q983" i="3"/>
  <c r="Q962" i="3"/>
  <c r="Q941" i="3"/>
  <c r="Q896" i="3"/>
  <c r="Q875" i="3"/>
  <c r="Q854" i="3"/>
  <c r="Q833" i="3"/>
  <c r="Q788" i="3"/>
  <c r="Q767" i="3"/>
  <c r="Q746" i="3"/>
  <c r="Q725" i="3"/>
  <c r="Q680" i="3"/>
  <c r="Q564" i="3"/>
  <c r="Q504" i="3"/>
  <c r="Q465" i="3"/>
  <c r="Q426" i="3"/>
  <c r="Q703" i="3"/>
  <c r="Q643" i="3"/>
  <c r="Q565" i="3"/>
  <c r="Q544" i="3"/>
  <c r="Q505" i="3"/>
  <c r="Q484" i="3"/>
  <c r="Q697" i="3"/>
  <c r="Q667" i="3"/>
  <c r="Q640" i="3"/>
  <c r="Q613" i="3"/>
  <c r="Q668" i="3"/>
  <c r="Q650" i="3"/>
  <c r="Q632" i="3"/>
  <c r="Q614" i="3"/>
  <c r="Q596" i="3"/>
  <c r="Q578" i="3"/>
  <c r="Q560" i="3"/>
  <c r="Q542" i="3"/>
  <c r="Q524" i="3"/>
  <c r="Q506" i="3"/>
  <c r="Q488" i="3"/>
  <c r="Q470" i="3"/>
  <c r="Q452" i="3"/>
  <c r="Q434" i="3"/>
  <c r="Q416" i="3"/>
  <c r="Q384" i="3"/>
  <c r="Q366" i="3"/>
  <c r="Q348" i="3"/>
  <c r="Q330" i="3"/>
  <c r="Q312" i="3"/>
  <c r="Q294" i="3"/>
  <c r="Q663" i="3"/>
  <c r="Q1003" i="3"/>
  <c r="Q976" i="3"/>
  <c r="Q949" i="3"/>
  <c r="Q919" i="3"/>
  <c r="Q892" i="3"/>
  <c r="Q835" i="3"/>
  <c r="Q757" i="3"/>
  <c r="Q582" i="3"/>
  <c r="Q522" i="3"/>
  <c r="Q483" i="3"/>
  <c r="Q444" i="3"/>
  <c r="Q405" i="3"/>
  <c r="Q583" i="3"/>
  <c r="Q523" i="3"/>
  <c r="Q502" i="3"/>
  <c r="Q463" i="3"/>
  <c r="Q724" i="3"/>
  <c r="Q637" i="3"/>
  <c r="Q610" i="3"/>
  <c r="Q648" i="3"/>
  <c r="Q946" i="3"/>
  <c r="Q805" i="3"/>
  <c r="Q778" i="3"/>
  <c r="Q1001" i="3"/>
  <c r="Q980" i="3"/>
  <c r="Q959" i="3"/>
  <c r="Q914" i="3"/>
  <c r="Q893" i="3"/>
  <c r="Q872" i="3"/>
  <c r="Q851" i="3"/>
  <c r="Q806" i="3"/>
  <c r="Q785" i="3"/>
  <c r="Q764" i="3"/>
  <c r="Q743" i="3"/>
  <c r="Q698" i="3"/>
  <c r="Q677" i="3"/>
  <c r="Q540" i="3"/>
  <c r="Q501" i="3"/>
  <c r="Q462" i="3"/>
  <c r="Q423" i="3"/>
  <c r="Q562" i="3"/>
  <c r="Q541" i="3"/>
  <c r="Q520" i="3"/>
  <c r="Q481" i="3"/>
  <c r="Q721" i="3"/>
  <c r="Q694" i="3"/>
  <c r="Q664" i="3"/>
  <c r="Q665" i="3"/>
  <c r="Q647" i="3"/>
  <c r="Q629" i="3"/>
  <c r="Q611" i="3"/>
  <c r="Q593" i="3"/>
  <c r="Q575" i="3"/>
  <c r="Q557" i="3"/>
  <c r="Q539" i="3"/>
  <c r="Q521" i="3"/>
  <c r="Q503" i="3"/>
  <c r="Q485" i="3"/>
  <c r="Q467" i="3"/>
  <c r="Q449" i="3"/>
  <c r="Q431" i="3"/>
  <c r="Q413" i="3"/>
  <c r="Q399" i="3"/>
  <c r="Q381" i="3"/>
  <c r="Q363" i="3"/>
  <c r="Q345" i="3"/>
  <c r="Q327" i="3"/>
  <c r="Q309" i="3"/>
  <c r="Q291" i="3"/>
  <c r="Q395" i="3"/>
  <c r="Q377" i="3"/>
  <c r="Q359" i="3"/>
  <c r="Q341" i="3"/>
  <c r="Q323" i="3"/>
  <c r="Q305" i="3"/>
  <c r="Q287" i="3"/>
  <c r="Q269" i="3"/>
  <c r="Q251" i="3"/>
  <c r="Q233" i="3"/>
  <c r="Q215" i="3"/>
  <c r="Q197" i="3"/>
  <c r="Q810" i="3"/>
  <c r="Q645" i="3"/>
  <c r="Q973" i="3"/>
  <c r="Q916" i="3"/>
  <c r="Q889" i="3"/>
  <c r="Q859" i="3"/>
  <c r="Q832" i="3"/>
  <c r="Q802" i="3"/>
  <c r="Q754" i="3"/>
  <c r="Q558" i="3"/>
  <c r="Q519" i="3"/>
  <c r="Q480" i="3"/>
  <c r="Q441" i="3"/>
  <c r="Q402" i="3"/>
  <c r="Q688" i="3"/>
  <c r="Q628" i="3"/>
  <c r="Q580" i="3"/>
  <c r="Q538" i="3"/>
  <c r="Q499" i="3"/>
  <c r="Q460" i="3"/>
  <c r="Q718" i="3"/>
  <c r="Q691" i="3"/>
  <c r="Q661" i="3"/>
  <c r="Q634" i="3"/>
  <c r="Q448" i="3"/>
  <c r="Q430" i="3"/>
  <c r="Q412" i="3"/>
  <c r="Q394" i="3"/>
  <c r="Q376" i="3"/>
  <c r="Q358" i="3"/>
  <c r="Q340" i="3"/>
  <c r="Q322" i="3"/>
  <c r="Q285" i="3"/>
  <c r="Q267" i="3"/>
  <c r="Q249" i="3"/>
  <c r="Q231" i="3"/>
  <c r="Q213" i="3"/>
  <c r="Q195" i="3"/>
  <c r="Q301" i="3"/>
  <c r="Q283" i="3"/>
  <c r="Q265" i="3"/>
  <c r="Q247" i="3"/>
  <c r="Q229" i="3"/>
  <c r="Q211" i="3"/>
  <c r="Q193" i="3"/>
  <c r="Q185" i="3"/>
  <c r="Q167" i="3"/>
  <c r="Q149" i="3"/>
  <c r="Q131" i="3"/>
  <c r="Q113" i="3"/>
  <c r="Q95" i="3"/>
  <c r="Q77" i="3"/>
  <c r="Q59" i="3"/>
  <c r="Q41" i="3"/>
  <c r="Q23" i="3"/>
  <c r="Q5" i="3"/>
  <c r="Q184" i="3"/>
  <c r="Q166" i="3"/>
  <c r="Q148" i="3"/>
  <c r="Q130" i="3"/>
  <c r="Q112" i="3"/>
  <c r="Q792" i="3"/>
  <c r="Q630" i="3"/>
  <c r="Q10" i="3"/>
  <c r="Q28" i="3"/>
  <c r="Q46" i="3"/>
  <c r="Q64" i="3"/>
  <c r="Q82" i="3"/>
  <c r="Q21" i="3"/>
  <c r="Q39" i="3"/>
  <c r="Q57" i="3"/>
  <c r="Q75" i="3"/>
  <c r="Q121" i="3"/>
  <c r="Q160" i="3"/>
  <c r="Q29" i="3"/>
  <c r="Q68" i="3"/>
  <c r="Q107" i="3"/>
  <c r="Q146" i="3"/>
  <c r="Q196" i="3"/>
  <c r="Q235" i="3"/>
  <c r="Q274" i="3"/>
  <c r="Q189" i="3"/>
  <c r="Q228" i="3"/>
  <c r="Q337" i="3"/>
  <c r="Q397" i="3"/>
  <c r="Q436" i="3"/>
  <c r="Q715" i="3"/>
  <c r="Q411" i="3"/>
  <c r="Q695" i="3"/>
  <c r="Q824" i="3"/>
  <c r="R643" i="3"/>
  <c r="R697" i="3"/>
  <c r="R724" i="3"/>
  <c r="R754" i="3"/>
  <c r="R967" i="3"/>
  <c r="R234" i="3"/>
  <c r="R252" i="3"/>
  <c r="R270" i="3"/>
  <c r="R288" i="3"/>
  <c r="U195" i="3"/>
  <c r="U213" i="3"/>
  <c r="U231" i="3"/>
  <c r="U249" i="3"/>
  <c r="U267" i="3"/>
  <c r="U285" i="3"/>
  <c r="U303" i="3"/>
  <c r="U321" i="3"/>
  <c r="U339" i="3"/>
  <c r="U357" i="3"/>
  <c r="U375" i="3"/>
  <c r="U393" i="3"/>
  <c r="U289" i="3"/>
  <c r="U307" i="3"/>
  <c r="U325" i="3"/>
  <c r="U343" i="3"/>
  <c r="U361" i="3"/>
  <c r="U379" i="3"/>
  <c r="U397" i="3"/>
  <c r="U411" i="3"/>
  <c r="U429" i="3"/>
  <c r="U447" i="3"/>
  <c r="U465" i="3"/>
  <c r="U483" i="3"/>
  <c r="U501" i="3"/>
  <c r="U519" i="3"/>
  <c r="U537" i="3"/>
  <c r="U555" i="3"/>
  <c r="U573" i="3"/>
  <c r="U591" i="3"/>
  <c r="U609" i="3"/>
  <c r="U627" i="3"/>
  <c r="U645" i="3"/>
  <c r="U663" i="3"/>
  <c r="U605" i="3"/>
  <c r="U479" i="3"/>
  <c r="U518" i="3"/>
  <c r="U560" i="3"/>
  <c r="R439" i="3"/>
  <c r="R457" i="3"/>
  <c r="R475" i="3"/>
  <c r="R493" i="3"/>
  <c r="R511" i="3"/>
  <c r="R529" i="3"/>
  <c r="R547" i="3"/>
  <c r="R565" i="3"/>
  <c r="R583" i="3"/>
  <c r="R601" i="3"/>
  <c r="R619" i="3"/>
  <c r="S430" i="3"/>
  <c r="S469" i="3"/>
  <c r="S508" i="3"/>
  <c r="S568" i="3"/>
  <c r="U421" i="3"/>
  <c r="U460" i="3"/>
  <c r="U499" i="3"/>
  <c r="U538" i="3"/>
  <c r="U577" i="3"/>
  <c r="R576" i="3"/>
  <c r="R615" i="3"/>
  <c r="R654" i="3"/>
  <c r="R693" i="3"/>
  <c r="S582" i="3"/>
  <c r="W604" i="3"/>
  <c r="W625" i="3"/>
  <c r="W646" i="3"/>
  <c r="W667" i="3"/>
  <c r="W688" i="3"/>
  <c r="W712" i="3"/>
  <c r="W733" i="3"/>
  <c r="U675" i="3"/>
  <c r="U696" i="3"/>
  <c r="U717" i="3"/>
  <c r="U741" i="3"/>
  <c r="U762" i="3"/>
  <c r="U783" i="3"/>
  <c r="U804" i="3"/>
  <c r="U825" i="3"/>
  <c r="U849" i="3"/>
  <c r="U870" i="3"/>
  <c r="U891" i="3"/>
  <c r="U912" i="3"/>
  <c r="U933" i="3"/>
  <c r="U957" i="3"/>
  <c r="U978" i="3"/>
  <c r="U999" i="3"/>
  <c r="W99" i="3"/>
  <c r="W120" i="3"/>
  <c r="W144" i="3"/>
  <c r="W165" i="3"/>
  <c r="W186" i="3"/>
  <c r="W207" i="3"/>
  <c r="W228" i="3"/>
  <c r="W252" i="3"/>
  <c r="W273" i="3"/>
  <c r="W294" i="3"/>
  <c r="W315" i="3"/>
  <c r="W336" i="3"/>
  <c r="W360" i="3"/>
  <c r="W381" i="3"/>
  <c r="W402" i="3"/>
  <c r="W423" i="3"/>
  <c r="W444" i="3"/>
  <c r="W468" i="3"/>
  <c r="W489" i="3"/>
  <c r="W510" i="3"/>
  <c r="W531" i="3"/>
  <c r="W552" i="3"/>
  <c r="W576" i="3"/>
  <c r="S599" i="3"/>
  <c r="U776" i="3"/>
  <c r="U941" i="3"/>
  <c r="U998" i="3"/>
  <c r="R883" i="3"/>
  <c r="R958" i="3"/>
  <c r="S745" i="3"/>
  <c r="S871" i="3"/>
  <c r="W959" i="3"/>
  <c r="U887" i="3"/>
  <c r="R646" i="3"/>
  <c r="R700" i="3"/>
  <c r="R757" i="3"/>
  <c r="S964" i="3"/>
  <c r="S649" i="3"/>
  <c r="S721" i="3"/>
  <c r="W916" i="3"/>
  <c r="W699" i="3"/>
  <c r="S799" i="3"/>
  <c r="S950" i="3"/>
  <c r="R321" i="3"/>
  <c r="R339" i="3"/>
  <c r="R357" i="3"/>
  <c r="R375" i="3"/>
  <c r="R393" i="3"/>
  <c r="R411" i="3"/>
  <c r="R491" i="3"/>
  <c r="R509" i="3"/>
  <c r="R527" i="3"/>
  <c r="R545" i="3"/>
  <c r="R563" i="3"/>
  <c r="R581" i="3"/>
  <c r="R599" i="3"/>
  <c r="R617" i="3"/>
  <c r="R635" i="3"/>
  <c r="R653" i="3"/>
  <c r="R671" i="3"/>
  <c r="R689" i="3"/>
  <c r="R707" i="3"/>
  <c r="R725" i="3"/>
  <c r="R743" i="3"/>
  <c r="R761" i="3"/>
  <c r="R779" i="3"/>
  <c r="R307" i="3"/>
  <c r="R325" i="3"/>
  <c r="R343" i="3"/>
  <c r="R361" i="3"/>
  <c r="R379" i="3"/>
  <c r="R397" i="3"/>
  <c r="R415" i="3"/>
  <c r="R433" i="3"/>
  <c r="S334" i="3"/>
  <c r="S352" i="3"/>
  <c r="S370" i="3"/>
  <c r="S388" i="3"/>
  <c r="S406" i="3"/>
  <c r="R429" i="3"/>
  <c r="R447" i="3"/>
  <c r="R465" i="3"/>
  <c r="R483" i="3"/>
  <c r="R501" i="3"/>
  <c r="R519" i="3"/>
  <c r="R537" i="3"/>
  <c r="S459" i="3"/>
  <c r="S477" i="3"/>
  <c r="S495" i="3"/>
  <c r="S513" i="3"/>
  <c r="S531" i="3"/>
  <c r="S549" i="3"/>
  <c r="R803" i="3"/>
  <c r="R821" i="3"/>
  <c r="R839" i="3"/>
  <c r="R857" i="3"/>
  <c r="R875" i="3"/>
  <c r="R893" i="3"/>
  <c r="R911" i="3"/>
  <c r="R929" i="3"/>
  <c r="R947" i="3"/>
  <c r="R965" i="3"/>
  <c r="R983" i="3"/>
  <c r="R1001" i="3"/>
  <c r="U608" i="3"/>
  <c r="U635" i="3"/>
  <c r="U461" i="3"/>
  <c r="U500" i="3"/>
  <c r="U581" i="3"/>
  <c r="U632" i="3"/>
  <c r="U692" i="3"/>
  <c r="S412" i="3"/>
  <c r="S451" i="3"/>
  <c r="S490" i="3"/>
  <c r="S550" i="3"/>
  <c r="U403" i="3"/>
  <c r="U442" i="3"/>
  <c r="U481" i="3"/>
  <c r="U520" i="3"/>
  <c r="U559" i="3"/>
  <c r="U580" i="3"/>
  <c r="R558" i="3"/>
  <c r="R597" i="3"/>
  <c r="R636" i="3"/>
  <c r="R675" i="3"/>
  <c r="S564" i="3"/>
  <c r="W583" i="3"/>
  <c r="S606" i="3"/>
  <c r="S627" i="3"/>
  <c r="S648" i="3"/>
  <c r="S669" i="3"/>
  <c r="W691" i="3"/>
  <c r="S714" i="3"/>
  <c r="S735" i="3"/>
  <c r="U720" i="3"/>
  <c r="U828" i="3"/>
  <c r="U936" i="3"/>
  <c r="S101" i="3"/>
  <c r="W123" i="3"/>
  <c r="S146" i="3"/>
  <c r="S167" i="3"/>
  <c r="S188" i="3"/>
  <c r="S209" i="3"/>
  <c r="W231" i="3"/>
  <c r="S254" i="3"/>
  <c r="S275" i="3"/>
  <c r="S296" i="3"/>
  <c r="S317" i="3"/>
  <c r="W339" i="3"/>
  <c r="S362" i="3"/>
  <c r="S383" i="3"/>
  <c r="S404" i="3"/>
  <c r="S425" i="3"/>
  <c r="W447" i="3"/>
  <c r="S470" i="3"/>
  <c r="S491" i="3"/>
  <c r="S512" i="3"/>
  <c r="S533" i="3"/>
  <c r="W555" i="3"/>
  <c r="S578" i="3"/>
  <c r="W600" i="3"/>
  <c r="U755" i="3"/>
  <c r="U833" i="3"/>
  <c r="U860" i="3"/>
  <c r="U890" i="3"/>
  <c r="U917" i="3"/>
  <c r="U974" i="3"/>
  <c r="U1001" i="3"/>
  <c r="R802" i="3"/>
  <c r="R832" i="3"/>
  <c r="W782" i="3"/>
  <c r="W881" i="3"/>
  <c r="W971" i="3"/>
  <c r="U893" i="3"/>
  <c r="R805" i="3"/>
  <c r="S802" i="3"/>
  <c r="R673" i="3"/>
  <c r="R730" i="3"/>
  <c r="R799" i="3"/>
  <c r="S586" i="3"/>
  <c r="S658" i="3"/>
  <c r="S730" i="3"/>
  <c r="W934" i="3"/>
  <c r="S737" i="3"/>
  <c r="S880" i="3"/>
  <c r="W984" i="3"/>
  <c r="U666" i="3"/>
  <c r="U3" i="3"/>
  <c r="U665" i="3"/>
  <c r="U695" i="3"/>
  <c r="U482" i="3"/>
  <c r="U542" i="3"/>
  <c r="U563" i="3"/>
  <c r="U638" i="3"/>
  <c r="U698" i="3"/>
  <c r="R442" i="3"/>
  <c r="R460" i="3"/>
  <c r="R478" i="3"/>
  <c r="R496" i="3"/>
  <c r="R514" i="3"/>
  <c r="R532" i="3"/>
  <c r="R550" i="3"/>
  <c r="R568" i="3"/>
  <c r="R586" i="3"/>
  <c r="R604" i="3"/>
  <c r="R622" i="3"/>
  <c r="S433" i="3"/>
  <c r="S472" i="3"/>
  <c r="S532" i="3"/>
  <c r="S571" i="3"/>
  <c r="U424" i="3"/>
  <c r="U463" i="3"/>
  <c r="U502" i="3"/>
  <c r="U541" i="3"/>
  <c r="U562" i="3"/>
  <c r="R579" i="3"/>
  <c r="R618" i="3"/>
  <c r="R657" i="3"/>
  <c r="R696" i="3"/>
  <c r="U678" i="3"/>
  <c r="U699" i="3"/>
  <c r="U723" i="3"/>
  <c r="U744" i="3"/>
  <c r="U765" i="3"/>
  <c r="U786" i="3"/>
  <c r="U807" i="3"/>
  <c r="U831" i="3"/>
  <c r="U852" i="3"/>
  <c r="U873" i="3"/>
  <c r="U894" i="3"/>
  <c r="U915" i="3"/>
  <c r="U939" i="3"/>
  <c r="U960" i="3"/>
  <c r="U981" i="3"/>
  <c r="U1002" i="3"/>
  <c r="W189" i="3"/>
  <c r="W210" i="3"/>
  <c r="W234" i="3"/>
  <c r="W255" i="3"/>
  <c r="W276" i="3"/>
  <c r="W297" i="3"/>
  <c r="W318" i="3"/>
  <c r="W342" i="3"/>
  <c r="W363" i="3"/>
  <c r="W384" i="3"/>
  <c r="W405" i="3"/>
  <c r="W426" i="3"/>
  <c r="W450" i="3"/>
  <c r="W471" i="3"/>
  <c r="W492" i="3"/>
  <c r="W513" i="3"/>
  <c r="W534" i="3"/>
  <c r="W558" i="3"/>
  <c r="S581" i="3"/>
  <c r="S602" i="3"/>
  <c r="U779" i="3"/>
  <c r="U809" i="3"/>
  <c r="U863" i="3"/>
  <c r="R841" i="3"/>
  <c r="S790" i="3"/>
  <c r="S886" i="3"/>
  <c r="S973" i="3"/>
  <c r="S832" i="3"/>
  <c r="R649" i="3"/>
  <c r="R703" i="3"/>
  <c r="R838" i="3"/>
  <c r="S592" i="3"/>
  <c r="S664" i="3"/>
  <c r="S736" i="3"/>
  <c r="W952" i="3"/>
  <c r="W774" i="3"/>
  <c r="S970" i="3"/>
  <c r="R414" i="3"/>
  <c r="R432" i="3"/>
  <c r="R450" i="3"/>
  <c r="R468" i="3"/>
  <c r="R486" i="3"/>
  <c r="R504" i="3"/>
  <c r="R522" i="3"/>
  <c r="R540" i="3"/>
  <c r="R806" i="3"/>
  <c r="R824" i="3"/>
  <c r="R842" i="3"/>
  <c r="R860" i="3"/>
  <c r="R878" i="3"/>
  <c r="R896" i="3"/>
  <c r="R914" i="3"/>
  <c r="R932" i="3"/>
  <c r="R950" i="3"/>
  <c r="R968" i="3"/>
  <c r="R986" i="3"/>
  <c r="R1004" i="3"/>
  <c r="U901" i="3"/>
  <c r="U895" i="3"/>
  <c r="U949" i="3"/>
  <c r="U823" i="3"/>
  <c r="U805" i="3"/>
  <c r="U787" i="3"/>
  <c r="U769" i="3"/>
  <c r="U751" i="3"/>
  <c r="U733" i="3"/>
  <c r="U715" i="3"/>
  <c r="U697" i="3"/>
  <c r="U679" i="3"/>
  <c r="U661" i="3"/>
  <c r="U643" i="3"/>
  <c r="U625" i="3"/>
  <c r="U607" i="3"/>
  <c r="U589" i="3"/>
  <c r="U944" i="3"/>
  <c r="U989" i="3"/>
  <c r="U872" i="3"/>
  <c r="U848" i="3"/>
  <c r="U803" i="3"/>
  <c r="U782" i="3"/>
  <c r="U761" i="3"/>
  <c r="U743" i="3"/>
  <c r="U1006" i="3"/>
  <c r="U910" i="3"/>
  <c r="U871" i="3"/>
  <c r="U853" i="3"/>
  <c r="U835" i="3"/>
  <c r="U1009" i="3"/>
  <c r="U940" i="3"/>
  <c r="U935" i="3"/>
  <c r="U764" i="3"/>
  <c r="U1000" i="3"/>
  <c r="U1003" i="3"/>
  <c r="U820" i="3"/>
  <c r="U802" i="3"/>
  <c r="U784" i="3"/>
  <c r="U766" i="3"/>
  <c r="U748" i="3"/>
  <c r="U730" i="3"/>
  <c r="U712" i="3"/>
  <c r="U694" i="3"/>
  <c r="U676" i="3"/>
  <c r="U658" i="3"/>
  <c r="U640" i="3"/>
  <c r="U622" i="3"/>
  <c r="U604" i="3"/>
  <c r="U586" i="3"/>
  <c r="U854" i="3"/>
  <c r="U991" i="3"/>
  <c r="U979" i="3"/>
  <c r="U886" i="3"/>
  <c r="U868" i="3"/>
  <c r="U850" i="3"/>
  <c r="U832" i="3"/>
  <c r="U931" i="3"/>
  <c r="U892" i="3"/>
  <c r="U973" i="3"/>
  <c r="U994" i="3"/>
  <c r="U928" i="3"/>
  <c r="U817" i="3"/>
  <c r="U799" i="3"/>
  <c r="U781" i="3"/>
  <c r="U763" i="3"/>
  <c r="U745" i="3"/>
  <c r="U727" i="3"/>
  <c r="U709" i="3"/>
  <c r="U691" i="3"/>
  <c r="U673" i="3"/>
  <c r="U655" i="3"/>
  <c r="U637" i="3"/>
  <c r="U619" i="3"/>
  <c r="U601" i="3"/>
  <c r="U583" i="3"/>
  <c r="U883" i="3"/>
  <c r="U865" i="3"/>
  <c r="U847" i="3"/>
  <c r="U829" i="3"/>
  <c r="U988" i="3"/>
  <c r="U985" i="3"/>
  <c r="U908" i="3"/>
  <c r="U970" i="3"/>
  <c r="U919" i="3"/>
  <c r="U814" i="3"/>
  <c r="U796" i="3"/>
  <c r="U778" i="3"/>
  <c r="U760" i="3"/>
  <c r="U742" i="3"/>
  <c r="U724" i="3"/>
  <c r="U706" i="3"/>
  <c r="U688" i="3"/>
  <c r="U670" i="3"/>
  <c r="U652" i="3"/>
  <c r="U634" i="3"/>
  <c r="U616" i="3"/>
  <c r="U598" i="3"/>
  <c r="U961" i="3"/>
  <c r="U952" i="3"/>
  <c r="U922" i="3"/>
  <c r="U880" i="3"/>
  <c r="U862" i="3"/>
  <c r="U844" i="3"/>
  <c r="U826" i="3"/>
  <c r="U997" i="3"/>
  <c r="U976" i="3"/>
  <c r="U916" i="3"/>
  <c r="U955" i="3"/>
  <c r="U913" i="3"/>
  <c r="U811" i="3"/>
  <c r="U793" i="3"/>
  <c r="U775" i="3"/>
  <c r="U757" i="3"/>
  <c r="U739" i="3"/>
  <c r="U721" i="3"/>
  <c r="U703" i="3"/>
  <c r="U685" i="3"/>
  <c r="U667" i="3"/>
  <c r="U649" i="3"/>
  <c r="U631" i="3"/>
  <c r="U613" i="3"/>
  <c r="U595" i="3"/>
  <c r="U937" i="3"/>
  <c r="U877" i="3"/>
  <c r="U859" i="3"/>
  <c r="U841" i="3"/>
  <c r="U982" i="3"/>
  <c r="U943" i="3"/>
  <c r="U904" i="3"/>
  <c r="U958" i="3"/>
  <c r="U889" i="3"/>
  <c r="U808" i="3"/>
  <c r="U790" i="3"/>
  <c r="U772" i="3"/>
  <c r="U754" i="3"/>
  <c r="U736" i="3"/>
  <c r="U718" i="3"/>
  <c r="U700" i="3"/>
  <c r="U682" i="3"/>
  <c r="U664" i="3"/>
  <c r="U646" i="3"/>
  <c r="U628" i="3"/>
  <c r="U610" i="3"/>
  <c r="U592" i="3"/>
  <c r="U959" i="3"/>
  <c r="U800" i="3"/>
  <c r="U992" i="3"/>
  <c r="U947" i="3"/>
  <c r="U902" i="3"/>
  <c r="U806" i="3"/>
  <c r="U785" i="3"/>
  <c r="U746" i="3"/>
  <c r="U611" i="3"/>
  <c r="U557" i="3"/>
  <c r="U539" i="3"/>
  <c r="U521" i="3"/>
  <c r="U503" i="3"/>
  <c r="U485" i="3"/>
  <c r="U467" i="3"/>
  <c r="U653" i="3"/>
  <c r="U626" i="3"/>
  <c r="U934" i="3"/>
  <c r="U925" i="3"/>
  <c r="U874" i="3"/>
  <c r="U856" i="3"/>
  <c r="U838" i="3"/>
  <c r="U898" i="3"/>
  <c r="U725" i="3"/>
  <c r="U464" i="3"/>
  <c r="U524" i="3"/>
  <c r="U584" i="3"/>
  <c r="S415" i="3"/>
  <c r="S454" i="3"/>
  <c r="S514" i="3"/>
  <c r="S553" i="3"/>
  <c r="U406" i="3"/>
  <c r="U445" i="3"/>
  <c r="U484" i="3"/>
  <c r="U523" i="3"/>
  <c r="U544" i="3"/>
  <c r="R561" i="3"/>
  <c r="R600" i="3"/>
  <c r="R639" i="3"/>
  <c r="R678" i="3"/>
  <c r="S588" i="3"/>
  <c r="S609" i="3"/>
  <c r="S630" i="3"/>
  <c r="S651" i="3"/>
  <c r="S696" i="3"/>
  <c r="S717" i="3"/>
  <c r="S738" i="3"/>
  <c r="U702" i="3"/>
  <c r="U810" i="3"/>
  <c r="U918" i="3"/>
  <c r="S128" i="3"/>
  <c r="S149" i="3"/>
  <c r="S170" i="3"/>
  <c r="S191" i="3"/>
  <c r="W213" i="3"/>
  <c r="S236" i="3"/>
  <c r="S257" i="3"/>
  <c r="S278" i="3"/>
  <c r="S299" i="3"/>
  <c r="W321" i="3"/>
  <c r="S344" i="3"/>
  <c r="S365" i="3"/>
  <c r="S386" i="3"/>
  <c r="S407" i="3"/>
  <c r="W429" i="3"/>
  <c r="S452" i="3"/>
  <c r="S473" i="3"/>
  <c r="S494" i="3"/>
  <c r="S515" i="3"/>
  <c r="W537" i="3"/>
  <c r="S560" i="3"/>
  <c r="W582" i="3"/>
  <c r="W603" i="3"/>
  <c r="U758" i="3"/>
  <c r="U836" i="3"/>
  <c r="U923" i="3"/>
  <c r="U950" i="3"/>
  <c r="U977" i="3"/>
  <c r="U1004" i="3"/>
  <c r="R778" i="3"/>
  <c r="R844" i="3"/>
  <c r="W794" i="3"/>
  <c r="W890" i="3"/>
  <c r="U791" i="3"/>
  <c r="U914" i="3"/>
  <c r="W899" i="3"/>
  <c r="R679" i="3"/>
  <c r="R736" i="3"/>
  <c r="R856" i="3"/>
  <c r="S595" i="3"/>
  <c r="S667" i="3"/>
  <c r="S739" i="3"/>
  <c r="W754" i="3"/>
  <c r="W970" i="3"/>
  <c r="W810" i="3"/>
  <c r="S635" i="3"/>
  <c r="U669" i="3"/>
  <c r="U614" i="3"/>
  <c r="U641" i="3"/>
  <c r="U728" i="3"/>
  <c r="U506" i="3"/>
  <c r="U545" i="3"/>
  <c r="U566" i="3"/>
  <c r="U707" i="3"/>
  <c r="R445" i="3"/>
  <c r="R463" i="3"/>
  <c r="R481" i="3"/>
  <c r="R499" i="3"/>
  <c r="R517" i="3"/>
  <c r="R535" i="3"/>
  <c r="R553" i="3"/>
  <c r="R571" i="3"/>
  <c r="R589" i="3"/>
  <c r="R607" i="3"/>
  <c r="R625" i="3"/>
  <c r="S436" i="3"/>
  <c r="S496" i="3"/>
  <c r="S535" i="3"/>
  <c r="S574" i="3"/>
  <c r="U427" i="3"/>
  <c r="U466" i="3"/>
  <c r="U505" i="3"/>
  <c r="U526" i="3"/>
  <c r="U565" i="3"/>
  <c r="R543" i="3"/>
  <c r="R582" i="3"/>
  <c r="R621" i="3"/>
  <c r="R660" i="3"/>
  <c r="S570" i="3"/>
  <c r="U681" i="3"/>
  <c r="U705" i="3"/>
  <c r="U726" i="3"/>
  <c r="U747" i="3"/>
  <c r="U768" i="3"/>
  <c r="U789" i="3"/>
  <c r="U813" i="3"/>
  <c r="U834" i="3"/>
  <c r="U855" i="3"/>
  <c r="U876" i="3"/>
  <c r="U897" i="3"/>
  <c r="U921" i="3"/>
  <c r="U942" i="3"/>
  <c r="U963" i="3"/>
  <c r="U984" i="3"/>
  <c r="U1005" i="3"/>
  <c r="W192" i="3"/>
  <c r="W216" i="3"/>
  <c r="W237" i="3"/>
  <c r="W258" i="3"/>
  <c r="W279" i="3"/>
  <c r="W300" i="3"/>
  <c r="W324" i="3"/>
  <c r="W345" i="3"/>
  <c r="W366" i="3"/>
  <c r="W387" i="3"/>
  <c r="W408" i="3"/>
  <c r="W432" i="3"/>
  <c r="W453" i="3"/>
  <c r="W474" i="3"/>
  <c r="W495" i="3"/>
  <c r="W516" i="3"/>
  <c r="W540" i="3"/>
  <c r="W561" i="3"/>
  <c r="S584" i="3"/>
  <c r="U737" i="3"/>
  <c r="U812" i="3"/>
  <c r="U839" i="3"/>
  <c r="U866" i="3"/>
  <c r="U896" i="3"/>
  <c r="U926" i="3"/>
  <c r="U953" i="3"/>
  <c r="U980" i="3"/>
  <c r="R811" i="3"/>
  <c r="W809" i="3"/>
  <c r="W896" i="3"/>
  <c r="U920" i="3"/>
  <c r="R847" i="3"/>
  <c r="S922" i="3"/>
  <c r="R682" i="3"/>
  <c r="R739" i="3"/>
  <c r="S604" i="3"/>
  <c r="S676" i="3"/>
  <c r="W755" i="3"/>
  <c r="W772" i="3"/>
  <c r="W988" i="3"/>
  <c r="W846" i="3"/>
  <c r="W669" i="3"/>
  <c r="U907" i="3"/>
  <c r="R641" i="3"/>
  <c r="R659" i="3"/>
  <c r="R677" i="3"/>
  <c r="R695" i="3"/>
  <c r="R713" i="3"/>
  <c r="R731" i="3"/>
  <c r="R749" i="3"/>
  <c r="R767" i="3"/>
  <c r="R785" i="3"/>
  <c r="R295" i="3"/>
  <c r="R313" i="3"/>
  <c r="R331" i="3"/>
  <c r="R349" i="3"/>
  <c r="R367" i="3"/>
  <c r="R385" i="3"/>
  <c r="R403" i="3"/>
  <c r="R421" i="3"/>
  <c r="R417" i="3"/>
  <c r="R435" i="3"/>
  <c r="R453" i="3"/>
  <c r="R471" i="3"/>
  <c r="R489" i="3"/>
  <c r="R507" i="3"/>
  <c r="R525" i="3"/>
  <c r="S447" i="3"/>
  <c r="S465" i="3"/>
  <c r="S483" i="3"/>
  <c r="S501" i="3"/>
  <c r="S519" i="3"/>
  <c r="S537" i="3"/>
  <c r="S555" i="3"/>
  <c r="R809" i="3"/>
  <c r="R827" i="3"/>
  <c r="R845" i="3"/>
  <c r="R863" i="3"/>
  <c r="R881" i="3"/>
  <c r="R899" i="3"/>
  <c r="R917" i="3"/>
  <c r="R935" i="3"/>
  <c r="R953" i="3"/>
  <c r="R971" i="3"/>
  <c r="R989" i="3"/>
  <c r="R1007" i="3"/>
  <c r="U587" i="3"/>
  <c r="U644" i="3"/>
  <c r="U671" i="3"/>
  <c r="U701" i="3"/>
  <c r="U731" i="3"/>
  <c r="U488" i="3"/>
  <c r="U527" i="3"/>
  <c r="U713" i="3"/>
  <c r="S418" i="3"/>
  <c r="S478" i="3"/>
  <c r="S517" i="3"/>
  <c r="S556" i="3"/>
  <c r="U409" i="3"/>
  <c r="U448" i="3"/>
  <c r="U487" i="3"/>
  <c r="U508" i="3"/>
  <c r="U547" i="3"/>
  <c r="R564" i="3"/>
  <c r="R603" i="3"/>
  <c r="R642" i="3"/>
  <c r="R702" i="3"/>
  <c r="S591" i="3"/>
  <c r="S612" i="3"/>
  <c r="S633" i="3"/>
  <c r="S678" i="3"/>
  <c r="S699" i="3"/>
  <c r="S720" i="3"/>
  <c r="S741" i="3"/>
  <c r="U684" i="3"/>
  <c r="U792" i="3"/>
  <c r="U900" i="3"/>
  <c r="U1008" i="3"/>
  <c r="S110" i="3"/>
  <c r="S131" i="3"/>
  <c r="S152" i="3"/>
  <c r="S173" i="3"/>
  <c r="S218" i="3"/>
  <c r="S239" i="3"/>
  <c r="S260" i="3"/>
  <c r="S281" i="3"/>
  <c r="W303" i="3"/>
  <c r="S326" i="3"/>
  <c r="S347" i="3"/>
  <c r="S368" i="3"/>
  <c r="S389" i="3"/>
  <c r="W411" i="3"/>
  <c r="S434" i="3"/>
  <c r="S455" i="3"/>
  <c r="S476" i="3"/>
  <c r="S497" i="3"/>
  <c r="W519" i="3"/>
  <c r="S542" i="3"/>
  <c r="S563" i="3"/>
  <c r="W585" i="3"/>
  <c r="U740" i="3"/>
  <c r="U788" i="3"/>
  <c r="U815" i="3"/>
  <c r="U869" i="3"/>
  <c r="U929" i="3"/>
  <c r="R853" i="3"/>
  <c r="R985" i="3"/>
  <c r="S820" i="3"/>
  <c r="W908" i="3"/>
  <c r="R859" i="3"/>
  <c r="W935" i="3"/>
  <c r="R655" i="3"/>
  <c r="S610" i="3"/>
  <c r="S682" i="3"/>
  <c r="W761" i="3"/>
  <c r="W790" i="3"/>
  <c r="S881" i="3"/>
  <c r="S704" i="3"/>
  <c r="U964" i="3"/>
  <c r="R996" i="3"/>
  <c r="R978" i="3"/>
  <c r="R960" i="3"/>
  <c r="R942" i="3"/>
  <c r="R991" i="3"/>
  <c r="R769" i="3"/>
  <c r="R943" i="3"/>
  <c r="R921" i="3"/>
  <c r="R903" i="3"/>
  <c r="R885" i="3"/>
  <c r="R867" i="3"/>
  <c r="R849" i="3"/>
  <c r="R831" i="3"/>
  <c r="R813" i="3"/>
  <c r="R795" i="3"/>
  <c r="R777" i="3"/>
  <c r="R759" i="3"/>
  <c r="R741" i="3"/>
  <c r="R723" i="3"/>
  <c r="R964" i="3"/>
  <c r="R826" i="3"/>
  <c r="R934" i="3"/>
  <c r="R793" i="3"/>
  <c r="R997" i="3"/>
  <c r="R784" i="3"/>
  <c r="R937" i="3"/>
  <c r="R835" i="3"/>
  <c r="R817" i="3"/>
  <c r="R751" i="3"/>
  <c r="R733" i="3"/>
  <c r="R712" i="3"/>
  <c r="R694" i="3"/>
  <c r="R676" i="3"/>
  <c r="R658" i="3"/>
  <c r="R640" i="3"/>
  <c r="R922" i="3"/>
  <c r="R775" i="3"/>
  <c r="R993" i="3"/>
  <c r="R975" i="3"/>
  <c r="R957" i="3"/>
  <c r="R939" i="3"/>
  <c r="R936" i="3"/>
  <c r="R918" i="3"/>
  <c r="R900" i="3"/>
  <c r="R882" i="3"/>
  <c r="R864" i="3"/>
  <c r="R846" i="3"/>
  <c r="R828" i="3"/>
  <c r="R810" i="3"/>
  <c r="R792" i="3"/>
  <c r="R774" i="3"/>
  <c r="R756" i="3"/>
  <c r="R738" i="3"/>
  <c r="R720" i="3"/>
  <c r="R940" i="3"/>
  <c r="R808" i="3"/>
  <c r="R910" i="3"/>
  <c r="R898" i="3"/>
  <c r="R1009" i="3"/>
  <c r="R1008" i="3"/>
  <c r="R990" i="3"/>
  <c r="R972" i="3"/>
  <c r="R954" i="3"/>
  <c r="R892" i="3"/>
  <c r="R1003" i="3"/>
  <c r="R913" i="3"/>
  <c r="R933" i="3"/>
  <c r="R915" i="3"/>
  <c r="R897" i="3"/>
  <c r="R879" i="3"/>
  <c r="R861" i="3"/>
  <c r="R843" i="3"/>
  <c r="R825" i="3"/>
  <c r="R807" i="3"/>
  <c r="R789" i="3"/>
  <c r="R771" i="3"/>
  <c r="R753" i="3"/>
  <c r="R735" i="3"/>
  <c r="R717" i="3"/>
  <c r="R916" i="3"/>
  <c r="R790" i="3"/>
  <c r="R961" i="3"/>
  <c r="R886" i="3"/>
  <c r="R994" i="3"/>
  <c r="R904" i="3"/>
  <c r="R907" i="3"/>
  <c r="R781" i="3"/>
  <c r="R745" i="3"/>
  <c r="R727" i="3"/>
  <c r="R706" i="3"/>
  <c r="R688" i="3"/>
  <c r="R670" i="3"/>
  <c r="R652" i="3"/>
  <c r="R634" i="3"/>
  <c r="R874" i="3"/>
  <c r="R1005" i="3"/>
  <c r="R987" i="3"/>
  <c r="R969" i="3"/>
  <c r="R951" i="3"/>
  <c r="R880" i="3"/>
  <c r="R930" i="3"/>
  <c r="R912" i="3"/>
  <c r="R894" i="3"/>
  <c r="R876" i="3"/>
  <c r="R858" i="3"/>
  <c r="R840" i="3"/>
  <c r="R822" i="3"/>
  <c r="R804" i="3"/>
  <c r="R786" i="3"/>
  <c r="R768" i="3"/>
  <c r="R750" i="3"/>
  <c r="R732" i="3"/>
  <c r="R714" i="3"/>
  <c r="R895" i="3"/>
  <c r="R772" i="3"/>
  <c r="R979" i="3"/>
  <c r="R763" i="3"/>
  <c r="R1002" i="3"/>
  <c r="R984" i="3"/>
  <c r="R966" i="3"/>
  <c r="R948" i="3"/>
  <c r="R871" i="3"/>
  <c r="R973" i="3"/>
  <c r="R927" i="3"/>
  <c r="R909" i="3"/>
  <c r="R891" i="3"/>
  <c r="R873" i="3"/>
  <c r="R855" i="3"/>
  <c r="R837" i="3"/>
  <c r="R819" i="3"/>
  <c r="R801" i="3"/>
  <c r="R783" i="3"/>
  <c r="R765" i="3"/>
  <c r="R747" i="3"/>
  <c r="R729" i="3"/>
  <c r="R711" i="3"/>
  <c r="R760" i="3"/>
  <c r="R999" i="3"/>
  <c r="R981" i="3"/>
  <c r="R963" i="3"/>
  <c r="R945" i="3"/>
  <c r="R1006" i="3"/>
  <c r="R925" i="3"/>
  <c r="R850" i="3"/>
  <c r="R924" i="3"/>
  <c r="R906" i="3"/>
  <c r="R888" i="3"/>
  <c r="R870" i="3"/>
  <c r="R852" i="3"/>
  <c r="R834" i="3"/>
  <c r="R816" i="3"/>
  <c r="R798" i="3"/>
  <c r="R780" i="3"/>
  <c r="R762" i="3"/>
  <c r="R744" i="3"/>
  <c r="R726" i="3"/>
  <c r="R708" i="3"/>
  <c r="R988" i="3"/>
  <c r="R814" i="3"/>
  <c r="R952" i="3"/>
  <c r="R787" i="3"/>
  <c r="R3" i="3"/>
  <c r="R699" i="3"/>
  <c r="R681" i="3"/>
  <c r="R663" i="3"/>
  <c r="R645" i="3"/>
  <c r="R627" i="3"/>
  <c r="R609" i="3"/>
  <c r="R591" i="3"/>
  <c r="R573" i="3"/>
  <c r="R555" i="3"/>
  <c r="R919" i="3"/>
  <c r="R949" i="3"/>
  <c r="R862" i="3"/>
  <c r="W198" i="3"/>
  <c r="W219" i="3"/>
  <c r="W240" i="3"/>
  <c r="W261" i="3"/>
  <c r="W282" i="3"/>
  <c r="W306" i="3"/>
  <c r="W327" i="3"/>
  <c r="W348" i="3"/>
  <c r="W369" i="3"/>
  <c r="W390" i="3"/>
  <c r="W414" i="3"/>
  <c r="W435" i="3"/>
  <c r="W456" i="3"/>
  <c r="W477" i="3"/>
  <c r="W498" i="3"/>
  <c r="W522" i="3"/>
  <c r="W543" i="3"/>
  <c r="W564" i="3"/>
  <c r="S587" i="3"/>
  <c r="U767" i="3"/>
  <c r="U842" i="3"/>
  <c r="U956" i="3"/>
  <c r="U983" i="3"/>
  <c r="W824" i="3"/>
  <c r="W914" i="3"/>
  <c r="U965" i="3"/>
  <c r="R889" i="3"/>
  <c r="W950" i="3"/>
  <c r="R685" i="3"/>
  <c r="R742" i="3"/>
  <c r="R928" i="3"/>
  <c r="S613" i="3"/>
  <c r="S685" i="3"/>
  <c r="W764" i="3"/>
  <c r="W808" i="3"/>
  <c r="W918" i="3"/>
  <c r="W738" i="3"/>
  <c r="S748" i="3"/>
  <c r="R680" i="3"/>
  <c r="R698" i="3"/>
  <c r="R716" i="3"/>
  <c r="R734" i="3"/>
  <c r="R752" i="3"/>
  <c r="R770" i="3"/>
  <c r="R788" i="3"/>
  <c r="R298" i="3"/>
  <c r="R316" i="3"/>
  <c r="R334" i="3"/>
  <c r="R352" i="3"/>
  <c r="R370" i="3"/>
  <c r="R388" i="3"/>
  <c r="R406" i="3"/>
  <c r="R424" i="3"/>
  <c r="R420" i="3"/>
  <c r="R438" i="3"/>
  <c r="R456" i="3"/>
  <c r="R474" i="3"/>
  <c r="R492" i="3"/>
  <c r="R510" i="3"/>
  <c r="R528" i="3"/>
  <c r="R812" i="3"/>
  <c r="R830" i="3"/>
  <c r="R848" i="3"/>
  <c r="R866" i="3"/>
  <c r="R884" i="3"/>
  <c r="R902" i="3"/>
  <c r="R920" i="3"/>
  <c r="R938" i="3"/>
  <c r="R956" i="3"/>
  <c r="R974" i="3"/>
  <c r="R992" i="3"/>
  <c r="S3" i="3"/>
  <c r="U593" i="3"/>
  <c r="U620" i="3"/>
  <c r="U647" i="3"/>
  <c r="U452" i="3"/>
  <c r="U491" i="3"/>
  <c r="U530" i="3"/>
  <c r="U596" i="3"/>
  <c r="U662" i="3"/>
  <c r="U722" i="3"/>
  <c r="S442" i="3"/>
  <c r="S481" i="3"/>
  <c r="S520" i="3"/>
  <c r="S559" i="3"/>
  <c r="U412" i="3"/>
  <c r="U451" i="3"/>
  <c r="U472" i="3"/>
  <c r="U511" i="3"/>
  <c r="U550" i="3"/>
  <c r="R567" i="3"/>
  <c r="R606" i="3"/>
  <c r="R666" i="3"/>
  <c r="R705" i="3"/>
  <c r="S594" i="3"/>
  <c r="S615" i="3"/>
  <c r="S660" i="3"/>
  <c r="S681" i="3"/>
  <c r="S702" i="3"/>
  <c r="S723" i="3"/>
  <c r="U774" i="3"/>
  <c r="U882" i="3"/>
  <c r="U990" i="3"/>
  <c r="S92" i="3"/>
  <c r="S113" i="3"/>
  <c r="S134" i="3"/>
  <c r="S155" i="3"/>
  <c r="S200" i="3"/>
  <c r="S221" i="3"/>
  <c r="S242" i="3"/>
  <c r="S263" i="3"/>
  <c r="S308" i="3"/>
  <c r="S329" i="3"/>
  <c r="S350" i="3"/>
  <c r="S371" i="3"/>
  <c r="S416" i="3"/>
  <c r="S437" i="3"/>
  <c r="S458" i="3"/>
  <c r="S479" i="3"/>
  <c r="S524" i="3"/>
  <c r="S545" i="3"/>
  <c r="S566" i="3"/>
  <c r="U818" i="3"/>
  <c r="U845" i="3"/>
  <c r="U875" i="3"/>
  <c r="U905" i="3"/>
  <c r="U932" i="3"/>
  <c r="R820" i="3"/>
  <c r="U830" i="3"/>
  <c r="U971" i="3"/>
  <c r="R901" i="3"/>
  <c r="S967" i="3"/>
  <c r="R661" i="3"/>
  <c r="R715" i="3"/>
  <c r="S622" i="3"/>
  <c r="S694" i="3"/>
  <c r="W826" i="3"/>
  <c r="W957" i="3"/>
  <c r="W839" i="3"/>
  <c r="S1005" i="3"/>
  <c r="S823" i="3"/>
  <c r="S872" i="3"/>
  <c r="S836" i="3"/>
  <c r="S800" i="3"/>
  <c r="S626" i="3"/>
  <c r="S856" i="3"/>
  <c r="S784" i="3"/>
  <c r="S986" i="3"/>
  <c r="S908" i="3"/>
  <c r="S764" i="3"/>
  <c r="S728" i="3"/>
  <c r="S689" i="3"/>
  <c r="S984" i="3"/>
  <c r="S966" i="3"/>
  <c r="S948" i="3"/>
  <c r="S930" i="3"/>
  <c r="S912" i="3"/>
  <c r="S894" i="3"/>
  <c r="S876" i="3"/>
  <c r="S858" i="3"/>
  <c r="S840" i="3"/>
  <c r="S822" i="3"/>
  <c r="S804" i="3"/>
  <c r="S786" i="3"/>
  <c r="S768" i="3"/>
  <c r="S750" i="3"/>
  <c r="S760" i="3"/>
  <c r="S919" i="3"/>
  <c r="S883" i="3"/>
  <c r="S868" i="3"/>
  <c r="S572" i="3"/>
  <c r="S554" i="3"/>
  <c r="S536" i="3"/>
  <c r="S518" i="3"/>
  <c r="S500" i="3"/>
  <c r="S482" i="3"/>
  <c r="S464" i="3"/>
  <c r="S446" i="3"/>
  <c r="S428" i="3"/>
  <c r="S410" i="3"/>
  <c r="S392" i="3"/>
  <c r="S374" i="3"/>
  <c r="S356" i="3"/>
  <c r="S338" i="3"/>
  <c r="S320" i="3"/>
  <c r="S302" i="3"/>
  <c r="S284" i="3"/>
  <c r="S266" i="3"/>
  <c r="S248" i="3"/>
  <c r="S230" i="3"/>
  <c r="S212" i="3"/>
  <c r="S194" i="3"/>
  <c r="S176" i="3"/>
  <c r="S158" i="3"/>
  <c r="S140" i="3"/>
  <c r="S122" i="3"/>
  <c r="S104" i="3"/>
  <c r="S744" i="3"/>
  <c r="S726" i="3"/>
  <c r="S708" i="3"/>
  <c r="S690" i="3"/>
  <c r="S672" i="3"/>
  <c r="S654" i="3"/>
  <c r="S636" i="3"/>
  <c r="S618" i="3"/>
  <c r="S600" i="3"/>
  <c r="S1003" i="3"/>
  <c r="S895" i="3"/>
  <c r="S869" i="3"/>
  <c r="S833" i="3"/>
  <c r="S797" i="3"/>
  <c r="S659" i="3"/>
  <c r="S623" i="3"/>
  <c r="S940" i="3"/>
  <c r="S778" i="3"/>
  <c r="S983" i="3"/>
  <c r="S944" i="3"/>
  <c r="S905" i="3"/>
  <c r="S761" i="3"/>
  <c r="S725" i="3"/>
  <c r="S686" i="3"/>
  <c r="S733" i="3"/>
  <c r="S715" i="3"/>
  <c r="S697" i="3"/>
  <c r="S679" i="3"/>
  <c r="S661" i="3"/>
  <c r="S643" i="3"/>
  <c r="S625" i="3"/>
  <c r="S607" i="3"/>
  <c r="S589" i="3"/>
  <c r="S925" i="3"/>
  <c r="S1002" i="3"/>
  <c r="S889" i="3"/>
  <c r="S814" i="3"/>
  <c r="S866" i="3"/>
  <c r="S830" i="3"/>
  <c r="S794" i="3"/>
  <c r="S656" i="3"/>
  <c r="S620" i="3"/>
  <c r="S980" i="3"/>
  <c r="S941" i="3"/>
  <c r="S902" i="3"/>
  <c r="S758" i="3"/>
  <c r="S722" i="3"/>
  <c r="S683" i="3"/>
  <c r="S608" i="3"/>
  <c r="S981" i="3"/>
  <c r="S963" i="3"/>
  <c r="S945" i="3"/>
  <c r="S927" i="3"/>
  <c r="S909" i="3"/>
  <c r="S891" i="3"/>
  <c r="S873" i="3"/>
  <c r="S855" i="3"/>
  <c r="S837" i="3"/>
  <c r="S819" i="3"/>
  <c r="S801" i="3"/>
  <c r="S783" i="3"/>
  <c r="S765" i="3"/>
  <c r="S757" i="3"/>
  <c r="S892" i="3"/>
  <c r="S1000" i="3"/>
  <c r="S808" i="3"/>
  <c r="S968" i="3"/>
  <c r="S863" i="3"/>
  <c r="S827" i="3"/>
  <c r="S791" i="3"/>
  <c r="S653" i="3"/>
  <c r="S617" i="3"/>
  <c r="S977" i="3"/>
  <c r="S938" i="3"/>
  <c r="S899" i="3"/>
  <c r="S755" i="3"/>
  <c r="S719" i="3"/>
  <c r="S680" i="3"/>
  <c r="S999" i="3"/>
  <c r="S958" i="3"/>
  <c r="S877" i="3"/>
  <c r="S796" i="3"/>
  <c r="S965" i="3"/>
  <c r="S860" i="3"/>
  <c r="S824" i="3"/>
  <c r="S788" i="3"/>
  <c r="S650" i="3"/>
  <c r="S614" i="3"/>
  <c r="S913" i="3"/>
  <c r="S829" i="3"/>
  <c r="S974" i="3"/>
  <c r="S935" i="3"/>
  <c r="S896" i="3"/>
  <c r="S752" i="3"/>
  <c r="S716" i="3"/>
  <c r="S677" i="3"/>
  <c r="S978" i="3"/>
  <c r="S960" i="3"/>
  <c r="S942" i="3"/>
  <c r="S924" i="3"/>
  <c r="S906" i="3"/>
  <c r="S888" i="3"/>
  <c r="S870" i="3"/>
  <c r="S852" i="3"/>
  <c r="S834" i="3"/>
  <c r="S816" i="3"/>
  <c r="S798" i="3"/>
  <c r="S780" i="3"/>
  <c r="S762" i="3"/>
  <c r="S928" i="3"/>
  <c r="S772" i="3"/>
  <c r="S754" i="3"/>
  <c r="S997" i="3"/>
  <c r="S962" i="3"/>
  <c r="S929" i="3"/>
  <c r="S857" i="3"/>
  <c r="S821" i="3"/>
  <c r="S785" i="3"/>
  <c r="S647" i="3"/>
  <c r="S611" i="3"/>
  <c r="S907" i="3"/>
  <c r="S1007" i="3"/>
  <c r="S971" i="3"/>
  <c r="S932" i="3"/>
  <c r="S893" i="3"/>
  <c r="S749" i="3"/>
  <c r="S713" i="3"/>
  <c r="S674" i="3"/>
  <c r="S916" i="3"/>
  <c r="S727" i="3"/>
  <c r="S709" i="3"/>
  <c r="S691" i="3"/>
  <c r="S673" i="3"/>
  <c r="S655" i="3"/>
  <c r="S637" i="3"/>
  <c r="S619" i="3"/>
  <c r="S601" i="3"/>
  <c r="S583" i="3"/>
  <c r="S844" i="3"/>
  <c r="S751" i="3"/>
  <c r="S904" i="3"/>
  <c r="S985" i="3"/>
  <c r="S996" i="3"/>
  <c r="S862" i="3"/>
  <c r="S787" i="3"/>
  <c r="S959" i="3"/>
  <c r="S926" i="3"/>
  <c r="S854" i="3"/>
  <c r="S818" i="3"/>
  <c r="S782" i="3"/>
  <c r="S644" i="3"/>
  <c r="S901" i="3"/>
  <c r="S817" i="3"/>
  <c r="S1004" i="3"/>
  <c r="S890" i="3"/>
  <c r="S746" i="3"/>
  <c r="S671" i="3"/>
  <c r="S993" i="3"/>
  <c r="S975" i="3"/>
  <c r="S957" i="3"/>
  <c r="S939" i="3"/>
  <c r="S921" i="3"/>
  <c r="S903" i="3"/>
  <c r="S885" i="3"/>
  <c r="S867" i="3"/>
  <c r="S849" i="3"/>
  <c r="S831" i="3"/>
  <c r="S813" i="3"/>
  <c r="S795" i="3"/>
  <c r="S777" i="3"/>
  <c r="S759" i="3"/>
  <c r="S898" i="3"/>
  <c r="S769" i="3"/>
  <c r="S979" i="3"/>
  <c r="S994" i="3"/>
  <c r="S781" i="3"/>
  <c r="S956" i="3"/>
  <c r="S923" i="3"/>
  <c r="S851" i="3"/>
  <c r="S815" i="3"/>
  <c r="S779" i="3"/>
  <c r="S710" i="3"/>
  <c r="S641" i="3"/>
  <c r="S605" i="3"/>
  <c r="S811" i="3"/>
  <c r="S1001" i="3"/>
  <c r="S887" i="3"/>
  <c r="S743" i="3"/>
  <c r="S668" i="3"/>
  <c r="S742" i="3"/>
  <c r="S724" i="3"/>
  <c r="S706" i="3"/>
  <c r="S688" i="3"/>
  <c r="S670" i="3"/>
  <c r="S652" i="3"/>
  <c r="S634" i="3"/>
  <c r="S616" i="3"/>
  <c r="S598" i="3"/>
  <c r="S580" i="3"/>
  <c r="S931" i="3"/>
  <c r="S847" i="3"/>
  <c r="S775" i="3"/>
  <c r="S953" i="3"/>
  <c r="S920" i="3"/>
  <c r="S848" i="3"/>
  <c r="S812" i="3"/>
  <c r="S776" i="3"/>
  <c r="S707" i="3"/>
  <c r="S638" i="3"/>
  <c r="S976" i="3"/>
  <c r="S805" i="3"/>
  <c r="S998" i="3"/>
  <c r="S884" i="3"/>
  <c r="S740" i="3"/>
  <c r="S665" i="3"/>
  <c r="S990" i="3"/>
  <c r="S972" i="3"/>
  <c r="S954" i="3"/>
  <c r="S936" i="3"/>
  <c r="S918" i="3"/>
  <c r="S900" i="3"/>
  <c r="S882" i="3"/>
  <c r="S864" i="3"/>
  <c r="S846" i="3"/>
  <c r="S828" i="3"/>
  <c r="S810" i="3"/>
  <c r="S792" i="3"/>
  <c r="S774" i="3"/>
  <c r="S756" i="3"/>
  <c r="S859" i="3"/>
  <c r="S766" i="3"/>
  <c r="S982" i="3"/>
  <c r="S1008" i="3"/>
  <c r="S835" i="3"/>
  <c r="S947" i="3"/>
  <c r="S914" i="3"/>
  <c r="S842" i="3"/>
  <c r="S806" i="3"/>
  <c r="S770" i="3"/>
  <c r="S701" i="3"/>
  <c r="S632" i="3"/>
  <c r="S961" i="3"/>
  <c r="S793" i="3"/>
  <c r="S992" i="3"/>
  <c r="S878" i="3"/>
  <c r="S734" i="3"/>
  <c r="S695" i="3"/>
  <c r="S987" i="3"/>
  <c r="S969" i="3"/>
  <c r="S951" i="3"/>
  <c r="S933" i="3"/>
  <c r="S915" i="3"/>
  <c r="S897" i="3"/>
  <c r="S879" i="3"/>
  <c r="S861" i="3"/>
  <c r="S843" i="3"/>
  <c r="S825" i="3"/>
  <c r="S807" i="3"/>
  <c r="S789" i="3"/>
  <c r="S771" i="3"/>
  <c r="S753" i="3"/>
  <c r="S826" i="3"/>
  <c r="S763" i="3"/>
  <c r="S949" i="3"/>
  <c r="S874" i="3"/>
  <c r="S575" i="3"/>
  <c r="S557" i="3"/>
  <c r="S539" i="3"/>
  <c r="S521" i="3"/>
  <c r="S503" i="3"/>
  <c r="S485" i="3"/>
  <c r="S467" i="3"/>
  <c r="S449" i="3"/>
  <c r="S431" i="3"/>
  <c r="S413" i="3"/>
  <c r="S395" i="3"/>
  <c r="S377" i="3"/>
  <c r="S359" i="3"/>
  <c r="S341" i="3"/>
  <c r="S323" i="3"/>
  <c r="S305" i="3"/>
  <c r="S287" i="3"/>
  <c r="S269" i="3"/>
  <c r="S251" i="3"/>
  <c r="S233" i="3"/>
  <c r="S215" i="3"/>
  <c r="S197" i="3"/>
  <c r="S179" i="3"/>
  <c r="S161" i="3"/>
  <c r="S143" i="3"/>
  <c r="S125" i="3"/>
  <c r="S107" i="3"/>
  <c r="S747" i="3"/>
  <c r="S729" i="3"/>
  <c r="S711" i="3"/>
  <c r="S693" i="3"/>
  <c r="S675" i="3"/>
  <c r="S657" i="3"/>
  <c r="S639" i="3"/>
  <c r="S621" i="3"/>
  <c r="S603" i="3"/>
  <c r="S585" i="3"/>
  <c r="S567" i="3"/>
  <c r="S565" i="3"/>
  <c r="S547" i="3"/>
  <c r="S529" i="3"/>
  <c r="S511" i="3"/>
  <c r="S493" i="3"/>
  <c r="S475" i="3"/>
  <c r="S457" i="3"/>
  <c r="S439" i="3"/>
  <c r="S421" i="3"/>
  <c r="S1006" i="3"/>
  <c r="S988" i="3"/>
  <c r="S910" i="3"/>
  <c r="S839" i="3"/>
  <c r="S803" i="3"/>
  <c r="S767" i="3"/>
  <c r="S698" i="3"/>
  <c r="S629" i="3"/>
  <c r="S955" i="3"/>
  <c r="S865" i="3"/>
  <c r="S989" i="3"/>
  <c r="S911" i="3"/>
  <c r="S875" i="3"/>
  <c r="S731" i="3"/>
  <c r="S692" i="3"/>
  <c r="U623" i="3"/>
  <c r="U650" i="3"/>
  <c r="U710" i="3"/>
  <c r="U473" i="3"/>
  <c r="U512" i="3"/>
  <c r="U551" i="3"/>
  <c r="U572" i="3"/>
  <c r="U602" i="3"/>
  <c r="U668" i="3"/>
  <c r="R451" i="3"/>
  <c r="R469" i="3"/>
  <c r="R487" i="3"/>
  <c r="R505" i="3"/>
  <c r="R523" i="3"/>
  <c r="R541" i="3"/>
  <c r="R559" i="3"/>
  <c r="R577" i="3"/>
  <c r="R595" i="3"/>
  <c r="R613" i="3"/>
  <c r="R631" i="3"/>
  <c r="S424" i="3"/>
  <c r="S463" i="3"/>
  <c r="S502" i="3"/>
  <c r="S541" i="3"/>
  <c r="U433" i="3"/>
  <c r="U454" i="3"/>
  <c r="U493" i="3"/>
  <c r="U532" i="3"/>
  <c r="U571" i="3"/>
  <c r="R549" i="3"/>
  <c r="R588" i="3"/>
  <c r="R648" i="3"/>
  <c r="R687" i="3"/>
  <c r="S576" i="3"/>
  <c r="U690" i="3"/>
  <c r="U711" i="3"/>
  <c r="U732" i="3"/>
  <c r="U753" i="3"/>
  <c r="U777" i="3"/>
  <c r="U798" i="3"/>
  <c r="U819" i="3"/>
  <c r="U840" i="3"/>
  <c r="U861" i="3"/>
  <c r="U885" i="3"/>
  <c r="U906" i="3"/>
  <c r="U927" i="3"/>
  <c r="U948" i="3"/>
  <c r="U969" i="3"/>
  <c r="U993" i="3"/>
  <c r="W264" i="3"/>
  <c r="W288" i="3"/>
  <c r="W309" i="3"/>
  <c r="W330" i="3"/>
  <c r="W351" i="3"/>
  <c r="W372" i="3"/>
  <c r="W396" i="3"/>
  <c r="W417" i="3"/>
  <c r="W438" i="3"/>
  <c r="W459" i="3"/>
  <c r="W480" i="3"/>
  <c r="W504" i="3"/>
  <c r="W525" i="3"/>
  <c r="W546" i="3"/>
  <c r="W567" i="3"/>
  <c r="S590" i="3"/>
  <c r="U770" i="3"/>
  <c r="U794" i="3"/>
  <c r="U878" i="3"/>
  <c r="U986" i="3"/>
  <c r="R931" i="3"/>
  <c r="S838" i="3"/>
  <c r="S937" i="3"/>
  <c r="R946" i="3"/>
  <c r="R664" i="3"/>
  <c r="R718" i="3"/>
  <c r="R976" i="3"/>
  <c r="S628" i="3"/>
  <c r="S700" i="3"/>
  <c r="W812" i="3"/>
  <c r="W844" i="3"/>
  <c r="S995" i="3"/>
  <c r="S809" i="3"/>
  <c r="U967" i="3"/>
  <c r="R737" i="3"/>
  <c r="R755" i="3"/>
  <c r="R773" i="3"/>
  <c r="R791" i="3"/>
  <c r="R301" i="3"/>
  <c r="R319" i="3"/>
  <c r="R337" i="3"/>
  <c r="R355" i="3"/>
  <c r="R373" i="3"/>
  <c r="R391" i="3"/>
  <c r="R409" i="3"/>
  <c r="R427" i="3"/>
  <c r="R423" i="3"/>
  <c r="R441" i="3"/>
  <c r="R459" i="3"/>
  <c r="R477" i="3"/>
  <c r="R495" i="3"/>
  <c r="R513" i="3"/>
  <c r="R531" i="3"/>
  <c r="R797" i="3"/>
  <c r="R815" i="3"/>
  <c r="R833" i="3"/>
  <c r="R851" i="3"/>
  <c r="R869" i="3"/>
  <c r="R887" i="3"/>
  <c r="R905" i="3"/>
  <c r="R923" i="3"/>
  <c r="R941" i="3"/>
  <c r="R959" i="3"/>
  <c r="R977" i="3"/>
  <c r="R995" i="3"/>
  <c r="U683" i="3"/>
  <c r="U455" i="3"/>
  <c r="U494" i="3"/>
  <c r="U533" i="3"/>
  <c r="U677" i="3"/>
  <c r="U734" i="3"/>
  <c r="S445" i="3"/>
  <c r="S484" i="3"/>
  <c r="S523" i="3"/>
  <c r="S562" i="3"/>
  <c r="U415" i="3"/>
  <c r="U436" i="3"/>
  <c r="U475" i="3"/>
  <c r="U514" i="3"/>
  <c r="U553" i="3"/>
  <c r="R570" i="3"/>
  <c r="R630" i="3"/>
  <c r="R669" i="3"/>
  <c r="S558" i="3"/>
  <c r="S597" i="3"/>
  <c r="S642" i="3"/>
  <c r="S663" i="3"/>
  <c r="S684" i="3"/>
  <c r="S705" i="3"/>
  <c r="U756" i="3"/>
  <c r="U864" i="3"/>
  <c r="U972" i="3"/>
  <c r="S95" i="3"/>
  <c r="S116" i="3"/>
  <c r="S137" i="3"/>
  <c r="S182" i="3"/>
  <c r="S203" i="3"/>
  <c r="S224" i="3"/>
  <c r="S245" i="3"/>
  <c r="S290" i="3"/>
  <c r="S311" i="3"/>
  <c r="S332" i="3"/>
  <c r="S353" i="3"/>
  <c r="S398" i="3"/>
  <c r="S419" i="3"/>
  <c r="S440" i="3"/>
  <c r="S461" i="3"/>
  <c r="S506" i="3"/>
  <c r="S527" i="3"/>
  <c r="S548" i="3"/>
  <c r="S569" i="3"/>
  <c r="S593" i="3"/>
  <c r="U749" i="3"/>
  <c r="U821" i="3"/>
  <c r="U851" i="3"/>
  <c r="U881" i="3"/>
  <c r="U962" i="3"/>
  <c r="R823" i="3"/>
  <c r="R865" i="3"/>
  <c r="W606" i="3"/>
  <c r="W983" i="3"/>
  <c r="W1004" i="3"/>
  <c r="W986" i="3"/>
  <c r="W902" i="3"/>
  <c r="W975" i="3"/>
  <c r="W942" i="3"/>
  <c r="W909" i="3"/>
  <c r="W765" i="3"/>
  <c r="W729" i="3"/>
  <c r="W696" i="3"/>
  <c r="W660" i="3"/>
  <c r="W947" i="3"/>
  <c r="W948" i="3"/>
  <c r="W873" i="3"/>
  <c r="W837" i="3"/>
  <c r="W801" i="3"/>
  <c r="W651" i="3"/>
  <c r="W615" i="3"/>
  <c r="W797" i="3"/>
  <c r="W734" i="3"/>
  <c r="W716" i="3"/>
  <c r="W698" i="3"/>
  <c r="W680" i="3"/>
  <c r="W662" i="3"/>
  <c r="W644" i="3"/>
  <c r="W626" i="3"/>
  <c r="W608" i="3"/>
  <c r="W590" i="3"/>
  <c r="W929" i="3"/>
  <c r="W806" i="3"/>
  <c r="W591" i="3"/>
  <c r="W1003" i="3"/>
  <c r="W977" i="3"/>
  <c r="W818" i="3"/>
  <c r="W1008" i="3"/>
  <c r="W972" i="3"/>
  <c r="W939" i="3"/>
  <c r="W906" i="3"/>
  <c r="W762" i="3"/>
  <c r="W726" i="3"/>
  <c r="W693" i="3"/>
  <c r="W851" i="3"/>
  <c r="W870" i="3"/>
  <c r="W834" i="3"/>
  <c r="W798" i="3"/>
  <c r="W648" i="3"/>
  <c r="W612" i="3"/>
  <c r="W982" i="3"/>
  <c r="W964" i="3"/>
  <c r="W946" i="3"/>
  <c r="W928" i="3"/>
  <c r="W910" i="3"/>
  <c r="W892" i="3"/>
  <c r="W874" i="3"/>
  <c r="W856" i="3"/>
  <c r="W838" i="3"/>
  <c r="W820" i="3"/>
  <c r="W802" i="3"/>
  <c r="W784" i="3"/>
  <c r="W766" i="3"/>
  <c r="W748" i="3"/>
  <c r="W785" i="3"/>
  <c r="W758" i="3"/>
  <c r="W905" i="3"/>
  <c r="W866" i="3"/>
  <c r="W863" i="3"/>
  <c r="W800" i="3"/>
  <c r="W1001" i="3"/>
  <c r="W974" i="3"/>
  <c r="W1005" i="3"/>
  <c r="W969" i="3"/>
  <c r="W936" i="3"/>
  <c r="W903" i="3"/>
  <c r="W759" i="3"/>
  <c r="W723" i="3"/>
  <c r="W690" i="3"/>
  <c r="W932" i="3"/>
  <c r="W842" i="3"/>
  <c r="W746" i="3"/>
  <c r="W867" i="3"/>
  <c r="W831" i="3"/>
  <c r="W795" i="3"/>
  <c r="W645" i="3"/>
  <c r="W962" i="3"/>
  <c r="W779" i="3"/>
  <c r="W731" i="3"/>
  <c r="W713" i="3"/>
  <c r="W695" i="3"/>
  <c r="W677" i="3"/>
  <c r="W659" i="3"/>
  <c r="W641" i="3"/>
  <c r="W623" i="3"/>
  <c r="W605" i="3"/>
  <c r="W587" i="3"/>
  <c r="W848" i="3"/>
  <c r="W1000" i="3"/>
  <c r="W968" i="3"/>
  <c r="W884" i="3"/>
  <c r="W1002" i="3"/>
  <c r="W933" i="3"/>
  <c r="W900" i="3"/>
  <c r="W756" i="3"/>
  <c r="W720" i="3"/>
  <c r="W687" i="3"/>
  <c r="W923" i="3"/>
  <c r="W836" i="3"/>
  <c r="W864" i="3"/>
  <c r="W828" i="3"/>
  <c r="W792" i="3"/>
  <c r="W642" i="3"/>
  <c r="W579" i="3"/>
  <c r="W979" i="3"/>
  <c r="W961" i="3"/>
  <c r="W943" i="3"/>
  <c r="W925" i="3"/>
  <c r="W907" i="3"/>
  <c r="W889" i="3"/>
  <c r="W871" i="3"/>
  <c r="W853" i="3"/>
  <c r="W835" i="3"/>
  <c r="W817" i="3"/>
  <c r="W799" i="3"/>
  <c r="W781" i="3"/>
  <c r="W763" i="3"/>
  <c r="W998" i="3"/>
  <c r="W999" i="3"/>
  <c r="W930" i="3"/>
  <c r="W897" i="3"/>
  <c r="W753" i="3"/>
  <c r="W717" i="3"/>
  <c r="W684" i="3"/>
  <c r="W861" i="3"/>
  <c r="W825" i="3"/>
  <c r="W789" i="3"/>
  <c r="W639" i="3"/>
  <c r="W728" i="3"/>
  <c r="W710" i="3"/>
  <c r="W692" i="3"/>
  <c r="W674" i="3"/>
  <c r="W656" i="3"/>
  <c r="W638" i="3"/>
  <c r="W620" i="3"/>
  <c r="W602" i="3"/>
  <c r="W584" i="3"/>
  <c r="W860" i="3"/>
  <c r="W997" i="3"/>
  <c r="W953" i="3"/>
  <c r="W869" i="3"/>
  <c r="W791" i="3"/>
  <c r="W996" i="3"/>
  <c r="W894" i="3"/>
  <c r="W750" i="3"/>
  <c r="W714" i="3"/>
  <c r="W681" i="3"/>
  <c r="W821" i="3"/>
  <c r="W858" i="3"/>
  <c r="W822" i="3"/>
  <c r="W786" i="3"/>
  <c r="W636" i="3"/>
  <c r="W976" i="3"/>
  <c r="W958" i="3"/>
  <c r="W940" i="3"/>
  <c r="W922" i="3"/>
  <c r="W904" i="3"/>
  <c r="W886" i="3"/>
  <c r="W868" i="3"/>
  <c r="W850" i="3"/>
  <c r="W832" i="3"/>
  <c r="W814" i="3"/>
  <c r="W796" i="3"/>
  <c r="W778" i="3"/>
  <c r="W760" i="3"/>
  <c r="W770" i="3"/>
  <c r="W749" i="3"/>
  <c r="W965" i="3"/>
  <c r="W845" i="3"/>
  <c r="W776" i="3"/>
  <c r="W980" i="3"/>
  <c r="W995" i="3"/>
  <c r="W944" i="3"/>
  <c r="W993" i="3"/>
  <c r="W891" i="3"/>
  <c r="W747" i="3"/>
  <c r="W711" i="3"/>
  <c r="W678" i="3"/>
  <c r="W609" i="3"/>
  <c r="W966" i="3"/>
  <c r="W927" i="3"/>
  <c r="W855" i="3"/>
  <c r="W819" i="3"/>
  <c r="W783" i="3"/>
  <c r="W708" i="3"/>
  <c r="W633" i="3"/>
  <c r="W743" i="3"/>
  <c r="W725" i="3"/>
  <c r="W707" i="3"/>
  <c r="W689" i="3"/>
  <c r="W671" i="3"/>
  <c r="W653" i="3"/>
  <c r="W635" i="3"/>
  <c r="W617" i="3"/>
  <c r="W599" i="3"/>
  <c r="W581" i="3"/>
  <c r="W827" i="3"/>
  <c r="W994" i="3"/>
  <c r="W938" i="3"/>
  <c r="W854" i="3"/>
  <c r="W990" i="3"/>
  <c r="W888" i="3"/>
  <c r="W744" i="3"/>
  <c r="W675" i="3"/>
  <c r="W893" i="3"/>
  <c r="W963" i="3"/>
  <c r="W924" i="3"/>
  <c r="W852" i="3"/>
  <c r="W816" i="3"/>
  <c r="W780" i="3"/>
  <c r="W705" i="3"/>
  <c r="W630" i="3"/>
  <c r="W991" i="3"/>
  <c r="W973" i="3"/>
  <c r="W955" i="3"/>
  <c r="W937" i="3"/>
  <c r="W919" i="3"/>
  <c r="W901" i="3"/>
  <c r="W883" i="3"/>
  <c r="W865" i="3"/>
  <c r="W847" i="3"/>
  <c r="W829" i="3"/>
  <c r="W811" i="3"/>
  <c r="W793" i="3"/>
  <c r="W775" i="3"/>
  <c r="W757" i="3"/>
  <c r="W878" i="3"/>
  <c r="W767" i="3"/>
  <c r="W803" i="3"/>
  <c r="W992" i="3"/>
  <c r="W987" i="3"/>
  <c r="W885" i="3"/>
  <c r="W741" i="3"/>
  <c r="W672" i="3"/>
  <c r="W887" i="3"/>
  <c r="W960" i="3"/>
  <c r="W921" i="3"/>
  <c r="W849" i="3"/>
  <c r="W813" i="3"/>
  <c r="W777" i="3"/>
  <c r="W702" i="3"/>
  <c r="W627" i="3"/>
  <c r="W740" i="3"/>
  <c r="W722" i="3"/>
  <c r="W704" i="3"/>
  <c r="W686" i="3"/>
  <c r="W668" i="3"/>
  <c r="W650" i="3"/>
  <c r="W632" i="3"/>
  <c r="W614" i="3"/>
  <c r="W596" i="3"/>
  <c r="W578" i="3"/>
  <c r="W752" i="3"/>
  <c r="W1009" i="3"/>
  <c r="W1007" i="3"/>
  <c r="W989" i="3"/>
  <c r="W917" i="3"/>
  <c r="W981" i="3"/>
  <c r="W879" i="3"/>
  <c r="W735" i="3"/>
  <c r="W666" i="3"/>
  <c r="W872" i="3"/>
  <c r="W954" i="3"/>
  <c r="W915" i="3"/>
  <c r="W843" i="3"/>
  <c r="W807" i="3"/>
  <c r="W771" i="3"/>
  <c r="W657" i="3"/>
  <c r="W621" i="3"/>
  <c r="W737" i="3"/>
  <c r="W719" i="3"/>
  <c r="W701" i="3"/>
  <c r="W683" i="3"/>
  <c r="W665" i="3"/>
  <c r="W647" i="3"/>
  <c r="W629" i="3"/>
  <c r="W611" i="3"/>
  <c r="W593" i="3"/>
  <c r="W911" i="3"/>
  <c r="W941" i="3"/>
  <c r="W815" i="3"/>
  <c r="W594" i="3"/>
  <c r="W1006" i="3"/>
  <c r="W830" i="3"/>
  <c r="W978" i="3"/>
  <c r="W945" i="3"/>
  <c r="W912" i="3"/>
  <c r="W876" i="3"/>
  <c r="W732" i="3"/>
  <c r="W663" i="3"/>
  <c r="W788" i="3"/>
  <c r="W951" i="3"/>
  <c r="W840" i="3"/>
  <c r="W804" i="3"/>
  <c r="W768" i="3"/>
  <c r="W654" i="3"/>
  <c r="W618" i="3"/>
  <c r="W985" i="3"/>
  <c r="W967" i="3"/>
  <c r="W949" i="3"/>
  <c r="W931" i="3"/>
  <c r="W913" i="3"/>
  <c r="W895" i="3"/>
  <c r="W877" i="3"/>
  <c r="W859" i="3"/>
  <c r="W841" i="3"/>
  <c r="W823" i="3"/>
  <c r="W805" i="3"/>
  <c r="W787" i="3"/>
  <c r="W769" i="3"/>
  <c r="W751" i="3"/>
  <c r="S850" i="3"/>
  <c r="S946" i="3"/>
  <c r="R970" i="3"/>
  <c r="R637" i="3"/>
  <c r="R691" i="3"/>
  <c r="R748" i="3"/>
  <c r="R1000" i="3"/>
  <c r="S631" i="3"/>
  <c r="S703" i="3"/>
  <c r="S841" i="3"/>
  <c r="W862" i="3"/>
  <c r="S845" i="3"/>
  <c r="S991" i="3"/>
  <c r="U946" i="3"/>
  <c r="U535" i="3"/>
  <c r="U574" i="3"/>
  <c r="R552" i="3"/>
  <c r="R612" i="3"/>
  <c r="R651" i="3"/>
  <c r="R690" i="3"/>
  <c r="W559" i="3"/>
  <c r="S579" i="3"/>
  <c r="W598" i="3"/>
  <c r="W622" i="3"/>
  <c r="W643" i="3"/>
  <c r="W664" i="3"/>
  <c r="W685" i="3"/>
  <c r="W706" i="3"/>
  <c r="W730" i="3"/>
  <c r="U693" i="3"/>
  <c r="U714" i="3"/>
  <c r="U735" i="3"/>
  <c r="U759" i="3"/>
  <c r="U780" i="3"/>
  <c r="U801" i="3"/>
  <c r="U822" i="3"/>
  <c r="U843" i="3"/>
  <c r="U867" i="3"/>
  <c r="U888" i="3"/>
  <c r="U909" i="3"/>
  <c r="U930" i="3"/>
  <c r="U951" i="3"/>
  <c r="U975" i="3"/>
  <c r="U996" i="3"/>
  <c r="W96" i="3"/>
  <c r="W117" i="3"/>
  <c r="W138" i="3"/>
  <c r="W162" i="3"/>
  <c r="W183" i="3"/>
  <c r="W204" i="3"/>
  <c r="W225" i="3"/>
  <c r="W246" i="3"/>
  <c r="W270" i="3"/>
  <c r="W291" i="3"/>
  <c r="W312" i="3"/>
  <c r="W333" i="3"/>
  <c r="W354" i="3"/>
  <c r="W378" i="3"/>
  <c r="W399" i="3"/>
  <c r="W420" i="3"/>
  <c r="W441" i="3"/>
  <c r="W462" i="3"/>
  <c r="W486" i="3"/>
  <c r="W507" i="3"/>
  <c r="W528" i="3"/>
  <c r="W549" i="3"/>
  <c r="W570" i="3"/>
  <c r="S596" i="3"/>
  <c r="U773" i="3"/>
  <c r="U797" i="3"/>
  <c r="U824" i="3"/>
  <c r="U911" i="3"/>
  <c r="U938" i="3"/>
  <c r="U995" i="3"/>
  <c r="R796" i="3"/>
  <c r="R868" i="3"/>
  <c r="W3" i="3"/>
  <c r="S853" i="3"/>
  <c r="S952" i="3"/>
  <c r="R982" i="3"/>
  <c r="R667" i="3"/>
  <c r="R721" i="3"/>
  <c r="W875" i="3"/>
  <c r="S640" i="3"/>
  <c r="S712" i="3"/>
  <c r="S943" i="3"/>
  <c r="W880" i="3"/>
  <c r="W624" i="3"/>
  <c r="R877" i="3"/>
  <c r="W882" i="3"/>
  <c r="S1009" i="3"/>
  <c r="X1007" i="3"/>
  <c r="X995" i="3"/>
  <c r="T814" i="3"/>
  <c r="X836" i="3"/>
  <c r="V943" i="3"/>
  <c r="V961" i="3"/>
  <c r="V979" i="3"/>
  <c r="V997" i="3"/>
  <c r="X994" i="3"/>
  <c r="T933" i="3"/>
  <c r="T969" i="3"/>
  <c r="T873" i="3"/>
  <c r="X892" i="3"/>
  <c r="X913" i="3"/>
  <c r="X949" i="3"/>
  <c r="X988" i="3"/>
  <c r="T862" i="3"/>
  <c r="T946" i="3"/>
  <c r="T886" i="3"/>
  <c r="X968" i="3"/>
  <c r="V758" i="3"/>
  <c r="V812" i="3"/>
  <c r="V842" i="3"/>
  <c r="V887" i="3"/>
  <c r="V1007" i="3"/>
  <c r="V956" i="3"/>
  <c r="V644" i="3"/>
  <c r="V662" i="3"/>
  <c r="V680" i="3"/>
  <c r="V698" i="3"/>
  <c r="V716" i="3"/>
  <c r="V737" i="3"/>
  <c r="V755" i="3"/>
  <c r="V845" i="3"/>
  <c r="X572" i="3"/>
  <c r="X590" i="3"/>
  <c r="X608" i="3"/>
  <c r="X626" i="3"/>
  <c r="X644" i="3"/>
  <c r="X662" i="3"/>
  <c r="X680" i="3"/>
  <c r="X698" i="3"/>
  <c r="X716" i="3"/>
  <c r="X734" i="3"/>
  <c r="X752" i="3"/>
  <c r="X770" i="3"/>
  <c r="X788" i="3"/>
  <c r="T627" i="3"/>
  <c r="T645" i="3"/>
  <c r="T663" i="3"/>
  <c r="T681" i="3"/>
  <c r="T699" i="3"/>
  <c r="T717" i="3"/>
  <c r="T735" i="3"/>
  <c r="T753" i="3"/>
  <c r="T771" i="3"/>
  <c r="T789" i="3"/>
  <c r="T807" i="3"/>
  <c r="T825" i="3"/>
  <c r="T843" i="3"/>
  <c r="T861" i="3"/>
  <c r="V869" i="3"/>
  <c r="V959" i="3"/>
  <c r="T880" i="3"/>
  <c r="T937" i="3"/>
  <c r="X3" i="3"/>
  <c r="X815" i="3"/>
  <c r="X845" i="3"/>
  <c r="T999" i="3"/>
  <c r="T936" i="3"/>
  <c r="T972" i="3"/>
  <c r="X874" i="3"/>
  <c r="T894" i="3"/>
  <c r="X916" i="3"/>
  <c r="X952" i="3"/>
  <c r="T993" i="3"/>
  <c r="X872" i="3"/>
  <c r="X950" i="3"/>
  <c r="X893" i="3"/>
  <c r="X971" i="3"/>
  <c r="T817" i="3"/>
  <c r="X857" i="3"/>
  <c r="V946" i="3"/>
  <c r="V964" i="3"/>
  <c r="V982" i="3"/>
  <c r="V1000" i="3"/>
  <c r="X1003" i="3"/>
  <c r="T939" i="3"/>
  <c r="X976" i="3"/>
  <c r="T876" i="3"/>
  <c r="X895" i="3"/>
  <c r="X919" i="3"/>
  <c r="X955" i="3"/>
  <c r="X997" i="3"/>
  <c r="X878" i="3"/>
  <c r="X959" i="3"/>
  <c r="T808" i="3"/>
  <c r="X902" i="3"/>
  <c r="X980" i="3"/>
  <c r="T630" i="3"/>
  <c r="T648" i="3"/>
  <c r="T666" i="3"/>
  <c r="T684" i="3"/>
  <c r="T702" i="3"/>
  <c r="T720" i="3"/>
  <c r="T738" i="3"/>
  <c r="T756" i="3"/>
  <c r="T774" i="3"/>
  <c r="T792" i="3"/>
  <c r="T810" i="3"/>
  <c r="T828" i="3"/>
  <c r="T846" i="3"/>
  <c r="T864" i="3"/>
  <c r="V884" i="3"/>
  <c r="V938" i="3"/>
  <c r="T799" i="3"/>
  <c r="X887" i="3"/>
  <c r="X947" i="3"/>
  <c r="X809" i="3"/>
  <c r="X818" i="3"/>
  <c r="T874" i="3"/>
  <c r="T1008" i="3"/>
  <c r="X886" i="3"/>
  <c r="T942" i="3"/>
  <c r="X979" i="3"/>
  <c r="X877" i="3"/>
  <c r="T897" i="3"/>
  <c r="X922" i="3"/>
  <c r="X958" i="3"/>
  <c r="T1002" i="3"/>
  <c r="T883" i="3"/>
  <c r="T967" i="3"/>
  <c r="T832" i="3"/>
  <c r="T907" i="3"/>
  <c r="X986" i="3"/>
  <c r="V712" i="3"/>
  <c r="V730" i="3"/>
  <c r="V748" i="3"/>
  <c r="V766" i="3"/>
  <c r="V784" i="3"/>
  <c r="V802" i="3"/>
  <c r="V820" i="3"/>
  <c r="V838" i="3"/>
  <c r="V856" i="3"/>
  <c r="V874" i="3"/>
  <c r="V892" i="3"/>
  <c r="V910" i="3"/>
  <c r="V928" i="3"/>
  <c r="X631" i="3"/>
  <c r="X649" i="3"/>
  <c r="X667" i="3"/>
  <c r="X685" i="3"/>
  <c r="X703" i="3"/>
  <c r="X721" i="3"/>
  <c r="X739" i="3"/>
  <c r="X757" i="3"/>
  <c r="X775" i="3"/>
  <c r="X793" i="3"/>
  <c r="X811" i="3"/>
  <c r="X829" i="3"/>
  <c r="X847" i="3"/>
  <c r="X865" i="3"/>
  <c r="V890" i="3"/>
  <c r="V875" i="3"/>
  <c r="V944" i="3"/>
  <c r="T835" i="3"/>
  <c r="T892" i="3"/>
  <c r="T952" i="3"/>
  <c r="X863" i="3"/>
  <c r="T820" i="3"/>
  <c r="X890" i="3"/>
  <c r="V949" i="3"/>
  <c r="V967" i="3"/>
  <c r="V985" i="3"/>
  <c r="V1003" i="3"/>
  <c r="X907" i="3"/>
  <c r="T945" i="3"/>
  <c r="X982" i="3"/>
  <c r="T879" i="3"/>
  <c r="X898" i="3"/>
  <c r="X925" i="3"/>
  <c r="X961" i="3"/>
  <c r="X1006" i="3"/>
  <c r="T889" i="3"/>
  <c r="X974" i="3"/>
  <c r="T838" i="3"/>
  <c r="T913" i="3"/>
  <c r="X992" i="3"/>
  <c r="T633" i="3"/>
  <c r="T651" i="3"/>
  <c r="T669" i="3"/>
  <c r="T687" i="3"/>
  <c r="T705" i="3"/>
  <c r="T723" i="3"/>
  <c r="T741" i="3"/>
  <c r="T759" i="3"/>
  <c r="T777" i="3"/>
  <c r="T795" i="3"/>
  <c r="T813" i="3"/>
  <c r="T831" i="3"/>
  <c r="T849" i="3"/>
  <c r="T867" i="3"/>
  <c r="V896" i="3"/>
  <c r="V986" i="3"/>
  <c r="V953" i="3"/>
  <c r="T841" i="3"/>
  <c r="T898" i="3"/>
  <c r="X956" i="3"/>
  <c r="X896" i="3"/>
  <c r="T805" i="3"/>
  <c r="X821" i="3"/>
  <c r="X908" i="3"/>
  <c r="T912" i="3"/>
  <c r="T948" i="3"/>
  <c r="T987" i="3"/>
  <c r="X880" i="3"/>
  <c r="T900" i="3"/>
  <c r="X928" i="3"/>
  <c r="X964" i="3"/>
  <c r="T895" i="3"/>
  <c r="X983" i="3"/>
  <c r="X842" i="3"/>
  <c r="T919" i="3"/>
  <c r="X1001" i="3"/>
  <c r="V715" i="3"/>
  <c r="V733" i="3"/>
  <c r="V751" i="3"/>
  <c r="V769" i="3"/>
  <c r="V787" i="3"/>
  <c r="V805" i="3"/>
  <c r="V823" i="3"/>
  <c r="V841" i="3"/>
  <c r="V859" i="3"/>
  <c r="V877" i="3"/>
  <c r="V895" i="3"/>
  <c r="V913" i="3"/>
  <c r="V931" i="3"/>
  <c r="X616" i="3"/>
  <c r="X634" i="3"/>
  <c r="X652" i="3"/>
  <c r="X670" i="3"/>
  <c r="X688" i="3"/>
  <c r="X706" i="3"/>
  <c r="X724" i="3"/>
  <c r="X742" i="3"/>
  <c r="X760" i="3"/>
  <c r="X778" i="3"/>
  <c r="X796" i="3"/>
  <c r="X814" i="3"/>
  <c r="X832" i="3"/>
  <c r="X850" i="3"/>
  <c r="X868" i="3"/>
  <c r="T847" i="3"/>
  <c r="X905" i="3"/>
  <c r="T964" i="3"/>
  <c r="X920" i="3"/>
  <c r="T868" i="3"/>
  <c r="T811" i="3"/>
  <c r="T823" i="3"/>
  <c r="T925" i="3"/>
  <c r="V952" i="3"/>
  <c r="V970" i="3"/>
  <c r="V988" i="3"/>
  <c r="V1006" i="3"/>
  <c r="T915" i="3"/>
  <c r="T951" i="3"/>
  <c r="X991" i="3"/>
  <c r="T882" i="3"/>
  <c r="X901" i="3"/>
  <c r="X931" i="3"/>
  <c r="X967" i="3"/>
  <c r="X806" i="3"/>
  <c r="T904" i="3"/>
  <c r="T988" i="3"/>
  <c r="X848" i="3"/>
  <c r="X926" i="3"/>
  <c r="T1006" i="3"/>
  <c r="T618" i="3"/>
  <c r="T636" i="3"/>
  <c r="T654" i="3"/>
  <c r="T672" i="3"/>
  <c r="T690" i="3"/>
  <c r="T708" i="3"/>
  <c r="T726" i="3"/>
  <c r="T744" i="3"/>
  <c r="T762" i="3"/>
  <c r="T780" i="3"/>
  <c r="T798" i="3"/>
  <c r="T816" i="3"/>
  <c r="T834" i="3"/>
  <c r="T852" i="3"/>
  <c r="T870" i="3"/>
  <c r="T3" i="3"/>
  <c r="V965" i="3"/>
  <c r="X851" i="3"/>
  <c r="X911" i="3"/>
  <c r="T970" i="3"/>
  <c r="T943" i="3"/>
  <c r="T901" i="3"/>
  <c r="X866" i="3"/>
  <c r="X797" i="3"/>
  <c r="X824" i="3"/>
  <c r="X944" i="3"/>
  <c r="T918" i="3"/>
  <c r="T954" i="3"/>
  <c r="T996" i="3"/>
  <c r="X883" i="3"/>
  <c r="T903" i="3"/>
  <c r="X934" i="3"/>
  <c r="X970" i="3"/>
  <c r="X833" i="3"/>
  <c r="T910" i="3"/>
  <c r="T997" i="3"/>
  <c r="T853" i="3"/>
  <c r="X935" i="3"/>
  <c r="X637" i="3"/>
  <c r="X655" i="3"/>
  <c r="X673" i="3"/>
  <c r="X691" i="3"/>
  <c r="X709" i="3"/>
  <c r="X727" i="3"/>
  <c r="X745" i="3"/>
  <c r="X763" i="3"/>
  <c r="X781" i="3"/>
  <c r="X799" i="3"/>
  <c r="X817" i="3"/>
  <c r="X835" i="3"/>
  <c r="X853" i="3"/>
  <c r="V920" i="3"/>
  <c r="V971" i="3"/>
  <c r="X854" i="3"/>
  <c r="X914" i="3"/>
  <c r="X977" i="3"/>
  <c r="X962" i="3"/>
  <c r="X929" i="3"/>
  <c r="X899" i="3"/>
  <c r="X800" i="3"/>
  <c r="T826" i="3"/>
  <c r="X965" i="3"/>
  <c r="V937" i="3"/>
  <c r="V955" i="3"/>
  <c r="V973" i="3"/>
  <c r="V991" i="3"/>
  <c r="V1009" i="3"/>
  <c r="T921" i="3"/>
  <c r="T957" i="3"/>
  <c r="X1000" i="3"/>
  <c r="T885" i="3"/>
  <c r="X904" i="3"/>
  <c r="X937" i="3"/>
  <c r="X973" i="3"/>
  <c r="X839" i="3"/>
  <c r="T916" i="3"/>
  <c r="T1003" i="3"/>
  <c r="X860" i="3"/>
  <c r="T940" i="3"/>
  <c r="T621" i="3"/>
  <c r="T639" i="3"/>
  <c r="T657" i="3"/>
  <c r="T675" i="3"/>
  <c r="T693" i="3"/>
  <c r="T711" i="3"/>
  <c r="T729" i="3"/>
  <c r="T747" i="3"/>
  <c r="T765" i="3"/>
  <c r="T783" i="3"/>
  <c r="T801" i="3"/>
  <c r="T819" i="3"/>
  <c r="T837" i="3"/>
  <c r="T855" i="3"/>
  <c r="V770" i="3"/>
  <c r="V929" i="3"/>
  <c r="V902" i="3"/>
  <c r="V977" i="3"/>
  <c r="T859" i="3"/>
  <c r="X917" i="3"/>
  <c r="T985" i="3"/>
  <c r="T979" i="3"/>
  <c r="T955" i="3"/>
  <c r="T931" i="3"/>
  <c r="T802" i="3"/>
  <c r="X827" i="3"/>
  <c r="T982" i="3"/>
  <c r="T975" i="3"/>
  <c r="T924" i="3"/>
  <c r="T960" i="3"/>
  <c r="T1005" i="3"/>
  <c r="T888" i="3"/>
  <c r="T906" i="3"/>
  <c r="X940" i="3"/>
  <c r="T978" i="3"/>
  <c r="T844" i="3"/>
  <c r="X923" i="3"/>
  <c r="X869" i="3"/>
  <c r="T949" i="3"/>
  <c r="V721" i="3"/>
  <c r="V739" i="3"/>
  <c r="V757" i="3"/>
  <c r="V775" i="3"/>
  <c r="V793" i="3"/>
  <c r="V811" i="3"/>
  <c r="V829" i="3"/>
  <c r="V847" i="3"/>
  <c r="V865" i="3"/>
  <c r="V883" i="3"/>
  <c r="V901" i="3"/>
  <c r="V919" i="3"/>
  <c r="X622" i="3"/>
  <c r="X640" i="3"/>
  <c r="X658" i="3"/>
  <c r="X676" i="3"/>
  <c r="X694" i="3"/>
  <c r="X712" i="3"/>
  <c r="X730" i="3"/>
  <c r="X748" i="3"/>
  <c r="X766" i="3"/>
  <c r="X784" i="3"/>
  <c r="X802" i="3"/>
  <c r="X820" i="3"/>
  <c r="X838" i="3"/>
  <c r="X856" i="3"/>
  <c r="V908" i="3"/>
  <c r="V983" i="3"/>
  <c r="T865" i="3"/>
  <c r="T922" i="3"/>
  <c r="X989" i="3"/>
  <c r="T994" i="3"/>
  <c r="T973" i="3"/>
  <c r="T958" i="3"/>
  <c r="X803" i="3"/>
  <c r="T829" i="3"/>
  <c r="T1000" i="3"/>
  <c r="V940" i="3"/>
  <c r="V958" i="3"/>
  <c r="V976" i="3"/>
  <c r="V994" i="3"/>
  <c r="T984" i="3"/>
  <c r="T927" i="3"/>
  <c r="T963" i="3"/>
  <c r="X1009" i="3"/>
  <c r="X889" i="3"/>
  <c r="T909" i="3"/>
  <c r="X943" i="3"/>
  <c r="T981" i="3"/>
  <c r="T850" i="3"/>
  <c r="X932" i="3"/>
  <c r="X875" i="3"/>
  <c r="X953" i="3"/>
  <c r="V809" i="3"/>
  <c r="V839" i="3"/>
  <c r="V878" i="3"/>
  <c r="V941" i="3"/>
  <c r="V641" i="3"/>
  <c r="V659" i="3"/>
  <c r="V677" i="3"/>
  <c r="V695" i="3"/>
  <c r="V713" i="3"/>
  <c r="V734" i="3"/>
  <c r="V752" i="3"/>
  <c r="X569" i="3"/>
  <c r="X587" i="3"/>
  <c r="X605" i="3"/>
  <c r="X623" i="3"/>
  <c r="X641" i="3"/>
  <c r="X659" i="3"/>
  <c r="X677" i="3"/>
  <c r="X695" i="3"/>
  <c r="X713" i="3"/>
  <c r="X731" i="3"/>
  <c r="X749" i="3"/>
  <c r="X767" i="3"/>
  <c r="X785" i="3"/>
  <c r="T624" i="3"/>
  <c r="T642" i="3"/>
  <c r="T660" i="3"/>
  <c r="T678" i="3"/>
  <c r="T696" i="3"/>
  <c r="T714" i="3"/>
  <c r="T732" i="3"/>
  <c r="T750" i="3"/>
  <c r="T768" i="3"/>
  <c r="T786" i="3"/>
  <c r="T804" i="3"/>
  <c r="T822" i="3"/>
  <c r="T840" i="3"/>
  <c r="T858" i="3"/>
  <c r="V851" i="3"/>
  <c r="T871" i="3"/>
  <c r="T928" i="3"/>
  <c r="X998" i="3"/>
  <c r="T1009" i="3"/>
  <c r="T991" i="3"/>
  <c r="T976" i="3"/>
  <c r="X812" i="3"/>
  <c r="X830" i="3"/>
  <c r="T990" i="3"/>
  <c r="T930" i="3"/>
  <c r="T966" i="3"/>
  <c r="X871" i="3"/>
  <c r="T891" i="3"/>
  <c r="X910" i="3"/>
  <c r="X946" i="3"/>
  <c r="X985" i="3"/>
  <c r="T856" i="3"/>
  <c r="X938" i="3"/>
  <c r="AB28" i="3" l="1"/>
  <c r="AB43" i="3" s="1" a="1"/>
  <c r="AD35" i="3"/>
  <c r="AE33" i="3"/>
  <c r="AF30" i="3"/>
  <c r="AE32" i="3"/>
  <c r="AD31" i="3"/>
  <c r="AF32" i="3"/>
  <c r="AH33" i="3"/>
  <c r="AI31" i="3"/>
  <c r="AG34" i="3"/>
  <c r="AI35" i="3"/>
  <c r="AH29" i="3"/>
  <c r="AB31" i="3"/>
  <c r="AD32" i="3"/>
  <c r="AE30" i="3"/>
  <c r="AC33" i="3"/>
  <c r="AE34" i="3"/>
  <c r="AD28" i="3"/>
  <c r="AF29" i="3"/>
  <c r="AH30" i="3"/>
  <c r="AI28" i="3"/>
  <c r="AG31" i="3"/>
  <c r="AI32" i="3"/>
  <c r="AG35" i="3"/>
  <c r="AD29" i="3"/>
  <c r="AI30" i="3"/>
  <c r="AC30" i="3"/>
  <c r="AE31" i="3"/>
  <c r="AC34" i="3"/>
  <c r="AC35" i="3"/>
  <c r="AB32" i="3"/>
  <c r="AG28" i="3"/>
  <c r="AI29" i="3"/>
  <c r="AG32" i="3"/>
  <c r="AG33" i="3"/>
  <c r="AH34" i="3"/>
  <c r="AB35" i="3"/>
  <c r="AE28" i="3"/>
  <c r="AC31" i="3"/>
  <c r="AC32" i="3"/>
  <c r="AD33" i="3"/>
  <c r="AF34" i="3"/>
  <c r="AE35" i="3"/>
  <c r="AG29" i="3"/>
  <c r="AG30" i="3"/>
  <c r="AH31" i="3"/>
  <c r="AB33" i="3"/>
  <c r="AF33" i="3"/>
  <c r="AC28" i="3"/>
  <c r="AC29" i="3"/>
  <c r="AD30" i="3"/>
  <c r="AF31" i="3"/>
  <c r="AH35" i="3"/>
  <c r="AI33" i="3"/>
  <c r="AH28" i="3"/>
  <c r="AB30" i="3"/>
  <c r="AD34" i="3"/>
  <c r="AF35" i="3"/>
  <c r="AI34" i="3"/>
  <c r="AE29" i="3"/>
  <c r="AB34" i="3"/>
  <c r="AH32" i="3"/>
  <c r="AB29" i="3"/>
  <c r="AF28" i="3"/>
  <c r="AE43" i="3" l="1"/>
  <c r="AD43" i="3"/>
  <c r="AC43" i="3"/>
  <c r="AB43" i="3"/>
  <c r="AI43" i="3"/>
  <c r="AG43" i="3"/>
  <c r="AF43" i="3"/>
  <c r="AH43" i="3"/>
  <c r="AB46" i="3" l="1" a="1"/>
  <c r="AB46" i="3" s="1"/>
  <c r="AB47" i="3" s="1"/>
  <c r="AB4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Enrique Garcia</author>
  </authors>
  <commentList>
    <comment ref="G1" authorId="0" shapeId="0" xr:uid="{5667A5E9-C35A-4BF0-A628-BFD9029E8423}">
      <text>
        <r>
          <rPr>
            <b/>
            <sz val="9"/>
            <color indexed="81"/>
            <rFont val="Tahoma"/>
            <family val="2"/>
          </rPr>
          <t>Precios "Sucios" de Mercado</t>
        </r>
      </text>
    </comment>
    <comment ref="N5" authorId="0" shapeId="0" xr:uid="{1B6D1AC7-69AC-4327-99A6-A8F65405E08B}">
      <text>
        <r>
          <rPr>
            <b/>
            <sz val="9"/>
            <color indexed="81"/>
            <rFont val="Tahoma"/>
            <family val="2"/>
          </rPr>
          <t>Un bono que le quedan 5 anios de vida. O un bono que al momento de emitirese se hizo con un horizonte de vida de 5 anios)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Enrique Garcia</author>
  </authors>
  <commentList>
    <comment ref="F1" authorId="0" shapeId="0" xr:uid="{7C1BA343-8B97-4E47-B894-D557D0BDAC67}">
      <text>
        <r>
          <rPr>
            <sz val="9"/>
            <color indexed="81"/>
            <rFont val="Tahoma"/>
            <family val="2"/>
          </rPr>
          <t>Precios "Sucios" de Mercado considera los intereses devengados</t>
        </r>
      </text>
    </comment>
    <comment ref="N2" authorId="0" shapeId="0" xr:uid="{EC7B0765-800A-488C-BB46-52BA88CE3371}">
      <text>
        <r>
          <rPr>
            <sz val="9"/>
            <color indexed="81"/>
            <rFont val="Tahoma"/>
            <family val="2"/>
          </rPr>
          <t>Precios "Sucios" de Mercado considera los intereses devengados</t>
        </r>
      </text>
    </comment>
    <comment ref="V2" authorId="0" shapeId="0" xr:uid="{9256D909-F3E5-4185-B844-8D3D8261681B}">
      <text>
        <r>
          <rPr>
            <b/>
            <sz val="9"/>
            <color indexed="81"/>
            <rFont val="Tahoma"/>
            <family val="2"/>
          </rPr>
          <t>Precios "Sucios" de Mercado</t>
        </r>
      </text>
    </comment>
    <comment ref="AB5" authorId="0" shapeId="0" xr:uid="{01FCD7C3-E073-47A1-95D2-9CDF20471E60}">
      <text>
        <r>
          <rPr>
            <b/>
            <sz val="9"/>
            <color indexed="81"/>
            <rFont val="Tahoma"/>
            <family val="2"/>
          </rPr>
          <t>(Nivel de confianza de 97.5% (CONSAR). 2.5% in a cola izquierda y 2.5 en la cola derecha</t>
        </r>
      </text>
    </comment>
    <comment ref="AA6" authorId="0" shapeId="0" xr:uid="{712A96CF-89BF-4911-9D8A-DE04F02F5552}">
      <text>
        <r>
          <rPr>
            <sz val="9"/>
            <color indexed="81"/>
            <rFont val="Tahoma"/>
            <family val="2"/>
          </rPr>
          <t xml:space="preserve">Quantil (con una significancia del 97.5%) calculado de Izq. A Derecha, i.e. por la cola izquierda.
Estamos calculando las </t>
        </r>
        <r>
          <rPr>
            <b/>
            <sz val="9"/>
            <color indexed="81"/>
            <rFont val="Tahoma"/>
            <family val="2"/>
          </rPr>
          <t>perdidas.</t>
        </r>
      </text>
    </comment>
    <comment ref="AA7" authorId="0" shapeId="0" xr:uid="{CFE44E0E-E093-499B-8E7A-5C782BAE123B}">
      <text>
        <r>
          <rPr>
            <sz val="9"/>
            <color indexed="81"/>
            <rFont val="Tahoma"/>
            <family val="2"/>
          </rPr>
          <t>Se puede usar una simulacion de Monte Carlo.
Perdida por dia</t>
        </r>
      </text>
    </comment>
    <comment ref="AB7" authorId="0" shapeId="0" xr:uid="{E70AE81B-908E-42EC-BB1E-90A1D9E48D10}">
      <text>
        <r>
          <rPr>
            <sz val="9"/>
            <color indexed="81"/>
            <rFont val="Tahoma"/>
            <family val="2"/>
          </rPr>
          <t>Maximo nivel de perida por cada peso invertido en CEMEX que puedo esperar con un nivel de Confianza del 97.5% es 4.54% en un dia por eso es sqrt(1). Aunque hay un 2.5% de probabilidad de que la perdida sea mayor.
Se lee: "Tengo la probabilidad del 97.5% de perder el 4.54%"</t>
        </r>
      </text>
    </comment>
    <comment ref="AB28" authorId="0" shapeId="0" xr:uid="{E0E7B866-AA6F-4612-B7B4-D3BCFB330554}">
      <text>
        <r>
          <rPr>
            <b/>
            <sz val="9"/>
            <color indexed="81"/>
            <rFont val="Tahoma"/>
            <family val="2"/>
          </rPr>
          <t>Shift + Ctrl + Enter</t>
        </r>
      </text>
    </comment>
    <comment ref="AB43" authorId="0" shapeId="0" xr:uid="{F81010B3-69C5-415A-A039-8327DFA6CD18}">
      <text>
        <r>
          <rPr>
            <sz val="9"/>
            <color indexed="81"/>
            <rFont val="Tahoma"/>
            <family val="2"/>
          </rPr>
          <t xml:space="preserve">Shift + Ctrl + Enter
</t>
        </r>
      </text>
    </comment>
    <comment ref="AB46" authorId="0" shapeId="0" xr:uid="{731F230A-245E-455D-9C18-83C559288581}">
      <text>
        <r>
          <rPr>
            <sz val="9"/>
            <color indexed="81"/>
            <rFont val="Tahoma"/>
            <family val="2"/>
          </rPr>
          <t>Shift + Ctrl + Enter</t>
        </r>
      </text>
    </comment>
    <comment ref="AF74" authorId="0" shapeId="0" xr:uid="{0B65D1D0-DD9D-40BC-9DD8-67732A48AA41}">
      <text>
        <r>
          <rPr>
            <sz val="9"/>
            <color indexed="81"/>
            <rFont val="Tahoma"/>
            <family val="2"/>
          </rPr>
          <t xml:space="preserve">La encontre buscando en google: 
</t>
        </r>
        <r>
          <rPr>
            <b/>
            <sz val="9"/>
            <color indexed="81"/>
            <rFont val="Tahoma"/>
            <family val="2"/>
          </rPr>
          <t>Modified duration of LMBMKMX-05Y</t>
        </r>
      </text>
    </comment>
    <comment ref="AF78" authorId="0" shapeId="0" xr:uid="{91754C87-9533-44AD-8C46-6BF362F707A7}">
      <text>
        <r>
          <rPr>
            <sz val="9"/>
            <color indexed="81"/>
            <rFont val="Tahoma"/>
            <family val="2"/>
          </rPr>
          <t>times 3 veces la caida en el yield del bono</t>
        </r>
      </text>
    </comment>
  </commentList>
</comments>
</file>

<file path=xl/sharedStrings.xml><?xml version="1.0" encoding="utf-8"?>
<sst xmlns="http://schemas.openxmlformats.org/spreadsheetml/2006/main" count="231" uniqueCount="155">
  <si>
    <t>FECHA</t>
  </si>
  <si>
    <t>CEMEX</t>
  </si>
  <si>
    <t>BIMBO</t>
  </si>
  <si>
    <t>BANORTE</t>
  </si>
  <si>
    <t>AMXL</t>
  </si>
  <si>
    <t>ALSEA</t>
  </si>
  <si>
    <t>GOV5Y</t>
  </si>
  <si>
    <t>GOV7Y</t>
  </si>
  <si>
    <t>GOV10Y</t>
  </si>
  <si>
    <t>5YTRR</t>
  </si>
  <si>
    <t>7YTRR</t>
  </si>
  <si>
    <t>10YTRR</t>
  </si>
  <si>
    <t>Dividendos pagados por activo de capital:</t>
  </si>
  <si>
    <t>Fecha</t>
  </si>
  <si>
    <t>Bimbo</t>
  </si>
  <si>
    <t>Banorte</t>
  </si>
  <si>
    <t>may-21</t>
  </si>
  <si>
    <t>nov-21</t>
  </si>
  <si>
    <t>may-22</t>
  </si>
  <si>
    <t>dic-22</t>
  </si>
  <si>
    <t>jun-23</t>
  </si>
  <si>
    <t>oct-23</t>
  </si>
  <si>
    <t>jun-24</t>
  </si>
  <si>
    <t>dic-24</t>
  </si>
  <si>
    <t>Dividendos=</t>
  </si>
  <si>
    <t>Tabla de cupones pagados por cada bono (Par=$100;XN)</t>
  </si>
  <si>
    <t>Par=</t>
  </si>
  <si>
    <t>Bono 5Y</t>
  </si>
  <si>
    <t>Bono 7Y</t>
  </si>
  <si>
    <t>Bono 10Y</t>
  </si>
  <si>
    <t>Tasa cupon=</t>
  </si>
  <si>
    <t>jun-21</t>
  </si>
  <si>
    <t>dic-21</t>
  </si>
  <si>
    <t>jun-22</t>
  </si>
  <si>
    <t>dic-23</t>
  </si>
  <si>
    <t>Total=</t>
  </si>
  <si>
    <t>Precio de los bonos:</t>
  </si>
  <si>
    <t>Dividendos/cupones=</t>
  </si>
  <si>
    <t>Proporciones=</t>
  </si>
  <si>
    <t>HPR Pond=</t>
  </si>
  <si>
    <t>HPR Total=</t>
  </si>
  <si>
    <t>HPR Prom=</t>
  </si>
  <si>
    <t>Comision=</t>
  </si>
  <si>
    <t>HPR neto=</t>
  </si>
  <si>
    <t>Precio
GOV5Y</t>
  </si>
  <si>
    <t>Precio
GOV7Y</t>
  </si>
  <si>
    <t>Precio
GOV10Y</t>
  </si>
  <si>
    <t>YTM
10YTRR</t>
  </si>
  <si>
    <t>YTM
7YTRR</t>
  </si>
  <si>
    <t>YTM
5YTRR</t>
  </si>
  <si>
    <t>HPR - Holding Period Return (2021 a 2024)</t>
  </si>
  <si>
    <t>https://www.consar.gob.mx/gobmx/aplicativo/limites_inversion/</t>
  </si>
  <si>
    <t>CAMBIOS PORCENTUALES</t>
  </si>
  <si>
    <t>Media=</t>
  </si>
  <si>
    <t>Varianza</t>
  </si>
  <si>
    <t>StdDev</t>
  </si>
  <si>
    <t>Descriptivos</t>
  </si>
  <si>
    <t>alpha (nivel de significancia)=</t>
  </si>
  <si>
    <t>q(apha)=</t>
  </si>
  <si>
    <t>Correlaciones</t>
  </si>
  <si>
    <t>StdDev (proxy del riesgo)</t>
  </si>
  <si>
    <t>Investment=</t>
  </si>
  <si>
    <t>VaR($)=</t>
  </si>
  <si>
    <t>(perdida por dia)</t>
  </si>
  <si>
    <r>
      <t>Ejemplo un</t>
    </r>
    <r>
      <rPr>
        <b/>
        <sz val="11"/>
        <color theme="1"/>
        <rFont val="Aptos Narrow"/>
        <family val="2"/>
        <scheme val="minor"/>
      </rPr>
      <t xml:space="preserve"> bono M5</t>
    </r>
  </si>
  <si>
    <t>FRN= floating rate notes</t>
  </si>
  <si>
    <t>Instrumentos de tasa flotante</t>
  </si>
  <si>
    <t>CEMEX por ejemplo ha emitido este tipo</t>
  </si>
  <si>
    <t xml:space="preserve"> de instrumentos</t>
  </si>
  <si>
    <r>
      <t>EXCESOS (xi - mu)</t>
    </r>
    <r>
      <rPr>
        <sz val="11"/>
        <color theme="1"/>
        <rFont val="Aptos Narrow"/>
        <family val="2"/>
        <scheme val="minor"/>
      </rPr>
      <t xml:space="preserve"> (lo de adentro de la formula de la varianza)</t>
    </r>
  </si>
  <si>
    <t>Var-Cov</t>
  </si>
  <si>
    <t>(xi-mu)^2</t>
  </si>
  <si>
    <t>cuad</t>
  </si>
  <si>
    <t>Igual que Sheet1 $AB3</t>
  </si>
  <si>
    <t>Igual que Sheet1 $AB4</t>
  </si>
  <si>
    <t>Excesos[1007 x 8]</t>
  </si>
  <si>
    <t>Trasp exesos [8 x 1007]</t>
  </si>
  <si>
    <t>VarCov [8x8] = trasp excesos x excesos</t>
  </si>
  <si>
    <t>weights (w's)</t>
  </si>
  <si>
    <t>De momento no hay ventas en corto, por eso no hay valores negativos.</t>
  </si>
  <si>
    <t>Todas las acciones las estamos comprando con recurso propio</t>
  </si>
  <si>
    <t>VarCov [8x8]</t>
  </si>
  <si>
    <t>w_T[8x1]</t>
  </si>
  <si>
    <t>Formula: Varianza de dos variables aleatorias</t>
  </si>
  <si>
    <t>Matriz Intermedia ( w * VarCov):</t>
  </si>
  <si>
    <t>StdDev (riesgo) =</t>
  </si>
  <si>
    <t>"Basica 85-89"</t>
  </si>
  <si>
    <t>Cual es el riesgo de invertir en un fondo joven,  bonos M5 o M7?</t>
  </si>
  <si>
    <t>95-99, le quedan en promedio 40 anios de vida Laboral</t>
  </si>
  <si>
    <t>reinversion = 40/5= 8</t>
  </si>
  <si>
    <t>5 anios de Madurez de Bonos (si usamos Bonos M5)</t>
  </si>
  <si>
    <t>con bonos de vencimiento con cada 5 anios</t>
  </si>
  <si>
    <t>M5=</t>
  </si>
  <si>
    <t>De rendimiento esperado del Bono al vencimiento</t>
  </si>
  <si>
    <t>Riesgo: que dentro de 5 anios, reinvierta a una tasa de rendimineto mas baja  i.e. 7%, entonces</t>
  </si>
  <si>
    <t>esta reinversion a una tasa menor tiene un impacto global en el rendimiento del portafolio</t>
  </si>
  <si>
    <t>y logicamente si estamos saliendo a comprar ese bono a una tasa mas baja quiere decir que su precio sera mas alto</t>
  </si>
  <si>
    <t>Duracion y Convenxidad:</t>
  </si>
  <si>
    <t>Que tan sensible puede ser este bono antes variaciones en su Yield?</t>
  </si>
  <si>
    <t>Cuanto me cuesta una variacion en cada 100bps del Yield en la variacion del precio del Bono</t>
  </si>
  <si>
    <t xml:space="preserve">https://tradingeconomics.com/mexico/forecast </t>
  </si>
  <si>
    <t>https://www.marketwatch.com/investing/bond/lmbmkmx-05y/download-data?countrycode=bx&amp;mod=mw_quote_tab</t>
  </si>
  <si>
    <t>https://www.worldgovernmentbonds.com/country/mexico/</t>
  </si>
  <si>
    <t>https://www.spglobal.com/spdji/en/indices/fixed-income/sp-bmv-mexico-sovereign-bond-index/#data</t>
  </si>
  <si>
    <t>S&amp;P CETES</t>
  </si>
  <si>
    <t>Modified Duration =</t>
  </si>
  <si>
    <t>La variacion en 1% en el YTM del bono, se espera un cambio porcentual en el Precio del bono de 3.25%</t>
  </si>
  <si>
    <t>Precio del Bono =</t>
  </si>
  <si>
    <t>si tenemos 3 veces la caida en el YIELD del Bono, entonces esperamos un Incremento del 9.75% en el precio del bono</t>
  </si>
  <si>
    <t>E(Precio del bono M5) =</t>
  </si>
  <si>
    <t>en el anio 5. Saldriamos al mercado a comprar este bono en este precio.</t>
  </si>
  <si>
    <t>Inversion=</t>
  </si>
  <si>
    <t>Proporsion a Inverir en este Bono (Arriba) 24% en 5Y bonds</t>
  </si>
  <si>
    <r>
      <t xml:space="preserve">Numero de </t>
    </r>
    <r>
      <rPr>
        <b/>
        <sz val="11"/>
        <color theme="1"/>
        <rFont val="Aptos Narrow"/>
        <family val="2"/>
        <scheme val="minor"/>
      </rPr>
      <t>Titulos</t>
    </r>
    <r>
      <rPr>
        <sz val="11"/>
        <color theme="1"/>
        <rFont val="Aptos Narrow"/>
        <family val="2"/>
        <scheme val="minor"/>
      </rPr>
      <t xml:space="preserve"> a comprar a precio de mercado en t=0</t>
    </r>
  </si>
  <si>
    <r>
      <t xml:space="preserve">VaR(2.5%) </t>
    </r>
    <r>
      <rPr>
        <b/>
        <sz val="11"/>
        <rFont val="Aptos Narrow"/>
        <family val="2"/>
        <scheme val="minor"/>
      </rPr>
      <t>Value at Risk</t>
    </r>
    <r>
      <rPr>
        <sz val="11"/>
        <color theme="1"/>
        <rFont val="Aptos Narrow"/>
        <family val="2"/>
        <scheme val="minor"/>
      </rPr>
      <t>=</t>
    </r>
  </si>
  <si>
    <t>SI vamos haciendo amortizaciones del capital entonces el rendimiento esperado cambia.</t>
  </si>
  <si>
    <t>Aqui habira que hacer una tabla de amortizaciones, o usar la estrategia de Buller y Barrel</t>
  </si>
  <si>
    <t>https://www.schwab.com/learn/story/which-bond-strategy-is-right-you</t>
  </si>
  <si>
    <t>por ejemplo cuando traemos Bursatilizaciones, que estos si son esquemas amortizables</t>
  </si>
  <si>
    <r>
      <rPr>
        <b/>
        <sz val="11"/>
        <color theme="1"/>
        <rFont val="Aptos Narrow"/>
        <family val="2"/>
        <scheme val="minor"/>
      </rPr>
      <t>Nota</t>
    </r>
    <r>
      <rPr>
        <sz val="11"/>
        <color theme="1"/>
        <rFont val="Aptos Narrow"/>
        <family val="2"/>
        <scheme val="minor"/>
      </rPr>
      <t xml:space="preserve">: Estos son bonos </t>
    </r>
    <r>
      <rPr>
        <b/>
        <sz val="11"/>
        <color theme="1"/>
        <rFont val="Aptos Narrow"/>
        <family val="2"/>
        <scheme val="minor"/>
      </rPr>
      <t>NO Amortizables</t>
    </r>
    <r>
      <rPr>
        <sz val="11"/>
        <color theme="1"/>
        <rFont val="Aptos Narrow"/>
        <family val="2"/>
        <scheme val="minor"/>
      </rPr>
      <t>, el Pago del Capital se paga hasta la fecha de vencimiento.</t>
    </r>
  </si>
  <si>
    <t xml:space="preserve">y aun mas, si es un Callable bond, aqui se calcula el Yield to Worst ( el peor rendimiento a la primer fecha de </t>
  </si>
  <si>
    <t>llamada del Bono.</t>
  </si>
  <si>
    <t>Paginas Bonos Mexicanos Gubernamentales:</t>
  </si>
  <si>
    <r>
      <t xml:space="preserve">Usar </t>
    </r>
    <r>
      <rPr>
        <b/>
        <sz val="11"/>
        <color rgb="FFFF0000"/>
        <rFont val="Aptos Narrow"/>
        <family val="2"/>
        <scheme val="minor"/>
      </rPr>
      <t>Solver</t>
    </r>
    <r>
      <rPr>
        <sz val="11"/>
        <color theme="1"/>
        <rFont val="Aptos Narrow"/>
        <family val="2"/>
        <scheme val="minor"/>
      </rPr>
      <t xml:space="preserve"> (abajo)
Comparar con VaR </t>
    </r>
    <r>
      <rPr>
        <b/>
        <sz val="11"/>
        <color theme="1"/>
        <rFont val="Aptos Narrow"/>
        <family val="2"/>
        <scheme val="minor"/>
      </rPr>
      <t>CONSAR</t>
    </r>
    <r>
      <rPr>
        <sz val="11"/>
        <color theme="1"/>
        <rFont val="Aptos Narrow"/>
        <family val="2"/>
        <scheme val="minor"/>
      </rPr>
      <t xml:space="preserve"> (abajo)</t>
    </r>
  </si>
  <si>
    <t>Conditional VaR= Expected Short Fall</t>
  </si>
  <si>
    <t>Para estresar al Portafolio:</t>
  </si>
  <si>
    <t>Estreando en conjunto el riesgo del portafolio, hacerlo producto por producto para ver el impacto de manera global</t>
  </si>
  <si>
    <t>Usar distribuciones de probabilidad multiples "multinornal"  = Teoria de Valores Extremos para identificar que distribuciones</t>
  </si>
  <si>
    <t>de probabilidad me pueden medir los escenarios extremos.</t>
  </si>
  <si>
    <t xml:space="preserve">tener una perdida esperada bajo un escenario drastico. </t>
  </si>
  <si>
    <t>Tendriamos que buscar la mejor distribucion de probabilidad que mejor ajuste a cada instrumento financiero y la cola de cada instrumento</t>
  </si>
  <si>
    <t>Analiza como se  conmueve la cola izquierda de CEMEX con la cola izquierda de grupo ALSEA, y en funcion de ese comovimiento extremos podriamos</t>
  </si>
  <si>
    <r>
      <t xml:space="preserve">para despues buscar la distribucion de probabilidad que mejor </t>
    </r>
    <r>
      <rPr>
        <b/>
        <sz val="10"/>
        <color theme="1"/>
        <rFont val="Aptos Narrow"/>
        <family val="2"/>
        <scheme val="minor"/>
      </rPr>
      <t xml:space="preserve">acopla </t>
    </r>
    <r>
      <rPr>
        <sz val="10"/>
        <color theme="1"/>
        <rFont val="Aptos Narrow"/>
        <family val="2"/>
        <scheme val="minor"/>
      </rPr>
      <t xml:space="preserve">las distribuciones marginales. </t>
    </r>
  </si>
  <si>
    <r>
      <t xml:space="preserve">Copulas (arquimedianas - </t>
    </r>
    <r>
      <rPr>
        <b/>
        <sz val="10"/>
        <color theme="1"/>
        <rFont val="Aptos Narrow"/>
        <family val="2"/>
        <scheme val="minor"/>
      </rPr>
      <t>Dr. Salvador Cruz Aké</t>
    </r>
    <r>
      <rPr>
        <sz val="10"/>
        <color theme="1"/>
        <rFont val="Aptos Narrow"/>
        <family val="2"/>
        <scheme val="minor"/>
      </rPr>
      <t xml:space="preserve">,  juegame nada mas con la posible dependencia que hay en los valores extremos de los activos financieros. </t>
    </r>
  </si>
  <si>
    <t>CONSAR:</t>
  </si>
  <si>
    <r>
      <t xml:space="preserve">Para ver el </t>
    </r>
    <r>
      <rPr>
        <b/>
        <sz val="11"/>
        <color rgb="FFFF0000"/>
        <rFont val="Aptos Narrow"/>
        <family val="2"/>
        <scheme val="minor"/>
      </rPr>
      <t>VaR</t>
    </r>
    <r>
      <rPr>
        <sz val="11"/>
        <color theme="1"/>
        <rFont val="Aptos Narrow"/>
        <family val="2"/>
        <scheme val="minor"/>
      </rPr>
      <t xml:space="preserve"> Maximo por fondo de pension, diferencial diario</t>
    </r>
  </si>
  <si>
    <r>
      <t xml:space="preserve">target=
</t>
    </r>
    <r>
      <rPr>
        <sz val="8"/>
        <color theme="1"/>
        <rFont val="Aptos Narrow"/>
        <family val="2"/>
        <scheme val="minor"/>
      </rPr>
      <t>(VaR diario max de este fondo de pension)</t>
    </r>
  </si>
  <si>
    <t xml:space="preserve">En Trading se pone un STOP LOSS, cuando el precio de CEMEX caiga </t>
  </si>
  <si>
    <t>mas de un 5% pongas un stop loss, cierra el mercado.</t>
  </si>
  <si>
    <t>Ver como el VaR es menor en los valores Guvernamentales</t>
  </si>
  <si>
    <t>y es lo que esperabamos visto a traves de la StdDev como medida</t>
  </si>
  <si>
    <t>del riesgo de estos instrumentos libres de riesgo de incumplimento</t>
  </si>
  <si>
    <t>w [1x8]</t>
  </si>
  <si>
    <t>var_portfolio [1x1] = w * VarCov * w_T</t>
  </si>
  <si>
    <t>suma Renta variable=</t>
  </si>
  <si>
    <t>suma Renta Fija=</t>
  </si>
  <si>
    <r>
      <rPr>
        <b/>
        <sz val="11"/>
        <color rgb="FFFF0000"/>
        <rFont val="Aptos Narrow"/>
        <family val="2"/>
        <scheme val="minor"/>
      </rPr>
      <t>Riesgo</t>
    </r>
    <r>
      <rPr>
        <sz val="11"/>
        <color theme="1"/>
        <rFont val="Aptos Narrow"/>
        <family val="2"/>
        <scheme val="minor"/>
      </rPr>
      <t xml:space="preserve"> Promedio </t>
    </r>
    <r>
      <rPr>
        <b/>
        <sz val="11"/>
        <color theme="1"/>
        <rFont val="Aptos Narrow"/>
        <family val="2"/>
        <scheme val="minor"/>
      </rPr>
      <t>Diario</t>
    </r>
    <r>
      <rPr>
        <sz val="11"/>
        <color theme="1"/>
        <rFont val="Aptos Narrow"/>
        <family val="2"/>
        <scheme val="minor"/>
      </rPr>
      <t xml:space="preserve"> del </t>
    </r>
    <r>
      <rPr>
        <b/>
        <sz val="11"/>
        <color theme="1"/>
        <rFont val="Aptos Narrow"/>
        <family val="2"/>
        <scheme val="minor"/>
      </rPr>
      <t>Portafolio</t>
    </r>
  </si>
  <si>
    <t>VaR(%) =
(StdDev * alpha)</t>
  </si>
  <si>
    <t>(Zona Verde de la liga CONSAR)</t>
  </si>
  <si>
    <t>var_portafolio[1x1] =</t>
  </si>
  <si>
    <r>
      <t>Nota: Escenario Naive (portafolio Ingenuo), Distribuir por igual el recurso entre todos los activos (</t>
    </r>
    <r>
      <rPr>
        <b/>
        <sz val="11"/>
        <color theme="1"/>
        <rFont val="Aptos Narrow"/>
        <family val="2"/>
        <scheme val="minor"/>
      </rPr>
      <t>todos % iguales</t>
    </r>
    <r>
      <rPr>
        <sz val="11"/>
        <color theme="1"/>
        <rFont val="Aptos Narrow"/>
        <family val="2"/>
        <scheme val="minor"/>
      </rPr>
      <t xml:space="preserve">) </t>
    </r>
  </si>
  <si>
    <t>23% del portafolio a comprar en Bonos 5Y</t>
  </si>
  <si>
    <r>
      <t xml:space="preserve">Numero de </t>
    </r>
    <r>
      <rPr>
        <b/>
        <sz val="11"/>
        <color theme="1"/>
        <rFont val="Aptos Narrow"/>
        <family val="2"/>
        <scheme val="minor"/>
      </rPr>
      <t>Titulos</t>
    </r>
    <r>
      <rPr>
        <sz val="11"/>
        <color theme="1"/>
        <rFont val="Aptos Narrow"/>
        <family val="2"/>
        <scheme val="minor"/>
      </rPr>
      <t xml:space="preserve"> a comprar en el Anio 5, cuando se llega al
 vencimiento y si se reinvierte en este bono con el nuevo precio
Pero, estos 2289 ya no son el 23% del portafolio, entonces habira que hacer un </t>
    </r>
    <r>
      <rPr>
        <b/>
        <u/>
        <sz val="11"/>
        <color theme="1"/>
        <rFont val="Aptos Narrow"/>
        <family val="2"/>
        <scheme val="minor"/>
      </rPr>
      <t>rebalanceo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(y asi cada 5 anios hasta el horizonte del Fondo de Pension)</t>
    </r>
  </si>
  <si>
    <t>weight GOV5Y=</t>
  </si>
  <si>
    <r>
      <rPr>
        <b/>
        <sz val="10"/>
        <color theme="1"/>
        <rFont val="Aptos Narrow"/>
        <family val="2"/>
        <scheme val="minor"/>
      </rPr>
      <t xml:space="preserve">8 veces de reinversion </t>
    </r>
    <r>
      <rPr>
        <sz val="10"/>
        <color theme="1"/>
        <rFont val="Aptos Narrow"/>
        <family val="2"/>
        <scheme val="minor"/>
      </rPr>
      <t xml:space="preserve">de los recursos obtenidos con las ganancias obtenidas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</si>
</sst>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_);[Red]\(&quot;$&quot;#,##0.0\)"/>
    <numFmt numFmtId="165" formatCode="0.00000"/>
    <numFmt numFmtId="166" formatCode="0.0000000"/>
    <numFmt numFmtId="167" formatCode="0.0000000000"/>
    <numFmt numFmtId="169" formatCode="_(&quot;$&quot;* #,##0.000_);_(&quot;$&quot;* \(#,##0.000\);_(&quot;$&quot;* &quot;-&quot;??_);_(@_)"/>
    <numFmt numFmtId="175" formatCode="0.0000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1" applyNumberFormat="1" applyFont="1"/>
    <xf numFmtId="6" fontId="0" fillId="0" borderId="0" xfId="0" applyNumberFormat="1"/>
    <xf numFmtId="0" fontId="0" fillId="0" borderId="0" xfId="0" quotePrefix="1"/>
    <xf numFmtId="8" fontId="0" fillId="0" borderId="0" xfId="0" applyNumberFormat="1"/>
    <xf numFmtId="0" fontId="2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5" fillId="3" borderId="0" xfId="3" applyFill="1"/>
    <xf numFmtId="10" fontId="0" fillId="0" borderId="0" xfId="2" applyNumberFormat="1" applyFont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10" fontId="0" fillId="0" borderId="0" xfId="0" applyNumberFormat="1"/>
    <xf numFmtId="0" fontId="2" fillId="5" borderId="0" xfId="0" applyFont="1" applyFill="1" applyAlignment="1">
      <alignment horizontal="left" vertical="center" wrapText="1"/>
    </xf>
    <xf numFmtId="10" fontId="0" fillId="0" borderId="0" xfId="0" applyNumberFormat="1" applyAlignment="1">
      <alignment horizontal="center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66" fontId="0" fillId="6" borderId="0" xfId="0" applyNumberFormat="1" applyFill="1"/>
    <xf numFmtId="9" fontId="0" fillId="0" borderId="0" xfId="0" applyNumberFormat="1"/>
    <xf numFmtId="167" fontId="0" fillId="0" borderId="0" xfId="0" applyNumberFormat="1"/>
    <xf numFmtId="0" fontId="2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9" fontId="0" fillId="5" borderId="3" xfId="0" applyNumberFormat="1" applyFill="1" applyBorder="1"/>
    <xf numFmtId="9" fontId="0" fillId="5" borderId="4" xfId="0" applyNumberFormat="1" applyFill="1" applyBorder="1"/>
    <xf numFmtId="9" fontId="0" fillId="5" borderId="5" xfId="0" applyNumberFormat="1" applyFill="1" applyBorder="1"/>
    <xf numFmtId="0" fontId="0" fillId="0" borderId="1" xfId="0" applyBorder="1"/>
    <xf numFmtId="0" fontId="0" fillId="6" borderId="1" xfId="0" applyFill="1" applyBorder="1"/>
    <xf numFmtId="9" fontId="0" fillId="6" borderId="7" xfId="0" applyNumberFormat="1" applyFill="1" applyBorder="1"/>
    <xf numFmtId="0" fontId="0" fillId="0" borderId="6" xfId="0" applyFill="1" applyBorder="1"/>
    <xf numFmtId="0" fontId="0" fillId="5" borderId="10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7" fillId="0" borderId="0" xfId="0" applyFont="1"/>
    <xf numFmtId="0" fontId="5" fillId="0" borderId="0" xfId="3"/>
    <xf numFmtId="169" fontId="0" fillId="0" borderId="0" xfId="4" applyNumberFormat="1" applyFont="1"/>
    <xf numFmtId="44" fontId="0" fillId="0" borderId="0" xfId="0" applyNumberFormat="1"/>
    <xf numFmtId="0" fontId="0" fillId="0" borderId="0" xfId="0" applyAlignment="1">
      <alignment horizontal="left" wrapText="1"/>
    </xf>
    <xf numFmtId="0" fontId="9" fillId="0" borderId="0" xfId="0" applyFont="1" applyAlignment="1">
      <alignment horizontal="left" wrapText="1"/>
    </xf>
    <xf numFmtId="10" fontId="0" fillId="0" borderId="0" xfId="2" applyNumberFormat="1" applyFont="1" applyAlignment="1">
      <alignment vertic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0" fontId="0" fillId="3" borderId="8" xfId="2" applyNumberFormat="1" applyFont="1" applyFill="1" applyBorder="1" applyAlignment="1">
      <alignment vertical="center"/>
    </xf>
    <xf numFmtId="0" fontId="2" fillId="7" borderId="0" xfId="0" applyFont="1" applyFill="1" applyAlignment="1">
      <alignment horizontal="center" wrapText="1"/>
    </xf>
    <xf numFmtId="166" fontId="0" fillId="6" borderId="0" xfId="0" applyNumberFormat="1" applyFill="1" applyAlignment="1">
      <alignment horizontal="center"/>
    </xf>
    <xf numFmtId="10" fontId="0" fillId="0" borderId="0" xfId="2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8" fillId="0" borderId="0" xfId="0" applyFont="1"/>
    <xf numFmtId="175" fontId="0" fillId="6" borderId="0" xfId="0" applyNumberFormat="1" applyFill="1"/>
    <xf numFmtId="0" fontId="2" fillId="8" borderId="0" xfId="0" applyFont="1" applyFill="1"/>
    <xf numFmtId="10" fontId="0" fillId="8" borderId="0" xfId="2" applyNumberFormat="1" applyFont="1" applyFill="1"/>
    <xf numFmtId="0" fontId="2" fillId="0" borderId="0" xfId="0" applyFont="1" applyFill="1"/>
    <xf numFmtId="167" fontId="0" fillId="0" borderId="0" xfId="0" applyNumberFormat="1" applyFill="1"/>
    <xf numFmtId="0" fontId="2" fillId="3" borderId="0" xfId="0" applyFont="1" applyFill="1" applyAlignment="1">
      <alignment vertical="center" wrapText="1"/>
    </xf>
    <xf numFmtId="9" fontId="0" fillId="6" borderId="3" xfId="0" applyNumberFormat="1" applyFill="1" applyBorder="1"/>
    <xf numFmtId="9" fontId="0" fillId="6" borderId="4" xfId="0" applyNumberFormat="1" applyFill="1" applyBorder="1"/>
    <xf numFmtId="9" fontId="0" fillId="6" borderId="5" xfId="0" applyNumberFormat="1" applyFill="1" applyBorder="1"/>
    <xf numFmtId="0" fontId="0" fillId="5" borderId="1" xfId="0" applyFill="1" applyBorder="1"/>
    <xf numFmtId="9" fontId="0" fillId="5" borderId="7" xfId="0" applyNumberFormat="1" applyFill="1" applyBorder="1"/>
    <xf numFmtId="0" fontId="9" fillId="0" borderId="6" xfId="0" applyFont="1" applyBorder="1"/>
    <xf numFmtId="0" fontId="2" fillId="0" borderId="0" xfId="0" applyFont="1" applyFill="1" applyBorder="1" applyAlignment="1">
      <alignment horizontal="left"/>
    </xf>
    <xf numFmtId="10" fontId="0" fillId="0" borderId="9" xfId="2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center" vertical="center"/>
    </xf>
  </cellXfs>
  <cellStyles count="5">
    <cellStyle name="Comma" xfId="1" builtinId="3"/>
    <cellStyle name="Currency" xfId="4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0</xdr:row>
      <xdr:rowOff>1</xdr:rowOff>
    </xdr:from>
    <xdr:to>
      <xdr:col>25</xdr:col>
      <xdr:colOff>524364</xdr:colOff>
      <xdr:row>1</xdr:row>
      <xdr:rowOff>12527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F637E4-E96D-43E6-BC90-ED1AB1681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95231" y="1"/>
          <a:ext cx="1135673" cy="389374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46</xdr:row>
      <xdr:rowOff>1</xdr:rowOff>
    </xdr:from>
    <xdr:to>
      <xdr:col>40</xdr:col>
      <xdr:colOff>179998</xdr:colOff>
      <xdr:row>47</xdr:row>
      <xdr:rowOff>550482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A77737-F21A-465B-9444-F0183BA3D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2231" y="8645770"/>
          <a:ext cx="2615711" cy="73780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26</xdr:col>
      <xdr:colOff>0</xdr:colOff>
      <xdr:row>48</xdr:row>
      <xdr:rowOff>179998</xdr:rowOff>
    </xdr:from>
    <xdr:to>
      <xdr:col>32</xdr:col>
      <xdr:colOff>887779</xdr:colOff>
      <xdr:row>58</xdr:row>
      <xdr:rowOff>48032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1810F6-EF81-DBC9-D0E9-ED5DD8D43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11500" y="9609748"/>
          <a:ext cx="8207375" cy="1699765"/>
        </a:xfrm>
        <a:prstGeom prst="rect">
          <a:avLst/>
        </a:prstGeom>
      </xdr:spPr>
    </xdr:pic>
    <xdr:clientData/>
  </xdr:twoCellAnchor>
  <xdr:twoCellAnchor>
    <xdr:from>
      <xdr:col>28</xdr:col>
      <xdr:colOff>842596</xdr:colOff>
      <xdr:row>52</xdr:row>
      <xdr:rowOff>136036</xdr:rowOff>
    </xdr:from>
    <xdr:to>
      <xdr:col>29</xdr:col>
      <xdr:colOff>603982</xdr:colOff>
      <xdr:row>55</xdr:row>
      <xdr:rowOff>40786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A2CCA07-D3DC-6E05-8D93-6A1C4B1A3707}"/>
            </a:ext>
          </a:extLst>
        </xdr:cNvPr>
        <xdr:cNvSpPr/>
      </xdr:nvSpPr>
      <xdr:spPr>
        <a:xfrm>
          <a:off x="19899923" y="10298478"/>
          <a:ext cx="640617" cy="4542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283674</xdr:colOff>
      <xdr:row>47</xdr:row>
      <xdr:rowOff>571500</xdr:rowOff>
    </xdr:from>
    <xdr:to>
      <xdr:col>33</xdr:col>
      <xdr:colOff>51288</xdr:colOff>
      <xdr:row>52</xdr:row>
      <xdr:rowOff>136036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ED2F276-68B2-9590-F01A-CE7769EB84C8}"/>
            </a:ext>
          </a:extLst>
        </xdr:cNvPr>
        <xdr:cNvCxnSpPr>
          <a:endCxn id="7" idx="0"/>
        </xdr:cNvCxnSpPr>
      </xdr:nvCxnSpPr>
      <xdr:spPr>
        <a:xfrm flipH="1">
          <a:off x="20220232" y="9422423"/>
          <a:ext cx="3878018" cy="87605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73271</xdr:colOff>
      <xdr:row>59</xdr:row>
      <xdr:rowOff>18806</xdr:rowOff>
    </xdr:from>
    <xdr:to>
      <xdr:col>27</xdr:col>
      <xdr:colOff>1362808</xdr:colOff>
      <xdr:row>77</xdr:row>
      <xdr:rowOff>40330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FE93B2-45A5-2336-989C-29BDC962F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84771" y="11258306"/>
          <a:ext cx="3150575" cy="331863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24</xdr:col>
      <xdr:colOff>292099</xdr:colOff>
      <xdr:row>16</xdr:row>
      <xdr:rowOff>13677</xdr:rowOff>
    </xdr:from>
    <xdr:to>
      <xdr:col>26</xdr:col>
      <xdr:colOff>168518</xdr:colOff>
      <xdr:row>19</xdr:row>
      <xdr:rowOff>161906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8E76BF6-614E-2A98-6CA9-509305033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87330" y="3142273"/>
          <a:ext cx="1092688" cy="694573"/>
        </a:xfrm>
        <a:prstGeom prst="rect">
          <a:avLst/>
        </a:prstGeom>
        <a:ln w="12700">
          <a:solidFill>
            <a:srgbClr val="0070C0"/>
          </a:solidFill>
        </a:ln>
      </xdr:spPr>
    </xdr:pic>
    <xdr:clientData/>
  </xdr:twoCellAnchor>
  <xdr:twoCellAnchor editAs="oneCell">
    <xdr:from>
      <xdr:col>25</xdr:col>
      <xdr:colOff>143364</xdr:colOff>
      <xdr:row>18</xdr:row>
      <xdr:rowOff>154667</xdr:rowOff>
    </xdr:from>
    <xdr:to>
      <xdr:col>26</xdr:col>
      <xdr:colOff>1079257</xdr:colOff>
      <xdr:row>23</xdr:row>
      <xdr:rowOff>140517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FF0A75-D6D3-989D-7343-F0B28DB81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346729" y="3649609"/>
          <a:ext cx="1540853" cy="898541"/>
        </a:xfrm>
        <a:prstGeom prst="rect">
          <a:avLst/>
        </a:prstGeom>
        <a:ln w="12700">
          <a:solidFill>
            <a:srgbClr val="0070C0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consar.gob.mx/gobmx/aplicativo/limites_inversion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https://www.worldgovernmentbonds.com/country/mexico/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www.marketwatch.com/investing/bond/lmbmkmx-05y/download-data?countrycode=bx&amp;mod=mw_quote_tab" TargetMode="External"/><Relationship Id="rId1" Type="http://schemas.openxmlformats.org/officeDocument/2006/relationships/hyperlink" Target="https://tradingeconomics.com/mexico/forecast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schwab.com/learn/story/which-bond-strategy-is-right-you" TargetMode="External"/><Relationship Id="rId4" Type="http://schemas.openxmlformats.org/officeDocument/2006/relationships/hyperlink" Target="https://www.spglobal.com/spdji/en/indices/fixed-income/sp-bmv-mexico-sovereign-bond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4F55-9790-4D99-A7B3-7042B8E6544E}">
  <dimension ref="A1:P1009"/>
  <sheetViews>
    <sheetView zoomScale="115" zoomScaleNormal="115" workbookViewId="0">
      <pane ySplit="1" topLeftCell="A2" activePane="bottomLeft" state="frozen"/>
      <selection pane="bottomLeft" activeCell="N3" sqref="N3"/>
    </sheetView>
  </sheetViews>
  <sheetFormatPr defaultRowHeight="14.5" x14ac:dyDescent="0.35"/>
  <cols>
    <col min="1" max="1" width="11.26953125" style="3" bestFit="1" customWidth="1"/>
    <col min="2" max="9" width="8.7265625" style="3"/>
    <col min="10" max="10" width="10" customWidth="1"/>
    <col min="11" max="11" width="10.7265625" customWidth="1"/>
    <col min="12" max="12" width="11.26953125" customWidth="1"/>
  </cols>
  <sheetData>
    <row r="1" spans="1:1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44</v>
      </c>
      <c r="H1" s="14" t="s">
        <v>45</v>
      </c>
      <c r="I1" s="14" t="s">
        <v>46</v>
      </c>
      <c r="J1" s="15" t="s">
        <v>49</v>
      </c>
      <c r="K1" s="15" t="s">
        <v>48</v>
      </c>
      <c r="L1" s="15" t="s">
        <v>47</v>
      </c>
      <c r="O1" s="58" t="s">
        <v>134</v>
      </c>
      <c r="P1" s="16" t="s">
        <v>51</v>
      </c>
    </row>
    <row r="2" spans="1:16" x14ac:dyDescent="0.35">
      <c r="A2" s="2">
        <v>44196</v>
      </c>
      <c r="B2" s="3">
        <v>10.27</v>
      </c>
      <c r="C2" s="3">
        <v>43.24</v>
      </c>
      <c r="D2" s="3">
        <v>109.93</v>
      </c>
      <c r="E2" s="3">
        <v>14.49</v>
      </c>
      <c r="F2" s="3">
        <v>25.89</v>
      </c>
      <c r="G2" s="3">
        <v>122.724992</v>
      </c>
      <c r="H2" s="3">
        <v>118.222943</v>
      </c>
      <c r="I2" s="3">
        <v>118.929986</v>
      </c>
      <c r="J2">
        <v>4.55</v>
      </c>
      <c r="K2">
        <v>5.01</v>
      </c>
      <c r="L2">
        <v>5.3</v>
      </c>
      <c r="P2" t="s">
        <v>135</v>
      </c>
    </row>
    <row r="3" spans="1:16" x14ac:dyDescent="0.35">
      <c r="A3" s="2">
        <v>44200</v>
      </c>
      <c r="B3" s="3">
        <v>10.39</v>
      </c>
      <c r="C3" s="3">
        <v>42.85</v>
      </c>
      <c r="D3" s="3">
        <v>111.41</v>
      </c>
      <c r="E3" s="3">
        <v>14.78</v>
      </c>
      <c r="F3" s="3">
        <v>26.33</v>
      </c>
      <c r="G3" s="3">
        <v>122.74272000000001</v>
      </c>
      <c r="H3" s="3">
        <v>118.24085700000001</v>
      </c>
      <c r="I3" s="3">
        <v>118.84243600000001</v>
      </c>
      <c r="J3">
        <v>4.54</v>
      </c>
      <c r="K3">
        <v>4.99</v>
      </c>
      <c r="L3">
        <v>5.28</v>
      </c>
    </row>
    <row r="4" spans="1:16" x14ac:dyDescent="0.35">
      <c r="A4" s="2">
        <v>44201</v>
      </c>
      <c r="B4" s="3">
        <v>10.66</v>
      </c>
      <c r="C4" s="3">
        <v>43.05</v>
      </c>
      <c r="D4" s="3">
        <v>109.54</v>
      </c>
      <c r="E4" s="3">
        <v>14.85</v>
      </c>
      <c r="F4" s="3">
        <v>26.2</v>
      </c>
      <c r="G4" s="3">
        <v>122.991213</v>
      </c>
      <c r="H4" s="3">
        <v>118.43405799999999</v>
      </c>
      <c r="I4" s="3">
        <v>119.181247</v>
      </c>
      <c r="J4">
        <v>4.5</v>
      </c>
      <c r="K4">
        <v>4.97</v>
      </c>
      <c r="L4">
        <v>5.25</v>
      </c>
    </row>
    <row r="5" spans="1:16" x14ac:dyDescent="0.35">
      <c r="A5" s="2">
        <v>44202</v>
      </c>
      <c r="B5" s="3">
        <v>11.55</v>
      </c>
      <c r="C5" s="3">
        <v>42.92</v>
      </c>
      <c r="D5" s="3">
        <v>111.2</v>
      </c>
      <c r="E5" s="3">
        <v>14.81</v>
      </c>
      <c r="F5" s="3">
        <v>26.56</v>
      </c>
      <c r="G5" s="3">
        <v>122.931921</v>
      </c>
      <c r="H5" s="3">
        <v>118.71543699999999</v>
      </c>
      <c r="I5" s="3">
        <v>119.200174</v>
      </c>
      <c r="J5">
        <v>4.49</v>
      </c>
      <c r="K5">
        <v>4.99</v>
      </c>
      <c r="L5">
        <v>5.28</v>
      </c>
      <c r="N5" t="s">
        <v>64</v>
      </c>
    </row>
    <row r="6" spans="1:16" x14ac:dyDescent="0.35">
      <c r="A6" s="2">
        <v>44203</v>
      </c>
      <c r="B6" s="3">
        <v>11.65</v>
      </c>
      <c r="C6" s="3">
        <v>43.52</v>
      </c>
      <c r="D6" s="3">
        <v>117.24</v>
      </c>
      <c r="E6" s="3">
        <v>14.97</v>
      </c>
      <c r="F6" s="3">
        <v>26.73</v>
      </c>
      <c r="G6" s="3">
        <v>122.831402</v>
      </c>
      <c r="H6" s="3">
        <v>118.155665</v>
      </c>
      <c r="I6" s="3">
        <v>117.880044</v>
      </c>
      <c r="J6">
        <v>4.46</v>
      </c>
      <c r="K6">
        <v>5.01</v>
      </c>
      <c r="L6">
        <v>5.34</v>
      </c>
    </row>
    <row r="7" spans="1:16" x14ac:dyDescent="0.35">
      <c r="A7" s="2">
        <v>44204</v>
      </c>
      <c r="B7" s="3">
        <v>11.57</v>
      </c>
      <c r="C7" s="3">
        <v>43.36</v>
      </c>
      <c r="D7" s="3">
        <v>117.63</v>
      </c>
      <c r="E7" s="3">
        <v>14.99</v>
      </c>
      <c r="F7" s="3">
        <v>26.86</v>
      </c>
      <c r="G7" s="3">
        <v>122.38992399999999</v>
      </c>
      <c r="H7" s="3">
        <v>117.738168</v>
      </c>
      <c r="I7" s="3">
        <v>117.584503</v>
      </c>
      <c r="J7">
        <v>4.46</v>
      </c>
      <c r="K7">
        <v>5</v>
      </c>
      <c r="L7">
        <v>5.34</v>
      </c>
    </row>
    <row r="8" spans="1:16" x14ac:dyDescent="0.35">
      <c r="A8" s="2">
        <v>44207</v>
      </c>
      <c r="B8" s="3">
        <v>11.36</v>
      </c>
      <c r="C8" s="3">
        <v>43.67</v>
      </c>
      <c r="D8" s="3">
        <v>118.55</v>
      </c>
      <c r="E8" s="3">
        <v>15.12</v>
      </c>
      <c r="F8" s="3">
        <v>26.15</v>
      </c>
      <c r="G8" s="3">
        <v>122.102948</v>
      </c>
      <c r="H8" s="3">
        <v>117.58266</v>
      </c>
      <c r="I8" s="3">
        <v>117.08180299999999</v>
      </c>
      <c r="J8">
        <v>4.47</v>
      </c>
      <c r="K8">
        <v>5.04</v>
      </c>
      <c r="L8">
        <v>5.38</v>
      </c>
    </row>
    <row r="9" spans="1:16" x14ac:dyDescent="0.35">
      <c r="A9" s="2">
        <v>44208</v>
      </c>
      <c r="B9" s="3">
        <v>11.54</v>
      </c>
      <c r="C9" s="3">
        <v>43.12</v>
      </c>
      <c r="D9" s="3">
        <v>115.54</v>
      </c>
      <c r="E9" s="3">
        <v>14.64</v>
      </c>
      <c r="F9" s="3">
        <v>25.55</v>
      </c>
      <c r="G9" s="3">
        <v>121.96889400000001</v>
      </c>
      <c r="H9" s="3">
        <v>117.600762</v>
      </c>
      <c r="I9" s="3">
        <v>117.10106</v>
      </c>
      <c r="J9">
        <v>4.4800000000000004</v>
      </c>
      <c r="K9">
        <v>5.0599999999999996</v>
      </c>
      <c r="L9">
        <v>5.4</v>
      </c>
    </row>
    <row r="10" spans="1:16" x14ac:dyDescent="0.35">
      <c r="A10" s="2">
        <v>44209</v>
      </c>
      <c r="B10" s="3">
        <v>11.41</v>
      </c>
      <c r="C10" s="3">
        <v>43.35</v>
      </c>
      <c r="D10" s="3">
        <v>117.02</v>
      </c>
      <c r="E10" s="3">
        <v>14.43</v>
      </c>
      <c r="F10" s="3">
        <v>24.28</v>
      </c>
      <c r="G10" s="3">
        <v>122.214967</v>
      </c>
      <c r="H10" s="3">
        <v>117.10034400000001</v>
      </c>
      <c r="I10" s="3">
        <v>117.12031899999999</v>
      </c>
      <c r="J10">
        <v>4.5199999999999996</v>
      </c>
      <c r="K10">
        <v>5.0750000000000002</v>
      </c>
      <c r="L10">
        <v>5.37</v>
      </c>
    </row>
    <row r="11" spans="1:16" x14ac:dyDescent="0.35">
      <c r="A11" s="2">
        <v>44210</v>
      </c>
      <c r="B11" s="3">
        <v>12.17</v>
      </c>
      <c r="C11" s="3">
        <v>42.67</v>
      </c>
      <c r="D11" s="3">
        <v>118.63</v>
      </c>
      <c r="E11" s="3">
        <v>14.23</v>
      </c>
      <c r="F11" s="3">
        <v>24.21</v>
      </c>
      <c r="G11" s="3">
        <v>122.19281700000001</v>
      </c>
      <c r="H11" s="3">
        <v>117.155005</v>
      </c>
      <c r="I11" s="3">
        <v>117.178118</v>
      </c>
      <c r="J11">
        <v>4.54</v>
      </c>
      <c r="K11">
        <v>5.0549999999999997</v>
      </c>
      <c r="L11">
        <v>5.38</v>
      </c>
    </row>
    <row r="12" spans="1:16" x14ac:dyDescent="0.35">
      <c r="A12" s="2">
        <v>44211</v>
      </c>
      <c r="B12" s="3">
        <v>12.66</v>
      </c>
      <c r="C12" s="3">
        <v>42.57</v>
      </c>
      <c r="D12" s="3">
        <v>116.82</v>
      </c>
      <c r="E12" s="3">
        <v>14.27</v>
      </c>
      <c r="F12" s="3">
        <v>24.27</v>
      </c>
      <c r="G12" s="3">
        <v>122.59136100000001</v>
      </c>
      <c r="H12" s="3">
        <v>117.173231</v>
      </c>
      <c r="I12" s="3">
        <v>118.243405</v>
      </c>
      <c r="J12">
        <v>4.5049999999999999</v>
      </c>
      <c r="K12">
        <v>4.99</v>
      </c>
      <c r="L12">
        <v>5.2949999999999999</v>
      </c>
    </row>
    <row r="13" spans="1:16" x14ac:dyDescent="0.35">
      <c r="A13" s="2">
        <v>44214</v>
      </c>
      <c r="B13" s="3">
        <v>12.67</v>
      </c>
      <c r="C13" s="3">
        <v>43.23</v>
      </c>
      <c r="D13" s="3">
        <v>117.47</v>
      </c>
      <c r="E13" s="3">
        <v>14.42</v>
      </c>
      <c r="F13" s="3">
        <v>24.58</v>
      </c>
      <c r="G13" s="3">
        <v>122.53302499999999</v>
      </c>
      <c r="H13" s="3">
        <v>117.10541600000001</v>
      </c>
      <c r="I13" s="3">
        <v>118.157383</v>
      </c>
      <c r="J13">
        <v>4.4950000000000001</v>
      </c>
      <c r="K13">
        <v>4.9850000000000003</v>
      </c>
      <c r="L13">
        <v>5.2750000000000004</v>
      </c>
    </row>
    <row r="14" spans="1:16" x14ac:dyDescent="0.35">
      <c r="A14" s="2">
        <v>44215</v>
      </c>
      <c r="B14" s="3">
        <v>13.07</v>
      </c>
      <c r="C14" s="3">
        <v>42.6</v>
      </c>
      <c r="D14" s="3">
        <v>115.05</v>
      </c>
      <c r="E14" s="3">
        <v>14.09</v>
      </c>
      <c r="F14" s="3">
        <v>23.88</v>
      </c>
      <c r="G14" s="3">
        <v>123.008959</v>
      </c>
      <c r="H14" s="3">
        <v>117.123666</v>
      </c>
      <c r="I14" s="3">
        <v>118.49231399999999</v>
      </c>
      <c r="J14">
        <v>4.5049999999999999</v>
      </c>
      <c r="K14">
        <v>4.9800000000000004</v>
      </c>
      <c r="L14">
        <v>5.2750000000000004</v>
      </c>
    </row>
    <row r="15" spans="1:16" x14ac:dyDescent="0.35">
      <c r="A15" s="2">
        <v>44216</v>
      </c>
      <c r="B15" s="3">
        <v>13.04</v>
      </c>
      <c r="C15" s="3">
        <v>42.98</v>
      </c>
      <c r="D15" s="3">
        <v>110.64</v>
      </c>
      <c r="E15" s="3">
        <v>14.06</v>
      </c>
      <c r="F15" s="3">
        <v>23.84</v>
      </c>
      <c r="G15" s="3">
        <v>122.950261</v>
      </c>
      <c r="H15" s="3">
        <v>117.055993</v>
      </c>
      <c r="I15" s="3">
        <v>118.406047</v>
      </c>
      <c r="J15">
        <v>4.4550000000000001</v>
      </c>
      <c r="K15">
        <v>4.9450000000000003</v>
      </c>
      <c r="L15">
        <v>5.2549999999999999</v>
      </c>
    </row>
    <row r="16" spans="1:16" x14ac:dyDescent="0.35">
      <c r="A16" s="2">
        <v>44217</v>
      </c>
      <c r="B16" s="3">
        <v>12.71</v>
      </c>
      <c r="C16" s="3">
        <v>42.55</v>
      </c>
      <c r="D16" s="3">
        <v>109.05</v>
      </c>
      <c r="E16" s="3">
        <v>14.02</v>
      </c>
      <c r="F16" s="3">
        <v>23.66</v>
      </c>
      <c r="G16" s="3">
        <v>123.003653</v>
      </c>
      <c r="H16" s="3">
        <v>116.853694</v>
      </c>
      <c r="I16" s="3">
        <v>118.253148</v>
      </c>
      <c r="J16">
        <v>4.4400000000000004</v>
      </c>
      <c r="K16">
        <v>4.96</v>
      </c>
      <c r="L16">
        <v>5.29</v>
      </c>
    </row>
    <row r="17" spans="1:12" x14ac:dyDescent="0.35">
      <c r="A17" s="2">
        <v>44218</v>
      </c>
      <c r="B17" s="3">
        <v>12.34</v>
      </c>
      <c r="C17" s="3">
        <v>42.16</v>
      </c>
      <c r="D17" s="3">
        <v>107.72</v>
      </c>
      <c r="E17" s="3">
        <v>14.29</v>
      </c>
      <c r="F17" s="3">
        <v>23.05</v>
      </c>
      <c r="G17" s="3">
        <v>122.792678</v>
      </c>
      <c r="H17" s="3">
        <v>116.615685</v>
      </c>
      <c r="I17" s="3">
        <v>118.272311</v>
      </c>
      <c r="J17">
        <v>4.4400000000000004</v>
      </c>
      <c r="K17">
        <v>4.96</v>
      </c>
      <c r="L17">
        <v>5.29</v>
      </c>
    </row>
    <row r="18" spans="1:12" x14ac:dyDescent="0.35">
      <c r="A18" s="2">
        <v>44221</v>
      </c>
      <c r="B18" s="3">
        <v>12.43</v>
      </c>
      <c r="C18" s="3">
        <v>42.25</v>
      </c>
      <c r="D18" s="3">
        <v>105.77</v>
      </c>
      <c r="E18" s="3">
        <v>14.61</v>
      </c>
      <c r="F18" s="3">
        <v>22.98</v>
      </c>
      <c r="G18" s="3">
        <v>122.81055000000001</v>
      </c>
      <c r="H18" s="3">
        <v>116.634079</v>
      </c>
      <c r="I18" s="3">
        <v>118.291476</v>
      </c>
      <c r="J18">
        <v>4.43</v>
      </c>
      <c r="K18">
        <v>4.96</v>
      </c>
      <c r="L18">
        <v>5.32</v>
      </c>
    </row>
    <row r="19" spans="1:12" x14ac:dyDescent="0.35">
      <c r="A19" s="2">
        <v>44222</v>
      </c>
      <c r="B19" s="3">
        <v>12.38</v>
      </c>
      <c r="C19" s="3">
        <v>41.98</v>
      </c>
      <c r="D19" s="3">
        <v>105.34</v>
      </c>
      <c r="E19" s="3">
        <v>14.45</v>
      </c>
      <c r="F19" s="3">
        <v>22.78</v>
      </c>
      <c r="G19" s="3">
        <v>123.133402</v>
      </c>
      <c r="H19" s="3">
        <v>116.567224</v>
      </c>
      <c r="I19" s="3">
        <v>118.626115</v>
      </c>
      <c r="J19">
        <v>4.3899999999999997</v>
      </c>
      <c r="K19">
        <v>4.8899999999999997</v>
      </c>
      <c r="L19">
        <v>5.27</v>
      </c>
    </row>
    <row r="20" spans="1:12" x14ac:dyDescent="0.35">
      <c r="A20" s="2">
        <v>44223</v>
      </c>
      <c r="B20" s="3">
        <v>11.84</v>
      </c>
      <c r="C20" s="3">
        <v>40.479999999999997</v>
      </c>
      <c r="D20" s="3">
        <v>103.78</v>
      </c>
      <c r="E20" s="3">
        <v>14.23</v>
      </c>
      <c r="F20" s="3">
        <v>22.57</v>
      </c>
      <c r="G20" s="3">
        <v>123.457042</v>
      </c>
      <c r="H20" s="3">
        <v>116.500488</v>
      </c>
      <c r="I20" s="3">
        <v>118.434832</v>
      </c>
      <c r="J20">
        <v>4.3899999999999997</v>
      </c>
      <c r="K20">
        <v>4.8899999999999997</v>
      </c>
      <c r="L20">
        <v>5.24</v>
      </c>
    </row>
    <row r="21" spans="1:12" x14ac:dyDescent="0.35">
      <c r="A21" s="2">
        <v>44224</v>
      </c>
      <c r="B21" s="3">
        <v>12.17</v>
      </c>
      <c r="C21" s="3">
        <v>40.130000000000003</v>
      </c>
      <c r="D21" s="3">
        <v>106.45</v>
      </c>
      <c r="E21" s="3">
        <v>14.05</v>
      </c>
      <c r="F21" s="3">
        <v>22.93</v>
      </c>
      <c r="G21" s="3">
        <v>123.527862</v>
      </c>
      <c r="H21" s="3">
        <v>118.377934</v>
      </c>
      <c r="I21" s="3">
        <v>118.51148999999999</v>
      </c>
      <c r="J21">
        <v>4.3899999999999997</v>
      </c>
      <c r="K21">
        <v>4.8499999999999996</v>
      </c>
      <c r="L21">
        <v>5.24</v>
      </c>
    </row>
    <row r="22" spans="1:12" x14ac:dyDescent="0.35">
      <c r="A22" s="2">
        <v>44225</v>
      </c>
      <c r="B22" s="3">
        <v>11.76</v>
      </c>
      <c r="C22" s="3">
        <v>38.520000000000003</v>
      </c>
      <c r="D22" s="3">
        <v>101.57</v>
      </c>
      <c r="E22" s="3">
        <v>13.67</v>
      </c>
      <c r="F22" s="3">
        <v>23.11</v>
      </c>
      <c r="G22" s="3">
        <v>123.545574</v>
      </c>
      <c r="H22" s="3">
        <v>118.569614</v>
      </c>
      <c r="I22" s="3">
        <v>118.53066200000001</v>
      </c>
      <c r="J22">
        <v>4.3899999999999997</v>
      </c>
      <c r="K22">
        <v>4.91</v>
      </c>
      <c r="L22">
        <v>5.27</v>
      </c>
    </row>
    <row r="23" spans="1:12" x14ac:dyDescent="0.35">
      <c r="A23" s="2">
        <v>44229</v>
      </c>
      <c r="B23" s="3">
        <v>12.52</v>
      </c>
      <c r="C23" s="3">
        <v>40.06</v>
      </c>
      <c r="D23" s="3">
        <v>103.3</v>
      </c>
      <c r="E23" s="3">
        <v>13.7</v>
      </c>
      <c r="F23" s="3">
        <v>23.71</v>
      </c>
      <c r="G23" s="3">
        <v>123.410509</v>
      </c>
      <c r="H23" s="3">
        <v>118.240818</v>
      </c>
      <c r="I23" s="3">
        <v>118.235433</v>
      </c>
      <c r="J23">
        <v>4.3499999999999996</v>
      </c>
      <c r="K23">
        <v>4.87</v>
      </c>
      <c r="L23">
        <v>5.22</v>
      </c>
    </row>
    <row r="24" spans="1:12" x14ac:dyDescent="0.35">
      <c r="A24" s="2">
        <v>44230</v>
      </c>
      <c r="B24" s="3">
        <v>12.89</v>
      </c>
      <c r="C24" s="3">
        <v>40.15</v>
      </c>
      <c r="D24" s="3">
        <v>106.81</v>
      </c>
      <c r="E24" s="3">
        <v>13.64</v>
      </c>
      <c r="F24" s="3">
        <v>23.88</v>
      </c>
      <c r="G24" s="3">
        <v>123.657461</v>
      </c>
      <c r="H24" s="3">
        <v>118.605678</v>
      </c>
      <c r="I24" s="3">
        <v>118.569016</v>
      </c>
      <c r="J24">
        <v>4.37</v>
      </c>
      <c r="K24">
        <v>4.88</v>
      </c>
      <c r="L24">
        <v>5.23</v>
      </c>
    </row>
    <row r="25" spans="1:12" x14ac:dyDescent="0.35">
      <c r="A25" s="2">
        <v>44231</v>
      </c>
      <c r="B25" s="3">
        <v>13.01</v>
      </c>
      <c r="C25" s="3">
        <v>39.99</v>
      </c>
      <c r="D25" s="3">
        <v>107.56</v>
      </c>
      <c r="E25" s="3">
        <v>13.97</v>
      </c>
      <c r="F25" s="3">
        <v>24.04</v>
      </c>
      <c r="G25" s="3">
        <v>123.863518</v>
      </c>
      <c r="H25" s="3">
        <v>118.57304000000001</v>
      </c>
      <c r="I25" s="3">
        <v>118.94192099999999</v>
      </c>
      <c r="J25">
        <v>4.3899999999999997</v>
      </c>
      <c r="K25">
        <v>4.8899999999999997</v>
      </c>
      <c r="L25">
        <v>5.24</v>
      </c>
    </row>
    <row r="26" spans="1:12" x14ac:dyDescent="0.35">
      <c r="A26" s="2">
        <v>44232</v>
      </c>
      <c r="B26" s="3">
        <v>12.91</v>
      </c>
      <c r="C26" s="3">
        <v>39.549999999999997</v>
      </c>
      <c r="D26" s="3">
        <v>109.69</v>
      </c>
      <c r="E26" s="3">
        <v>13.69</v>
      </c>
      <c r="F26" s="3">
        <v>23.77</v>
      </c>
      <c r="G26" s="3">
        <v>123.65189599999999</v>
      </c>
      <c r="H26" s="3">
        <v>118.417877</v>
      </c>
      <c r="I26" s="3">
        <v>118.540909</v>
      </c>
      <c r="J26">
        <v>4.4000000000000004</v>
      </c>
      <c r="K26">
        <v>4.88</v>
      </c>
      <c r="L26">
        <v>5.22</v>
      </c>
    </row>
    <row r="27" spans="1:12" x14ac:dyDescent="0.35">
      <c r="A27" s="2">
        <v>44235</v>
      </c>
      <c r="B27" s="3">
        <v>12.87</v>
      </c>
      <c r="C27" s="3">
        <v>39.49</v>
      </c>
      <c r="D27" s="3">
        <v>110.05</v>
      </c>
      <c r="E27" s="3">
        <v>13.64</v>
      </c>
      <c r="F27" s="3">
        <v>23.38</v>
      </c>
      <c r="G27" s="3">
        <v>123.975364</v>
      </c>
      <c r="H27" s="3">
        <v>118.60916899999999</v>
      </c>
      <c r="I27" s="3">
        <v>119.085553</v>
      </c>
      <c r="J27">
        <v>4.47</v>
      </c>
      <c r="K27">
        <v>4.99</v>
      </c>
      <c r="L27">
        <v>5.33</v>
      </c>
    </row>
    <row r="28" spans="1:12" x14ac:dyDescent="0.35">
      <c r="A28" s="2">
        <v>44236</v>
      </c>
      <c r="B28" s="3">
        <v>12.8</v>
      </c>
      <c r="C28" s="3">
        <v>39.700000000000003</v>
      </c>
      <c r="D28" s="3">
        <v>114.6</v>
      </c>
      <c r="E28" s="3">
        <v>13.88</v>
      </c>
      <c r="F28" s="3">
        <v>23.57</v>
      </c>
      <c r="G28" s="3">
        <v>123.154775</v>
      </c>
      <c r="H28" s="3">
        <v>117.76473799999999</v>
      </c>
      <c r="I28" s="3">
        <v>117.953017</v>
      </c>
      <c r="J28">
        <v>4.47</v>
      </c>
      <c r="K28">
        <v>4.99</v>
      </c>
      <c r="L28">
        <v>5.32</v>
      </c>
    </row>
    <row r="29" spans="1:12" x14ac:dyDescent="0.35">
      <c r="A29" s="2">
        <v>44237</v>
      </c>
      <c r="B29" s="3">
        <v>12.74</v>
      </c>
      <c r="C29" s="3">
        <v>39.659999999999997</v>
      </c>
      <c r="D29" s="3">
        <v>112.51</v>
      </c>
      <c r="E29" s="3">
        <v>13.8</v>
      </c>
      <c r="F29" s="3">
        <v>23.97</v>
      </c>
      <c r="G29" s="3">
        <v>122.945375</v>
      </c>
      <c r="H29" s="3">
        <v>117.954809</v>
      </c>
      <c r="I29" s="3">
        <v>117.97232099999999</v>
      </c>
      <c r="J29">
        <v>4.4800000000000004</v>
      </c>
      <c r="K29">
        <v>5.0199999999999996</v>
      </c>
      <c r="L29">
        <v>5.35</v>
      </c>
    </row>
    <row r="30" spans="1:12" x14ac:dyDescent="0.35">
      <c r="A30" s="2">
        <v>44238</v>
      </c>
      <c r="B30" s="3">
        <v>13.27</v>
      </c>
      <c r="C30" s="3">
        <v>39.200000000000003</v>
      </c>
      <c r="D30" s="3">
        <v>109.54</v>
      </c>
      <c r="E30" s="3">
        <v>13.55</v>
      </c>
      <c r="F30" s="3">
        <v>23.92</v>
      </c>
      <c r="G30" s="3">
        <v>123.150597</v>
      </c>
      <c r="H30" s="3">
        <v>117.837785</v>
      </c>
      <c r="I30" s="3">
        <v>118.342673</v>
      </c>
      <c r="J30">
        <v>4.37</v>
      </c>
      <c r="K30">
        <v>4.92</v>
      </c>
      <c r="L30">
        <v>5.26</v>
      </c>
    </row>
    <row r="31" spans="1:12" x14ac:dyDescent="0.35">
      <c r="A31" s="2">
        <v>44239</v>
      </c>
      <c r="B31" s="3">
        <v>13.27</v>
      </c>
      <c r="C31" s="3">
        <v>39.159999999999997</v>
      </c>
      <c r="D31" s="3">
        <v>109.83</v>
      </c>
      <c r="E31" s="3">
        <v>13.85</v>
      </c>
      <c r="F31" s="3">
        <v>24.34</v>
      </c>
      <c r="G31" s="3">
        <v>123.547783</v>
      </c>
      <c r="H31" s="3">
        <v>118.804227</v>
      </c>
      <c r="I31" s="3">
        <v>119.09517200000001</v>
      </c>
      <c r="J31">
        <v>4.4000000000000004</v>
      </c>
      <c r="K31">
        <v>4.97</v>
      </c>
      <c r="L31">
        <v>5.29</v>
      </c>
    </row>
    <row r="32" spans="1:12" x14ac:dyDescent="0.35">
      <c r="A32" s="2">
        <v>44242</v>
      </c>
      <c r="B32" s="3">
        <v>13.1</v>
      </c>
      <c r="C32" s="3">
        <v>39.11</v>
      </c>
      <c r="D32" s="3">
        <v>107.99</v>
      </c>
      <c r="E32" s="3">
        <v>13.93</v>
      </c>
      <c r="F32" s="3">
        <v>24.59</v>
      </c>
      <c r="G32" s="3">
        <v>123.56559799999999</v>
      </c>
      <c r="H32" s="3">
        <v>118.649204</v>
      </c>
      <c r="I32" s="3">
        <v>119.21957399999999</v>
      </c>
      <c r="J32">
        <v>4.4000000000000004</v>
      </c>
      <c r="K32">
        <v>4.99</v>
      </c>
      <c r="L32">
        <v>5.3</v>
      </c>
    </row>
    <row r="33" spans="1:12" x14ac:dyDescent="0.35">
      <c r="A33" s="2">
        <v>44243</v>
      </c>
      <c r="B33" s="3">
        <v>13.1</v>
      </c>
      <c r="C33" s="3">
        <v>38.99</v>
      </c>
      <c r="D33" s="3">
        <v>107.75</v>
      </c>
      <c r="E33" s="3">
        <v>13.95</v>
      </c>
      <c r="F33" s="3">
        <v>24.78</v>
      </c>
      <c r="G33" s="3">
        <v>123.128745</v>
      </c>
      <c r="H33" s="3">
        <v>118.408344</v>
      </c>
      <c r="I33" s="3">
        <v>117.673565</v>
      </c>
      <c r="J33">
        <v>4.4800000000000004</v>
      </c>
      <c r="K33">
        <v>5.07</v>
      </c>
      <c r="L33">
        <v>5.42</v>
      </c>
    </row>
    <row r="34" spans="1:12" x14ac:dyDescent="0.35">
      <c r="A34" s="2">
        <v>44244</v>
      </c>
      <c r="B34" s="3">
        <v>12.93</v>
      </c>
      <c r="C34" s="3">
        <v>38.86</v>
      </c>
      <c r="D34" s="3">
        <v>109.98</v>
      </c>
      <c r="E34" s="3">
        <v>13.9</v>
      </c>
      <c r="F34" s="3">
        <v>24.88</v>
      </c>
      <c r="G34" s="3">
        <v>122.468881</v>
      </c>
      <c r="H34" s="3">
        <v>117.568735</v>
      </c>
      <c r="I34" s="3">
        <v>117.69295</v>
      </c>
      <c r="J34">
        <v>4.49</v>
      </c>
      <c r="K34">
        <v>5.0999999999999996</v>
      </c>
      <c r="L34">
        <v>5.47</v>
      </c>
    </row>
    <row r="35" spans="1:12" x14ac:dyDescent="0.35">
      <c r="A35" s="2">
        <v>44245</v>
      </c>
      <c r="B35" s="3">
        <v>12.41</v>
      </c>
      <c r="C35" s="3">
        <v>38.33</v>
      </c>
      <c r="D35" s="3">
        <v>108.9</v>
      </c>
      <c r="E35" s="3">
        <v>13.77</v>
      </c>
      <c r="F35" s="3">
        <v>24.52</v>
      </c>
      <c r="G35" s="3">
        <v>122.29866699999999</v>
      </c>
      <c r="H35" s="3">
        <v>116.943806</v>
      </c>
      <c r="I35" s="3">
        <v>117.03062300000001</v>
      </c>
      <c r="J35">
        <v>4.55</v>
      </c>
      <c r="K35">
        <v>5.22</v>
      </c>
      <c r="L35">
        <v>5.6</v>
      </c>
    </row>
    <row r="36" spans="1:12" x14ac:dyDescent="0.35">
      <c r="A36" s="2">
        <v>44246</v>
      </c>
      <c r="B36" s="3">
        <v>12.93</v>
      </c>
      <c r="C36" s="3">
        <v>38.36</v>
      </c>
      <c r="D36" s="3">
        <v>106.03</v>
      </c>
      <c r="E36" s="3">
        <v>13.7</v>
      </c>
      <c r="F36" s="3">
        <v>24.75</v>
      </c>
      <c r="G36" s="3">
        <v>121.275597</v>
      </c>
      <c r="H36" s="3">
        <v>115.70126399999999</v>
      </c>
      <c r="I36" s="3">
        <v>115.62714200000001</v>
      </c>
      <c r="J36">
        <v>4.58</v>
      </c>
      <c r="K36">
        <v>5.34</v>
      </c>
      <c r="L36">
        <v>5.73</v>
      </c>
    </row>
    <row r="37" spans="1:12" x14ac:dyDescent="0.35">
      <c r="A37" s="2">
        <v>44249</v>
      </c>
      <c r="B37" s="3">
        <v>13.09</v>
      </c>
      <c r="C37" s="3">
        <v>37.1</v>
      </c>
      <c r="D37" s="3">
        <v>106.35</v>
      </c>
      <c r="E37" s="3">
        <v>13.63</v>
      </c>
      <c r="F37" s="3">
        <v>24.83</v>
      </c>
      <c r="G37" s="3">
        <v>119.972285</v>
      </c>
      <c r="H37" s="3">
        <v>114.724099</v>
      </c>
      <c r="I37" s="3">
        <v>113.261967</v>
      </c>
      <c r="J37">
        <v>4.66</v>
      </c>
      <c r="K37">
        <v>5.42</v>
      </c>
      <c r="L37">
        <v>5.84</v>
      </c>
    </row>
    <row r="38" spans="1:12" x14ac:dyDescent="0.35">
      <c r="A38" s="2">
        <v>44250</v>
      </c>
      <c r="B38" s="3">
        <v>13.29</v>
      </c>
      <c r="C38" s="3">
        <v>38.03</v>
      </c>
      <c r="D38" s="3">
        <v>110.28</v>
      </c>
      <c r="E38" s="3">
        <v>13.52</v>
      </c>
      <c r="F38" s="3">
        <v>24.83</v>
      </c>
      <c r="G38" s="3">
        <v>119.482275</v>
      </c>
      <c r="H38" s="3">
        <v>113.921808</v>
      </c>
      <c r="I38" s="3">
        <v>113.281999</v>
      </c>
      <c r="J38">
        <v>4.5599999999999996</v>
      </c>
      <c r="K38">
        <v>5.27</v>
      </c>
      <c r="L38">
        <v>6</v>
      </c>
    </row>
    <row r="39" spans="1:12" x14ac:dyDescent="0.35">
      <c r="A39" s="2">
        <v>44251</v>
      </c>
      <c r="B39" s="3">
        <v>14.01</v>
      </c>
      <c r="C39" s="3">
        <v>38.86</v>
      </c>
      <c r="D39" s="3">
        <v>109.13</v>
      </c>
      <c r="E39" s="3">
        <v>13.42</v>
      </c>
      <c r="F39" s="3">
        <v>24.67</v>
      </c>
      <c r="G39" s="3">
        <v>120.81524899999999</v>
      </c>
      <c r="H39" s="3">
        <v>114.432717</v>
      </c>
      <c r="I39" s="3">
        <v>114.089277</v>
      </c>
      <c r="J39">
        <v>4.5999999999999996</v>
      </c>
      <c r="K39">
        <v>5.35</v>
      </c>
      <c r="L39">
        <v>6.1</v>
      </c>
    </row>
    <row r="40" spans="1:12" x14ac:dyDescent="0.35">
      <c r="A40" s="2">
        <v>44252</v>
      </c>
      <c r="B40" s="3">
        <v>13.66</v>
      </c>
      <c r="C40" s="3">
        <v>38.130000000000003</v>
      </c>
      <c r="D40" s="3">
        <v>104</v>
      </c>
      <c r="E40" s="3">
        <v>13.52</v>
      </c>
      <c r="F40" s="3">
        <v>24.32</v>
      </c>
      <c r="G40" s="3">
        <v>120.13974</v>
      </c>
      <c r="H40" s="3">
        <v>113.591048</v>
      </c>
      <c r="I40" s="3">
        <v>111.714378</v>
      </c>
      <c r="J40">
        <v>4.7699999999999996</v>
      </c>
      <c r="K40">
        <v>5.55</v>
      </c>
      <c r="L40">
        <v>6.31</v>
      </c>
    </row>
    <row r="41" spans="1:12" x14ac:dyDescent="0.35">
      <c r="A41" s="2">
        <v>44253</v>
      </c>
      <c r="B41" s="3">
        <v>13.94</v>
      </c>
      <c r="C41" s="3">
        <v>39.299999999999997</v>
      </c>
      <c r="D41" s="3">
        <v>105.06</v>
      </c>
      <c r="E41" s="3">
        <v>13.39</v>
      </c>
      <c r="F41" s="3">
        <v>25.44</v>
      </c>
      <c r="G41" s="3">
        <v>118.64111699999999</v>
      </c>
      <c r="H41" s="3">
        <v>112.96248799999999</v>
      </c>
      <c r="I41" s="3">
        <v>112.119348</v>
      </c>
      <c r="J41">
        <v>4.74</v>
      </c>
      <c r="K41">
        <v>5.51</v>
      </c>
      <c r="L41">
        <v>6.25</v>
      </c>
    </row>
    <row r="42" spans="1:12" x14ac:dyDescent="0.35">
      <c r="A42" s="2">
        <v>44256</v>
      </c>
      <c r="B42" s="3">
        <v>14.07</v>
      </c>
      <c r="C42" s="3">
        <v>39.700000000000003</v>
      </c>
      <c r="D42" s="3">
        <v>105.34</v>
      </c>
      <c r="E42" s="3">
        <v>13.42</v>
      </c>
      <c r="F42" s="3">
        <v>27.17</v>
      </c>
      <c r="G42" s="3">
        <v>119.09139999999999</v>
      </c>
      <c r="H42" s="3">
        <v>113.305125</v>
      </c>
      <c r="I42" s="3">
        <v>112.33257500000001</v>
      </c>
      <c r="J42">
        <v>4.67</v>
      </c>
      <c r="K42">
        <v>5.43</v>
      </c>
      <c r="L42">
        <v>6.15</v>
      </c>
    </row>
    <row r="43" spans="1:12" x14ac:dyDescent="0.35">
      <c r="A43" s="2">
        <v>44257</v>
      </c>
      <c r="B43" s="3">
        <v>14.37</v>
      </c>
      <c r="C43" s="3">
        <v>40.590000000000003</v>
      </c>
      <c r="D43" s="3">
        <v>107.8</v>
      </c>
      <c r="E43" s="3">
        <v>13.54</v>
      </c>
      <c r="F43" s="3">
        <v>27.45</v>
      </c>
      <c r="G43" s="3">
        <v>119.833123</v>
      </c>
      <c r="H43" s="3">
        <v>114.629279</v>
      </c>
      <c r="I43" s="3">
        <v>114.208924</v>
      </c>
      <c r="J43">
        <v>4.67</v>
      </c>
      <c r="K43">
        <v>5.38</v>
      </c>
      <c r="L43">
        <v>6.07</v>
      </c>
    </row>
    <row r="44" spans="1:12" x14ac:dyDescent="0.35">
      <c r="A44" s="2">
        <v>44258</v>
      </c>
      <c r="B44" s="3">
        <v>15.18</v>
      </c>
      <c r="C44" s="3">
        <v>40.79</v>
      </c>
      <c r="D44" s="3">
        <v>112.82</v>
      </c>
      <c r="E44" s="3">
        <v>13.76</v>
      </c>
      <c r="F44" s="3">
        <v>26.57</v>
      </c>
      <c r="G44" s="3">
        <v>120.36109399999999</v>
      </c>
      <c r="H44" s="3">
        <v>114.895126</v>
      </c>
      <c r="I44" s="3">
        <v>114.228877</v>
      </c>
      <c r="J44">
        <v>4.74</v>
      </c>
      <c r="K44">
        <v>5.43</v>
      </c>
      <c r="L44">
        <v>6.13</v>
      </c>
    </row>
    <row r="45" spans="1:12" x14ac:dyDescent="0.35">
      <c r="A45" s="2">
        <v>44259</v>
      </c>
      <c r="B45" s="3">
        <v>14.34</v>
      </c>
      <c r="C45" s="3">
        <v>40.619999999999997</v>
      </c>
      <c r="D45" s="3">
        <v>108.25</v>
      </c>
      <c r="E45" s="3">
        <v>13.83</v>
      </c>
      <c r="F45" s="3">
        <v>26.56</v>
      </c>
      <c r="G45" s="3">
        <v>119.909232</v>
      </c>
      <c r="H45" s="3">
        <v>114.541534</v>
      </c>
      <c r="I45" s="3">
        <v>113.89474300000001</v>
      </c>
      <c r="J45">
        <v>4.8499999999999996</v>
      </c>
      <c r="K45">
        <v>5.52</v>
      </c>
      <c r="L45">
        <v>6.26</v>
      </c>
    </row>
    <row r="46" spans="1:12" x14ac:dyDescent="0.35">
      <c r="A46" s="2">
        <v>44260</v>
      </c>
      <c r="B46" s="3">
        <v>14.63</v>
      </c>
      <c r="C46" s="3">
        <v>41.48</v>
      </c>
      <c r="D46" s="3">
        <v>105.64</v>
      </c>
      <c r="E46" s="3">
        <v>14.05</v>
      </c>
      <c r="F46" s="3">
        <v>26.98</v>
      </c>
      <c r="G46" s="3">
        <v>119.13496000000001</v>
      </c>
      <c r="H46" s="3">
        <v>113.340356</v>
      </c>
      <c r="I46" s="3">
        <v>112.550422</v>
      </c>
      <c r="J46">
        <v>4.93</v>
      </c>
      <c r="K46">
        <v>5.59</v>
      </c>
      <c r="L46">
        <v>6.31</v>
      </c>
    </row>
    <row r="47" spans="1:12" x14ac:dyDescent="0.35">
      <c r="A47" s="2">
        <v>44263</v>
      </c>
      <c r="B47" s="3">
        <v>14.91</v>
      </c>
      <c r="C47" s="3">
        <v>41.81</v>
      </c>
      <c r="D47" s="3">
        <v>112.22</v>
      </c>
      <c r="E47" s="3">
        <v>13.93</v>
      </c>
      <c r="F47" s="3">
        <v>26.89</v>
      </c>
      <c r="G47" s="3">
        <v>118.867502</v>
      </c>
      <c r="H47" s="3">
        <v>113.11775799999999</v>
      </c>
      <c r="I47" s="3">
        <v>112.76413700000001</v>
      </c>
      <c r="J47">
        <v>4.93</v>
      </c>
      <c r="K47">
        <v>5.58</v>
      </c>
      <c r="L47">
        <v>6.3</v>
      </c>
    </row>
    <row r="48" spans="1:12" x14ac:dyDescent="0.35">
      <c r="A48" s="2">
        <v>44264</v>
      </c>
      <c r="B48" s="3">
        <v>14.91</v>
      </c>
      <c r="C48" s="3">
        <v>42.37</v>
      </c>
      <c r="D48" s="3">
        <v>113.68</v>
      </c>
      <c r="E48" s="3">
        <v>13.85</v>
      </c>
      <c r="F48" s="3">
        <v>27.18</v>
      </c>
      <c r="G48" s="3">
        <v>119.030061</v>
      </c>
      <c r="H48" s="3">
        <v>113.29838599999999</v>
      </c>
      <c r="I48" s="3">
        <v>112.881235</v>
      </c>
      <c r="J48">
        <v>4.96</v>
      </c>
      <c r="K48">
        <v>5.6</v>
      </c>
      <c r="L48">
        <v>6.27</v>
      </c>
    </row>
    <row r="49" spans="1:12" x14ac:dyDescent="0.35">
      <c r="A49" s="2">
        <v>44265</v>
      </c>
      <c r="B49" s="3">
        <v>14.61</v>
      </c>
      <c r="C49" s="3">
        <v>42.75</v>
      </c>
      <c r="D49" s="3">
        <v>119.45</v>
      </c>
      <c r="E49" s="3">
        <v>13.95</v>
      </c>
      <c r="F49" s="3">
        <v>27.74</v>
      </c>
      <c r="G49" s="3">
        <v>119.12104100000001</v>
      </c>
      <c r="H49" s="3">
        <v>113.15660800000001</v>
      </c>
      <c r="I49" s="3">
        <v>112.707729</v>
      </c>
      <c r="J49">
        <v>5</v>
      </c>
      <c r="K49">
        <v>5.64</v>
      </c>
      <c r="L49">
        <v>6.29</v>
      </c>
    </row>
    <row r="50" spans="1:12" x14ac:dyDescent="0.35">
      <c r="A50" s="2">
        <v>44266</v>
      </c>
      <c r="B50" s="3">
        <v>15.2</v>
      </c>
      <c r="C50" s="3">
        <v>43.21</v>
      </c>
      <c r="D50" s="3">
        <v>117.8</v>
      </c>
      <c r="E50" s="3">
        <v>14.01</v>
      </c>
      <c r="F50" s="3">
        <v>28.18</v>
      </c>
      <c r="G50" s="3">
        <v>118.98364599999999</v>
      </c>
      <c r="H50" s="3">
        <v>113.71836500000001</v>
      </c>
      <c r="I50" s="3">
        <v>113.273377</v>
      </c>
      <c r="J50">
        <v>4.9800000000000004</v>
      </c>
      <c r="K50">
        <v>5.62</v>
      </c>
      <c r="L50">
        <v>6.23</v>
      </c>
    </row>
    <row r="51" spans="1:12" x14ac:dyDescent="0.35">
      <c r="A51" s="2">
        <v>44267</v>
      </c>
      <c r="B51" s="3">
        <v>15.1</v>
      </c>
      <c r="C51" s="3">
        <v>43.03</v>
      </c>
      <c r="D51" s="3">
        <v>118.35</v>
      </c>
      <c r="E51" s="3">
        <v>14.17</v>
      </c>
      <c r="F51" s="3">
        <v>28.56</v>
      </c>
      <c r="G51" s="3">
        <v>119.145979</v>
      </c>
      <c r="H51" s="3">
        <v>113.737708</v>
      </c>
      <c r="I51" s="3">
        <v>113.293532</v>
      </c>
      <c r="J51">
        <v>5.05</v>
      </c>
      <c r="K51">
        <v>5.74</v>
      </c>
      <c r="L51">
        <v>6.41</v>
      </c>
    </row>
    <row r="52" spans="1:12" x14ac:dyDescent="0.35">
      <c r="A52" s="2">
        <v>44271</v>
      </c>
      <c r="B52" s="3">
        <v>14.68</v>
      </c>
      <c r="C52" s="3">
        <v>43.91</v>
      </c>
      <c r="D52" s="3">
        <v>119.9</v>
      </c>
      <c r="E52" s="3">
        <v>14.3</v>
      </c>
      <c r="F52" s="3">
        <v>29.05</v>
      </c>
      <c r="G52" s="3">
        <v>118.38195</v>
      </c>
      <c r="H52" s="3">
        <v>112.55255699999999</v>
      </c>
      <c r="I52" s="3">
        <v>111.868177</v>
      </c>
      <c r="J52">
        <v>5.14</v>
      </c>
      <c r="K52">
        <v>5.92</v>
      </c>
      <c r="L52">
        <v>6.59</v>
      </c>
    </row>
    <row r="53" spans="1:12" x14ac:dyDescent="0.35">
      <c r="A53" s="2">
        <v>44272</v>
      </c>
      <c r="B53" s="3">
        <v>14.56</v>
      </c>
      <c r="C53" s="3">
        <v>43.62</v>
      </c>
      <c r="D53" s="3">
        <v>116.44</v>
      </c>
      <c r="E53" s="3">
        <v>14.18</v>
      </c>
      <c r="F53" s="3">
        <v>29.28</v>
      </c>
      <c r="G53" s="3">
        <v>118.401507</v>
      </c>
      <c r="H53" s="3">
        <v>110.99234</v>
      </c>
      <c r="I53" s="3">
        <v>110.28093699999999</v>
      </c>
      <c r="J53">
        <v>5.08</v>
      </c>
      <c r="K53">
        <v>5.89</v>
      </c>
      <c r="L53">
        <v>6.56</v>
      </c>
    </row>
    <row r="54" spans="1:12" x14ac:dyDescent="0.35">
      <c r="A54" s="2">
        <v>44273</v>
      </c>
      <c r="B54" s="3">
        <v>14.18</v>
      </c>
      <c r="C54" s="3">
        <v>43.58</v>
      </c>
      <c r="D54" s="3">
        <v>116.42</v>
      </c>
      <c r="E54" s="3">
        <v>14.18</v>
      </c>
      <c r="F54" s="3">
        <v>30.03</v>
      </c>
      <c r="G54" s="3">
        <v>118.247946</v>
      </c>
      <c r="H54" s="3">
        <v>110.817802</v>
      </c>
      <c r="I54" s="3">
        <v>109.96917500000001</v>
      </c>
      <c r="J54">
        <v>5.21</v>
      </c>
      <c r="K54">
        <v>6.01</v>
      </c>
      <c r="L54">
        <v>6.69</v>
      </c>
    </row>
    <row r="55" spans="1:12" x14ac:dyDescent="0.35">
      <c r="A55" s="2">
        <v>44274</v>
      </c>
      <c r="B55" s="3">
        <v>13.89</v>
      </c>
      <c r="C55" s="3">
        <v>42.92</v>
      </c>
      <c r="D55" s="3">
        <v>111.33</v>
      </c>
      <c r="E55" s="3">
        <v>14.33</v>
      </c>
      <c r="F55" s="3">
        <v>30.8</v>
      </c>
      <c r="G55" s="3">
        <v>117.985416</v>
      </c>
      <c r="H55" s="3">
        <v>110.216233</v>
      </c>
      <c r="I55" s="3">
        <v>109.248141</v>
      </c>
      <c r="J55">
        <v>5.27</v>
      </c>
      <c r="K55">
        <v>6.02</v>
      </c>
      <c r="L55">
        <v>6.7</v>
      </c>
    </row>
    <row r="56" spans="1:12" x14ac:dyDescent="0.35">
      <c r="A56" s="2">
        <v>44277</v>
      </c>
      <c r="B56" s="3">
        <v>13.82</v>
      </c>
      <c r="C56" s="3">
        <v>42.13</v>
      </c>
      <c r="D56" s="3">
        <v>115.95</v>
      </c>
      <c r="E56" s="3">
        <v>14.26</v>
      </c>
      <c r="F56" s="3">
        <v>30.81</v>
      </c>
      <c r="G56" s="3">
        <v>116.261661</v>
      </c>
      <c r="H56" s="3">
        <v>110.00448900000001</v>
      </c>
      <c r="I56" s="3">
        <v>108.992563</v>
      </c>
      <c r="J56">
        <v>5.33</v>
      </c>
      <c r="K56">
        <v>6.05</v>
      </c>
      <c r="L56">
        <v>6.71</v>
      </c>
    </row>
    <row r="57" spans="1:12" x14ac:dyDescent="0.35">
      <c r="A57" s="2">
        <v>44278</v>
      </c>
      <c r="B57" s="3">
        <v>13.26</v>
      </c>
      <c r="C57" s="3">
        <v>42.53</v>
      </c>
      <c r="D57" s="3">
        <v>112.36</v>
      </c>
      <c r="E57" s="3">
        <v>14.07</v>
      </c>
      <c r="F57" s="3">
        <v>30.69</v>
      </c>
      <c r="G57" s="3">
        <v>116.28186700000001</v>
      </c>
      <c r="H57" s="3">
        <v>110.411349</v>
      </c>
      <c r="I57" s="3">
        <v>109.105317</v>
      </c>
      <c r="J57">
        <v>5.42</v>
      </c>
      <c r="K57">
        <v>6.1</v>
      </c>
      <c r="L57">
        <v>6.81</v>
      </c>
    </row>
    <row r="58" spans="1:12" x14ac:dyDescent="0.35">
      <c r="A58" s="2">
        <v>44279</v>
      </c>
      <c r="B58" s="3">
        <v>13.44</v>
      </c>
      <c r="C58" s="3">
        <v>43.26</v>
      </c>
      <c r="D58" s="3">
        <v>112.41</v>
      </c>
      <c r="E58" s="3">
        <v>14.06</v>
      </c>
      <c r="F58" s="3">
        <v>30.81</v>
      </c>
      <c r="G58" s="3">
        <v>115.614394</v>
      </c>
      <c r="H58" s="3">
        <v>109.353368</v>
      </c>
      <c r="I58" s="3">
        <v>108.029456</v>
      </c>
      <c r="J58">
        <v>5.69</v>
      </c>
      <c r="K58">
        <v>6.35</v>
      </c>
      <c r="L58">
        <v>7.05</v>
      </c>
    </row>
    <row r="59" spans="1:12" x14ac:dyDescent="0.35">
      <c r="A59" s="2">
        <v>44280</v>
      </c>
      <c r="B59" s="3">
        <v>13.57</v>
      </c>
      <c r="C59" s="3">
        <v>43.12</v>
      </c>
      <c r="D59" s="3">
        <v>117.63</v>
      </c>
      <c r="E59" s="3">
        <v>14.13</v>
      </c>
      <c r="F59" s="3">
        <v>31.22</v>
      </c>
      <c r="G59" s="3">
        <v>114.24970500000001</v>
      </c>
      <c r="H59" s="3">
        <v>108.728966</v>
      </c>
      <c r="I59" s="3">
        <v>105.856953</v>
      </c>
      <c r="J59">
        <v>5.5549999999999997</v>
      </c>
      <c r="K59">
        <v>6.2249999999999996</v>
      </c>
      <c r="L59">
        <v>6.9050000000000002</v>
      </c>
    </row>
    <row r="60" spans="1:12" x14ac:dyDescent="0.35">
      <c r="A60" s="2">
        <v>44281</v>
      </c>
      <c r="B60" s="3">
        <v>13.83</v>
      </c>
      <c r="C60" s="3">
        <v>42.71</v>
      </c>
      <c r="D60" s="3">
        <v>115.12</v>
      </c>
      <c r="E60" s="3">
        <v>14.05</v>
      </c>
      <c r="F60" s="3">
        <v>31.45</v>
      </c>
      <c r="G60" s="3">
        <v>114.946472</v>
      </c>
      <c r="H60" s="3">
        <v>109.434601</v>
      </c>
      <c r="I60" s="3">
        <v>107.48076</v>
      </c>
      <c r="J60">
        <v>5.5549999999999997</v>
      </c>
      <c r="K60">
        <v>6.165</v>
      </c>
      <c r="L60">
        <v>6.7949999999999999</v>
      </c>
    </row>
    <row r="61" spans="1:12" x14ac:dyDescent="0.35">
      <c r="A61" s="2">
        <v>44284</v>
      </c>
      <c r="B61" s="3">
        <v>13.93</v>
      </c>
      <c r="C61" s="3">
        <v>44.22</v>
      </c>
      <c r="D61" s="3">
        <v>117.1</v>
      </c>
      <c r="E61" s="3">
        <v>14.27</v>
      </c>
      <c r="F61" s="3">
        <v>31.98</v>
      </c>
      <c r="G61" s="3">
        <v>115.78488400000001</v>
      </c>
      <c r="H61" s="3">
        <v>109.761214</v>
      </c>
      <c r="I61" s="3">
        <v>108.315617</v>
      </c>
      <c r="J61">
        <v>5.6749999999999998</v>
      </c>
      <c r="K61">
        <v>6.2549999999999999</v>
      </c>
      <c r="L61">
        <v>6.8550000000000004</v>
      </c>
    </row>
    <row r="62" spans="1:12" x14ac:dyDescent="0.35">
      <c r="A62" s="2">
        <v>44285</v>
      </c>
      <c r="B62" s="3">
        <v>14.9</v>
      </c>
      <c r="C62" s="3">
        <v>42.89</v>
      </c>
      <c r="D62" s="3">
        <v>117.32</v>
      </c>
      <c r="E62" s="3">
        <v>14.28</v>
      </c>
      <c r="F62" s="3">
        <v>30.93</v>
      </c>
      <c r="G62" s="3">
        <v>115.13804399999999</v>
      </c>
      <c r="H62" s="3">
        <v>109.25169699999999</v>
      </c>
      <c r="I62" s="3">
        <v>107.78683700000001</v>
      </c>
      <c r="J62">
        <v>5.7</v>
      </c>
      <c r="K62">
        <v>6.28</v>
      </c>
      <c r="L62">
        <v>6.9</v>
      </c>
    </row>
    <row r="63" spans="1:12" x14ac:dyDescent="0.35">
      <c r="A63" s="2">
        <v>44286</v>
      </c>
      <c r="B63" s="3">
        <v>14.42</v>
      </c>
      <c r="C63" s="3">
        <v>42.9</v>
      </c>
      <c r="D63" s="3">
        <v>115.13</v>
      </c>
      <c r="E63" s="3">
        <v>13.96</v>
      </c>
      <c r="F63" s="3">
        <v>30.28</v>
      </c>
      <c r="G63" s="3">
        <v>114.95557700000001</v>
      </c>
      <c r="H63" s="3">
        <v>109.120115</v>
      </c>
      <c r="I63" s="3">
        <v>107.627853</v>
      </c>
      <c r="J63">
        <v>5.64</v>
      </c>
      <c r="K63">
        <v>6.2149999999999999</v>
      </c>
      <c r="L63">
        <v>6.89</v>
      </c>
    </row>
    <row r="64" spans="1:12" x14ac:dyDescent="0.35">
      <c r="A64" s="2">
        <v>44291</v>
      </c>
      <c r="B64" s="3">
        <v>14.66</v>
      </c>
      <c r="C64" s="3">
        <v>43.05</v>
      </c>
      <c r="D64" s="3">
        <v>122.72</v>
      </c>
      <c r="E64" s="3">
        <v>14.28</v>
      </c>
      <c r="F64" s="3">
        <v>31.54</v>
      </c>
      <c r="G64" s="3">
        <v>115.31492299999999</v>
      </c>
      <c r="H64" s="3">
        <v>109.44473499999999</v>
      </c>
      <c r="I64" s="3">
        <v>107.828846</v>
      </c>
      <c r="J64">
        <v>5.6150000000000002</v>
      </c>
      <c r="K64">
        <v>6.18</v>
      </c>
      <c r="L64">
        <v>6.81</v>
      </c>
    </row>
    <row r="65" spans="1:12" x14ac:dyDescent="0.35">
      <c r="A65" s="2">
        <v>44292</v>
      </c>
      <c r="B65" s="3">
        <v>14.17</v>
      </c>
      <c r="C65" s="3">
        <v>42.58</v>
      </c>
      <c r="D65" s="3">
        <v>120.08</v>
      </c>
      <c r="E65" s="3">
        <v>14.17</v>
      </c>
      <c r="F65" s="3">
        <v>31.13</v>
      </c>
      <c r="G65" s="3">
        <v>115.539281</v>
      </c>
      <c r="H65" s="3">
        <v>110.84761399999999</v>
      </c>
      <c r="I65" s="3">
        <v>109.304531</v>
      </c>
      <c r="J65">
        <v>5.4390000000000001</v>
      </c>
      <c r="K65">
        <v>6.0190000000000001</v>
      </c>
      <c r="L65">
        <v>6.6740000000000004</v>
      </c>
    </row>
    <row r="66" spans="1:12" x14ac:dyDescent="0.35">
      <c r="A66" s="2">
        <v>44293</v>
      </c>
      <c r="B66" s="3">
        <v>14.44</v>
      </c>
      <c r="C66" s="3">
        <v>42.44</v>
      </c>
      <c r="D66" s="3">
        <v>118.51</v>
      </c>
      <c r="E66" s="3">
        <v>14.1</v>
      </c>
      <c r="F66" s="3">
        <v>30.36</v>
      </c>
      <c r="G66" s="3">
        <v>116.585376</v>
      </c>
      <c r="H66" s="3">
        <v>111.72376</v>
      </c>
      <c r="I66" s="3">
        <v>110.62043</v>
      </c>
      <c r="J66">
        <v>5.2690000000000001</v>
      </c>
      <c r="K66">
        <v>5.85</v>
      </c>
      <c r="L66">
        <v>6.4989999999999997</v>
      </c>
    </row>
    <row r="67" spans="1:12" x14ac:dyDescent="0.35">
      <c r="A67" s="2">
        <v>44294</v>
      </c>
      <c r="B67" s="3">
        <v>14.38</v>
      </c>
      <c r="C67" s="3">
        <v>42.14</v>
      </c>
      <c r="D67" s="3">
        <v>118.89</v>
      </c>
      <c r="E67" s="3">
        <v>14.41</v>
      </c>
      <c r="F67" s="3">
        <v>30.59</v>
      </c>
      <c r="G67" s="3">
        <v>117.613203</v>
      </c>
      <c r="H67" s="3">
        <v>112.568879</v>
      </c>
      <c r="I67" s="3">
        <v>111.808989</v>
      </c>
      <c r="J67">
        <v>5.23</v>
      </c>
      <c r="K67">
        <v>5.8</v>
      </c>
      <c r="L67">
        <v>6.45</v>
      </c>
    </row>
    <row r="68" spans="1:12" x14ac:dyDescent="0.35">
      <c r="A68" s="2">
        <v>44295</v>
      </c>
      <c r="B68" s="3">
        <v>14.42</v>
      </c>
      <c r="C68" s="3">
        <v>42.09</v>
      </c>
      <c r="D68" s="3">
        <v>116.81</v>
      </c>
      <c r="E68" s="3">
        <v>14.11</v>
      </c>
      <c r="F68" s="3">
        <v>30.84</v>
      </c>
      <c r="G68" s="3">
        <v>118.120474</v>
      </c>
      <c r="H68" s="3">
        <v>111.335894</v>
      </c>
      <c r="I68" s="3">
        <v>110.331131</v>
      </c>
      <c r="J68">
        <v>5.35</v>
      </c>
      <c r="K68">
        <v>5.96</v>
      </c>
      <c r="L68">
        <v>6.59</v>
      </c>
    </row>
    <row r="69" spans="1:12" x14ac:dyDescent="0.35">
      <c r="A69" s="2">
        <v>44298</v>
      </c>
      <c r="B69" s="3">
        <v>14.2</v>
      </c>
      <c r="C69" s="3">
        <v>41.92</v>
      </c>
      <c r="D69" s="3">
        <v>116.79</v>
      </c>
      <c r="E69" s="3">
        <v>14.13</v>
      </c>
      <c r="F69" s="3">
        <v>30.71</v>
      </c>
      <c r="G69" s="3">
        <v>117.168671</v>
      </c>
      <c r="H69" s="3">
        <v>110.81374099999999</v>
      </c>
      <c r="I69" s="3">
        <v>109.79719799999999</v>
      </c>
      <c r="J69">
        <v>5.415</v>
      </c>
      <c r="K69">
        <v>6.05</v>
      </c>
      <c r="L69">
        <v>6.68</v>
      </c>
    </row>
    <row r="70" spans="1:12" x14ac:dyDescent="0.35">
      <c r="A70" s="2">
        <v>44299</v>
      </c>
      <c r="B70" s="3">
        <v>13.96</v>
      </c>
      <c r="C70" s="3">
        <v>41.6</v>
      </c>
      <c r="D70" s="3">
        <v>117.21</v>
      </c>
      <c r="E70" s="3">
        <v>14.16</v>
      </c>
      <c r="F70" s="3">
        <v>32.39</v>
      </c>
      <c r="G70" s="3">
        <v>116.707002</v>
      </c>
      <c r="H70" s="3">
        <v>110.756743</v>
      </c>
      <c r="I70" s="3">
        <v>109.818003</v>
      </c>
      <c r="J70">
        <v>5.48</v>
      </c>
      <c r="K70">
        <v>6.0549999999999997</v>
      </c>
      <c r="L70">
        <v>6.73</v>
      </c>
    </row>
    <row r="71" spans="1:12" x14ac:dyDescent="0.35">
      <c r="A71" s="2">
        <v>44300</v>
      </c>
      <c r="B71" s="3">
        <v>14.69</v>
      </c>
      <c r="C71" s="3">
        <v>41.87</v>
      </c>
      <c r="D71" s="3">
        <v>120.99</v>
      </c>
      <c r="E71" s="3">
        <v>14.18</v>
      </c>
      <c r="F71" s="3">
        <v>34.03</v>
      </c>
      <c r="G71" s="3">
        <v>116.52164</v>
      </c>
      <c r="H71" s="3">
        <v>111.16333400000001</v>
      </c>
      <c r="I71" s="3">
        <v>110.115588</v>
      </c>
      <c r="J71">
        <v>5.4</v>
      </c>
      <c r="K71">
        <v>5.9850000000000003</v>
      </c>
      <c r="L71">
        <v>6.625</v>
      </c>
    </row>
    <row r="72" spans="1:12" x14ac:dyDescent="0.35">
      <c r="A72" s="2">
        <v>44301</v>
      </c>
      <c r="B72" s="3">
        <v>14.97</v>
      </c>
      <c r="C72" s="3">
        <v>41.88</v>
      </c>
      <c r="D72" s="3">
        <v>121.72</v>
      </c>
      <c r="E72" s="3">
        <v>14.28</v>
      </c>
      <c r="F72" s="3">
        <v>33.99</v>
      </c>
      <c r="G72" s="3">
        <v>116.925399</v>
      </c>
      <c r="H72" s="3">
        <v>111.301102</v>
      </c>
      <c r="I72" s="3">
        <v>110.36291199999999</v>
      </c>
      <c r="J72">
        <v>5.31</v>
      </c>
      <c r="K72">
        <v>5.86</v>
      </c>
      <c r="L72">
        <v>6.48</v>
      </c>
    </row>
    <row r="73" spans="1:12" x14ac:dyDescent="0.35">
      <c r="A73" s="2">
        <v>44302</v>
      </c>
      <c r="B73" s="3">
        <v>15.04</v>
      </c>
      <c r="C73" s="3">
        <v>41.68</v>
      </c>
      <c r="D73" s="3">
        <v>121.67</v>
      </c>
      <c r="E73" s="3">
        <v>14.48</v>
      </c>
      <c r="F73" s="3">
        <v>34.380000000000003</v>
      </c>
      <c r="G73" s="3">
        <v>117.911965</v>
      </c>
      <c r="H73" s="3">
        <v>112.334335</v>
      </c>
      <c r="I73" s="3">
        <v>111.59643800000001</v>
      </c>
      <c r="J73">
        <v>5.36</v>
      </c>
      <c r="K73">
        <v>5.91</v>
      </c>
      <c r="L73">
        <v>6.57</v>
      </c>
    </row>
    <row r="74" spans="1:12" x14ac:dyDescent="0.35">
      <c r="A74" s="2">
        <v>44305</v>
      </c>
      <c r="B74" s="3">
        <v>14.56</v>
      </c>
      <c r="C74" s="3">
        <v>41.04</v>
      </c>
      <c r="D74" s="3">
        <v>119.76</v>
      </c>
      <c r="E74" s="3">
        <v>14.34</v>
      </c>
      <c r="F74" s="3">
        <v>34.590000000000003</v>
      </c>
      <c r="G74" s="3">
        <v>117.44764600000001</v>
      </c>
      <c r="H74" s="3">
        <v>111.729455</v>
      </c>
      <c r="I74" s="3">
        <v>110.961828</v>
      </c>
      <c r="J74">
        <v>5.3550000000000004</v>
      </c>
      <c r="K74">
        <v>5.96</v>
      </c>
      <c r="L74">
        <v>6.61</v>
      </c>
    </row>
    <row r="75" spans="1:12" x14ac:dyDescent="0.35">
      <c r="A75" s="2">
        <v>44306</v>
      </c>
      <c r="B75" s="3">
        <v>14.71</v>
      </c>
      <c r="C75" s="3">
        <v>41.8</v>
      </c>
      <c r="D75" s="3">
        <v>118.6</v>
      </c>
      <c r="E75" s="3">
        <v>14.57</v>
      </c>
      <c r="F75" s="3">
        <v>34.61</v>
      </c>
      <c r="G75" s="3">
        <v>117.261065</v>
      </c>
      <c r="H75" s="3">
        <v>110.590582</v>
      </c>
      <c r="I75" s="3">
        <v>109.23096099999999</v>
      </c>
      <c r="J75">
        <v>5.45</v>
      </c>
      <c r="K75">
        <v>6.085</v>
      </c>
      <c r="L75">
        <v>6.74</v>
      </c>
    </row>
    <row r="76" spans="1:12" x14ac:dyDescent="0.35">
      <c r="A76" s="2">
        <v>44307</v>
      </c>
      <c r="B76" s="3">
        <v>14.85</v>
      </c>
      <c r="C76" s="3">
        <v>42.23</v>
      </c>
      <c r="D76" s="3">
        <v>118.72</v>
      </c>
      <c r="E76" s="3">
        <v>14.5</v>
      </c>
      <c r="F76" s="3">
        <v>35.799999999999997</v>
      </c>
      <c r="G76" s="3">
        <v>116.255055</v>
      </c>
      <c r="H76" s="3">
        <v>110.53417</v>
      </c>
      <c r="I76" s="3">
        <v>109.343109</v>
      </c>
      <c r="J76">
        <v>5.47</v>
      </c>
      <c r="K76">
        <v>6.0869999999999997</v>
      </c>
      <c r="L76">
        <v>6.72</v>
      </c>
    </row>
    <row r="77" spans="1:12" x14ac:dyDescent="0.35">
      <c r="A77" s="2">
        <v>44308</v>
      </c>
      <c r="B77" s="3">
        <v>14.7</v>
      </c>
      <c r="C77" s="3">
        <v>42.62</v>
      </c>
      <c r="D77" s="3">
        <v>121.99</v>
      </c>
      <c r="E77" s="3">
        <v>14.56</v>
      </c>
      <c r="F77" s="3">
        <v>36.51</v>
      </c>
      <c r="G77" s="3">
        <v>116.248582</v>
      </c>
      <c r="H77" s="3">
        <v>110.060579</v>
      </c>
      <c r="I77" s="3">
        <v>108.951052</v>
      </c>
      <c r="J77">
        <v>5.56</v>
      </c>
      <c r="K77">
        <v>6.1769999999999996</v>
      </c>
      <c r="L77">
        <v>6.78</v>
      </c>
    </row>
    <row r="78" spans="1:12" x14ac:dyDescent="0.35">
      <c r="A78" s="2">
        <v>44309</v>
      </c>
      <c r="B78" s="3">
        <v>15.07</v>
      </c>
      <c r="C78" s="3">
        <v>42.04</v>
      </c>
      <c r="D78" s="3">
        <v>121.96</v>
      </c>
      <c r="E78" s="3">
        <v>14.5</v>
      </c>
      <c r="F78" s="3">
        <v>35.76</v>
      </c>
      <c r="G78" s="3">
        <v>115.862656</v>
      </c>
      <c r="H78" s="3">
        <v>110.61533300000001</v>
      </c>
      <c r="I78" s="3">
        <v>109.518107</v>
      </c>
      <c r="J78">
        <v>5.53</v>
      </c>
      <c r="K78">
        <v>6.117</v>
      </c>
      <c r="L78">
        <v>6.73</v>
      </c>
    </row>
    <row r="79" spans="1:12" x14ac:dyDescent="0.35">
      <c r="A79" s="2">
        <v>44312</v>
      </c>
      <c r="B79" s="3">
        <v>15.2</v>
      </c>
      <c r="C79" s="3">
        <v>41.67</v>
      </c>
      <c r="D79" s="3">
        <v>120.67</v>
      </c>
      <c r="E79" s="3">
        <v>14.57</v>
      </c>
      <c r="F79" s="3">
        <v>35.51</v>
      </c>
      <c r="G79" s="3">
        <v>116.28961700000001</v>
      </c>
      <c r="H79" s="3">
        <v>110.712233</v>
      </c>
      <c r="I79" s="3">
        <v>109.813457</v>
      </c>
      <c r="J79">
        <v>5.49</v>
      </c>
      <c r="K79">
        <v>6.0869999999999997</v>
      </c>
      <c r="L79">
        <v>6.7</v>
      </c>
    </row>
    <row r="80" spans="1:12" x14ac:dyDescent="0.35">
      <c r="A80" s="2">
        <v>44313</v>
      </c>
      <c r="B80" s="3">
        <v>15.4</v>
      </c>
      <c r="C80" s="3">
        <v>40.94</v>
      </c>
      <c r="D80" s="3">
        <v>118.81</v>
      </c>
      <c r="E80" s="3">
        <v>14.59</v>
      </c>
      <c r="F80" s="3">
        <v>34.130000000000003</v>
      </c>
      <c r="G80" s="3">
        <v>116.44595700000001</v>
      </c>
      <c r="H80" s="3">
        <v>110.426603</v>
      </c>
      <c r="I80" s="3">
        <v>109.46871899999999</v>
      </c>
      <c r="J80">
        <v>5.55</v>
      </c>
      <c r="K80">
        <v>6.18</v>
      </c>
      <c r="L80">
        <v>6.8</v>
      </c>
    </row>
    <row r="81" spans="1:12" x14ac:dyDescent="0.35">
      <c r="A81" s="2">
        <v>44314</v>
      </c>
      <c r="B81" s="3">
        <v>15.25</v>
      </c>
      <c r="C81" s="3">
        <v>41.28</v>
      </c>
      <c r="D81" s="3">
        <v>119.23</v>
      </c>
      <c r="E81" s="3">
        <v>14.3</v>
      </c>
      <c r="F81" s="3">
        <v>34.78</v>
      </c>
      <c r="G81" s="3">
        <v>115.857066</v>
      </c>
      <c r="H81" s="3">
        <v>109.838596</v>
      </c>
      <c r="I81" s="3">
        <v>108.673265</v>
      </c>
      <c r="J81">
        <v>5.55</v>
      </c>
      <c r="K81">
        <v>6.2149999999999999</v>
      </c>
      <c r="L81">
        <v>6.84</v>
      </c>
    </row>
    <row r="82" spans="1:12" x14ac:dyDescent="0.35">
      <c r="A82" s="2">
        <v>44315</v>
      </c>
      <c r="B82" s="3">
        <v>16.14</v>
      </c>
      <c r="C82" s="3">
        <v>41.83</v>
      </c>
      <c r="D82" s="3">
        <v>121.25</v>
      </c>
      <c r="E82" s="3">
        <v>14.31</v>
      </c>
      <c r="F82" s="3">
        <v>34.18</v>
      </c>
      <c r="G82" s="3">
        <v>115.448375</v>
      </c>
      <c r="H82" s="3">
        <v>109.824365</v>
      </c>
      <c r="I82" s="3">
        <v>108.826711</v>
      </c>
      <c r="J82">
        <v>5.57</v>
      </c>
      <c r="K82">
        <v>6.2450000000000001</v>
      </c>
      <c r="L82">
        <v>6.88</v>
      </c>
    </row>
    <row r="83" spans="1:12" x14ac:dyDescent="0.35">
      <c r="A83" s="2">
        <v>44316</v>
      </c>
      <c r="B83" s="3">
        <v>16.09</v>
      </c>
      <c r="C83" s="3">
        <v>40.54</v>
      </c>
      <c r="D83" s="3">
        <v>115.25</v>
      </c>
      <c r="E83" s="3">
        <v>14.15</v>
      </c>
      <c r="F83" s="3">
        <v>32.950000000000003</v>
      </c>
      <c r="G83" s="3">
        <v>115.268277</v>
      </c>
      <c r="H83" s="3">
        <v>109.241986</v>
      </c>
      <c r="I83" s="3">
        <v>108.12872400000001</v>
      </c>
      <c r="J83">
        <v>5.6150000000000002</v>
      </c>
      <c r="K83">
        <v>6.28</v>
      </c>
      <c r="L83">
        <v>6.93</v>
      </c>
    </row>
    <row r="84" spans="1:12" x14ac:dyDescent="0.35">
      <c r="A84" s="2">
        <v>44319</v>
      </c>
      <c r="B84" s="3">
        <v>16.420000000000002</v>
      </c>
      <c r="C84" s="3">
        <v>41.12</v>
      </c>
      <c r="D84" s="3">
        <v>120.29</v>
      </c>
      <c r="E84" s="3">
        <v>14.17</v>
      </c>
      <c r="F84" s="3">
        <v>33.340000000000003</v>
      </c>
      <c r="G84" s="3">
        <v>115.15549900000001</v>
      </c>
      <c r="H84" s="3">
        <v>109.48814</v>
      </c>
      <c r="I84" s="3">
        <v>108.328996</v>
      </c>
      <c r="J84">
        <v>5.56</v>
      </c>
      <c r="K84">
        <v>6.26</v>
      </c>
      <c r="L84">
        <v>6.9</v>
      </c>
    </row>
    <row r="85" spans="1:12" x14ac:dyDescent="0.35">
      <c r="A85" s="2">
        <v>44320</v>
      </c>
      <c r="B85" s="3">
        <v>16.600000000000001</v>
      </c>
      <c r="C85" s="3">
        <v>41.21</v>
      </c>
      <c r="D85" s="3">
        <v>119.81</v>
      </c>
      <c r="E85" s="3">
        <v>14.07</v>
      </c>
      <c r="F85" s="3">
        <v>32.39</v>
      </c>
      <c r="G85" s="3">
        <v>115.310017</v>
      </c>
      <c r="H85" s="3">
        <v>109.28325700000001</v>
      </c>
      <c r="I85" s="3">
        <v>108.081649</v>
      </c>
      <c r="J85">
        <v>5.5650000000000004</v>
      </c>
      <c r="K85">
        <v>6.2850000000000001</v>
      </c>
      <c r="L85">
        <v>6.92</v>
      </c>
    </row>
    <row r="86" spans="1:12" x14ac:dyDescent="0.35">
      <c r="A86" s="2">
        <v>44321</v>
      </c>
      <c r="B86" s="3">
        <v>16.86</v>
      </c>
      <c r="C86" s="3">
        <v>40.93</v>
      </c>
      <c r="D86" s="3">
        <v>118.08</v>
      </c>
      <c r="E86" s="3">
        <v>14.16</v>
      </c>
      <c r="F86" s="3">
        <v>32.94</v>
      </c>
      <c r="G86" s="3">
        <v>115.063952</v>
      </c>
      <c r="H86" s="3">
        <v>109.454116</v>
      </c>
      <c r="I86" s="3">
        <v>108.192206</v>
      </c>
      <c r="J86">
        <v>5.5389999999999997</v>
      </c>
      <c r="K86">
        <v>6.24</v>
      </c>
      <c r="L86">
        <v>6.8449999999999998</v>
      </c>
    </row>
    <row r="87" spans="1:12" x14ac:dyDescent="0.35">
      <c r="A87" s="2">
        <v>44322</v>
      </c>
      <c r="B87" s="3">
        <v>17.239999999999998</v>
      </c>
      <c r="C87" s="3">
        <v>41.03</v>
      </c>
      <c r="D87" s="3">
        <v>119.16</v>
      </c>
      <c r="E87" s="3">
        <v>14.45</v>
      </c>
      <c r="F87" s="3">
        <v>32.76</v>
      </c>
      <c r="G87" s="3">
        <v>115.527203</v>
      </c>
      <c r="H87" s="3">
        <v>110.346588</v>
      </c>
      <c r="I87" s="3">
        <v>109.608366</v>
      </c>
      <c r="J87">
        <v>5.4790000000000001</v>
      </c>
      <c r="K87">
        <v>6.1550000000000002</v>
      </c>
      <c r="L87">
        <v>6.7649999999999997</v>
      </c>
    </row>
    <row r="88" spans="1:12" x14ac:dyDescent="0.35">
      <c r="A88" s="2">
        <v>44323</v>
      </c>
      <c r="B88" s="3">
        <v>17.13</v>
      </c>
      <c r="C88" s="3">
        <v>41.1</v>
      </c>
      <c r="D88" s="3">
        <v>119.57</v>
      </c>
      <c r="E88" s="3">
        <v>14.75</v>
      </c>
      <c r="F88" s="3">
        <v>32.24</v>
      </c>
      <c r="G88" s="3">
        <v>116.286607</v>
      </c>
      <c r="H88" s="3">
        <v>110.74728899999999</v>
      </c>
      <c r="I88" s="3">
        <v>109.81147799999999</v>
      </c>
      <c r="J88">
        <v>5.4379999999999997</v>
      </c>
      <c r="K88">
        <v>6.109</v>
      </c>
      <c r="L88">
        <v>6.7039999999999997</v>
      </c>
    </row>
    <row r="89" spans="1:12" x14ac:dyDescent="0.35">
      <c r="A89" s="2">
        <v>44326</v>
      </c>
      <c r="B89" s="3">
        <v>16.88</v>
      </c>
      <c r="C89" s="3">
        <v>40.65</v>
      </c>
      <c r="D89" s="3">
        <v>120.1</v>
      </c>
      <c r="E89" s="3">
        <v>14.74</v>
      </c>
      <c r="F89" s="3">
        <v>32.35</v>
      </c>
      <c r="G89" s="3">
        <v>116.712583</v>
      </c>
      <c r="H89" s="3">
        <v>110.767672</v>
      </c>
      <c r="I89" s="3">
        <v>109.832463</v>
      </c>
      <c r="J89">
        <v>5.4889999999999999</v>
      </c>
      <c r="K89">
        <v>6.165</v>
      </c>
      <c r="L89">
        <v>6.7649999999999997</v>
      </c>
    </row>
    <row r="90" spans="1:12" x14ac:dyDescent="0.35">
      <c r="A90" s="2">
        <v>44327</v>
      </c>
      <c r="B90" s="3">
        <v>17.100000000000001</v>
      </c>
      <c r="C90" s="3">
        <v>40.51</v>
      </c>
      <c r="D90" s="3">
        <v>117.66</v>
      </c>
      <c r="E90" s="3">
        <v>14.87</v>
      </c>
      <c r="F90" s="3">
        <v>31.91</v>
      </c>
      <c r="G90" s="3">
        <v>116.395313</v>
      </c>
      <c r="H90" s="3">
        <v>109.87875699999999</v>
      </c>
      <c r="I90" s="3">
        <v>108.677558</v>
      </c>
      <c r="J90">
        <v>5.6289999999999996</v>
      </c>
      <c r="K90">
        <v>6.2949999999999999</v>
      </c>
      <c r="L90">
        <v>6.8849999999999998</v>
      </c>
    </row>
    <row r="91" spans="1:12" x14ac:dyDescent="0.35">
      <c r="A91" s="2">
        <v>44328</v>
      </c>
      <c r="B91" s="3">
        <v>15.93</v>
      </c>
      <c r="C91" s="3">
        <v>40.5</v>
      </c>
      <c r="D91" s="3">
        <v>116.58</v>
      </c>
      <c r="E91" s="3">
        <v>14.74</v>
      </c>
      <c r="F91" s="3">
        <v>31.82</v>
      </c>
      <c r="G91" s="3">
        <v>115.677469</v>
      </c>
      <c r="H91" s="3">
        <v>109.000113</v>
      </c>
      <c r="I91" s="3">
        <v>107.80622200000001</v>
      </c>
      <c r="J91">
        <v>5.819</v>
      </c>
      <c r="K91">
        <v>6.4550000000000001</v>
      </c>
      <c r="L91">
        <v>6.9950000000000001</v>
      </c>
    </row>
    <row r="92" spans="1:12" x14ac:dyDescent="0.35">
      <c r="A92" s="2">
        <v>44329</v>
      </c>
      <c r="B92" s="3">
        <v>16.14</v>
      </c>
      <c r="C92" s="3">
        <v>39.78</v>
      </c>
      <c r="D92" s="3">
        <v>118.11</v>
      </c>
      <c r="E92" s="3">
        <v>14.76</v>
      </c>
      <c r="F92" s="3">
        <v>31.97</v>
      </c>
      <c r="G92" s="3">
        <v>114.743695</v>
      </c>
      <c r="H92" s="3">
        <v>109.585446</v>
      </c>
      <c r="I92" s="3">
        <v>108.404082</v>
      </c>
      <c r="J92">
        <v>5.7489999999999997</v>
      </c>
      <c r="K92">
        <v>6.3849999999999998</v>
      </c>
      <c r="L92">
        <v>6.915</v>
      </c>
    </row>
    <row r="93" spans="1:12" x14ac:dyDescent="0.35">
      <c r="A93" s="2">
        <v>44330</v>
      </c>
      <c r="B93" s="3">
        <v>16.62</v>
      </c>
      <c r="C93" s="3">
        <v>39.01</v>
      </c>
      <c r="D93" s="3">
        <v>123.26</v>
      </c>
      <c r="E93" s="3">
        <v>14.67</v>
      </c>
      <c r="F93" s="3">
        <v>32.130000000000003</v>
      </c>
      <c r="G93" s="3">
        <v>115.294662</v>
      </c>
      <c r="H93" s="3">
        <v>109.53120699999999</v>
      </c>
      <c r="I93" s="3">
        <v>108.51464900000001</v>
      </c>
      <c r="J93">
        <v>5.7089999999999996</v>
      </c>
      <c r="K93">
        <v>6.36</v>
      </c>
      <c r="L93">
        <v>6.8550000000000004</v>
      </c>
    </row>
    <row r="94" spans="1:12" x14ac:dyDescent="0.35">
      <c r="A94" s="2">
        <v>44333</v>
      </c>
      <c r="B94" s="3">
        <v>16.87</v>
      </c>
      <c r="C94" s="3">
        <v>39.5</v>
      </c>
      <c r="D94" s="3">
        <v>125.9</v>
      </c>
      <c r="E94" s="3">
        <v>14.79</v>
      </c>
      <c r="F94" s="3">
        <v>32.229999999999997</v>
      </c>
      <c r="G94" s="3">
        <v>115.648331</v>
      </c>
      <c r="H94" s="3">
        <v>110.077581</v>
      </c>
      <c r="I94" s="3">
        <v>108.984122</v>
      </c>
      <c r="J94">
        <v>5.7489999999999997</v>
      </c>
      <c r="K94">
        <v>6.38</v>
      </c>
      <c r="L94">
        <v>6.8250000000000002</v>
      </c>
    </row>
    <row r="95" spans="1:12" x14ac:dyDescent="0.35">
      <c r="A95" s="2">
        <v>44334</v>
      </c>
      <c r="B95" s="3">
        <v>16.61</v>
      </c>
      <c r="C95" s="3">
        <v>39.9</v>
      </c>
      <c r="D95" s="3">
        <v>129.44</v>
      </c>
      <c r="E95" s="3">
        <v>14.9</v>
      </c>
      <c r="F95" s="3">
        <v>33.090000000000003</v>
      </c>
      <c r="G95" s="3">
        <v>115.602621</v>
      </c>
      <c r="H95" s="3">
        <v>110.17352200000001</v>
      </c>
      <c r="I95" s="3">
        <v>109.185281</v>
      </c>
      <c r="J95">
        <v>5.7789999999999999</v>
      </c>
      <c r="K95">
        <v>6.375</v>
      </c>
      <c r="L95">
        <v>6.8650000000000002</v>
      </c>
    </row>
    <row r="96" spans="1:12" x14ac:dyDescent="0.35">
      <c r="A96" s="2">
        <v>44335</v>
      </c>
      <c r="B96" s="3">
        <v>16.27</v>
      </c>
      <c r="C96" s="3">
        <v>40.03</v>
      </c>
      <c r="D96" s="3">
        <v>129.29</v>
      </c>
      <c r="E96" s="3">
        <v>14.8</v>
      </c>
      <c r="F96" s="3">
        <v>32.6</v>
      </c>
      <c r="G96" s="3">
        <v>115.55700299999999</v>
      </c>
      <c r="H96" s="3">
        <v>110.269505</v>
      </c>
      <c r="I96" s="3">
        <v>109.20641000000001</v>
      </c>
      <c r="J96">
        <v>5.8789999999999996</v>
      </c>
      <c r="K96">
        <v>6.4550000000000001</v>
      </c>
      <c r="L96">
        <v>6.9050000000000002</v>
      </c>
    </row>
    <row r="97" spans="1:12" x14ac:dyDescent="0.35">
      <c r="A97" s="2">
        <v>44336</v>
      </c>
      <c r="B97" s="3">
        <v>16.63</v>
      </c>
      <c r="C97" s="3">
        <v>40.79</v>
      </c>
      <c r="D97" s="3">
        <v>136</v>
      </c>
      <c r="E97" s="3">
        <v>15.07</v>
      </c>
      <c r="F97" s="3">
        <v>32.39</v>
      </c>
      <c r="G97" s="3">
        <v>115.487038</v>
      </c>
      <c r="H97" s="3">
        <v>109.95506899999999</v>
      </c>
      <c r="I97" s="3">
        <v>109.179812</v>
      </c>
      <c r="J97">
        <v>5.8890000000000002</v>
      </c>
      <c r="K97">
        <v>6.4349999999999996</v>
      </c>
      <c r="L97">
        <v>6.8849999999999998</v>
      </c>
    </row>
    <row r="98" spans="1:12" x14ac:dyDescent="0.35">
      <c r="A98" s="2">
        <v>44337</v>
      </c>
      <c r="B98" s="3">
        <v>16.54</v>
      </c>
      <c r="C98" s="3">
        <v>40.020000000000003</v>
      </c>
      <c r="D98" s="3">
        <v>137.30000000000001</v>
      </c>
      <c r="E98" s="3">
        <v>14.97</v>
      </c>
      <c r="F98" s="3">
        <v>31.53</v>
      </c>
      <c r="G98" s="3">
        <v>115.57441</v>
      </c>
      <c r="H98" s="3">
        <v>110.050794</v>
      </c>
      <c r="I98" s="3">
        <v>109.29096699999999</v>
      </c>
      <c r="J98">
        <v>5.8550000000000004</v>
      </c>
      <c r="K98">
        <v>6.4649999999999999</v>
      </c>
      <c r="L98">
        <v>6.875</v>
      </c>
    </row>
    <row r="99" spans="1:12" x14ac:dyDescent="0.35">
      <c r="A99" s="2">
        <v>44340</v>
      </c>
      <c r="B99" s="3">
        <v>16.59</v>
      </c>
      <c r="C99" s="3">
        <v>40.5</v>
      </c>
      <c r="D99" s="3">
        <v>130.44999999999999</v>
      </c>
      <c r="E99" s="3">
        <v>15.04</v>
      </c>
      <c r="F99" s="3">
        <v>31.91</v>
      </c>
      <c r="G99" s="3">
        <v>115.861305</v>
      </c>
      <c r="H99" s="3">
        <v>110.523223</v>
      </c>
      <c r="I99" s="3">
        <v>109.763605</v>
      </c>
      <c r="J99">
        <v>5.8239999999999998</v>
      </c>
      <c r="K99">
        <v>6.4139999999999997</v>
      </c>
      <c r="L99">
        <v>6.7939999999999996</v>
      </c>
    </row>
    <row r="100" spans="1:12" x14ac:dyDescent="0.35">
      <c r="A100" s="2">
        <v>44341</v>
      </c>
      <c r="B100" s="3">
        <v>15.9</v>
      </c>
      <c r="C100" s="3">
        <v>41.25</v>
      </c>
      <c r="D100" s="3">
        <v>131.11000000000001</v>
      </c>
      <c r="E100" s="3">
        <v>14.9</v>
      </c>
      <c r="F100" s="3">
        <v>31.67</v>
      </c>
      <c r="G100" s="3">
        <v>116.52349599999999</v>
      </c>
      <c r="H100" s="3">
        <v>111.4546</v>
      </c>
      <c r="I100" s="3">
        <v>110.97067699999999</v>
      </c>
      <c r="J100">
        <v>5.7839999999999998</v>
      </c>
      <c r="K100">
        <v>6.3639999999999999</v>
      </c>
      <c r="L100">
        <v>6.7039999999999997</v>
      </c>
    </row>
    <row r="101" spans="1:12" x14ac:dyDescent="0.35">
      <c r="A101" s="2">
        <v>44342</v>
      </c>
      <c r="B101" s="3">
        <v>15.97</v>
      </c>
      <c r="C101" s="3">
        <v>42.55</v>
      </c>
      <c r="D101" s="3">
        <v>131.37</v>
      </c>
      <c r="E101" s="3">
        <v>15.03</v>
      </c>
      <c r="F101" s="3">
        <v>31.61</v>
      </c>
      <c r="G101" s="3">
        <v>116.57104200000001</v>
      </c>
      <c r="H101" s="3">
        <v>111.474965</v>
      </c>
      <c r="I101" s="3">
        <v>111.175634</v>
      </c>
      <c r="J101">
        <v>5.8339999999999996</v>
      </c>
      <c r="K101">
        <v>6.4139999999999997</v>
      </c>
      <c r="L101">
        <v>6.7240000000000002</v>
      </c>
    </row>
    <row r="102" spans="1:12" x14ac:dyDescent="0.35">
      <c r="A102" s="2">
        <v>44343</v>
      </c>
      <c r="B102" s="3">
        <v>16.21</v>
      </c>
      <c r="C102" s="3">
        <v>43.24</v>
      </c>
      <c r="D102" s="3">
        <v>138.02000000000001</v>
      </c>
      <c r="E102" s="3">
        <v>15.24</v>
      </c>
      <c r="F102" s="3">
        <v>32</v>
      </c>
      <c r="G102" s="3">
        <v>116.23224</v>
      </c>
      <c r="H102" s="3">
        <v>111.23161899999999</v>
      </c>
      <c r="I102" s="3">
        <v>110.59644900000001</v>
      </c>
      <c r="J102">
        <v>5.8140000000000001</v>
      </c>
      <c r="K102">
        <v>6.399</v>
      </c>
      <c r="L102">
        <v>6.7389999999999999</v>
      </c>
    </row>
    <row r="103" spans="1:12" x14ac:dyDescent="0.35">
      <c r="A103" s="2">
        <v>44344</v>
      </c>
      <c r="B103" s="3">
        <v>16.47</v>
      </c>
      <c r="C103" s="3">
        <v>43.29</v>
      </c>
      <c r="D103" s="3">
        <v>136.19999999999999</v>
      </c>
      <c r="E103" s="3">
        <v>15.31</v>
      </c>
      <c r="F103" s="3">
        <v>33.03</v>
      </c>
      <c r="G103" s="3">
        <v>116.386523</v>
      </c>
      <c r="H103" s="3">
        <v>111.93852</v>
      </c>
      <c r="I103" s="3">
        <v>111.443673</v>
      </c>
      <c r="J103">
        <v>5.7439999999999998</v>
      </c>
      <c r="K103">
        <v>6.2939999999999996</v>
      </c>
      <c r="L103">
        <v>6.6440000000000001</v>
      </c>
    </row>
    <row r="104" spans="1:12" x14ac:dyDescent="0.35">
      <c r="A104" s="2">
        <v>44347</v>
      </c>
      <c r="B104" s="3">
        <v>16.809999999999999</v>
      </c>
      <c r="C104" s="3">
        <v>43.85</v>
      </c>
      <c r="D104" s="3">
        <v>137.47999999999999</v>
      </c>
      <c r="E104" s="3">
        <v>15.58</v>
      </c>
      <c r="F104" s="3">
        <v>33.409999999999997</v>
      </c>
      <c r="G104" s="3">
        <v>116.94291</v>
      </c>
      <c r="H104" s="3">
        <v>112.035427</v>
      </c>
      <c r="I104" s="3">
        <v>111.74186</v>
      </c>
      <c r="J104">
        <v>5.6639999999999997</v>
      </c>
      <c r="K104">
        <v>6.234</v>
      </c>
      <c r="L104">
        <v>6.5739999999999998</v>
      </c>
    </row>
    <row r="105" spans="1:12" x14ac:dyDescent="0.35">
      <c r="A105" s="2">
        <v>44348</v>
      </c>
      <c r="B105" s="3">
        <v>17.64</v>
      </c>
      <c r="C105" s="3">
        <v>43.56</v>
      </c>
      <c r="D105" s="3">
        <v>132.11000000000001</v>
      </c>
      <c r="E105" s="3">
        <v>15.24</v>
      </c>
      <c r="F105" s="3">
        <v>34.06</v>
      </c>
      <c r="G105" s="3">
        <v>117.434715</v>
      </c>
      <c r="H105" s="3">
        <v>112.593794</v>
      </c>
      <c r="I105" s="3">
        <v>112.040937</v>
      </c>
      <c r="J105">
        <v>5.7190000000000003</v>
      </c>
      <c r="K105">
        <v>6.2439999999999998</v>
      </c>
      <c r="L105">
        <v>6.5739999999999998</v>
      </c>
    </row>
    <row r="106" spans="1:12" x14ac:dyDescent="0.35">
      <c r="A106" s="2">
        <v>44349</v>
      </c>
      <c r="B106" s="3">
        <v>16.73</v>
      </c>
      <c r="C106" s="3">
        <v>43.69</v>
      </c>
      <c r="D106" s="3">
        <v>133.91</v>
      </c>
      <c r="E106" s="3">
        <v>15.24</v>
      </c>
      <c r="F106" s="3">
        <v>34.380000000000003</v>
      </c>
      <c r="G106" s="3">
        <v>117.185806</v>
      </c>
      <c r="H106" s="3">
        <v>112.382999</v>
      </c>
      <c r="I106" s="3">
        <v>111.968948</v>
      </c>
      <c r="J106">
        <v>5.7039999999999997</v>
      </c>
      <c r="K106">
        <v>6.2839999999999998</v>
      </c>
      <c r="L106">
        <v>6.5890000000000004</v>
      </c>
    </row>
    <row r="107" spans="1:12" x14ac:dyDescent="0.35">
      <c r="A107" s="2">
        <v>44350</v>
      </c>
      <c r="B107" s="3">
        <v>16.559999999999999</v>
      </c>
      <c r="C107" s="3">
        <v>44.2</v>
      </c>
      <c r="D107" s="3">
        <v>132.96</v>
      </c>
      <c r="E107" s="3">
        <v>15.29</v>
      </c>
      <c r="F107" s="3">
        <v>33.49</v>
      </c>
      <c r="G107" s="3">
        <v>117.18049600000001</v>
      </c>
      <c r="H107" s="3">
        <v>111.907554</v>
      </c>
      <c r="I107" s="3">
        <v>111.384987</v>
      </c>
      <c r="J107">
        <v>5.7939999999999996</v>
      </c>
      <c r="K107">
        <v>6.3440000000000003</v>
      </c>
      <c r="L107">
        <v>6.694</v>
      </c>
    </row>
    <row r="108" spans="1:12" x14ac:dyDescent="0.35">
      <c r="A108" s="2">
        <v>44351</v>
      </c>
      <c r="B108" s="3">
        <v>16.37</v>
      </c>
      <c r="C108" s="3">
        <v>43.75</v>
      </c>
      <c r="D108" s="3">
        <v>131.83000000000001</v>
      </c>
      <c r="E108" s="3">
        <v>15.35</v>
      </c>
      <c r="F108" s="3">
        <v>33.020000000000003</v>
      </c>
      <c r="G108" s="3">
        <v>116.665707</v>
      </c>
      <c r="H108" s="3">
        <v>111.77538300000001</v>
      </c>
      <c r="I108" s="3">
        <v>111.40594400000001</v>
      </c>
      <c r="J108">
        <v>5.7050000000000001</v>
      </c>
      <c r="K108">
        <v>6.234</v>
      </c>
      <c r="L108">
        <v>6.6449999999999996</v>
      </c>
    </row>
    <row r="109" spans="1:12" x14ac:dyDescent="0.35">
      <c r="A109" s="2">
        <v>44354</v>
      </c>
      <c r="B109" s="3">
        <v>16.850000000000001</v>
      </c>
      <c r="C109" s="3">
        <v>44.26</v>
      </c>
      <c r="D109" s="3">
        <v>138.99</v>
      </c>
      <c r="E109" s="3">
        <v>15.99</v>
      </c>
      <c r="F109" s="3">
        <v>35.340000000000003</v>
      </c>
      <c r="G109" s="3">
        <v>117.356122</v>
      </c>
      <c r="H109" s="3">
        <v>112.33073</v>
      </c>
      <c r="I109" s="3">
        <v>112.073269</v>
      </c>
      <c r="J109">
        <v>5.6550000000000002</v>
      </c>
      <c r="K109">
        <v>6.2050000000000001</v>
      </c>
      <c r="L109">
        <v>6.5650000000000004</v>
      </c>
    </row>
    <row r="110" spans="1:12" x14ac:dyDescent="0.35">
      <c r="A110" s="2">
        <v>44355</v>
      </c>
      <c r="B110" s="3">
        <v>16.88</v>
      </c>
      <c r="C110" s="3">
        <v>45.27</v>
      </c>
      <c r="D110" s="3">
        <v>132.81</v>
      </c>
      <c r="E110" s="3">
        <v>15.63</v>
      </c>
      <c r="F110" s="3">
        <v>35.200000000000003</v>
      </c>
      <c r="G110" s="3">
        <v>113.416112</v>
      </c>
      <c r="H110" s="3">
        <v>109.28033000000001</v>
      </c>
      <c r="I110" s="3">
        <v>109.10844899999999</v>
      </c>
      <c r="J110">
        <v>5.6040000000000001</v>
      </c>
      <c r="K110">
        <v>6.1440000000000001</v>
      </c>
      <c r="L110">
        <v>6.5039999999999996</v>
      </c>
    </row>
    <row r="111" spans="1:12" x14ac:dyDescent="0.35">
      <c r="A111" s="2">
        <v>44356</v>
      </c>
      <c r="B111" s="3">
        <v>16.63</v>
      </c>
      <c r="C111" s="3">
        <v>45.25</v>
      </c>
      <c r="D111" s="3">
        <v>132.79</v>
      </c>
      <c r="E111" s="3">
        <v>15.66</v>
      </c>
      <c r="F111" s="3">
        <v>36.07</v>
      </c>
      <c r="G111" s="3">
        <v>113.773651</v>
      </c>
      <c r="H111" s="3">
        <v>108.68275300000001</v>
      </c>
      <c r="I111" s="3">
        <v>108.381826</v>
      </c>
      <c r="J111">
        <v>5.694</v>
      </c>
      <c r="K111">
        <v>6.2539999999999996</v>
      </c>
      <c r="L111">
        <v>6.5990000000000002</v>
      </c>
    </row>
    <row r="112" spans="1:12" x14ac:dyDescent="0.35">
      <c r="A112" s="2">
        <v>44357</v>
      </c>
      <c r="B112" s="3">
        <v>16.420000000000002</v>
      </c>
      <c r="C112" s="3">
        <v>44.74</v>
      </c>
      <c r="D112" s="3">
        <v>131.63</v>
      </c>
      <c r="E112" s="3">
        <v>15.92</v>
      </c>
      <c r="F112" s="3">
        <v>38.32</v>
      </c>
      <c r="G112" s="3">
        <v>113.024857</v>
      </c>
      <c r="H112" s="3">
        <v>108.66461099999999</v>
      </c>
      <c r="I112" s="3">
        <v>108.164113</v>
      </c>
      <c r="J112">
        <v>5.6539999999999999</v>
      </c>
      <c r="K112">
        <v>6.2039999999999997</v>
      </c>
      <c r="L112">
        <v>6.5940000000000003</v>
      </c>
    </row>
    <row r="113" spans="1:12" x14ac:dyDescent="0.35">
      <c r="A113" s="2">
        <v>44358</v>
      </c>
      <c r="B113" s="3">
        <v>16.62</v>
      </c>
      <c r="C113" s="3">
        <v>44.5</v>
      </c>
      <c r="D113" s="3">
        <v>130.69999999999999</v>
      </c>
      <c r="E113" s="3">
        <v>16.239999999999998</v>
      </c>
      <c r="F113" s="3">
        <v>38.06</v>
      </c>
      <c r="G113" s="3">
        <v>113.111797</v>
      </c>
      <c r="H113" s="3">
        <v>108.684173</v>
      </c>
      <c r="I113" s="3">
        <v>108.276876</v>
      </c>
      <c r="J113">
        <v>5.7140000000000004</v>
      </c>
      <c r="K113">
        <v>6.2839999999999998</v>
      </c>
      <c r="L113">
        <v>6.6639999999999997</v>
      </c>
    </row>
    <row r="114" spans="1:12" x14ac:dyDescent="0.35">
      <c r="A114" s="2">
        <v>44361</v>
      </c>
      <c r="B114" s="3">
        <v>16.100000000000001</v>
      </c>
      <c r="C114" s="3">
        <v>44.63</v>
      </c>
      <c r="D114" s="3">
        <v>130.66999999999999</v>
      </c>
      <c r="E114" s="3">
        <v>16.13</v>
      </c>
      <c r="F114" s="3">
        <v>37.68</v>
      </c>
      <c r="G114" s="3">
        <v>112.797169</v>
      </c>
      <c r="H114" s="3">
        <v>108.244809</v>
      </c>
      <c r="I114" s="3">
        <v>107.65126100000001</v>
      </c>
      <c r="J114">
        <v>5.6440000000000001</v>
      </c>
      <c r="K114">
        <v>6.234</v>
      </c>
      <c r="L114">
        <v>6.6639999999999997</v>
      </c>
    </row>
    <row r="115" spans="1:12" x14ac:dyDescent="0.35">
      <c r="A115" s="2">
        <v>44362</v>
      </c>
      <c r="B115" s="3">
        <v>16.149999999999999</v>
      </c>
      <c r="C115" s="3">
        <v>44.81</v>
      </c>
      <c r="D115" s="3">
        <v>132.11000000000001</v>
      </c>
      <c r="E115" s="3">
        <v>15.82</v>
      </c>
      <c r="F115" s="3">
        <v>36.42</v>
      </c>
      <c r="G115" s="3">
        <v>112.950789</v>
      </c>
      <c r="H115" s="3">
        <v>107.808122</v>
      </c>
      <c r="I115" s="3">
        <v>107.487984</v>
      </c>
      <c r="J115">
        <v>5.6349999999999998</v>
      </c>
      <c r="K115">
        <v>6.2839999999999998</v>
      </c>
      <c r="L115">
        <v>6.7140000000000004</v>
      </c>
    </row>
    <row r="116" spans="1:12" x14ac:dyDescent="0.35">
      <c r="A116" s="2">
        <v>44363</v>
      </c>
      <c r="B116" s="3">
        <v>16.21</v>
      </c>
      <c r="C116" s="3">
        <v>44.88</v>
      </c>
      <c r="D116" s="3">
        <v>132.52000000000001</v>
      </c>
      <c r="E116" s="3">
        <v>15.64</v>
      </c>
      <c r="F116" s="3">
        <v>36.5</v>
      </c>
      <c r="G116" s="3">
        <v>112.637159</v>
      </c>
      <c r="H116" s="3">
        <v>107.90374799999999</v>
      </c>
      <c r="I116" s="3">
        <v>107.59996700000001</v>
      </c>
      <c r="J116">
        <v>5.7850000000000001</v>
      </c>
      <c r="K116">
        <v>6.3550000000000004</v>
      </c>
      <c r="L116">
        <v>6.7649999999999997</v>
      </c>
    </row>
    <row r="117" spans="1:12" x14ac:dyDescent="0.35">
      <c r="A117" s="2">
        <v>44364</v>
      </c>
      <c r="B117" s="3">
        <v>15.65</v>
      </c>
      <c r="C117" s="3">
        <v>44.02</v>
      </c>
      <c r="D117" s="3">
        <v>131.24</v>
      </c>
      <c r="E117" s="3">
        <v>15.8</v>
      </c>
      <c r="F117" s="3">
        <v>37.020000000000003</v>
      </c>
      <c r="G117" s="3">
        <v>112.23279100000001</v>
      </c>
      <c r="H117" s="3">
        <v>107.660099</v>
      </c>
      <c r="I117" s="3">
        <v>107.660799</v>
      </c>
      <c r="J117">
        <v>5.8250000000000002</v>
      </c>
      <c r="K117">
        <v>6.3849999999999998</v>
      </c>
      <c r="L117">
        <v>6.7450000000000001</v>
      </c>
    </row>
    <row r="118" spans="1:12" x14ac:dyDescent="0.35">
      <c r="A118" s="2">
        <v>44365</v>
      </c>
      <c r="B118" s="3">
        <v>15.54</v>
      </c>
      <c r="C118" s="3">
        <v>44.17</v>
      </c>
      <c r="D118" s="3">
        <v>131.69</v>
      </c>
      <c r="E118" s="3">
        <v>15.78</v>
      </c>
      <c r="F118" s="3">
        <v>36.840000000000003</v>
      </c>
      <c r="G118" s="3">
        <v>112.05469100000001</v>
      </c>
      <c r="H118" s="3">
        <v>107.604377</v>
      </c>
      <c r="I118" s="3">
        <v>107.772845</v>
      </c>
      <c r="J118">
        <v>5.9050000000000002</v>
      </c>
      <c r="K118">
        <v>6.4450000000000003</v>
      </c>
      <c r="L118">
        <v>6.8150000000000004</v>
      </c>
    </row>
    <row r="119" spans="1:12" x14ac:dyDescent="0.35">
      <c r="A119" s="2">
        <v>44368</v>
      </c>
      <c r="B119" s="3">
        <v>15.93</v>
      </c>
      <c r="C119" s="3">
        <v>43.81</v>
      </c>
      <c r="D119" s="3">
        <v>129.51</v>
      </c>
      <c r="E119" s="3">
        <v>15.77</v>
      </c>
      <c r="F119" s="3">
        <v>36.700000000000003</v>
      </c>
      <c r="G119" s="3">
        <v>111.943031</v>
      </c>
      <c r="H119" s="3">
        <v>106.947582</v>
      </c>
      <c r="I119" s="3">
        <v>107.153092</v>
      </c>
      <c r="J119">
        <v>5.9749999999999996</v>
      </c>
      <c r="K119">
        <v>6.5149999999999997</v>
      </c>
      <c r="L119">
        <v>6.8650000000000002</v>
      </c>
    </row>
    <row r="120" spans="1:12" x14ac:dyDescent="0.35">
      <c r="A120" s="2">
        <v>44369</v>
      </c>
      <c r="B120" s="3">
        <v>15.94</v>
      </c>
      <c r="C120" s="3">
        <v>43.84</v>
      </c>
      <c r="D120" s="3">
        <v>128.56</v>
      </c>
      <c r="E120" s="3">
        <v>15.65</v>
      </c>
      <c r="F120" s="3">
        <v>36.270000000000003</v>
      </c>
      <c r="G120" s="3">
        <v>111.56886900000001</v>
      </c>
      <c r="H120" s="3">
        <v>106.668649</v>
      </c>
      <c r="I120" s="3">
        <v>106.62901100000001</v>
      </c>
      <c r="J120">
        <v>5.9950000000000001</v>
      </c>
      <c r="K120">
        <v>6.5549999999999997</v>
      </c>
      <c r="L120">
        <v>6.9050000000000002</v>
      </c>
    </row>
    <row r="121" spans="1:12" x14ac:dyDescent="0.35">
      <c r="A121" s="2">
        <v>44370</v>
      </c>
      <c r="B121" s="3">
        <v>16.14</v>
      </c>
      <c r="C121" s="3">
        <v>43.42</v>
      </c>
      <c r="D121" s="3">
        <v>129.38</v>
      </c>
      <c r="E121" s="3">
        <v>15.35</v>
      </c>
      <c r="F121" s="3">
        <v>36.47</v>
      </c>
      <c r="G121" s="3">
        <v>111.327355</v>
      </c>
      <c r="H121" s="3">
        <v>106.539664</v>
      </c>
      <c r="I121" s="3">
        <v>106.55907999999999</v>
      </c>
      <c r="J121">
        <v>6.0149999999999997</v>
      </c>
      <c r="K121">
        <v>6.6150000000000002</v>
      </c>
      <c r="L121">
        <v>6.9649999999999999</v>
      </c>
    </row>
    <row r="122" spans="1:12" x14ac:dyDescent="0.35">
      <c r="A122" s="2">
        <v>44371</v>
      </c>
      <c r="B122" s="3">
        <v>17.18</v>
      </c>
      <c r="C122" s="3">
        <v>43.94</v>
      </c>
      <c r="D122" s="3">
        <v>129.58000000000001</v>
      </c>
      <c r="E122" s="3">
        <v>15.32</v>
      </c>
      <c r="F122" s="3">
        <v>36.61</v>
      </c>
      <c r="G122" s="3">
        <v>110.997711</v>
      </c>
      <c r="H122" s="3">
        <v>106.302814</v>
      </c>
      <c r="I122" s="3">
        <v>106.440089</v>
      </c>
      <c r="J122">
        <v>6.415</v>
      </c>
      <c r="K122">
        <v>6.8650000000000002</v>
      </c>
      <c r="L122">
        <v>7.0650000000000004</v>
      </c>
    </row>
    <row r="123" spans="1:12" x14ac:dyDescent="0.35">
      <c r="A123" s="2">
        <v>44372</v>
      </c>
      <c r="B123" s="3">
        <v>17.260000000000002</v>
      </c>
      <c r="C123" s="3">
        <v>43.83</v>
      </c>
      <c r="D123" s="3">
        <v>130.71</v>
      </c>
      <c r="E123" s="3">
        <v>15.16</v>
      </c>
      <c r="F123" s="3">
        <v>36.11</v>
      </c>
      <c r="G123" s="3">
        <v>110.048434</v>
      </c>
      <c r="H123" s="3">
        <v>105.58512500000001</v>
      </c>
      <c r="I123" s="3">
        <v>105.83266999999999</v>
      </c>
      <c r="J123">
        <v>6.3650000000000002</v>
      </c>
      <c r="K123">
        <v>6.8150000000000004</v>
      </c>
      <c r="L123">
        <v>6.9550000000000001</v>
      </c>
    </row>
    <row r="124" spans="1:12" x14ac:dyDescent="0.35">
      <c r="A124" s="2">
        <v>44375</v>
      </c>
      <c r="B124" s="3">
        <v>17.02</v>
      </c>
      <c r="C124" s="3">
        <v>43.65</v>
      </c>
      <c r="D124" s="3">
        <v>129.22999999999999</v>
      </c>
      <c r="E124" s="3">
        <v>15.23</v>
      </c>
      <c r="F124" s="3">
        <v>35.78</v>
      </c>
      <c r="G124" s="3">
        <v>110.326806</v>
      </c>
      <c r="H124" s="3">
        <v>106.269018</v>
      </c>
      <c r="I124" s="3">
        <v>106.75167500000001</v>
      </c>
      <c r="J124">
        <v>6.2350000000000003</v>
      </c>
      <c r="K124">
        <v>6.6349999999999998</v>
      </c>
      <c r="L124">
        <v>6.9050000000000002</v>
      </c>
    </row>
    <row r="125" spans="1:12" x14ac:dyDescent="0.35">
      <c r="A125" s="2">
        <v>44376</v>
      </c>
      <c r="B125" s="3">
        <v>16.739999999999998</v>
      </c>
      <c r="C125" s="3">
        <v>43.66</v>
      </c>
      <c r="D125" s="3">
        <v>129.35</v>
      </c>
      <c r="E125" s="3">
        <v>15.24</v>
      </c>
      <c r="F125" s="3">
        <v>35.729999999999997</v>
      </c>
      <c r="G125" s="3">
        <v>110.994559</v>
      </c>
      <c r="H125" s="3">
        <v>106.608952</v>
      </c>
      <c r="I125" s="3">
        <v>106.772132</v>
      </c>
      <c r="J125">
        <v>6.165</v>
      </c>
      <c r="K125">
        <v>6.6349999999999998</v>
      </c>
      <c r="L125">
        <v>6.9450000000000003</v>
      </c>
    </row>
    <row r="126" spans="1:12" x14ac:dyDescent="0.35">
      <c r="A126" s="2">
        <v>44377</v>
      </c>
      <c r="B126" s="3">
        <v>16.82</v>
      </c>
      <c r="C126" s="3">
        <v>43.89</v>
      </c>
      <c r="D126" s="3">
        <v>128.76</v>
      </c>
      <c r="E126" s="3">
        <v>15</v>
      </c>
      <c r="F126" s="3">
        <v>35.47</v>
      </c>
      <c r="G126" s="3">
        <v>110.950293</v>
      </c>
      <c r="H126" s="3">
        <v>106.183373</v>
      </c>
      <c r="I126" s="3">
        <v>105.983737</v>
      </c>
      <c r="J126">
        <v>6.15</v>
      </c>
      <c r="K126">
        <v>6.61</v>
      </c>
      <c r="L126">
        <v>6.97</v>
      </c>
    </row>
    <row r="127" spans="1:12" x14ac:dyDescent="0.35">
      <c r="A127" s="2">
        <v>44378</v>
      </c>
      <c r="B127" s="3">
        <v>16.75</v>
      </c>
      <c r="C127" s="3">
        <v>43.77</v>
      </c>
      <c r="D127" s="3">
        <v>131.78</v>
      </c>
      <c r="E127" s="3">
        <v>14.89</v>
      </c>
      <c r="F127" s="3">
        <v>35.07</v>
      </c>
      <c r="G127" s="3">
        <v>110.75336799999999</v>
      </c>
      <c r="H127" s="3">
        <v>105.874521</v>
      </c>
      <c r="I127" s="3">
        <v>105.777777</v>
      </c>
      <c r="J127">
        <v>6.2</v>
      </c>
      <c r="K127">
        <v>6.72</v>
      </c>
      <c r="L127">
        <v>7.07</v>
      </c>
    </row>
    <row r="128" spans="1:12" x14ac:dyDescent="0.35">
      <c r="A128" s="2">
        <v>44379</v>
      </c>
      <c r="B128" s="3">
        <v>16.47</v>
      </c>
      <c r="C128" s="3">
        <v>43.38</v>
      </c>
      <c r="D128" s="3">
        <v>130.38</v>
      </c>
      <c r="E128" s="3">
        <v>14.8</v>
      </c>
      <c r="F128" s="3">
        <v>36.07</v>
      </c>
      <c r="G128" s="3">
        <v>110.066311</v>
      </c>
      <c r="H128" s="3">
        <v>105.747522</v>
      </c>
      <c r="I128" s="3">
        <v>105.798389</v>
      </c>
      <c r="J128">
        <v>6.19</v>
      </c>
      <c r="K128">
        <v>6.67</v>
      </c>
      <c r="L128">
        <v>7.02</v>
      </c>
    </row>
    <row r="129" spans="1:12" x14ac:dyDescent="0.35">
      <c r="A129" s="2">
        <v>44382</v>
      </c>
      <c r="B129" s="3">
        <v>16.48</v>
      </c>
      <c r="C129" s="3">
        <v>43.81</v>
      </c>
      <c r="D129" s="3">
        <v>130.03</v>
      </c>
      <c r="E129" s="3">
        <v>15.01</v>
      </c>
      <c r="F129" s="3">
        <v>37.44</v>
      </c>
      <c r="G129" s="3">
        <v>110.343878</v>
      </c>
      <c r="H129" s="3">
        <v>106.06245800000001</v>
      </c>
      <c r="I129" s="3">
        <v>106.44484799999999</v>
      </c>
      <c r="J129">
        <v>6.1950000000000003</v>
      </c>
      <c r="K129">
        <v>6.6749999999999998</v>
      </c>
      <c r="L129">
        <v>7.0049999999999999</v>
      </c>
    </row>
    <row r="130" spans="1:12" x14ac:dyDescent="0.35">
      <c r="A130" s="2">
        <v>44383</v>
      </c>
      <c r="B130" s="3">
        <v>16.34</v>
      </c>
      <c r="C130" s="3">
        <v>43.64</v>
      </c>
      <c r="D130" s="3">
        <v>128.63999999999999</v>
      </c>
      <c r="E130" s="3">
        <v>14.98</v>
      </c>
      <c r="F130" s="3">
        <v>37.869999999999997</v>
      </c>
      <c r="G130" s="3">
        <v>110.686526</v>
      </c>
      <c r="H130" s="3">
        <v>106.304326</v>
      </c>
      <c r="I130" s="3">
        <v>106.465389</v>
      </c>
      <c r="J130">
        <v>6.24</v>
      </c>
      <c r="K130">
        <v>6.71</v>
      </c>
      <c r="L130">
        <v>6.99</v>
      </c>
    </row>
    <row r="131" spans="1:12" x14ac:dyDescent="0.35">
      <c r="A131" s="2">
        <v>44384</v>
      </c>
      <c r="B131" s="3">
        <v>16.579999999999998</v>
      </c>
      <c r="C131" s="3">
        <v>45.19</v>
      </c>
      <c r="D131" s="3">
        <v>129.26</v>
      </c>
      <c r="E131" s="3">
        <v>14.73</v>
      </c>
      <c r="F131" s="3">
        <v>36.909999999999997</v>
      </c>
      <c r="G131" s="3">
        <v>110.642869</v>
      </c>
      <c r="H131" s="3">
        <v>106.918401</v>
      </c>
      <c r="I131" s="3">
        <v>107.29779600000001</v>
      </c>
      <c r="J131">
        <v>6.31</v>
      </c>
      <c r="K131">
        <v>6.7</v>
      </c>
      <c r="L131">
        <v>6.9</v>
      </c>
    </row>
    <row r="132" spans="1:12" x14ac:dyDescent="0.35">
      <c r="A132" s="2">
        <v>44385</v>
      </c>
      <c r="B132" s="3">
        <v>16.28</v>
      </c>
      <c r="C132" s="3">
        <v>44.36</v>
      </c>
      <c r="D132" s="3">
        <v>125.02</v>
      </c>
      <c r="E132" s="3">
        <v>14.69</v>
      </c>
      <c r="F132" s="3">
        <v>36.89</v>
      </c>
      <c r="G132" s="3">
        <v>111.221682</v>
      </c>
      <c r="H132" s="3">
        <v>107.42656700000001</v>
      </c>
      <c r="I132" s="3">
        <v>107.63153200000001</v>
      </c>
      <c r="J132">
        <v>6.28</v>
      </c>
      <c r="K132">
        <v>6.7</v>
      </c>
      <c r="L132">
        <v>6.86</v>
      </c>
    </row>
    <row r="133" spans="1:12" x14ac:dyDescent="0.35">
      <c r="A133" s="2">
        <v>44386</v>
      </c>
      <c r="B133" s="3">
        <v>16.71</v>
      </c>
      <c r="C133" s="3">
        <v>45.13</v>
      </c>
      <c r="D133" s="3">
        <v>127.52</v>
      </c>
      <c r="E133" s="3">
        <v>14.78</v>
      </c>
      <c r="F133" s="3">
        <v>37.03</v>
      </c>
      <c r="G133" s="3">
        <v>111.56657300000001</v>
      </c>
      <c r="H133" s="3">
        <v>107.972151</v>
      </c>
      <c r="I133" s="3">
        <v>108.199471</v>
      </c>
      <c r="J133">
        <v>6.2</v>
      </c>
      <c r="K133">
        <v>6.6</v>
      </c>
      <c r="L133">
        <v>6.79</v>
      </c>
    </row>
    <row r="134" spans="1:12" x14ac:dyDescent="0.35">
      <c r="A134" s="2">
        <v>44389</v>
      </c>
      <c r="B134" s="3">
        <v>16.579999999999998</v>
      </c>
      <c r="C134" s="3">
        <v>44.62</v>
      </c>
      <c r="D134" s="3">
        <v>127.5</v>
      </c>
      <c r="E134" s="3">
        <v>14.93</v>
      </c>
      <c r="F134" s="3">
        <v>36.950000000000003</v>
      </c>
      <c r="G134" s="3">
        <v>112.108276</v>
      </c>
      <c r="H134" s="3">
        <v>108.21826</v>
      </c>
      <c r="I134" s="3">
        <v>108.77105299999999</v>
      </c>
      <c r="J134">
        <v>6.15</v>
      </c>
      <c r="K134">
        <v>6.57</v>
      </c>
      <c r="L134">
        <v>6.77</v>
      </c>
    </row>
    <row r="135" spans="1:12" x14ac:dyDescent="0.35">
      <c r="A135" s="2">
        <v>44390</v>
      </c>
      <c r="B135" s="3">
        <v>15.93</v>
      </c>
      <c r="C135" s="3">
        <v>44.24</v>
      </c>
      <c r="D135" s="3">
        <v>126.06</v>
      </c>
      <c r="E135" s="3">
        <v>15.04</v>
      </c>
      <c r="F135" s="3">
        <v>36.06</v>
      </c>
      <c r="G135" s="3">
        <v>112.324884</v>
      </c>
      <c r="H135" s="3">
        <v>107.113263</v>
      </c>
      <c r="I135" s="3">
        <v>107.149193</v>
      </c>
      <c r="J135">
        <v>6.21</v>
      </c>
      <c r="K135">
        <v>6.7</v>
      </c>
      <c r="L135">
        <v>6.92</v>
      </c>
    </row>
    <row r="136" spans="1:12" x14ac:dyDescent="0.35">
      <c r="A136" s="2">
        <v>44391</v>
      </c>
      <c r="B136" s="3">
        <v>15.66</v>
      </c>
      <c r="C136" s="3">
        <v>43.62</v>
      </c>
      <c r="D136" s="3">
        <v>125.81</v>
      </c>
      <c r="E136" s="3">
        <v>15.94</v>
      </c>
      <c r="F136" s="3">
        <v>36.200000000000003</v>
      </c>
      <c r="G136" s="3">
        <v>111.23974</v>
      </c>
      <c r="H136" s="3">
        <v>106.984526</v>
      </c>
      <c r="I136" s="3">
        <v>107.260031</v>
      </c>
      <c r="J136">
        <v>6.16</v>
      </c>
      <c r="K136">
        <v>6.67</v>
      </c>
      <c r="L136">
        <v>6.89</v>
      </c>
    </row>
    <row r="137" spans="1:12" x14ac:dyDescent="0.35">
      <c r="A137" s="2">
        <v>44392</v>
      </c>
      <c r="B137" s="3">
        <v>15.98</v>
      </c>
      <c r="C137" s="3">
        <v>45.14</v>
      </c>
      <c r="D137" s="3">
        <v>126.78</v>
      </c>
      <c r="E137" s="3">
        <v>15.91</v>
      </c>
      <c r="F137" s="3">
        <v>36.28</v>
      </c>
      <c r="G137" s="3">
        <v>111.49578700000001</v>
      </c>
      <c r="H137" s="3">
        <v>107.268012</v>
      </c>
      <c r="I137" s="3">
        <v>107.502443</v>
      </c>
      <c r="J137">
        <v>6.1749999999999998</v>
      </c>
      <c r="K137">
        <v>6.6749999999999998</v>
      </c>
      <c r="L137">
        <v>6.9</v>
      </c>
    </row>
    <row r="138" spans="1:12" x14ac:dyDescent="0.35">
      <c r="A138" s="2">
        <v>44393</v>
      </c>
      <c r="B138" s="3">
        <v>15.71</v>
      </c>
      <c r="C138" s="3">
        <v>44.87</v>
      </c>
      <c r="D138" s="3">
        <v>126.8</v>
      </c>
      <c r="E138" s="3">
        <v>16.04</v>
      </c>
      <c r="F138" s="3">
        <v>36.29</v>
      </c>
      <c r="G138" s="3">
        <v>111.51644899999999</v>
      </c>
      <c r="H138" s="3">
        <v>107.064949</v>
      </c>
      <c r="I138" s="3">
        <v>107.161574</v>
      </c>
      <c r="J138">
        <v>6.18</v>
      </c>
      <c r="K138">
        <v>6.68</v>
      </c>
      <c r="L138">
        <v>6.94</v>
      </c>
    </row>
    <row r="139" spans="1:12" x14ac:dyDescent="0.35">
      <c r="A139" s="2">
        <v>44396</v>
      </c>
      <c r="B139" s="3">
        <v>15.37</v>
      </c>
      <c r="C139" s="3">
        <v>44.84</v>
      </c>
      <c r="D139" s="3">
        <v>123.18</v>
      </c>
      <c r="E139" s="3">
        <v>15.75</v>
      </c>
      <c r="F139" s="3">
        <v>35.369999999999997</v>
      </c>
      <c r="G139" s="3">
        <v>111.27878800000001</v>
      </c>
      <c r="H139" s="3">
        <v>107.606533</v>
      </c>
      <c r="I139" s="3">
        <v>107.634005</v>
      </c>
      <c r="J139">
        <v>6.18</v>
      </c>
      <c r="K139">
        <v>6.67</v>
      </c>
      <c r="L139">
        <v>6.86</v>
      </c>
    </row>
    <row r="140" spans="1:12" x14ac:dyDescent="0.35">
      <c r="A140" s="2">
        <v>44397</v>
      </c>
      <c r="B140" s="3">
        <v>15.88</v>
      </c>
      <c r="C140" s="3">
        <v>43.74</v>
      </c>
      <c r="D140" s="3">
        <v>124.17</v>
      </c>
      <c r="E140" s="3">
        <v>15.77</v>
      </c>
      <c r="F140" s="3">
        <v>36.9</v>
      </c>
      <c r="G140" s="3">
        <v>111.557784</v>
      </c>
      <c r="H140" s="3">
        <v>107.701296</v>
      </c>
      <c r="I140" s="3">
        <v>107.745166</v>
      </c>
      <c r="J140">
        <v>6.1950000000000003</v>
      </c>
      <c r="K140">
        <v>6.6849999999999996</v>
      </c>
      <c r="L140">
        <v>6.9050000000000002</v>
      </c>
    </row>
    <row r="141" spans="1:12" x14ac:dyDescent="0.35">
      <c r="A141" s="2">
        <v>44398</v>
      </c>
      <c r="B141" s="3">
        <v>16.55</v>
      </c>
      <c r="C141" s="3">
        <v>44.42</v>
      </c>
      <c r="D141" s="3">
        <v>127.44</v>
      </c>
      <c r="E141" s="3">
        <v>15.88</v>
      </c>
      <c r="F141" s="3">
        <v>37.94</v>
      </c>
      <c r="G141" s="3">
        <v>111.384748</v>
      </c>
      <c r="H141" s="3">
        <v>107.49730099999999</v>
      </c>
      <c r="I141" s="3">
        <v>107.76564</v>
      </c>
      <c r="J141">
        <v>6.2249999999999996</v>
      </c>
      <c r="K141">
        <v>6.7249999999999996</v>
      </c>
      <c r="L141">
        <v>6.9850000000000003</v>
      </c>
    </row>
    <row r="142" spans="1:12" x14ac:dyDescent="0.35">
      <c r="A142" s="2">
        <v>44399</v>
      </c>
      <c r="B142" s="3">
        <v>16.32</v>
      </c>
      <c r="C142" s="3">
        <v>44.79</v>
      </c>
      <c r="D142" s="3">
        <v>127.45</v>
      </c>
      <c r="E142" s="3">
        <v>15.92</v>
      </c>
      <c r="F142" s="3">
        <v>39.380000000000003</v>
      </c>
      <c r="G142" s="3">
        <v>111.125321</v>
      </c>
      <c r="H142" s="3">
        <v>106.88948000000001</v>
      </c>
      <c r="I142" s="3">
        <v>107.015123</v>
      </c>
      <c r="J142">
        <v>6.25</v>
      </c>
      <c r="K142">
        <v>6.74</v>
      </c>
      <c r="L142">
        <v>6.96</v>
      </c>
    </row>
    <row r="143" spans="1:12" x14ac:dyDescent="0.35">
      <c r="A143" s="2">
        <v>44400</v>
      </c>
      <c r="B143" s="3">
        <v>16.3</v>
      </c>
      <c r="C143" s="3">
        <v>44.79</v>
      </c>
      <c r="D143" s="3">
        <v>127.32</v>
      </c>
      <c r="E143" s="3">
        <v>15.87</v>
      </c>
      <c r="F143" s="3">
        <v>39.57</v>
      </c>
      <c r="G143" s="3">
        <v>111.081987</v>
      </c>
      <c r="H143" s="3">
        <v>106.909677</v>
      </c>
      <c r="I143" s="3">
        <v>107.21540899999999</v>
      </c>
      <c r="J143">
        <v>6.29</v>
      </c>
      <c r="K143">
        <v>6.76</v>
      </c>
      <c r="L143">
        <v>7.01</v>
      </c>
    </row>
    <row r="144" spans="1:12" x14ac:dyDescent="0.35">
      <c r="A144" s="2">
        <v>44403</v>
      </c>
      <c r="B144" s="3">
        <v>16.47</v>
      </c>
      <c r="C144" s="3">
        <v>45.34</v>
      </c>
      <c r="D144" s="3">
        <v>129.46</v>
      </c>
      <c r="E144" s="3">
        <v>16.14</v>
      </c>
      <c r="F144" s="3">
        <v>40.18</v>
      </c>
      <c r="G144" s="3">
        <v>110.718942</v>
      </c>
      <c r="H144" s="3">
        <v>106.561243</v>
      </c>
      <c r="I144" s="3">
        <v>106.16409400000001</v>
      </c>
      <c r="J144">
        <v>6.29</v>
      </c>
      <c r="K144">
        <v>6.75</v>
      </c>
      <c r="L144">
        <v>6.99</v>
      </c>
    </row>
    <row r="145" spans="1:12" x14ac:dyDescent="0.35">
      <c r="A145" s="2">
        <v>44404</v>
      </c>
      <c r="B145" s="3">
        <v>16.079999999999998</v>
      </c>
      <c r="C145" s="3">
        <v>45.67</v>
      </c>
      <c r="D145" s="3">
        <v>129.91999999999999</v>
      </c>
      <c r="E145" s="3">
        <v>16.39</v>
      </c>
      <c r="F145" s="3">
        <v>39.65</v>
      </c>
      <c r="G145" s="3">
        <v>110.803752</v>
      </c>
      <c r="H145" s="3">
        <v>107.023994</v>
      </c>
      <c r="I145" s="3">
        <v>106.451374</v>
      </c>
      <c r="J145">
        <v>6.27</v>
      </c>
      <c r="K145">
        <v>6.68</v>
      </c>
      <c r="L145">
        <v>6.94</v>
      </c>
    </row>
    <row r="146" spans="1:12" x14ac:dyDescent="0.35">
      <c r="A146" s="2">
        <v>44405</v>
      </c>
      <c r="B146" s="3">
        <v>16.760000000000002</v>
      </c>
      <c r="C146" s="3">
        <v>45.06</v>
      </c>
      <c r="D146" s="3">
        <v>129.97999999999999</v>
      </c>
      <c r="E146" s="3">
        <v>16.61</v>
      </c>
      <c r="F146" s="3">
        <v>39.159999999999997</v>
      </c>
      <c r="G146" s="3">
        <v>111.20867</v>
      </c>
      <c r="H146" s="3">
        <v>107.41466200000001</v>
      </c>
      <c r="I146" s="3">
        <v>106.561106</v>
      </c>
      <c r="J146">
        <v>6.22</v>
      </c>
      <c r="K146">
        <v>6.67</v>
      </c>
      <c r="L146">
        <v>6.92</v>
      </c>
    </row>
    <row r="147" spans="1:12" x14ac:dyDescent="0.35">
      <c r="A147" s="2">
        <v>44406</v>
      </c>
      <c r="B147" s="3">
        <v>16.97</v>
      </c>
      <c r="C147" s="3">
        <v>46.74</v>
      </c>
      <c r="D147" s="3">
        <v>131.63</v>
      </c>
      <c r="E147" s="3">
        <v>16.73</v>
      </c>
      <c r="F147" s="3">
        <v>40.99</v>
      </c>
      <c r="G147" s="3">
        <v>111.527934</v>
      </c>
      <c r="H147" s="3">
        <v>107.475044</v>
      </c>
      <c r="I147" s="3">
        <v>106.890801</v>
      </c>
      <c r="J147">
        <v>6.22</v>
      </c>
      <c r="K147">
        <v>6.67</v>
      </c>
      <c r="L147">
        <v>6.92</v>
      </c>
    </row>
    <row r="148" spans="1:12" x14ac:dyDescent="0.35">
      <c r="A148" s="2">
        <v>44407</v>
      </c>
      <c r="B148" s="3">
        <v>16.239999999999998</v>
      </c>
      <c r="C148" s="3">
        <v>45.88</v>
      </c>
      <c r="D148" s="3">
        <v>129.05000000000001</v>
      </c>
      <c r="E148" s="3">
        <v>16.68</v>
      </c>
      <c r="F148" s="3">
        <v>40.369999999999997</v>
      </c>
      <c r="G148" s="3">
        <v>111.677325</v>
      </c>
      <c r="H148" s="3">
        <v>107.49517899999999</v>
      </c>
      <c r="I148" s="3">
        <v>106.82215100000001</v>
      </c>
      <c r="J148">
        <v>6.1589999999999998</v>
      </c>
      <c r="K148">
        <v>6.6390000000000002</v>
      </c>
      <c r="L148">
        <v>6.8789999999999996</v>
      </c>
    </row>
    <row r="149" spans="1:12" x14ac:dyDescent="0.35">
      <c r="A149" s="2">
        <v>44410</v>
      </c>
      <c r="B149" s="3">
        <v>16.100000000000001</v>
      </c>
      <c r="C149" s="3">
        <v>47.71</v>
      </c>
      <c r="D149" s="3">
        <v>129.18</v>
      </c>
      <c r="E149" s="3">
        <v>16.670000000000002</v>
      </c>
      <c r="F149" s="3">
        <v>40.15</v>
      </c>
      <c r="G149" s="3">
        <v>111.698081</v>
      </c>
      <c r="H149" s="3">
        <v>107.738175</v>
      </c>
      <c r="I149" s="3">
        <v>107.111013</v>
      </c>
      <c r="J149">
        <v>6.149</v>
      </c>
      <c r="K149">
        <v>6.649</v>
      </c>
      <c r="L149">
        <v>6.899</v>
      </c>
    </row>
    <row r="150" spans="1:12" x14ac:dyDescent="0.35">
      <c r="A150" s="2">
        <v>44411</v>
      </c>
      <c r="B150" s="3">
        <v>16.5</v>
      </c>
      <c r="C150" s="3">
        <v>48.33</v>
      </c>
      <c r="D150" s="3">
        <v>133.28</v>
      </c>
      <c r="E150" s="3">
        <v>16.98</v>
      </c>
      <c r="F150" s="3">
        <v>39.86</v>
      </c>
      <c r="G150" s="3">
        <v>111.59030799999999</v>
      </c>
      <c r="H150" s="3">
        <v>107.68393500000001</v>
      </c>
      <c r="I150" s="3">
        <v>107.13165499999999</v>
      </c>
      <c r="J150">
        <v>6.1589999999999998</v>
      </c>
      <c r="K150">
        <v>6.649</v>
      </c>
      <c r="L150">
        <v>6.9279999999999999</v>
      </c>
    </row>
    <row r="151" spans="1:12" x14ac:dyDescent="0.35">
      <c r="A151" s="2">
        <v>44412</v>
      </c>
      <c r="B151" s="3">
        <v>16.32</v>
      </c>
      <c r="C151" s="3">
        <v>48.75</v>
      </c>
      <c r="D151" s="3">
        <v>129.09</v>
      </c>
      <c r="E151" s="3">
        <v>16.87</v>
      </c>
      <c r="F151" s="3">
        <v>39.01</v>
      </c>
      <c r="G151" s="3">
        <v>111.418717</v>
      </c>
      <c r="H151" s="3">
        <v>107.185652</v>
      </c>
      <c r="I151" s="3">
        <v>106.350677</v>
      </c>
      <c r="J151">
        <v>6.1539999999999999</v>
      </c>
      <c r="K151">
        <v>6.6790000000000003</v>
      </c>
      <c r="L151">
        <v>6.9640000000000004</v>
      </c>
    </row>
    <row r="152" spans="1:12" x14ac:dyDescent="0.35">
      <c r="A152" s="2">
        <v>44413</v>
      </c>
      <c r="B152" s="3">
        <v>16.079999999999998</v>
      </c>
      <c r="C152" s="3">
        <v>48.4</v>
      </c>
      <c r="D152" s="3">
        <v>128.34</v>
      </c>
      <c r="E152" s="3">
        <v>17.059999999999999</v>
      </c>
      <c r="F152" s="3">
        <v>38.92</v>
      </c>
      <c r="G152" s="3">
        <v>111.28949299999999</v>
      </c>
      <c r="H152" s="3">
        <v>107.246337</v>
      </c>
      <c r="I152" s="3">
        <v>106.412944</v>
      </c>
      <c r="J152">
        <v>6.173</v>
      </c>
      <c r="K152">
        <v>6.6779999999999999</v>
      </c>
      <c r="L152">
        <v>6.9980000000000002</v>
      </c>
    </row>
    <row r="153" spans="1:12" x14ac:dyDescent="0.35">
      <c r="A153" s="2">
        <v>44414</v>
      </c>
      <c r="B153" s="3">
        <v>16.02</v>
      </c>
      <c r="C153" s="3">
        <v>49</v>
      </c>
      <c r="D153" s="3">
        <v>129.22</v>
      </c>
      <c r="E153" s="3">
        <v>16.850000000000001</v>
      </c>
      <c r="F153" s="3">
        <v>38.619999999999997</v>
      </c>
      <c r="G153" s="3">
        <v>111.055401</v>
      </c>
      <c r="H153" s="3">
        <v>106.97203500000001</v>
      </c>
      <c r="I153" s="3">
        <v>106.08023900000001</v>
      </c>
      <c r="J153">
        <v>6.2279999999999998</v>
      </c>
      <c r="K153">
        <v>6.7480000000000002</v>
      </c>
      <c r="L153">
        <v>7.0380000000000003</v>
      </c>
    </row>
    <row r="154" spans="1:12" x14ac:dyDescent="0.35">
      <c r="A154" s="2">
        <v>44417</v>
      </c>
      <c r="B154" s="3">
        <v>15.99</v>
      </c>
      <c r="C154" s="3">
        <v>49.44</v>
      </c>
      <c r="D154" s="3">
        <v>129.03</v>
      </c>
      <c r="E154" s="3">
        <v>16.57</v>
      </c>
      <c r="F154" s="3">
        <v>37.68</v>
      </c>
      <c r="G154" s="3">
        <v>110.822204</v>
      </c>
      <c r="H154" s="3">
        <v>106.55258499999999</v>
      </c>
      <c r="I154" s="3">
        <v>105.66152599999999</v>
      </c>
      <c r="J154">
        <v>6.1879999999999997</v>
      </c>
      <c r="K154">
        <v>6.7380000000000004</v>
      </c>
      <c r="L154">
        <v>7.0380000000000003</v>
      </c>
    </row>
    <row r="155" spans="1:12" x14ac:dyDescent="0.35">
      <c r="A155" s="2">
        <v>44418</v>
      </c>
      <c r="B155" s="3">
        <v>16.04</v>
      </c>
      <c r="C155" s="3">
        <v>49.16</v>
      </c>
      <c r="D155" s="3">
        <v>129.62</v>
      </c>
      <c r="E155" s="3">
        <v>16.79</v>
      </c>
      <c r="F155" s="3">
        <v>38.67</v>
      </c>
      <c r="G155" s="3">
        <v>110.906736</v>
      </c>
      <c r="H155" s="3">
        <v>106.499928</v>
      </c>
      <c r="I155" s="3">
        <v>105.68239800000001</v>
      </c>
      <c r="J155">
        <v>6.2380000000000004</v>
      </c>
      <c r="K155">
        <v>6.7779999999999996</v>
      </c>
      <c r="L155">
        <v>7.0679999999999996</v>
      </c>
    </row>
    <row r="156" spans="1:12" x14ac:dyDescent="0.35">
      <c r="A156" s="2">
        <v>44419</v>
      </c>
      <c r="B156" s="3">
        <v>16.27</v>
      </c>
      <c r="C156" s="3">
        <v>49.69</v>
      </c>
      <c r="D156" s="3">
        <v>129.57</v>
      </c>
      <c r="E156" s="3">
        <v>16.87</v>
      </c>
      <c r="F156" s="3">
        <v>39.08</v>
      </c>
      <c r="G156" s="3">
        <v>110.73760299999999</v>
      </c>
      <c r="H156" s="3">
        <v>106.593371</v>
      </c>
      <c r="I156" s="3">
        <v>105.87873999999999</v>
      </c>
      <c r="J156">
        <v>6.2279999999999998</v>
      </c>
      <c r="K156">
        <v>6.7779999999999996</v>
      </c>
      <c r="L156">
        <v>7.0279999999999996</v>
      </c>
    </row>
    <row r="157" spans="1:12" x14ac:dyDescent="0.35">
      <c r="A157" s="2">
        <v>44420</v>
      </c>
      <c r="B157" s="3">
        <v>16.02</v>
      </c>
      <c r="C157" s="3">
        <v>48.95</v>
      </c>
      <c r="D157" s="3">
        <v>130.08000000000001</v>
      </c>
      <c r="E157" s="3">
        <v>16.98</v>
      </c>
      <c r="F157" s="3">
        <v>39.200000000000003</v>
      </c>
      <c r="G157" s="3">
        <v>110.99099</v>
      </c>
      <c r="H157" s="3">
        <v>106.94718899999999</v>
      </c>
      <c r="I157" s="3">
        <v>106.29332599999999</v>
      </c>
      <c r="J157">
        <v>6.1580000000000004</v>
      </c>
      <c r="K157">
        <v>6.7080000000000002</v>
      </c>
      <c r="L157">
        <v>6.968</v>
      </c>
    </row>
    <row r="158" spans="1:12" x14ac:dyDescent="0.35">
      <c r="A158" s="2">
        <v>44421</v>
      </c>
      <c r="B158" s="3">
        <v>16.100000000000001</v>
      </c>
      <c r="C158" s="3">
        <v>48.89</v>
      </c>
      <c r="D158" s="3">
        <v>131.29</v>
      </c>
      <c r="E158" s="3">
        <v>17.239999999999998</v>
      </c>
      <c r="F158" s="3">
        <v>38.83</v>
      </c>
      <c r="G158" s="3">
        <v>111.45697699999999</v>
      </c>
      <c r="H158" s="3">
        <v>107.48202499999999</v>
      </c>
      <c r="I158" s="3">
        <v>107.022875</v>
      </c>
      <c r="J158">
        <v>6.1379999999999999</v>
      </c>
      <c r="K158">
        <v>6.6980000000000004</v>
      </c>
      <c r="L158">
        <v>6.9580000000000002</v>
      </c>
    </row>
    <row r="159" spans="1:12" x14ac:dyDescent="0.35">
      <c r="A159" s="2">
        <v>44424</v>
      </c>
      <c r="B159" s="3">
        <v>16</v>
      </c>
      <c r="C159" s="3">
        <v>49.63</v>
      </c>
      <c r="D159" s="3">
        <v>130.55000000000001</v>
      </c>
      <c r="E159" s="3">
        <v>17.29</v>
      </c>
      <c r="F159" s="3">
        <v>38.81</v>
      </c>
      <c r="G159" s="3">
        <v>111.797037</v>
      </c>
      <c r="H159" s="3">
        <v>106.622443</v>
      </c>
      <c r="I159" s="3">
        <v>106.158827</v>
      </c>
      <c r="J159">
        <v>6.218</v>
      </c>
      <c r="K159">
        <v>6.798</v>
      </c>
      <c r="L159">
        <v>7.0579999999999998</v>
      </c>
    </row>
    <row r="160" spans="1:12" x14ac:dyDescent="0.35">
      <c r="A160" s="2">
        <v>44425</v>
      </c>
      <c r="B160" s="3">
        <v>15.81</v>
      </c>
      <c r="C160" s="3">
        <v>51.43</v>
      </c>
      <c r="D160" s="3">
        <v>132.91</v>
      </c>
      <c r="E160" s="3">
        <v>17.78</v>
      </c>
      <c r="F160" s="3">
        <v>37.880000000000003</v>
      </c>
      <c r="G160" s="3">
        <v>110.801151</v>
      </c>
      <c r="H160" s="3">
        <v>106.788832</v>
      </c>
      <c r="I160" s="3">
        <v>106.2677</v>
      </c>
      <c r="J160">
        <v>6.1980000000000004</v>
      </c>
      <c r="K160">
        <v>6.8079999999999998</v>
      </c>
      <c r="L160">
        <v>7.048</v>
      </c>
    </row>
    <row r="161" spans="1:12" x14ac:dyDescent="0.35">
      <c r="A161" s="2">
        <v>44426</v>
      </c>
      <c r="B161" s="3">
        <v>15.88</v>
      </c>
      <c r="C161" s="3">
        <v>50.99</v>
      </c>
      <c r="D161" s="3">
        <v>130.99</v>
      </c>
      <c r="E161" s="3">
        <v>18.010000000000002</v>
      </c>
      <c r="F161" s="3">
        <v>38.06</v>
      </c>
      <c r="G161" s="3">
        <v>110.94871500000001</v>
      </c>
      <c r="H161" s="3">
        <v>106.882301</v>
      </c>
      <c r="I161" s="3">
        <v>106.376654</v>
      </c>
      <c r="J161">
        <v>6.1879999999999997</v>
      </c>
      <c r="K161">
        <v>6.7880000000000003</v>
      </c>
      <c r="L161">
        <v>7.0279999999999996</v>
      </c>
    </row>
    <row r="162" spans="1:12" x14ac:dyDescent="0.35">
      <c r="A162" s="2">
        <v>44427</v>
      </c>
      <c r="B162" s="3">
        <v>15.54</v>
      </c>
      <c r="C162" s="3">
        <v>49.81</v>
      </c>
      <c r="D162" s="3">
        <v>126.59</v>
      </c>
      <c r="E162" s="3">
        <v>18.16</v>
      </c>
      <c r="F162" s="3">
        <v>37.9</v>
      </c>
      <c r="G162" s="3">
        <v>111.201903</v>
      </c>
      <c r="H162" s="3">
        <v>106.870486</v>
      </c>
      <c r="I162" s="3">
        <v>106.26315099999999</v>
      </c>
      <c r="J162">
        <v>6.1980000000000004</v>
      </c>
      <c r="K162">
        <v>6.7679999999999998</v>
      </c>
      <c r="L162">
        <v>7.0380000000000003</v>
      </c>
    </row>
    <row r="163" spans="1:12" x14ac:dyDescent="0.35">
      <c r="A163" s="2">
        <v>44428</v>
      </c>
      <c r="B163" s="3">
        <v>15.79</v>
      </c>
      <c r="C163" s="3">
        <v>49.82</v>
      </c>
      <c r="D163" s="3">
        <v>125.03</v>
      </c>
      <c r="E163" s="3">
        <v>18.649999999999999</v>
      </c>
      <c r="F163" s="3">
        <v>38.42</v>
      </c>
      <c r="G163" s="3">
        <v>111.159691</v>
      </c>
      <c r="H163" s="3">
        <v>107.110111</v>
      </c>
      <c r="I163" s="3">
        <v>106.548207</v>
      </c>
      <c r="J163">
        <v>6.1680000000000001</v>
      </c>
      <c r="K163">
        <v>6.7279999999999998</v>
      </c>
      <c r="L163">
        <v>7.0129999999999999</v>
      </c>
    </row>
    <row r="164" spans="1:12" x14ac:dyDescent="0.35">
      <c r="A164" s="2">
        <v>44431</v>
      </c>
      <c r="B164" s="3">
        <v>16.21</v>
      </c>
      <c r="C164" s="3">
        <v>49.93</v>
      </c>
      <c r="D164" s="3">
        <v>127.94</v>
      </c>
      <c r="E164" s="3">
        <v>18.78</v>
      </c>
      <c r="F164" s="3">
        <v>39.659999999999997</v>
      </c>
      <c r="G164" s="3">
        <v>111.434185</v>
      </c>
      <c r="H164" s="3">
        <v>107.203676</v>
      </c>
      <c r="I164" s="3">
        <v>106.657303</v>
      </c>
      <c r="J164">
        <v>6.16</v>
      </c>
      <c r="K164">
        <v>6.72</v>
      </c>
      <c r="L164">
        <v>7.03</v>
      </c>
    </row>
    <row r="165" spans="1:12" x14ac:dyDescent="0.35">
      <c r="A165" s="2">
        <v>44432</v>
      </c>
      <c r="B165" s="3">
        <v>16.41</v>
      </c>
      <c r="C165" s="3">
        <v>49.3</v>
      </c>
      <c r="D165" s="3">
        <v>125.58</v>
      </c>
      <c r="E165" s="3">
        <v>18.72</v>
      </c>
      <c r="F165" s="3">
        <v>39.54</v>
      </c>
      <c r="G165" s="3">
        <v>111.836592</v>
      </c>
      <c r="H165" s="3">
        <v>107.224048</v>
      </c>
      <c r="I165" s="3">
        <v>106.501769</v>
      </c>
      <c r="J165">
        <v>6.17</v>
      </c>
      <c r="K165">
        <v>6.7050000000000001</v>
      </c>
      <c r="L165">
        <v>7.0149999999999997</v>
      </c>
    </row>
    <row r="166" spans="1:12" x14ac:dyDescent="0.35">
      <c r="A166" s="2">
        <v>44433</v>
      </c>
      <c r="B166" s="3">
        <v>16.71</v>
      </c>
      <c r="C166" s="3">
        <v>49.03</v>
      </c>
      <c r="D166" s="3">
        <v>128.33000000000001</v>
      </c>
      <c r="E166" s="3">
        <v>18.77</v>
      </c>
      <c r="F166" s="3">
        <v>39.4</v>
      </c>
      <c r="G166" s="3">
        <v>111.730254</v>
      </c>
      <c r="H166" s="3">
        <v>107.244424</v>
      </c>
      <c r="I166" s="3">
        <v>106.52263600000001</v>
      </c>
      <c r="J166">
        <v>6.18</v>
      </c>
      <c r="K166">
        <v>6.73</v>
      </c>
      <c r="L166">
        <v>7.01</v>
      </c>
    </row>
    <row r="167" spans="1:12" x14ac:dyDescent="0.35">
      <c r="A167" s="2">
        <v>44434</v>
      </c>
      <c r="B167" s="3">
        <v>16.399999999999999</v>
      </c>
      <c r="C167" s="3">
        <v>49.68</v>
      </c>
      <c r="D167" s="3">
        <v>129.11000000000001</v>
      </c>
      <c r="E167" s="3">
        <v>19.07</v>
      </c>
      <c r="F167" s="3">
        <v>39.06</v>
      </c>
      <c r="G167" s="3">
        <v>111.60279199999999</v>
      </c>
      <c r="H167" s="3">
        <v>107.15942200000001</v>
      </c>
      <c r="I167" s="3">
        <v>106.585261</v>
      </c>
      <c r="J167">
        <v>6.1580000000000004</v>
      </c>
      <c r="K167">
        <v>6.7329999999999997</v>
      </c>
      <c r="L167">
        <v>7.0330000000000004</v>
      </c>
    </row>
    <row r="168" spans="1:12" x14ac:dyDescent="0.35">
      <c r="A168" s="2">
        <v>44435</v>
      </c>
      <c r="B168" s="3">
        <v>16.71</v>
      </c>
      <c r="C168" s="3">
        <v>49.7</v>
      </c>
      <c r="D168" s="3">
        <v>128.43</v>
      </c>
      <c r="E168" s="3">
        <v>19.11</v>
      </c>
      <c r="F168" s="3">
        <v>39.65</v>
      </c>
      <c r="G168" s="3">
        <v>111.497167</v>
      </c>
      <c r="H168" s="3">
        <v>107.252871</v>
      </c>
      <c r="I168" s="3">
        <v>106.782405</v>
      </c>
      <c r="J168">
        <v>6.1029999999999998</v>
      </c>
      <c r="K168">
        <v>6.6829999999999998</v>
      </c>
      <c r="L168">
        <v>6.9930000000000003</v>
      </c>
    </row>
    <row r="169" spans="1:12" x14ac:dyDescent="0.35">
      <c r="A169" s="2">
        <v>44438</v>
      </c>
      <c r="B169" s="3">
        <v>16.45</v>
      </c>
      <c r="C169" s="3">
        <v>49.82</v>
      </c>
      <c r="D169" s="3">
        <v>128.53</v>
      </c>
      <c r="E169" s="3">
        <v>19.440000000000001</v>
      </c>
      <c r="F169" s="3">
        <v>39.74</v>
      </c>
      <c r="G169" s="3">
        <v>111.70826099999999</v>
      </c>
      <c r="H169" s="3">
        <v>107.565985</v>
      </c>
      <c r="I169" s="3">
        <v>106.979907</v>
      </c>
      <c r="J169">
        <v>6.1029999999999998</v>
      </c>
      <c r="K169">
        <v>6.673</v>
      </c>
      <c r="L169">
        <v>6.9779999999999998</v>
      </c>
    </row>
    <row r="170" spans="1:12" x14ac:dyDescent="0.35">
      <c r="A170" s="2">
        <v>44439</v>
      </c>
      <c r="B170" s="3">
        <v>16.5</v>
      </c>
      <c r="C170" s="3">
        <v>50.82</v>
      </c>
      <c r="D170" s="3">
        <v>132.58000000000001</v>
      </c>
      <c r="E170" s="3">
        <v>19.77</v>
      </c>
      <c r="F170" s="3">
        <v>39.26</v>
      </c>
      <c r="G170" s="3">
        <v>111.792704</v>
      </c>
      <c r="H170" s="3">
        <v>107.586339</v>
      </c>
      <c r="I170" s="3">
        <v>107.000753</v>
      </c>
      <c r="J170">
        <v>6.1280000000000001</v>
      </c>
      <c r="K170">
        <v>6.718</v>
      </c>
      <c r="L170">
        <v>6.9779999999999998</v>
      </c>
    </row>
    <row r="171" spans="1:12" x14ac:dyDescent="0.35">
      <c r="A171" s="2">
        <v>44440</v>
      </c>
      <c r="B171" s="3">
        <v>16.21</v>
      </c>
      <c r="C171" s="3">
        <v>50.65</v>
      </c>
      <c r="D171" s="3">
        <v>128.06</v>
      </c>
      <c r="E171" s="3">
        <v>18.989999999999998</v>
      </c>
      <c r="F171" s="3">
        <v>40.159999999999997</v>
      </c>
      <c r="G171" s="3">
        <v>111.686978</v>
      </c>
      <c r="H171" s="3">
        <v>107.606697</v>
      </c>
      <c r="I171" s="3">
        <v>107.19859599999999</v>
      </c>
      <c r="J171">
        <v>6.1580000000000004</v>
      </c>
      <c r="K171">
        <v>6.7480000000000002</v>
      </c>
      <c r="L171">
        <v>6.9930000000000003</v>
      </c>
    </row>
    <row r="172" spans="1:12" x14ac:dyDescent="0.35">
      <c r="A172" s="2">
        <v>44441</v>
      </c>
      <c r="B172" s="3">
        <v>16.16</v>
      </c>
      <c r="C172" s="3">
        <v>50.37</v>
      </c>
      <c r="D172" s="3">
        <v>126.28</v>
      </c>
      <c r="E172" s="3">
        <v>19.04</v>
      </c>
      <c r="F172" s="3">
        <v>42.01</v>
      </c>
      <c r="G172" s="3">
        <v>111.68691099999999</v>
      </c>
      <c r="H172" s="3">
        <v>107.667793</v>
      </c>
      <c r="I172" s="3">
        <v>107.34971299999999</v>
      </c>
      <c r="J172">
        <v>6.1779999999999999</v>
      </c>
      <c r="K172">
        <v>6.7480000000000002</v>
      </c>
      <c r="L172">
        <v>6.9779999999999998</v>
      </c>
    </row>
    <row r="173" spans="1:12" x14ac:dyDescent="0.35">
      <c r="A173" s="2">
        <v>44442</v>
      </c>
      <c r="B173" s="3">
        <v>16.11</v>
      </c>
      <c r="C173" s="3">
        <v>49.41</v>
      </c>
      <c r="D173" s="3">
        <v>125.91</v>
      </c>
      <c r="E173" s="3">
        <v>18.77</v>
      </c>
      <c r="F173" s="3">
        <v>40.96</v>
      </c>
      <c r="G173" s="3">
        <v>111.834504</v>
      </c>
      <c r="H173" s="3">
        <v>107.761415</v>
      </c>
      <c r="I173" s="3">
        <v>107.54804799999999</v>
      </c>
      <c r="J173">
        <v>6.2279999999999998</v>
      </c>
      <c r="K173">
        <v>6.758</v>
      </c>
      <c r="L173">
        <v>6.9880000000000004</v>
      </c>
    </row>
    <row r="174" spans="1:12" x14ac:dyDescent="0.35">
      <c r="A174" s="2">
        <v>44445</v>
      </c>
      <c r="B174" s="3">
        <v>16.170000000000002</v>
      </c>
      <c r="C174" s="3">
        <v>49.97</v>
      </c>
      <c r="D174" s="3">
        <v>127.38</v>
      </c>
      <c r="E174" s="3">
        <v>19.09</v>
      </c>
      <c r="F174" s="3">
        <v>41.96</v>
      </c>
      <c r="G174" s="3">
        <v>111.729088</v>
      </c>
      <c r="H174" s="3">
        <v>107.635375</v>
      </c>
      <c r="I174" s="3">
        <v>107.48007</v>
      </c>
      <c r="J174">
        <v>6.26</v>
      </c>
      <c r="K174">
        <v>6.8</v>
      </c>
      <c r="L174">
        <v>7.01</v>
      </c>
    </row>
    <row r="175" spans="1:12" x14ac:dyDescent="0.35">
      <c r="A175" s="2">
        <v>44446</v>
      </c>
      <c r="B175" s="3">
        <v>15.78</v>
      </c>
      <c r="C175" s="3">
        <v>49.45</v>
      </c>
      <c r="D175" s="3">
        <v>128.79</v>
      </c>
      <c r="E175" s="3">
        <v>19.010000000000002</v>
      </c>
      <c r="F175" s="3">
        <v>41.7</v>
      </c>
      <c r="G175" s="3">
        <v>111.81337600000001</v>
      </c>
      <c r="H175" s="3">
        <v>107.363805</v>
      </c>
      <c r="I175" s="3">
        <v>107.146787</v>
      </c>
      <c r="J175">
        <v>6.258</v>
      </c>
      <c r="K175">
        <v>6.8079999999999998</v>
      </c>
      <c r="L175">
        <v>7.0279999999999996</v>
      </c>
    </row>
    <row r="176" spans="1:12" x14ac:dyDescent="0.35">
      <c r="A176" s="2">
        <v>44447</v>
      </c>
      <c r="B176" s="3">
        <v>15.43</v>
      </c>
      <c r="C176" s="3">
        <v>49.77</v>
      </c>
      <c r="D176" s="3">
        <v>125.45</v>
      </c>
      <c r="E176" s="3">
        <v>18.78</v>
      </c>
      <c r="F176" s="3">
        <v>41.5</v>
      </c>
      <c r="G176" s="3">
        <v>111.519035</v>
      </c>
      <c r="H176" s="3">
        <v>107.60309700000001</v>
      </c>
      <c r="I176" s="3">
        <v>107.433063</v>
      </c>
      <c r="J176">
        <v>6.218</v>
      </c>
      <c r="K176">
        <v>6.7779999999999996</v>
      </c>
      <c r="L176">
        <v>6.9779999999999998</v>
      </c>
    </row>
    <row r="177" spans="1:12" x14ac:dyDescent="0.35">
      <c r="A177" s="2">
        <v>44448</v>
      </c>
      <c r="B177" s="3">
        <v>15.28</v>
      </c>
      <c r="C177" s="3">
        <v>50.08</v>
      </c>
      <c r="D177" s="3">
        <v>126.11</v>
      </c>
      <c r="E177" s="3">
        <v>18.7</v>
      </c>
      <c r="F177" s="3">
        <v>40.96</v>
      </c>
      <c r="G177" s="3">
        <v>111.897722</v>
      </c>
      <c r="H177" s="3">
        <v>107.883645</v>
      </c>
      <c r="I177" s="3">
        <v>107.761814</v>
      </c>
      <c r="J177">
        <v>6.25</v>
      </c>
      <c r="K177">
        <v>6.77</v>
      </c>
      <c r="L177">
        <v>6.99</v>
      </c>
    </row>
    <row r="178" spans="1:12" x14ac:dyDescent="0.35">
      <c r="A178" s="2">
        <v>44449</v>
      </c>
      <c r="B178" s="3">
        <v>15.35</v>
      </c>
      <c r="C178" s="3">
        <v>50.31</v>
      </c>
      <c r="D178" s="3">
        <v>127.48</v>
      </c>
      <c r="E178" s="3">
        <v>18.809999999999999</v>
      </c>
      <c r="F178" s="3">
        <v>40.11</v>
      </c>
      <c r="G178" s="3">
        <v>112.171694</v>
      </c>
      <c r="H178" s="3">
        <v>107.90403000000001</v>
      </c>
      <c r="I178" s="3">
        <v>107.782639</v>
      </c>
      <c r="J178">
        <v>6.2380000000000004</v>
      </c>
      <c r="K178">
        <v>6.7380000000000004</v>
      </c>
      <c r="L178">
        <v>6.9580000000000002</v>
      </c>
    </row>
    <row r="179" spans="1:12" x14ac:dyDescent="0.35">
      <c r="A179" s="2">
        <v>44452</v>
      </c>
      <c r="B179" s="3">
        <v>15.22</v>
      </c>
      <c r="C179" s="3">
        <v>51.34</v>
      </c>
      <c r="D179" s="3">
        <v>127.58</v>
      </c>
      <c r="E179" s="3">
        <v>18.87</v>
      </c>
      <c r="F179" s="3">
        <v>40.450000000000003</v>
      </c>
      <c r="G179" s="3">
        <v>112.066228</v>
      </c>
      <c r="H179" s="3">
        <v>107.705229</v>
      </c>
      <c r="I179" s="3">
        <v>107.44883400000001</v>
      </c>
      <c r="J179">
        <v>6.2380000000000004</v>
      </c>
      <c r="K179">
        <v>6.7779999999999996</v>
      </c>
      <c r="L179">
        <v>6.9980000000000002</v>
      </c>
    </row>
    <row r="180" spans="1:12" x14ac:dyDescent="0.35">
      <c r="A180" s="2">
        <v>44453</v>
      </c>
      <c r="B180" s="3">
        <v>15.28</v>
      </c>
      <c r="C180" s="3">
        <v>55.35</v>
      </c>
      <c r="D180" s="3">
        <v>128.52000000000001</v>
      </c>
      <c r="E180" s="3">
        <v>18.86</v>
      </c>
      <c r="F180" s="3">
        <v>40.76</v>
      </c>
      <c r="G180" s="3">
        <v>111.982131</v>
      </c>
      <c r="H180" s="3">
        <v>107.746109</v>
      </c>
      <c r="I180" s="3">
        <v>107.49059699999999</v>
      </c>
      <c r="J180">
        <v>6.2229999999999999</v>
      </c>
      <c r="K180">
        <v>6.798</v>
      </c>
      <c r="L180">
        <v>6.9980000000000002</v>
      </c>
    </row>
    <row r="181" spans="1:12" x14ac:dyDescent="0.35">
      <c r="A181" s="2">
        <v>44454</v>
      </c>
      <c r="B181" s="3">
        <v>15.16</v>
      </c>
      <c r="C181" s="3">
        <v>56</v>
      </c>
      <c r="D181" s="3">
        <v>130.75</v>
      </c>
      <c r="E181" s="3">
        <v>18.829999999999998</v>
      </c>
      <c r="F181" s="3">
        <v>40.81</v>
      </c>
      <c r="G181" s="3">
        <v>112.045479</v>
      </c>
      <c r="H181" s="3">
        <v>107.953369</v>
      </c>
      <c r="I181" s="3">
        <v>107.730271</v>
      </c>
      <c r="J181">
        <v>6.2229999999999999</v>
      </c>
      <c r="K181">
        <v>6.8129999999999997</v>
      </c>
      <c r="L181">
        <v>7.0030000000000001</v>
      </c>
    </row>
    <row r="182" spans="1:12" x14ac:dyDescent="0.35">
      <c r="A182" s="2">
        <v>44456</v>
      </c>
      <c r="B182" s="3">
        <v>14.6</v>
      </c>
      <c r="C182" s="3">
        <v>56.23</v>
      </c>
      <c r="D182" s="3">
        <v>126.08</v>
      </c>
      <c r="E182" s="3">
        <v>18.239999999999998</v>
      </c>
      <c r="F182" s="3">
        <v>41.35</v>
      </c>
      <c r="G182" s="3">
        <v>112.003626</v>
      </c>
      <c r="H182" s="3">
        <v>107.97379599999999</v>
      </c>
      <c r="I182" s="3">
        <v>107.751148</v>
      </c>
      <c r="J182">
        <v>6.27</v>
      </c>
      <c r="K182">
        <v>6.87</v>
      </c>
      <c r="L182">
        <v>7.08</v>
      </c>
    </row>
    <row r="183" spans="1:12" x14ac:dyDescent="0.35">
      <c r="A183" s="2">
        <v>44459</v>
      </c>
      <c r="B183" s="3">
        <v>14.19</v>
      </c>
      <c r="C183" s="3">
        <v>57.91</v>
      </c>
      <c r="D183" s="3">
        <v>122.93</v>
      </c>
      <c r="E183" s="3">
        <v>18.09</v>
      </c>
      <c r="F183" s="3">
        <v>40.049999999999997</v>
      </c>
      <c r="G183" s="3">
        <v>111.710658</v>
      </c>
      <c r="H183" s="3">
        <v>107.412372</v>
      </c>
      <c r="I183" s="3">
        <v>107.154439</v>
      </c>
      <c r="J183">
        <v>6.31</v>
      </c>
      <c r="K183">
        <v>6.97</v>
      </c>
      <c r="L183">
        <v>7.16</v>
      </c>
    </row>
    <row r="184" spans="1:12" x14ac:dyDescent="0.35">
      <c r="A184" s="2">
        <v>44460</v>
      </c>
      <c r="B184" s="3">
        <v>14.36</v>
      </c>
      <c r="C184" s="3">
        <v>57.88</v>
      </c>
      <c r="D184" s="3">
        <v>123.14</v>
      </c>
      <c r="E184" s="3">
        <v>18.14</v>
      </c>
      <c r="F184" s="3">
        <v>40.869999999999997</v>
      </c>
      <c r="G184" s="3">
        <v>111.231821</v>
      </c>
      <c r="H184" s="3">
        <v>106.927272</v>
      </c>
      <c r="I184" s="3">
        <v>106.649984</v>
      </c>
      <c r="J184">
        <v>6.3479999999999999</v>
      </c>
      <c r="K184">
        <v>6.9480000000000004</v>
      </c>
      <c r="L184">
        <v>7.1580000000000004</v>
      </c>
    </row>
    <row r="185" spans="1:12" x14ac:dyDescent="0.35">
      <c r="A185" s="2">
        <v>44461</v>
      </c>
      <c r="B185" s="3">
        <v>14.69</v>
      </c>
      <c r="C185" s="3">
        <v>58.28</v>
      </c>
      <c r="D185" s="3">
        <v>126.35</v>
      </c>
      <c r="E185" s="3">
        <v>18.309999999999999</v>
      </c>
      <c r="F185" s="3">
        <v>42.18</v>
      </c>
      <c r="G185" s="3">
        <v>111.19092000000001</v>
      </c>
      <c r="H185" s="3">
        <v>106.947935</v>
      </c>
      <c r="I185" s="3">
        <v>106.758335</v>
      </c>
      <c r="J185">
        <v>6.3840000000000003</v>
      </c>
      <c r="K185">
        <v>6.9640000000000004</v>
      </c>
      <c r="L185">
        <v>7.1340000000000003</v>
      </c>
    </row>
    <row r="186" spans="1:12" x14ac:dyDescent="0.35">
      <c r="A186" s="2">
        <v>44462</v>
      </c>
      <c r="B186" s="3">
        <v>15.11</v>
      </c>
      <c r="C186" s="3">
        <v>58.31</v>
      </c>
      <c r="D186" s="3">
        <v>126.05</v>
      </c>
      <c r="E186" s="3">
        <v>18.2</v>
      </c>
      <c r="F186" s="3">
        <v>42.39</v>
      </c>
      <c r="G186" s="3">
        <v>111.317395</v>
      </c>
      <c r="H186" s="3">
        <v>106.93802700000001</v>
      </c>
      <c r="I186" s="3">
        <v>106.646985</v>
      </c>
      <c r="J186">
        <v>6.444</v>
      </c>
      <c r="K186">
        <v>6.9340000000000002</v>
      </c>
      <c r="L186">
        <v>7.1639999999999997</v>
      </c>
    </row>
    <row r="187" spans="1:12" x14ac:dyDescent="0.35">
      <c r="A187" s="2">
        <v>44463</v>
      </c>
      <c r="B187" s="3">
        <v>14.79</v>
      </c>
      <c r="C187" s="3">
        <v>56.62</v>
      </c>
      <c r="D187" s="3">
        <v>128.46</v>
      </c>
      <c r="E187" s="3">
        <v>18.059999999999999</v>
      </c>
      <c r="F187" s="3">
        <v>42.02</v>
      </c>
      <c r="G187" s="3">
        <v>111.0902</v>
      </c>
      <c r="H187" s="3">
        <v>106.815096</v>
      </c>
      <c r="I187" s="3">
        <v>106.494011</v>
      </c>
      <c r="J187">
        <v>6.5039999999999996</v>
      </c>
      <c r="K187">
        <v>6.9939999999999998</v>
      </c>
      <c r="L187">
        <v>7.194</v>
      </c>
    </row>
    <row r="188" spans="1:12" x14ac:dyDescent="0.35">
      <c r="A188" s="2">
        <v>44466</v>
      </c>
      <c r="B188" s="3">
        <v>15.18</v>
      </c>
      <c r="C188" s="3">
        <v>56.31</v>
      </c>
      <c r="D188" s="3">
        <v>132.62</v>
      </c>
      <c r="E188" s="3">
        <v>18.12</v>
      </c>
      <c r="F188" s="3">
        <v>42.36</v>
      </c>
      <c r="G188" s="3">
        <v>110.802027</v>
      </c>
      <c r="H188" s="3">
        <v>106.620904</v>
      </c>
      <c r="I188" s="3">
        <v>106.254811</v>
      </c>
      <c r="J188">
        <v>6.5339999999999998</v>
      </c>
      <c r="K188">
        <v>7.0439999999999996</v>
      </c>
      <c r="L188">
        <v>7.2439999999999998</v>
      </c>
    </row>
    <row r="189" spans="1:12" x14ac:dyDescent="0.35">
      <c r="A189" s="2">
        <v>44467</v>
      </c>
      <c r="B189" s="3">
        <v>14.9</v>
      </c>
      <c r="C189" s="3">
        <v>55.32</v>
      </c>
      <c r="D189" s="3">
        <v>130.58000000000001</v>
      </c>
      <c r="E189" s="3">
        <v>17.93</v>
      </c>
      <c r="F189" s="3">
        <v>41.55</v>
      </c>
      <c r="G189" s="3">
        <v>110.576752</v>
      </c>
      <c r="H189" s="3">
        <v>105.575776</v>
      </c>
      <c r="I189" s="3">
        <v>104.987748</v>
      </c>
      <c r="J189">
        <v>6.6040000000000001</v>
      </c>
      <c r="K189">
        <v>7.0839999999999996</v>
      </c>
      <c r="L189">
        <v>7.3390000000000004</v>
      </c>
    </row>
    <row r="190" spans="1:12" x14ac:dyDescent="0.35">
      <c r="A190" s="2">
        <v>44468</v>
      </c>
      <c r="B190" s="3">
        <v>14.66</v>
      </c>
      <c r="C190" s="3">
        <v>57.83</v>
      </c>
      <c r="D190" s="3">
        <v>131.88999999999999</v>
      </c>
      <c r="E190" s="3">
        <v>18.100000000000001</v>
      </c>
      <c r="F190" s="3">
        <v>42</v>
      </c>
      <c r="G190" s="3">
        <v>110.106978</v>
      </c>
      <c r="H190" s="3">
        <v>105.385317</v>
      </c>
      <c r="I190" s="3">
        <v>104.75404</v>
      </c>
      <c r="J190">
        <v>6.5640000000000001</v>
      </c>
      <c r="K190">
        <v>7.1539999999999999</v>
      </c>
      <c r="L190">
        <v>7.3440000000000003</v>
      </c>
    </row>
    <row r="191" spans="1:12" x14ac:dyDescent="0.35">
      <c r="A191" s="2">
        <v>44469</v>
      </c>
      <c r="B191" s="3">
        <v>14.89</v>
      </c>
      <c r="C191" s="3">
        <v>58.04</v>
      </c>
      <c r="D191" s="3">
        <v>132.57</v>
      </c>
      <c r="E191" s="3">
        <v>18.260000000000002</v>
      </c>
      <c r="F191" s="3">
        <v>41.61</v>
      </c>
      <c r="G191" s="3">
        <v>109.92791699999999</v>
      </c>
      <c r="H191" s="3">
        <v>105.378142</v>
      </c>
      <c r="I191" s="3">
        <v>104.987914</v>
      </c>
      <c r="J191">
        <v>6.5839999999999996</v>
      </c>
      <c r="K191">
        <v>7.1740000000000004</v>
      </c>
      <c r="L191">
        <v>7.3789999999999996</v>
      </c>
    </row>
    <row r="192" spans="1:12" x14ac:dyDescent="0.35">
      <c r="A192" s="2">
        <v>44470</v>
      </c>
      <c r="B192" s="3">
        <v>14.67</v>
      </c>
      <c r="C192" s="3">
        <v>57.3</v>
      </c>
      <c r="D192" s="3">
        <v>133.56</v>
      </c>
      <c r="E192" s="3">
        <v>18.059999999999999</v>
      </c>
      <c r="F192" s="3">
        <v>41.99</v>
      </c>
      <c r="G192" s="3">
        <v>110.19416</v>
      </c>
      <c r="H192" s="3">
        <v>105.188669</v>
      </c>
      <c r="I192" s="3">
        <v>104.75465</v>
      </c>
      <c r="J192">
        <v>6.5640000000000001</v>
      </c>
      <c r="K192">
        <v>7.1040000000000001</v>
      </c>
      <c r="L192">
        <v>7.3940000000000001</v>
      </c>
    </row>
    <row r="193" spans="1:12" x14ac:dyDescent="0.35">
      <c r="A193" s="2">
        <v>44473</v>
      </c>
      <c r="B193" s="3">
        <v>14.46</v>
      </c>
      <c r="C193" s="3">
        <v>57.29</v>
      </c>
      <c r="D193" s="3">
        <v>134.1</v>
      </c>
      <c r="E193" s="3">
        <v>18.100000000000001</v>
      </c>
      <c r="F193" s="3">
        <v>41</v>
      </c>
      <c r="G193" s="3">
        <v>109.910698</v>
      </c>
      <c r="H193" s="3">
        <v>105.27989100000001</v>
      </c>
      <c r="I193" s="3">
        <v>104.860775</v>
      </c>
      <c r="J193">
        <v>6.6340000000000003</v>
      </c>
      <c r="K193">
        <v>7.1890000000000001</v>
      </c>
      <c r="L193">
        <v>7.5039999999999996</v>
      </c>
    </row>
    <row r="194" spans="1:12" x14ac:dyDescent="0.35">
      <c r="A194" s="2">
        <v>44474</v>
      </c>
      <c r="B194" s="3">
        <v>14.08</v>
      </c>
      <c r="C194" s="3">
        <v>57.98</v>
      </c>
      <c r="D194" s="3">
        <v>135.32</v>
      </c>
      <c r="E194" s="3">
        <v>18.059999999999999</v>
      </c>
      <c r="F194" s="3">
        <v>41.16</v>
      </c>
      <c r="G194" s="3">
        <v>109.325515</v>
      </c>
      <c r="H194" s="3">
        <v>103.979725</v>
      </c>
      <c r="I194" s="3">
        <v>103.62084299999999</v>
      </c>
      <c r="J194">
        <v>6.7140000000000004</v>
      </c>
      <c r="K194">
        <v>7.2590000000000003</v>
      </c>
      <c r="L194">
        <v>7.609</v>
      </c>
    </row>
    <row r="195" spans="1:12" x14ac:dyDescent="0.35">
      <c r="A195" s="2">
        <v>44475</v>
      </c>
      <c r="B195" s="3">
        <v>13.88</v>
      </c>
      <c r="C195" s="3">
        <v>59.34</v>
      </c>
      <c r="D195" s="3">
        <v>135.47</v>
      </c>
      <c r="E195" s="3">
        <v>17.78</v>
      </c>
      <c r="F195" s="3">
        <v>41.22</v>
      </c>
      <c r="G195" s="3">
        <v>108.865193</v>
      </c>
      <c r="H195" s="3">
        <v>104.20822099999999</v>
      </c>
      <c r="I195" s="3">
        <v>103.97659899999999</v>
      </c>
      <c r="J195">
        <v>6.7240000000000002</v>
      </c>
      <c r="K195">
        <v>7.2489999999999997</v>
      </c>
      <c r="L195">
        <v>7.5590000000000002</v>
      </c>
    </row>
    <row r="196" spans="1:12" x14ac:dyDescent="0.35">
      <c r="A196" s="2">
        <v>44476</v>
      </c>
      <c r="B196" s="3">
        <v>13.78</v>
      </c>
      <c r="C196" s="3">
        <v>58.3</v>
      </c>
      <c r="D196" s="3">
        <v>132.82</v>
      </c>
      <c r="E196" s="3">
        <v>17.84</v>
      </c>
      <c r="F196" s="3">
        <v>41.91</v>
      </c>
      <c r="G196" s="3">
        <v>109.17249099999999</v>
      </c>
      <c r="H196" s="3">
        <v>104.61845599999999</v>
      </c>
      <c r="I196" s="3">
        <v>104.29263400000001</v>
      </c>
      <c r="J196">
        <v>6.6840000000000002</v>
      </c>
      <c r="K196">
        <v>7.2140000000000004</v>
      </c>
      <c r="L196">
        <v>7.524</v>
      </c>
    </row>
    <row r="197" spans="1:12" x14ac:dyDescent="0.35">
      <c r="A197" s="2">
        <v>44477</v>
      </c>
      <c r="B197" s="3">
        <v>13.61</v>
      </c>
      <c r="C197" s="3">
        <v>58.75</v>
      </c>
      <c r="D197" s="3">
        <v>134.96</v>
      </c>
      <c r="E197" s="3">
        <v>17.95</v>
      </c>
      <c r="F197" s="3">
        <v>41.96</v>
      </c>
      <c r="G197" s="3">
        <v>109.617332</v>
      </c>
      <c r="H197" s="3">
        <v>104.57039</v>
      </c>
      <c r="I197" s="3">
        <v>104.06256999999999</v>
      </c>
      <c r="J197">
        <v>6.6840000000000002</v>
      </c>
      <c r="K197">
        <v>7.2240000000000002</v>
      </c>
      <c r="L197">
        <v>7.484</v>
      </c>
    </row>
    <row r="198" spans="1:12" x14ac:dyDescent="0.35">
      <c r="A198" s="2">
        <v>44480</v>
      </c>
      <c r="B198" s="3">
        <v>13.94</v>
      </c>
      <c r="C198" s="3">
        <v>57.59</v>
      </c>
      <c r="D198" s="3">
        <v>136.12</v>
      </c>
      <c r="E198" s="3">
        <v>18.11</v>
      </c>
      <c r="F198" s="3">
        <v>42.13</v>
      </c>
      <c r="G198" s="3">
        <v>109.458017</v>
      </c>
      <c r="H198" s="3">
        <v>104.73042100000001</v>
      </c>
      <c r="I198" s="3">
        <v>104.419595</v>
      </c>
      <c r="J198">
        <v>6.7190000000000003</v>
      </c>
      <c r="K198">
        <v>7.2489999999999997</v>
      </c>
      <c r="L198">
        <v>7.5090000000000003</v>
      </c>
    </row>
    <row r="199" spans="1:12" x14ac:dyDescent="0.35">
      <c r="A199" s="2">
        <v>44481</v>
      </c>
      <c r="B199" s="3">
        <v>14.35</v>
      </c>
      <c r="C199" s="3">
        <v>55.54</v>
      </c>
      <c r="D199" s="3">
        <v>137.16</v>
      </c>
      <c r="E199" s="3">
        <v>18.190000000000001</v>
      </c>
      <c r="F199" s="3">
        <v>43.97</v>
      </c>
      <c r="G199" s="3">
        <v>109.41976699999999</v>
      </c>
      <c r="H199" s="3">
        <v>104.751698</v>
      </c>
      <c r="I199" s="3">
        <v>104.35705</v>
      </c>
      <c r="J199">
        <v>6.7140000000000004</v>
      </c>
      <c r="K199">
        <v>7.2240000000000002</v>
      </c>
      <c r="L199">
        <v>7.444</v>
      </c>
    </row>
    <row r="200" spans="1:12" x14ac:dyDescent="0.35">
      <c r="A200" s="2">
        <v>44482</v>
      </c>
      <c r="B200" s="3">
        <v>14.07</v>
      </c>
      <c r="C200" s="3">
        <v>56.87</v>
      </c>
      <c r="D200" s="3">
        <v>138.13</v>
      </c>
      <c r="E200" s="3">
        <v>18.149999999999999</v>
      </c>
      <c r="F200" s="3">
        <v>44.4</v>
      </c>
      <c r="G200" s="3">
        <v>109.743982</v>
      </c>
      <c r="H200" s="3">
        <v>105.330113</v>
      </c>
      <c r="I200" s="3">
        <v>105.053172</v>
      </c>
      <c r="J200">
        <v>6.6539999999999999</v>
      </c>
      <c r="K200">
        <v>7.194</v>
      </c>
      <c r="L200">
        <v>7.4039999999999999</v>
      </c>
    </row>
    <row r="201" spans="1:12" x14ac:dyDescent="0.35">
      <c r="A201" s="2">
        <v>44483</v>
      </c>
      <c r="B201" s="3">
        <v>14.64</v>
      </c>
      <c r="C201" s="3">
        <v>57.17</v>
      </c>
      <c r="D201" s="3">
        <v>135.97</v>
      </c>
      <c r="E201" s="3">
        <v>18.25</v>
      </c>
      <c r="F201" s="3">
        <v>44.83</v>
      </c>
      <c r="G201" s="3">
        <v>110.173753</v>
      </c>
      <c r="H201" s="3">
        <v>105.46352</v>
      </c>
      <c r="I201" s="3">
        <v>105.202106</v>
      </c>
      <c r="J201">
        <v>6.6950000000000003</v>
      </c>
      <c r="K201">
        <v>7.1749999999999998</v>
      </c>
      <c r="L201">
        <v>7.4249999999999998</v>
      </c>
    </row>
    <row r="202" spans="1:12" x14ac:dyDescent="0.35">
      <c r="A202" s="2">
        <v>44484</v>
      </c>
      <c r="B202" s="3">
        <v>14.72</v>
      </c>
      <c r="C202" s="3">
        <v>57.88</v>
      </c>
      <c r="D202" s="3">
        <v>139.96</v>
      </c>
      <c r="E202" s="3">
        <v>18.5</v>
      </c>
      <c r="F202" s="3">
        <v>45.63</v>
      </c>
      <c r="G202" s="3">
        <v>110.07435099999999</v>
      </c>
      <c r="H202" s="3">
        <v>105.554613</v>
      </c>
      <c r="I202" s="3">
        <v>105.308314</v>
      </c>
      <c r="J202">
        <v>6.7549999999999999</v>
      </c>
      <c r="K202">
        <v>7.2350000000000003</v>
      </c>
      <c r="L202">
        <v>7.4649999999999999</v>
      </c>
    </row>
    <row r="203" spans="1:12" x14ac:dyDescent="0.35">
      <c r="A203" s="2">
        <v>44487</v>
      </c>
      <c r="B203" s="3">
        <v>14.72</v>
      </c>
      <c r="C203" s="3">
        <v>59.63</v>
      </c>
      <c r="D203" s="3">
        <v>138.41999999999999</v>
      </c>
      <c r="E203" s="3">
        <v>18.440000000000001</v>
      </c>
      <c r="F203" s="3">
        <v>45.36</v>
      </c>
      <c r="G203" s="3">
        <v>109.854226</v>
      </c>
      <c r="H203" s="3">
        <v>105.296515</v>
      </c>
      <c r="I203" s="3">
        <v>105.075604</v>
      </c>
      <c r="J203">
        <v>6.8449999999999998</v>
      </c>
      <c r="K203">
        <v>7.2949999999999999</v>
      </c>
      <c r="L203">
        <v>7.5149999999999997</v>
      </c>
    </row>
    <row r="204" spans="1:12" x14ac:dyDescent="0.35">
      <c r="A204" s="2">
        <v>44488</v>
      </c>
      <c r="B204" s="3">
        <v>14.38</v>
      </c>
      <c r="C204" s="3">
        <v>57.63</v>
      </c>
      <c r="D204" s="3">
        <v>138.91999999999999</v>
      </c>
      <c r="E204" s="3">
        <v>18.25</v>
      </c>
      <c r="F204" s="3">
        <v>45.6</v>
      </c>
      <c r="G204" s="3">
        <v>109.574707</v>
      </c>
      <c r="H204" s="3">
        <v>104.970105</v>
      </c>
      <c r="I204" s="3">
        <v>104.759598</v>
      </c>
      <c r="J204">
        <v>6.8550000000000004</v>
      </c>
      <c r="K204">
        <v>7.2850000000000001</v>
      </c>
      <c r="L204">
        <v>7.4749999999999996</v>
      </c>
    </row>
    <row r="205" spans="1:12" x14ac:dyDescent="0.35">
      <c r="A205" s="2">
        <v>44489</v>
      </c>
      <c r="B205" s="3">
        <v>14.47</v>
      </c>
      <c r="C205" s="3">
        <v>57.88</v>
      </c>
      <c r="D205" s="3">
        <v>140.04</v>
      </c>
      <c r="E205" s="3">
        <v>17.88</v>
      </c>
      <c r="F205" s="3">
        <v>47.32</v>
      </c>
      <c r="G205" s="3">
        <v>109.777627</v>
      </c>
      <c r="H205" s="3">
        <v>105.26933200000001</v>
      </c>
      <c r="I205" s="3">
        <v>105.03398199999999</v>
      </c>
      <c r="J205">
        <v>6.8849999999999998</v>
      </c>
      <c r="K205">
        <v>7.3449999999999998</v>
      </c>
      <c r="L205">
        <v>7.5149999999999997</v>
      </c>
    </row>
    <row r="206" spans="1:12" x14ac:dyDescent="0.35">
      <c r="A206" s="2">
        <v>44490</v>
      </c>
      <c r="B206" s="3">
        <v>14.09</v>
      </c>
      <c r="C206" s="3">
        <v>57.64</v>
      </c>
      <c r="D206" s="3">
        <v>139.27000000000001</v>
      </c>
      <c r="E206" s="3">
        <v>17.489999999999998</v>
      </c>
      <c r="F206" s="3">
        <v>47.16</v>
      </c>
      <c r="G206" s="3">
        <v>109.72350400000001</v>
      </c>
      <c r="H206" s="3">
        <v>105.055323</v>
      </c>
      <c r="I206" s="3">
        <v>104.76146199999999</v>
      </c>
      <c r="J206">
        <v>6.9550000000000001</v>
      </c>
      <c r="K206">
        <v>7.415</v>
      </c>
      <c r="L206">
        <v>7.6050000000000004</v>
      </c>
    </row>
    <row r="207" spans="1:12" x14ac:dyDescent="0.35">
      <c r="A207" s="2">
        <v>44491</v>
      </c>
      <c r="B207" s="3">
        <v>13.62</v>
      </c>
      <c r="C207" s="3">
        <v>56.51</v>
      </c>
      <c r="D207" s="3">
        <v>138.85</v>
      </c>
      <c r="E207" s="3">
        <v>17.440000000000001</v>
      </c>
      <c r="F207" s="3">
        <v>46.86</v>
      </c>
      <c r="G207" s="3">
        <v>109.20590300000001</v>
      </c>
      <c r="H207" s="3">
        <v>104.455341</v>
      </c>
      <c r="I207" s="3">
        <v>103.947417</v>
      </c>
      <c r="J207">
        <v>6.9370000000000003</v>
      </c>
      <c r="K207">
        <v>7.3890000000000002</v>
      </c>
      <c r="L207">
        <v>7.5720000000000001</v>
      </c>
    </row>
    <row r="208" spans="1:12" x14ac:dyDescent="0.35">
      <c r="A208" s="2">
        <v>44494</v>
      </c>
      <c r="B208" s="3">
        <v>13.79</v>
      </c>
      <c r="C208" s="3">
        <v>56.62</v>
      </c>
      <c r="D208" s="3">
        <v>137.1</v>
      </c>
      <c r="E208" s="3">
        <v>17.64</v>
      </c>
      <c r="F208" s="3">
        <v>46.09</v>
      </c>
      <c r="G208" s="3">
        <v>109.22821399999999</v>
      </c>
      <c r="H208" s="3">
        <v>104.476787</v>
      </c>
      <c r="I208" s="3">
        <v>103.969036</v>
      </c>
      <c r="J208">
        <v>7.0389999999999997</v>
      </c>
      <c r="K208">
        <v>7.4740000000000002</v>
      </c>
      <c r="L208">
        <v>7.5839999999999996</v>
      </c>
    </row>
    <row r="209" spans="1:12" x14ac:dyDescent="0.35">
      <c r="A209" s="2">
        <v>44495</v>
      </c>
      <c r="B209" s="3">
        <v>13.87</v>
      </c>
      <c r="C209" s="3">
        <v>57.44</v>
      </c>
      <c r="D209" s="3">
        <v>140.11000000000001</v>
      </c>
      <c r="E209" s="3">
        <v>18</v>
      </c>
      <c r="F209" s="3">
        <v>45.43</v>
      </c>
      <c r="G209" s="3">
        <v>109.250529</v>
      </c>
      <c r="H209" s="3">
        <v>104.567001</v>
      </c>
      <c r="I209" s="3">
        <v>104.073775</v>
      </c>
      <c r="J209">
        <v>7.0039999999999996</v>
      </c>
      <c r="K209">
        <v>7.4340000000000002</v>
      </c>
      <c r="L209">
        <v>7.5839999999999996</v>
      </c>
    </row>
    <row r="210" spans="1:12" x14ac:dyDescent="0.35">
      <c r="A210" s="2">
        <v>44496</v>
      </c>
      <c r="B210" s="3">
        <v>13.86</v>
      </c>
      <c r="C210" s="3">
        <v>57.51</v>
      </c>
      <c r="D210" s="3">
        <v>133.11000000000001</v>
      </c>
      <c r="E210" s="3">
        <v>18.29</v>
      </c>
      <c r="F210" s="3">
        <v>44.18</v>
      </c>
      <c r="G210" s="3">
        <v>109.3326</v>
      </c>
      <c r="H210" s="3">
        <v>104.657251</v>
      </c>
      <c r="I210" s="3">
        <v>104.178589</v>
      </c>
      <c r="J210">
        <v>6.9740000000000002</v>
      </c>
      <c r="K210">
        <v>7.4039999999999999</v>
      </c>
      <c r="L210">
        <v>7.5339999999999998</v>
      </c>
    </row>
    <row r="211" spans="1:12" x14ac:dyDescent="0.35">
      <c r="A211" s="2">
        <v>44497</v>
      </c>
      <c r="B211" s="3">
        <v>13.51</v>
      </c>
      <c r="C211" s="3">
        <v>56.28</v>
      </c>
      <c r="D211" s="3">
        <v>130.74</v>
      </c>
      <c r="E211" s="3">
        <v>18.21</v>
      </c>
      <c r="F211" s="3">
        <v>43.54</v>
      </c>
      <c r="G211" s="3">
        <v>109.399536</v>
      </c>
      <c r="H211" s="3">
        <v>104.790385</v>
      </c>
      <c r="I211" s="3">
        <v>104.49348999999999</v>
      </c>
      <c r="J211">
        <v>7.0540000000000003</v>
      </c>
      <c r="K211">
        <v>7.4240000000000004</v>
      </c>
      <c r="L211">
        <v>7.5540000000000003</v>
      </c>
    </row>
    <row r="212" spans="1:12" x14ac:dyDescent="0.35">
      <c r="A212" s="2">
        <v>44498</v>
      </c>
      <c r="B212" s="3">
        <v>13.24</v>
      </c>
      <c r="C212" s="3">
        <v>60.94</v>
      </c>
      <c r="D212" s="3">
        <v>130.35</v>
      </c>
      <c r="E212" s="3">
        <v>18.350000000000001</v>
      </c>
      <c r="F212" s="3">
        <v>43.22</v>
      </c>
      <c r="G212" s="3">
        <v>109.444183</v>
      </c>
      <c r="H212" s="3">
        <v>104.833249</v>
      </c>
      <c r="I212" s="3">
        <v>104.62019600000001</v>
      </c>
      <c r="J212">
        <v>7.0940000000000003</v>
      </c>
      <c r="K212">
        <v>7.4039999999999999</v>
      </c>
      <c r="L212">
        <v>7.4939999999999998</v>
      </c>
    </row>
    <row r="213" spans="1:12" x14ac:dyDescent="0.35">
      <c r="A213" s="2">
        <v>44501</v>
      </c>
      <c r="B213" s="3">
        <v>13.18</v>
      </c>
      <c r="C213" s="3">
        <v>62.86</v>
      </c>
      <c r="D213" s="3">
        <v>127</v>
      </c>
      <c r="E213" s="3">
        <v>18.48</v>
      </c>
      <c r="F213" s="3">
        <v>44.27</v>
      </c>
      <c r="G213" s="3">
        <v>109.825299</v>
      </c>
      <c r="H213" s="3">
        <v>105.061408</v>
      </c>
      <c r="I213" s="3">
        <v>104.809077</v>
      </c>
      <c r="J213">
        <v>7.1689999999999996</v>
      </c>
      <c r="K213">
        <v>7.4740000000000002</v>
      </c>
      <c r="L213">
        <v>7.5839999999999996</v>
      </c>
    </row>
    <row r="214" spans="1:12" x14ac:dyDescent="0.35">
      <c r="A214" s="2">
        <v>44503</v>
      </c>
      <c r="B214" s="3">
        <v>13.05</v>
      </c>
      <c r="C214" s="3">
        <v>61.98</v>
      </c>
      <c r="D214" s="3">
        <v>132.9</v>
      </c>
      <c r="E214" s="3">
        <v>18.46</v>
      </c>
      <c r="F214" s="3">
        <v>43.99</v>
      </c>
      <c r="G214" s="3">
        <v>109.250578</v>
      </c>
      <c r="H214" s="3">
        <v>104.73864500000001</v>
      </c>
      <c r="I214" s="3">
        <v>104.413179</v>
      </c>
      <c r="J214">
        <v>7.1989999999999998</v>
      </c>
      <c r="K214">
        <v>7.4539999999999997</v>
      </c>
      <c r="L214">
        <v>7.5439999999999996</v>
      </c>
    </row>
    <row r="215" spans="1:12" x14ac:dyDescent="0.35">
      <c r="A215" s="2">
        <v>44504</v>
      </c>
      <c r="B215" s="3">
        <v>12.71</v>
      </c>
      <c r="C215" s="3">
        <v>62.91</v>
      </c>
      <c r="D215" s="3">
        <v>131.86000000000001</v>
      </c>
      <c r="E215" s="3">
        <v>18.46</v>
      </c>
      <c r="F215" s="3">
        <v>43.89</v>
      </c>
      <c r="G215" s="3">
        <v>109.555881</v>
      </c>
      <c r="H215" s="3">
        <v>105.70048800000001</v>
      </c>
      <c r="I215" s="3">
        <v>105.65245</v>
      </c>
      <c r="J215">
        <v>7.0640000000000001</v>
      </c>
      <c r="K215">
        <v>7.3040000000000003</v>
      </c>
      <c r="L215">
        <v>7.4139999999999997</v>
      </c>
    </row>
    <row r="216" spans="1:12" x14ac:dyDescent="0.35">
      <c r="A216" s="2">
        <v>44505</v>
      </c>
      <c r="B216" s="3">
        <v>12.94</v>
      </c>
      <c r="C216" s="3">
        <v>63.4</v>
      </c>
      <c r="D216" s="3">
        <v>133.44999999999999</v>
      </c>
      <c r="E216" s="3">
        <v>18.73</v>
      </c>
      <c r="F216" s="3">
        <v>43.68</v>
      </c>
      <c r="G216" s="3">
        <v>110.476793</v>
      </c>
      <c r="H216" s="3">
        <v>105.93029</v>
      </c>
      <c r="I216" s="3">
        <v>106.01281400000001</v>
      </c>
      <c r="J216">
        <v>6.9539999999999997</v>
      </c>
      <c r="K216">
        <v>7.1890000000000001</v>
      </c>
      <c r="L216">
        <v>7.2889999999999997</v>
      </c>
    </row>
    <row r="217" spans="1:12" x14ac:dyDescent="0.35">
      <c r="A217" s="2">
        <v>44508</v>
      </c>
      <c r="B217" s="3">
        <v>14.26</v>
      </c>
      <c r="C217" s="3">
        <v>61.21</v>
      </c>
      <c r="D217" s="3">
        <v>132.46</v>
      </c>
      <c r="E217" s="3">
        <v>18.57</v>
      </c>
      <c r="F217" s="3">
        <v>43.96</v>
      </c>
      <c r="G217" s="3">
        <v>110.800465</v>
      </c>
      <c r="H217" s="3">
        <v>106.65034799999999</v>
      </c>
      <c r="I217" s="3">
        <v>106.887987</v>
      </c>
      <c r="J217">
        <v>7.0140000000000002</v>
      </c>
      <c r="K217">
        <v>7.2039999999999997</v>
      </c>
      <c r="L217">
        <v>7.2939999999999996</v>
      </c>
    </row>
    <row r="218" spans="1:12" x14ac:dyDescent="0.35">
      <c r="A218" s="2">
        <v>44509</v>
      </c>
      <c r="B218" s="3">
        <v>13.63</v>
      </c>
      <c r="C218" s="3">
        <v>62.82</v>
      </c>
      <c r="D218" s="3">
        <v>134.33000000000001</v>
      </c>
      <c r="E218" s="3">
        <v>18.63</v>
      </c>
      <c r="F218" s="3">
        <v>42.87</v>
      </c>
      <c r="G218" s="3">
        <v>111.064443</v>
      </c>
      <c r="H218" s="3">
        <v>107.164162</v>
      </c>
      <c r="I218" s="3">
        <v>107.51255999999999</v>
      </c>
      <c r="J218">
        <v>7.0389999999999997</v>
      </c>
      <c r="K218">
        <v>7.1539999999999999</v>
      </c>
      <c r="L218">
        <v>7.2439999999999998</v>
      </c>
    </row>
    <row r="219" spans="1:12" x14ac:dyDescent="0.35">
      <c r="A219" s="2">
        <v>44510</v>
      </c>
      <c r="B219" s="3">
        <v>13.48</v>
      </c>
      <c r="C219" s="3">
        <v>61.58</v>
      </c>
      <c r="D219" s="3">
        <v>129.61000000000001</v>
      </c>
      <c r="E219" s="3">
        <v>18.649999999999999</v>
      </c>
      <c r="F219" s="3">
        <v>43.78</v>
      </c>
      <c r="G219" s="3">
        <v>111.51136700000001</v>
      </c>
      <c r="H219" s="3">
        <v>106.482412</v>
      </c>
      <c r="I219" s="3">
        <v>107.188592</v>
      </c>
      <c r="J219">
        <v>7.1239999999999997</v>
      </c>
      <c r="K219">
        <v>7.2140000000000004</v>
      </c>
      <c r="L219">
        <v>7.3339999999999996</v>
      </c>
    </row>
    <row r="220" spans="1:12" x14ac:dyDescent="0.35">
      <c r="A220" s="2">
        <v>44511</v>
      </c>
      <c r="B220" s="3">
        <v>13.7</v>
      </c>
      <c r="C220" s="3">
        <v>59.66</v>
      </c>
      <c r="D220" s="3">
        <v>131.18</v>
      </c>
      <c r="E220" s="3">
        <v>18.760000000000002</v>
      </c>
      <c r="F220" s="3">
        <v>43.48</v>
      </c>
      <c r="G220" s="3">
        <v>111.053343</v>
      </c>
      <c r="H220" s="3">
        <v>106.49726200000001</v>
      </c>
      <c r="I220" s="3">
        <v>106.844742</v>
      </c>
      <c r="J220">
        <v>6.9139999999999997</v>
      </c>
      <c r="K220">
        <v>7.0540000000000003</v>
      </c>
      <c r="L220">
        <v>7.2240000000000002</v>
      </c>
    </row>
    <row r="221" spans="1:12" x14ac:dyDescent="0.35">
      <c r="A221" s="2">
        <v>44512</v>
      </c>
      <c r="B221" s="3">
        <v>13.61</v>
      </c>
      <c r="C221" s="3">
        <v>59.84</v>
      </c>
      <c r="D221" s="3">
        <v>128.86000000000001</v>
      </c>
      <c r="E221" s="3">
        <v>18.829999999999998</v>
      </c>
      <c r="F221" s="3">
        <v>43.61</v>
      </c>
      <c r="G221" s="3">
        <v>111.985972</v>
      </c>
      <c r="H221" s="3">
        <v>107.572906</v>
      </c>
      <c r="I221" s="3">
        <v>108.073649</v>
      </c>
      <c r="J221">
        <v>6.9939999999999998</v>
      </c>
      <c r="K221">
        <v>7.1440000000000001</v>
      </c>
      <c r="L221">
        <v>7.3739999999999997</v>
      </c>
    </row>
    <row r="222" spans="1:12" x14ac:dyDescent="0.35">
      <c r="A222" s="2">
        <v>44516</v>
      </c>
      <c r="B222" s="3">
        <v>13.44</v>
      </c>
      <c r="C222" s="3">
        <v>60.95</v>
      </c>
      <c r="D222" s="3">
        <v>131.57</v>
      </c>
      <c r="E222" s="3">
        <v>18.82</v>
      </c>
      <c r="F222" s="3">
        <v>44</v>
      </c>
      <c r="G222" s="3">
        <v>111.157749</v>
      </c>
      <c r="H222" s="3">
        <v>106.400158</v>
      </c>
      <c r="I222" s="3">
        <v>106.546027</v>
      </c>
      <c r="J222">
        <v>6.9939999999999998</v>
      </c>
      <c r="K222">
        <v>7.1440000000000001</v>
      </c>
      <c r="L222">
        <v>7.3739999999999997</v>
      </c>
    </row>
    <row r="223" spans="1:12" x14ac:dyDescent="0.35">
      <c r="A223" s="2">
        <v>44517</v>
      </c>
      <c r="B223" s="3">
        <v>13.11</v>
      </c>
      <c r="C223" s="3">
        <v>60.51</v>
      </c>
      <c r="D223" s="3">
        <v>134.76</v>
      </c>
      <c r="E223" s="3">
        <v>18.66</v>
      </c>
      <c r="F223" s="3">
        <v>43.66</v>
      </c>
      <c r="G223" s="3">
        <v>110.39826499999999</v>
      </c>
      <c r="H223" s="3">
        <v>105.727552</v>
      </c>
      <c r="I223" s="3">
        <v>105.804742</v>
      </c>
      <c r="J223">
        <v>7.07</v>
      </c>
      <c r="K223">
        <v>7.31</v>
      </c>
      <c r="L223">
        <v>7.47</v>
      </c>
    </row>
    <row r="224" spans="1:12" x14ac:dyDescent="0.35">
      <c r="A224" s="2">
        <v>44518</v>
      </c>
      <c r="B224" s="3">
        <v>13.01</v>
      </c>
      <c r="C224" s="3">
        <v>60.47</v>
      </c>
      <c r="D224" s="3">
        <v>136.63</v>
      </c>
      <c r="E224" s="3">
        <v>18.27</v>
      </c>
      <c r="F224" s="3">
        <v>43.89</v>
      </c>
      <c r="G224" s="3">
        <v>110.704448</v>
      </c>
      <c r="H224" s="3">
        <v>105.584896</v>
      </c>
      <c r="I224" s="3">
        <v>105.53300299999999</v>
      </c>
      <c r="J224">
        <v>7.1340000000000003</v>
      </c>
      <c r="K224">
        <v>7.3239999999999998</v>
      </c>
      <c r="L224">
        <v>7.4939999999999998</v>
      </c>
    </row>
    <row r="225" spans="1:12" x14ac:dyDescent="0.35">
      <c r="A225" s="2">
        <v>44519</v>
      </c>
      <c r="B225" s="3">
        <v>12.92</v>
      </c>
      <c r="C225" s="3">
        <v>58.16</v>
      </c>
      <c r="D225" s="3">
        <v>137.53</v>
      </c>
      <c r="E225" s="3">
        <v>18.23</v>
      </c>
      <c r="F225" s="3">
        <v>42.12</v>
      </c>
      <c r="G225" s="3">
        <v>110.48721399999999</v>
      </c>
      <c r="H225" s="3">
        <v>105.606347</v>
      </c>
      <c r="I225" s="3">
        <v>105.38699099999999</v>
      </c>
      <c r="J225">
        <v>7.1239999999999997</v>
      </c>
      <c r="K225">
        <v>7.3540000000000001</v>
      </c>
      <c r="L225">
        <v>7.4740000000000002</v>
      </c>
    </row>
    <row r="226" spans="1:12" x14ac:dyDescent="0.35">
      <c r="A226" s="2">
        <v>44522</v>
      </c>
      <c r="B226" s="3">
        <v>12.99</v>
      </c>
      <c r="C226" s="3">
        <v>56.4</v>
      </c>
      <c r="D226" s="3">
        <v>134.93</v>
      </c>
      <c r="E226" s="3">
        <v>18.190000000000001</v>
      </c>
      <c r="F226" s="3">
        <v>40.700000000000003</v>
      </c>
      <c r="G226" s="3">
        <v>110.449735</v>
      </c>
      <c r="H226" s="3">
        <v>105.147429</v>
      </c>
      <c r="I226" s="3">
        <v>105.912548</v>
      </c>
      <c r="J226">
        <v>7.4539999999999997</v>
      </c>
      <c r="K226">
        <v>7.524</v>
      </c>
      <c r="L226">
        <v>7.5940000000000003</v>
      </c>
    </row>
    <row r="227" spans="1:12" x14ac:dyDescent="0.35">
      <c r="A227" s="2">
        <v>44523</v>
      </c>
      <c r="B227" s="3">
        <v>13.38</v>
      </c>
      <c r="C227" s="3">
        <v>55.65</v>
      </c>
      <c r="D227" s="3">
        <v>137.38999999999999</v>
      </c>
      <c r="E227" s="3">
        <v>18.62</v>
      </c>
      <c r="F227" s="3">
        <v>41.21</v>
      </c>
      <c r="G227" s="3">
        <v>109.169016</v>
      </c>
      <c r="H227" s="3">
        <v>105.100615</v>
      </c>
      <c r="I227" s="3">
        <v>104.515224</v>
      </c>
      <c r="J227">
        <v>7.6040000000000001</v>
      </c>
      <c r="K227">
        <v>7.6740000000000004</v>
      </c>
      <c r="L227">
        <v>7.734</v>
      </c>
    </row>
    <row r="228" spans="1:12" x14ac:dyDescent="0.35">
      <c r="A228" s="2">
        <v>44524</v>
      </c>
      <c r="B228" s="3">
        <v>13.28</v>
      </c>
      <c r="C228" s="3">
        <v>56.42</v>
      </c>
      <c r="D228" s="3">
        <v>135.47999999999999</v>
      </c>
      <c r="E228" s="3">
        <v>18.78</v>
      </c>
      <c r="F228" s="3">
        <v>40.31</v>
      </c>
      <c r="G228" s="3">
        <v>107.90918000000001</v>
      </c>
      <c r="H228" s="3">
        <v>102.83284</v>
      </c>
      <c r="I228" s="3">
        <v>102.09776100000001</v>
      </c>
      <c r="J228">
        <v>7.76</v>
      </c>
      <c r="K228">
        <v>7.827</v>
      </c>
      <c r="L228">
        <v>7.84</v>
      </c>
    </row>
    <row r="229" spans="1:12" x14ac:dyDescent="0.35">
      <c r="A229" s="2">
        <v>44525</v>
      </c>
      <c r="B229" s="3">
        <v>13.06</v>
      </c>
      <c r="C229" s="3">
        <v>55.05</v>
      </c>
      <c r="D229" s="3">
        <v>133.94999999999999</v>
      </c>
      <c r="E229" s="3">
        <v>19.05</v>
      </c>
      <c r="F229" s="3">
        <v>40.17</v>
      </c>
      <c r="G229" s="3">
        <v>107.978268</v>
      </c>
      <c r="H229" s="3">
        <v>102.898996</v>
      </c>
      <c r="I229" s="3">
        <v>102.164017</v>
      </c>
      <c r="J229">
        <v>7.6040000000000001</v>
      </c>
      <c r="K229">
        <v>7.6790000000000003</v>
      </c>
      <c r="L229">
        <v>7.7590000000000003</v>
      </c>
    </row>
    <row r="230" spans="1:12" x14ac:dyDescent="0.35">
      <c r="A230" s="2">
        <v>44526</v>
      </c>
      <c r="B230" s="3">
        <v>12.71</v>
      </c>
      <c r="C230" s="3">
        <v>54.43</v>
      </c>
      <c r="D230" s="3">
        <v>125.2</v>
      </c>
      <c r="E230" s="3">
        <v>18.61</v>
      </c>
      <c r="F230" s="3">
        <v>37.909999999999997</v>
      </c>
      <c r="G230" s="3">
        <v>109.10647</v>
      </c>
      <c r="H230" s="3">
        <v>104.393513</v>
      </c>
      <c r="I230" s="3">
        <v>103.72074600000001</v>
      </c>
      <c r="J230">
        <v>7.4340000000000002</v>
      </c>
      <c r="K230">
        <v>7.5739999999999998</v>
      </c>
      <c r="L230">
        <v>7.6639999999999997</v>
      </c>
    </row>
    <row r="231" spans="1:12" x14ac:dyDescent="0.35">
      <c r="A231" s="2">
        <v>44529</v>
      </c>
      <c r="B231" s="3">
        <v>13.72</v>
      </c>
      <c r="C231" s="3">
        <v>52.81</v>
      </c>
      <c r="D231" s="3">
        <v>125.96</v>
      </c>
      <c r="E231" s="3">
        <v>18.57</v>
      </c>
      <c r="F231" s="3">
        <v>38.57</v>
      </c>
      <c r="G231" s="3">
        <v>109.716677</v>
      </c>
      <c r="H231" s="3">
        <v>104.685964</v>
      </c>
      <c r="I231" s="3">
        <v>104.48083800000001</v>
      </c>
      <c r="J231">
        <v>7.444</v>
      </c>
      <c r="K231">
        <v>7.5439999999999996</v>
      </c>
      <c r="L231">
        <v>7.6440000000000001</v>
      </c>
    </row>
    <row r="232" spans="1:12" x14ac:dyDescent="0.35">
      <c r="A232" s="2">
        <v>44530</v>
      </c>
      <c r="B232" s="3">
        <v>13.3</v>
      </c>
      <c r="C232" s="3">
        <v>56.22</v>
      </c>
      <c r="D232" s="3">
        <v>128.13</v>
      </c>
      <c r="E232" s="3">
        <v>18.809999999999999</v>
      </c>
      <c r="F232" s="3">
        <v>36.69</v>
      </c>
      <c r="G232" s="3">
        <v>110.66377300000001</v>
      </c>
      <c r="H232" s="3">
        <v>105.80647399999999</v>
      </c>
      <c r="I232" s="3">
        <v>105.59024100000001</v>
      </c>
      <c r="J232">
        <v>7.2939999999999996</v>
      </c>
      <c r="K232">
        <v>7.3940000000000001</v>
      </c>
      <c r="L232">
        <v>7.4790000000000001</v>
      </c>
    </row>
    <row r="233" spans="1:12" x14ac:dyDescent="0.35">
      <c r="A233" s="2">
        <v>44531</v>
      </c>
      <c r="B233" s="3">
        <v>13.29</v>
      </c>
      <c r="C233" s="3">
        <v>56.14</v>
      </c>
      <c r="D233" s="3">
        <v>128.69</v>
      </c>
      <c r="E233" s="3">
        <v>19.079999999999998</v>
      </c>
      <c r="F233" s="3">
        <v>37.03</v>
      </c>
      <c r="G233" s="3">
        <v>110.47187099999999</v>
      </c>
      <c r="H233" s="3">
        <v>105.821096</v>
      </c>
      <c r="I233" s="3">
        <v>105.770955</v>
      </c>
      <c r="J233">
        <v>7.3440000000000003</v>
      </c>
      <c r="K233">
        <v>7.4139999999999997</v>
      </c>
      <c r="L233">
        <v>7.484</v>
      </c>
    </row>
    <row r="234" spans="1:12" x14ac:dyDescent="0.35">
      <c r="A234" s="2">
        <v>44532</v>
      </c>
      <c r="B234" s="3">
        <v>13.29</v>
      </c>
      <c r="C234" s="3">
        <v>56.31</v>
      </c>
      <c r="D234" s="3">
        <v>134.87</v>
      </c>
      <c r="E234" s="3">
        <v>19.47</v>
      </c>
      <c r="F234" s="3">
        <v>38.630000000000003</v>
      </c>
      <c r="G234" s="3">
        <v>110.53897499999999</v>
      </c>
      <c r="H234" s="3">
        <v>105.885606</v>
      </c>
      <c r="I234" s="3">
        <v>105.91975100000001</v>
      </c>
      <c r="J234">
        <v>7.3040000000000003</v>
      </c>
      <c r="K234">
        <v>7.3940000000000001</v>
      </c>
      <c r="L234">
        <v>7.4539999999999997</v>
      </c>
    </row>
    <row r="235" spans="1:12" x14ac:dyDescent="0.35">
      <c r="A235" s="2">
        <v>44533</v>
      </c>
      <c r="B235" s="3">
        <v>12.88</v>
      </c>
      <c r="C235" s="3">
        <v>56.83</v>
      </c>
      <c r="D235" s="3">
        <v>132.97</v>
      </c>
      <c r="E235" s="3">
        <v>19.41</v>
      </c>
      <c r="F235" s="3">
        <v>38.93</v>
      </c>
      <c r="G235" s="3">
        <v>110.799103</v>
      </c>
      <c r="H235" s="3">
        <v>106.18218</v>
      </c>
      <c r="I235" s="3">
        <v>106.277524</v>
      </c>
      <c r="J235">
        <v>7.22</v>
      </c>
      <c r="K235">
        <v>7.32</v>
      </c>
      <c r="L235">
        <v>7.38</v>
      </c>
    </row>
    <row r="236" spans="1:12" x14ac:dyDescent="0.35">
      <c r="A236" s="2">
        <v>44536</v>
      </c>
      <c r="B236" s="3">
        <v>12.88</v>
      </c>
      <c r="C236" s="3">
        <v>56.21</v>
      </c>
      <c r="D236" s="3">
        <v>130.13999999999999</v>
      </c>
      <c r="E236" s="3">
        <v>19.47</v>
      </c>
      <c r="F236" s="3">
        <v>38.950000000000003</v>
      </c>
      <c r="G236" s="3">
        <v>111.35865699999999</v>
      </c>
      <c r="H236" s="3">
        <v>106.75650899999999</v>
      </c>
      <c r="I236" s="3">
        <v>107.14587899999999</v>
      </c>
      <c r="J236">
        <v>7.2140000000000004</v>
      </c>
      <c r="K236">
        <v>7.3140000000000001</v>
      </c>
      <c r="L236">
        <v>7.3940000000000001</v>
      </c>
    </row>
    <row r="237" spans="1:12" x14ac:dyDescent="0.35">
      <c r="A237" s="2">
        <v>44537</v>
      </c>
      <c r="B237" s="3">
        <v>13</v>
      </c>
      <c r="C237" s="3">
        <v>57.59</v>
      </c>
      <c r="D237" s="3">
        <v>130.91999999999999</v>
      </c>
      <c r="E237" s="3">
        <v>19.559999999999999</v>
      </c>
      <c r="F237" s="3">
        <v>39.299999999999997</v>
      </c>
      <c r="G237" s="3">
        <v>107.083591</v>
      </c>
      <c r="H237" s="3">
        <v>102.85980000000001</v>
      </c>
      <c r="I237" s="3">
        <v>102.74023200000001</v>
      </c>
      <c r="J237">
        <v>7.21</v>
      </c>
      <c r="K237">
        <v>7.3040000000000003</v>
      </c>
      <c r="L237">
        <v>7.39</v>
      </c>
    </row>
    <row r="238" spans="1:12" x14ac:dyDescent="0.35">
      <c r="A238" s="2">
        <v>44538</v>
      </c>
      <c r="B238" s="3">
        <v>12.93</v>
      </c>
      <c r="C238" s="3">
        <v>54.79</v>
      </c>
      <c r="D238" s="3">
        <v>130.47</v>
      </c>
      <c r="E238" s="3">
        <v>19.829999999999998</v>
      </c>
      <c r="F238" s="3">
        <v>38.630000000000003</v>
      </c>
      <c r="G238" s="3">
        <v>107.26064599999999</v>
      </c>
      <c r="H238" s="3">
        <v>102.991355</v>
      </c>
      <c r="I238" s="3">
        <v>102.896434</v>
      </c>
      <c r="J238">
        <v>7.1840000000000002</v>
      </c>
      <c r="K238">
        <v>7.2839999999999998</v>
      </c>
      <c r="L238">
        <v>7.3639999999999999</v>
      </c>
    </row>
    <row r="239" spans="1:12" x14ac:dyDescent="0.35">
      <c r="A239" s="2">
        <v>44539</v>
      </c>
      <c r="B239" s="3">
        <v>12.64</v>
      </c>
      <c r="C239" s="3">
        <v>56.28</v>
      </c>
      <c r="D239" s="3">
        <v>135.41999999999999</v>
      </c>
      <c r="E239" s="3">
        <v>20.079999999999998</v>
      </c>
      <c r="F239" s="3">
        <v>37.69</v>
      </c>
      <c r="G239" s="3">
        <v>107.408367</v>
      </c>
      <c r="H239" s="3">
        <v>103.219686</v>
      </c>
      <c r="I239" s="3">
        <v>103.16227499999999</v>
      </c>
      <c r="J239">
        <v>7.194</v>
      </c>
      <c r="K239">
        <v>7.274</v>
      </c>
      <c r="L239">
        <v>7.3239999999999998</v>
      </c>
    </row>
    <row r="240" spans="1:12" x14ac:dyDescent="0.35">
      <c r="A240" s="2">
        <v>44540</v>
      </c>
      <c r="B240" s="3">
        <v>12.66</v>
      </c>
      <c r="C240" s="3">
        <v>58.4</v>
      </c>
      <c r="D240" s="3">
        <v>132.49</v>
      </c>
      <c r="E240" s="3">
        <v>20.079999999999998</v>
      </c>
      <c r="F240" s="3">
        <v>36.590000000000003</v>
      </c>
      <c r="G240" s="3">
        <v>107.489594</v>
      </c>
      <c r="H240" s="3">
        <v>103.379345</v>
      </c>
      <c r="I240" s="3">
        <v>103.267979</v>
      </c>
      <c r="J240">
        <v>7.194</v>
      </c>
      <c r="K240">
        <v>7.274</v>
      </c>
      <c r="L240">
        <v>7.3339999999999996</v>
      </c>
    </row>
    <row r="241" spans="1:12" x14ac:dyDescent="0.35">
      <c r="A241" s="2">
        <v>44543</v>
      </c>
      <c r="B241" s="3">
        <v>12.66</v>
      </c>
      <c r="C241" s="3">
        <v>56.83</v>
      </c>
      <c r="D241" s="3">
        <v>126.63</v>
      </c>
      <c r="E241" s="3">
        <v>19.57</v>
      </c>
      <c r="F241" s="3">
        <v>36.06</v>
      </c>
      <c r="G241" s="3">
        <v>107.57083299999999</v>
      </c>
      <c r="H241" s="3">
        <v>103.46948999999999</v>
      </c>
      <c r="I241" s="3">
        <v>103.373761</v>
      </c>
      <c r="J241">
        <v>7.1740000000000004</v>
      </c>
      <c r="K241">
        <v>7.2439999999999998</v>
      </c>
      <c r="L241">
        <v>7.3239999999999998</v>
      </c>
    </row>
    <row r="242" spans="1:12" x14ac:dyDescent="0.35">
      <c r="A242" s="2">
        <v>44544</v>
      </c>
      <c r="B242" s="3">
        <v>13.08</v>
      </c>
      <c r="C242" s="3">
        <v>58.78</v>
      </c>
      <c r="D242" s="3">
        <v>126.12</v>
      </c>
      <c r="E242" s="3">
        <v>20.149999999999999</v>
      </c>
      <c r="F242" s="3">
        <v>36.78</v>
      </c>
      <c r="G242" s="3">
        <v>107.71215100000001</v>
      </c>
      <c r="H242" s="3">
        <v>103.073121</v>
      </c>
      <c r="I242" s="3">
        <v>102.970395</v>
      </c>
      <c r="J242">
        <v>7.2039999999999997</v>
      </c>
      <c r="K242">
        <v>7.2939999999999996</v>
      </c>
      <c r="L242">
        <v>7.3689999999999998</v>
      </c>
    </row>
    <row r="243" spans="1:12" x14ac:dyDescent="0.35">
      <c r="A243" s="2">
        <v>44545</v>
      </c>
      <c r="B243" s="3">
        <v>13.11</v>
      </c>
      <c r="C243" s="3">
        <v>59.48</v>
      </c>
      <c r="D243" s="3">
        <v>124.52</v>
      </c>
      <c r="E243" s="3">
        <v>20.399999999999999</v>
      </c>
      <c r="F243" s="3">
        <v>35.94</v>
      </c>
      <c r="G243" s="3">
        <v>107.493409</v>
      </c>
      <c r="H243" s="3">
        <v>103.163016</v>
      </c>
      <c r="I243" s="3">
        <v>102.822237</v>
      </c>
      <c r="J243">
        <v>7.194</v>
      </c>
      <c r="K243">
        <v>7.2640000000000002</v>
      </c>
      <c r="L243">
        <v>7.3639999999999999</v>
      </c>
    </row>
    <row r="244" spans="1:12" x14ac:dyDescent="0.35">
      <c r="A244" s="2">
        <v>44546</v>
      </c>
      <c r="B244" s="3">
        <v>13.19</v>
      </c>
      <c r="C244" s="3">
        <v>58.25</v>
      </c>
      <c r="D244" s="3">
        <v>128.54</v>
      </c>
      <c r="E244" s="3">
        <v>20.32</v>
      </c>
      <c r="F244" s="3">
        <v>37.130000000000003</v>
      </c>
      <c r="G244" s="3">
        <v>107.55723399999999</v>
      </c>
      <c r="H244" s="3">
        <v>103.224745</v>
      </c>
      <c r="I244" s="3">
        <v>102.884753</v>
      </c>
      <c r="J244">
        <v>7.274</v>
      </c>
      <c r="K244">
        <v>7.2939999999999996</v>
      </c>
      <c r="L244">
        <v>7.3540000000000001</v>
      </c>
    </row>
    <row r="245" spans="1:12" x14ac:dyDescent="0.35">
      <c r="A245" s="2">
        <v>44547</v>
      </c>
      <c r="B245" s="3">
        <v>13.59</v>
      </c>
      <c r="C245" s="3">
        <v>61.47</v>
      </c>
      <c r="D245" s="3">
        <v>129.9</v>
      </c>
      <c r="E245" s="3">
        <v>21.04</v>
      </c>
      <c r="F245" s="3">
        <v>37.65</v>
      </c>
      <c r="G245" s="3">
        <v>107.279877</v>
      </c>
      <c r="H245" s="3">
        <v>103.17607099999999</v>
      </c>
      <c r="I245" s="3">
        <v>103.159068</v>
      </c>
      <c r="J245">
        <v>7.2439999999999998</v>
      </c>
      <c r="K245">
        <v>7.2640000000000002</v>
      </c>
      <c r="L245">
        <v>7.3239999999999998</v>
      </c>
    </row>
    <row r="246" spans="1:12" x14ac:dyDescent="0.35">
      <c r="A246" s="2">
        <v>44550</v>
      </c>
      <c r="B246" s="3">
        <v>13.14</v>
      </c>
      <c r="C246" s="3">
        <v>62.88</v>
      </c>
      <c r="D246" s="3">
        <v>127.91</v>
      </c>
      <c r="E246" s="3">
        <v>21.12</v>
      </c>
      <c r="F246" s="3">
        <v>36.75</v>
      </c>
      <c r="G246" s="3">
        <v>107.599805</v>
      </c>
      <c r="H246" s="3">
        <v>103.47401000000001</v>
      </c>
      <c r="I246" s="3">
        <v>103.689297</v>
      </c>
      <c r="J246">
        <v>7.2640000000000002</v>
      </c>
      <c r="K246">
        <v>7.274</v>
      </c>
      <c r="L246">
        <v>7.3339999999999996</v>
      </c>
    </row>
    <row r="247" spans="1:12" x14ac:dyDescent="0.35">
      <c r="A247" s="2">
        <v>44551</v>
      </c>
      <c r="B247" s="3">
        <v>13.87</v>
      </c>
      <c r="C247" s="3">
        <v>61.15</v>
      </c>
      <c r="D247" s="3">
        <v>128.99</v>
      </c>
      <c r="E247" s="3">
        <v>21.35</v>
      </c>
      <c r="F247" s="3">
        <v>36.75</v>
      </c>
      <c r="G247" s="3">
        <v>107.561318</v>
      </c>
      <c r="H247" s="3">
        <v>103.355801</v>
      </c>
      <c r="I247" s="3">
        <v>103.624931</v>
      </c>
      <c r="J247">
        <v>7.3440000000000003</v>
      </c>
      <c r="K247">
        <v>7.3339999999999996</v>
      </c>
      <c r="L247">
        <v>7.4240000000000004</v>
      </c>
    </row>
    <row r="248" spans="1:12" x14ac:dyDescent="0.35">
      <c r="A248" s="2">
        <v>44552</v>
      </c>
      <c r="B248" s="3">
        <v>13.82</v>
      </c>
      <c r="C248" s="3">
        <v>62.66</v>
      </c>
      <c r="D248" s="3">
        <v>129.62</v>
      </c>
      <c r="E248" s="3">
        <v>21.47</v>
      </c>
      <c r="F248" s="3">
        <v>36.99</v>
      </c>
      <c r="G248" s="3">
        <v>107.87200300000001</v>
      </c>
      <c r="H248" s="3">
        <v>102.755039</v>
      </c>
      <c r="I248" s="3">
        <v>103.56068500000001</v>
      </c>
      <c r="J248">
        <v>7.3540000000000001</v>
      </c>
      <c r="K248">
        <v>7.3940000000000001</v>
      </c>
      <c r="L248">
        <v>7.5039999999999996</v>
      </c>
    </row>
    <row r="249" spans="1:12" x14ac:dyDescent="0.35">
      <c r="A249" s="2">
        <v>44553</v>
      </c>
      <c r="B249" s="3">
        <v>13.96</v>
      </c>
      <c r="C249" s="3">
        <v>62.13</v>
      </c>
      <c r="D249" s="3">
        <v>130.13999999999999</v>
      </c>
      <c r="E249" s="3">
        <v>21.45</v>
      </c>
      <c r="F249" s="3">
        <v>38.06</v>
      </c>
      <c r="G249" s="3">
        <v>107.03921099999999</v>
      </c>
      <c r="H249" s="3">
        <v>102.405869</v>
      </c>
      <c r="I249" s="3">
        <v>102.192567</v>
      </c>
      <c r="J249">
        <v>7.3540000000000001</v>
      </c>
      <c r="K249">
        <v>7.4340000000000002</v>
      </c>
      <c r="L249">
        <v>7.5339999999999998</v>
      </c>
    </row>
    <row r="250" spans="1:12" x14ac:dyDescent="0.35">
      <c r="A250" s="2">
        <v>44554</v>
      </c>
      <c r="B250" s="3">
        <v>13.94</v>
      </c>
      <c r="C250" s="3">
        <v>62.81</v>
      </c>
      <c r="D250" s="3">
        <v>130.03</v>
      </c>
      <c r="E250" s="3">
        <v>21.53</v>
      </c>
      <c r="F250" s="3">
        <v>38.119999999999997</v>
      </c>
      <c r="G250" s="3">
        <v>107.060642</v>
      </c>
      <c r="H250" s="3">
        <v>102.426675</v>
      </c>
      <c r="I250" s="3">
        <v>102.213548</v>
      </c>
      <c r="J250">
        <v>7.234</v>
      </c>
      <c r="K250">
        <v>7.2640000000000002</v>
      </c>
      <c r="L250">
        <v>7.3239999999999998</v>
      </c>
    </row>
    <row r="251" spans="1:12" x14ac:dyDescent="0.35">
      <c r="A251" s="2">
        <v>44557</v>
      </c>
      <c r="B251" s="3">
        <v>14.04</v>
      </c>
      <c r="C251" s="3">
        <v>62.84</v>
      </c>
      <c r="D251" s="3">
        <v>132.29</v>
      </c>
      <c r="E251" s="3">
        <v>21.61</v>
      </c>
      <c r="F251" s="3">
        <v>38.17</v>
      </c>
      <c r="G251" s="3">
        <v>106.549116</v>
      </c>
      <c r="H251" s="3">
        <v>101.76692799999999</v>
      </c>
      <c r="I251" s="3">
        <v>101.570778</v>
      </c>
      <c r="J251">
        <v>7.4240000000000004</v>
      </c>
      <c r="K251">
        <v>7.4989999999999997</v>
      </c>
      <c r="L251">
        <v>7.609</v>
      </c>
    </row>
    <row r="252" spans="1:12" x14ac:dyDescent="0.35">
      <c r="A252" s="2">
        <v>44558</v>
      </c>
      <c r="B252" s="3">
        <v>14.02</v>
      </c>
      <c r="C252" s="3">
        <v>62.27</v>
      </c>
      <c r="D252" s="3">
        <v>133.34</v>
      </c>
      <c r="E252" s="3">
        <v>21.72</v>
      </c>
      <c r="F252" s="3">
        <v>38.020000000000003</v>
      </c>
      <c r="G252" s="3">
        <v>106.925539</v>
      </c>
      <c r="H252" s="3">
        <v>102.059343</v>
      </c>
      <c r="I252" s="3">
        <v>101.757217</v>
      </c>
      <c r="J252">
        <v>7.3840000000000003</v>
      </c>
      <c r="K252">
        <v>7.444</v>
      </c>
      <c r="L252">
        <v>7.5640000000000001</v>
      </c>
    </row>
    <row r="253" spans="1:12" x14ac:dyDescent="0.35">
      <c r="A253" s="2">
        <v>44559</v>
      </c>
      <c r="B253" s="3">
        <v>13.71</v>
      </c>
      <c r="C253" s="3">
        <v>62.13</v>
      </c>
      <c r="D253" s="3">
        <v>132.81</v>
      </c>
      <c r="E253" s="3">
        <v>21.65</v>
      </c>
      <c r="F253" s="3">
        <v>38.06</v>
      </c>
      <c r="G253" s="3">
        <v>106.887807</v>
      </c>
      <c r="H253" s="3">
        <v>102.0123</v>
      </c>
      <c r="I253" s="3">
        <v>101.778271</v>
      </c>
      <c r="J253">
        <v>7.4240000000000004</v>
      </c>
      <c r="K253">
        <v>7.4640000000000004</v>
      </c>
      <c r="L253">
        <v>7.5940000000000003</v>
      </c>
    </row>
    <row r="254" spans="1:12" x14ac:dyDescent="0.35">
      <c r="A254" s="2">
        <v>44560</v>
      </c>
      <c r="B254" s="3">
        <v>14.03</v>
      </c>
      <c r="C254" s="3">
        <v>62.94</v>
      </c>
      <c r="D254" s="3">
        <v>133.86000000000001</v>
      </c>
      <c r="E254" s="3">
        <v>21.71</v>
      </c>
      <c r="F254" s="3">
        <v>38.58</v>
      </c>
      <c r="G254" s="3">
        <v>106.83413899999999</v>
      </c>
      <c r="H254" s="3">
        <v>101.939435</v>
      </c>
      <c r="I254" s="3">
        <v>101.67617300000001</v>
      </c>
      <c r="J254">
        <v>7.4139999999999997</v>
      </c>
      <c r="K254">
        <v>7.4740000000000002</v>
      </c>
      <c r="L254">
        <v>7.5890000000000004</v>
      </c>
    </row>
    <row r="255" spans="1:12" x14ac:dyDescent="0.35">
      <c r="A255" s="2">
        <v>44561</v>
      </c>
      <c r="B255" s="3">
        <v>13.99</v>
      </c>
      <c r="C255" s="3">
        <v>62.97</v>
      </c>
      <c r="D255" s="3">
        <v>133.02000000000001</v>
      </c>
      <c r="E255" s="3">
        <v>21.69</v>
      </c>
      <c r="F255" s="3">
        <v>37.950000000000003</v>
      </c>
      <c r="G255" s="3">
        <v>106.855701</v>
      </c>
      <c r="H255" s="3">
        <v>101.960391</v>
      </c>
      <c r="I255" s="3">
        <v>101.779854</v>
      </c>
      <c r="J255">
        <v>7.4240000000000004</v>
      </c>
      <c r="K255">
        <v>7.4640000000000004</v>
      </c>
      <c r="L255">
        <v>7.5640000000000001</v>
      </c>
    </row>
    <row r="256" spans="1:12" x14ac:dyDescent="0.35">
      <c r="A256" s="2">
        <v>44564</v>
      </c>
      <c r="B256" s="3">
        <v>13.78</v>
      </c>
      <c r="C256" s="3">
        <v>62.47</v>
      </c>
      <c r="D256" s="3">
        <v>135.11000000000001</v>
      </c>
      <c r="E256" s="3">
        <v>21.52</v>
      </c>
      <c r="F256" s="3">
        <v>39.94</v>
      </c>
      <c r="G256" s="3">
        <v>106.93632700000001</v>
      </c>
      <c r="H256" s="3">
        <v>102.11692499999999</v>
      </c>
      <c r="I256" s="3">
        <v>101.96637</v>
      </c>
      <c r="J256">
        <v>7.5439999999999996</v>
      </c>
      <c r="K256">
        <v>7.5839999999999996</v>
      </c>
      <c r="L256">
        <v>7.6740000000000004</v>
      </c>
    </row>
    <row r="257" spans="1:12" x14ac:dyDescent="0.35">
      <c r="A257" s="2">
        <v>44565</v>
      </c>
      <c r="B257" s="3">
        <v>13.7</v>
      </c>
      <c r="C257" s="3">
        <v>62.91</v>
      </c>
      <c r="D257" s="3">
        <v>135.6</v>
      </c>
      <c r="E257" s="3">
        <v>21.71</v>
      </c>
      <c r="F257" s="3">
        <v>41.03</v>
      </c>
      <c r="G257" s="3">
        <v>105.436115</v>
      </c>
      <c r="H257" s="3">
        <v>100.52654099999999</v>
      </c>
      <c r="I257" s="3">
        <v>100.10707499999999</v>
      </c>
      <c r="J257">
        <v>7.6840000000000002</v>
      </c>
      <c r="K257">
        <v>7.7140000000000004</v>
      </c>
      <c r="L257">
        <v>7.8040000000000003</v>
      </c>
    </row>
    <row r="258" spans="1:12" x14ac:dyDescent="0.35">
      <c r="A258" s="2">
        <v>44566</v>
      </c>
      <c r="B258" s="3">
        <v>13.69</v>
      </c>
      <c r="C258" s="3">
        <v>60.99</v>
      </c>
      <c r="D258" s="3">
        <v>136.43</v>
      </c>
      <c r="E258" s="3">
        <v>21.68</v>
      </c>
      <c r="F258" s="3">
        <v>41.9</v>
      </c>
      <c r="G258" s="3">
        <v>105.4581</v>
      </c>
      <c r="H258" s="3">
        <v>100.614265</v>
      </c>
      <c r="I258" s="3">
        <v>100.209136</v>
      </c>
      <c r="J258">
        <v>7.73</v>
      </c>
      <c r="K258">
        <v>7.734</v>
      </c>
      <c r="L258">
        <v>7.8140000000000001</v>
      </c>
    </row>
    <row r="259" spans="1:12" x14ac:dyDescent="0.35">
      <c r="A259" s="2">
        <v>44567</v>
      </c>
      <c r="B259" s="3">
        <v>13.46</v>
      </c>
      <c r="C259" s="3">
        <v>63.69</v>
      </c>
      <c r="D259" s="3">
        <v>140.65</v>
      </c>
      <c r="E259" s="3">
        <v>21.29</v>
      </c>
      <c r="F259" s="3">
        <v>41.78</v>
      </c>
      <c r="G259" s="3">
        <v>105.061897</v>
      </c>
      <c r="H259" s="3">
        <v>100.016295</v>
      </c>
      <c r="I259" s="3">
        <v>99.389876999999998</v>
      </c>
      <c r="J259">
        <v>7.7240000000000002</v>
      </c>
      <c r="K259">
        <v>7.734</v>
      </c>
      <c r="L259">
        <v>7.7939999999999996</v>
      </c>
    </row>
    <row r="260" spans="1:12" x14ac:dyDescent="0.35">
      <c r="A260" s="2">
        <v>44568</v>
      </c>
      <c r="B260" s="3">
        <v>13.35</v>
      </c>
      <c r="C260" s="3">
        <v>64.48</v>
      </c>
      <c r="D260" s="3">
        <v>147.97999999999999</v>
      </c>
      <c r="E260" s="3">
        <v>20.88</v>
      </c>
      <c r="F260" s="3">
        <v>43.23</v>
      </c>
      <c r="G260" s="3">
        <v>105.43033</v>
      </c>
      <c r="H260" s="3">
        <v>100.63287099999999</v>
      </c>
      <c r="I260" s="3">
        <v>100.53704500000001</v>
      </c>
      <c r="J260">
        <v>7.7640000000000002</v>
      </c>
      <c r="K260">
        <v>7.7439999999999998</v>
      </c>
      <c r="L260">
        <v>7.8090000000000002</v>
      </c>
    </row>
    <row r="261" spans="1:12" x14ac:dyDescent="0.35">
      <c r="A261" s="2">
        <v>44571</v>
      </c>
      <c r="B261" s="3">
        <v>13.06</v>
      </c>
      <c r="C261" s="3">
        <v>63.33</v>
      </c>
      <c r="D261" s="3">
        <v>146.13999999999999</v>
      </c>
      <c r="E261" s="3">
        <v>20.72</v>
      </c>
      <c r="F261" s="3">
        <v>43.58</v>
      </c>
      <c r="G261" s="3">
        <v>105.62601600000001</v>
      </c>
      <c r="H261" s="3">
        <v>100.38911</v>
      </c>
      <c r="I261" s="3">
        <v>99.832731999999993</v>
      </c>
      <c r="J261">
        <v>7.7140000000000004</v>
      </c>
      <c r="K261">
        <v>7.7140000000000004</v>
      </c>
      <c r="L261">
        <v>7.7939999999999996</v>
      </c>
    </row>
    <row r="262" spans="1:12" x14ac:dyDescent="0.35">
      <c r="A262" s="2">
        <v>44572</v>
      </c>
      <c r="B262" s="3">
        <v>13.28</v>
      </c>
      <c r="C262" s="3">
        <v>65.010000000000005</v>
      </c>
      <c r="D262" s="3">
        <v>142.99</v>
      </c>
      <c r="E262" s="3">
        <v>20.92</v>
      </c>
      <c r="F262" s="3">
        <v>43.55</v>
      </c>
      <c r="G262" s="3">
        <v>105.590107</v>
      </c>
      <c r="H262" s="3">
        <v>100.941332</v>
      </c>
      <c r="I262" s="3">
        <v>100.579622</v>
      </c>
      <c r="J262">
        <v>7.7039999999999997</v>
      </c>
      <c r="K262">
        <v>7.7039999999999997</v>
      </c>
      <c r="L262">
        <v>7.7939999999999996</v>
      </c>
    </row>
    <row r="263" spans="1:12" x14ac:dyDescent="0.35">
      <c r="A263" s="2">
        <v>44573</v>
      </c>
      <c r="B263" s="3">
        <v>13.75</v>
      </c>
      <c r="C263" s="3">
        <v>67.040000000000006</v>
      </c>
      <c r="D263" s="3">
        <v>147.81</v>
      </c>
      <c r="E263" s="3">
        <v>20.78</v>
      </c>
      <c r="F263" s="3">
        <v>43.04</v>
      </c>
      <c r="G263" s="3">
        <v>105.84392699999999</v>
      </c>
      <c r="H263" s="3">
        <v>101.16255</v>
      </c>
      <c r="I263" s="3">
        <v>100.92564</v>
      </c>
      <c r="J263">
        <v>7.6689999999999996</v>
      </c>
      <c r="K263">
        <v>7.6840000000000002</v>
      </c>
      <c r="L263">
        <v>7.7939999999999996</v>
      </c>
    </row>
    <row r="264" spans="1:12" x14ac:dyDescent="0.35">
      <c r="A264" s="2">
        <v>44574</v>
      </c>
      <c r="B264" s="3">
        <v>13.8</v>
      </c>
      <c r="C264" s="3">
        <v>65.94</v>
      </c>
      <c r="D264" s="3">
        <v>149.96</v>
      </c>
      <c r="E264" s="3">
        <v>20.86</v>
      </c>
      <c r="F264" s="3">
        <v>43.05</v>
      </c>
      <c r="G264" s="3">
        <v>106.142065</v>
      </c>
      <c r="H264" s="3">
        <v>101.560417</v>
      </c>
      <c r="I264" s="3">
        <v>101.31547</v>
      </c>
      <c r="J264">
        <v>7.7140000000000004</v>
      </c>
      <c r="K264">
        <v>7.7140000000000004</v>
      </c>
      <c r="L264">
        <v>7.6539999999999999</v>
      </c>
    </row>
    <row r="265" spans="1:12" x14ac:dyDescent="0.35">
      <c r="A265" s="2">
        <v>44575</v>
      </c>
      <c r="B265" s="3">
        <v>13.92</v>
      </c>
      <c r="C265" s="3">
        <v>66.430000000000007</v>
      </c>
      <c r="D265" s="3">
        <v>146</v>
      </c>
      <c r="E265" s="3">
        <v>20.8</v>
      </c>
      <c r="F265" s="3">
        <v>42.74</v>
      </c>
      <c r="G265" s="3">
        <v>106.338536</v>
      </c>
      <c r="H265" s="3">
        <v>101.715639</v>
      </c>
      <c r="I265" s="3">
        <v>101.255071</v>
      </c>
      <c r="J265">
        <v>7.5940000000000003</v>
      </c>
      <c r="K265">
        <v>7.6139999999999999</v>
      </c>
      <c r="L265">
        <v>7.6740000000000004</v>
      </c>
    </row>
    <row r="266" spans="1:12" x14ac:dyDescent="0.35">
      <c r="A266" s="2">
        <v>44578</v>
      </c>
      <c r="B266" s="3">
        <v>13.96</v>
      </c>
      <c r="C266" s="3">
        <v>66.540000000000006</v>
      </c>
      <c r="D266" s="3">
        <v>147.97</v>
      </c>
      <c r="E266" s="3">
        <v>20.8</v>
      </c>
      <c r="F266" s="3">
        <v>43.14</v>
      </c>
      <c r="G266" s="3">
        <v>106.36039599999999</v>
      </c>
      <c r="H266" s="3">
        <v>101.736767</v>
      </c>
      <c r="I266" s="3">
        <v>101.27632</v>
      </c>
      <c r="J266">
        <v>7.6340000000000003</v>
      </c>
      <c r="K266">
        <v>7.6340000000000003</v>
      </c>
      <c r="L266">
        <v>7.694</v>
      </c>
    </row>
    <row r="267" spans="1:12" x14ac:dyDescent="0.35">
      <c r="A267" s="2">
        <v>44579</v>
      </c>
      <c r="B267" s="3">
        <v>13.75</v>
      </c>
      <c r="C267" s="3">
        <v>63.29</v>
      </c>
      <c r="D267" s="3">
        <v>143.11000000000001</v>
      </c>
      <c r="E267" s="3">
        <v>20.39</v>
      </c>
      <c r="F267" s="3">
        <v>43.33</v>
      </c>
      <c r="G267" s="3">
        <v>106.091684</v>
      </c>
      <c r="H267" s="3">
        <v>101.490088</v>
      </c>
      <c r="I267" s="3">
        <v>101.134615</v>
      </c>
      <c r="J267">
        <v>7.6790000000000003</v>
      </c>
      <c r="K267">
        <v>7.6989999999999998</v>
      </c>
      <c r="L267">
        <v>7.7590000000000003</v>
      </c>
    </row>
    <row r="268" spans="1:12" x14ac:dyDescent="0.35">
      <c r="A268" s="2">
        <v>44580</v>
      </c>
      <c r="B268" s="3">
        <v>13.59</v>
      </c>
      <c r="C268" s="3">
        <v>63.57</v>
      </c>
      <c r="D268" s="3">
        <v>141.08000000000001</v>
      </c>
      <c r="E268" s="3">
        <v>19.989999999999998</v>
      </c>
      <c r="F268" s="3">
        <v>41.9</v>
      </c>
      <c r="G268" s="3">
        <v>106.113635</v>
      </c>
      <c r="H268" s="3">
        <v>101.444481</v>
      </c>
      <c r="I268" s="3">
        <v>101.074557</v>
      </c>
      <c r="J268">
        <v>7.63</v>
      </c>
      <c r="K268">
        <v>7.66</v>
      </c>
      <c r="L268">
        <v>7.71</v>
      </c>
    </row>
    <row r="269" spans="1:12" x14ac:dyDescent="0.35">
      <c r="A269" s="2">
        <v>44581</v>
      </c>
      <c r="B269" s="3">
        <v>13.04</v>
      </c>
      <c r="C269" s="3">
        <v>63.94</v>
      </c>
      <c r="D269" s="3">
        <v>140.65</v>
      </c>
      <c r="E269" s="3">
        <v>19.82</v>
      </c>
      <c r="F269" s="3">
        <v>41.96</v>
      </c>
      <c r="G269" s="3">
        <v>106.237486</v>
      </c>
      <c r="H269" s="3">
        <v>101.64168600000001</v>
      </c>
      <c r="I269" s="3">
        <v>101.301146</v>
      </c>
      <c r="J269">
        <v>7.5540000000000003</v>
      </c>
      <c r="K269">
        <v>7.5640000000000001</v>
      </c>
      <c r="L269">
        <v>7.6539999999999999</v>
      </c>
    </row>
    <row r="270" spans="1:12" x14ac:dyDescent="0.35">
      <c r="A270" s="2">
        <v>44582</v>
      </c>
      <c r="B270" s="3">
        <v>12.11</v>
      </c>
      <c r="C270" s="3">
        <v>63.23</v>
      </c>
      <c r="D270" s="3">
        <v>135.1</v>
      </c>
      <c r="E270" s="3">
        <v>19.77</v>
      </c>
      <c r="F270" s="3">
        <v>39.93</v>
      </c>
      <c r="G270" s="3">
        <v>106.608001</v>
      </c>
      <c r="H270" s="3">
        <v>102.06488400000001</v>
      </c>
      <c r="I270" s="3">
        <v>101.40390499999999</v>
      </c>
      <c r="J270">
        <v>7.4939999999999998</v>
      </c>
      <c r="K270">
        <v>7.5339999999999998</v>
      </c>
      <c r="L270">
        <v>7.6539999999999999</v>
      </c>
    </row>
    <row r="271" spans="1:12" x14ac:dyDescent="0.35">
      <c r="A271" s="2">
        <v>44585</v>
      </c>
      <c r="B271" s="3">
        <v>11.89</v>
      </c>
      <c r="C271" s="3">
        <v>62.89</v>
      </c>
      <c r="D271" s="3">
        <v>130.05000000000001</v>
      </c>
      <c r="E271" s="3">
        <v>19.95</v>
      </c>
      <c r="F271" s="3">
        <v>39.659999999999997</v>
      </c>
      <c r="G271" s="3">
        <v>106.921358</v>
      </c>
      <c r="H271" s="3">
        <v>101.95179899999999</v>
      </c>
      <c r="I271" s="3">
        <v>101.670115</v>
      </c>
      <c r="J271">
        <v>7.484</v>
      </c>
      <c r="K271">
        <v>7.5140000000000002</v>
      </c>
      <c r="L271">
        <v>7.6340000000000003</v>
      </c>
    </row>
    <row r="272" spans="1:12" x14ac:dyDescent="0.35">
      <c r="A272" s="2">
        <v>44586</v>
      </c>
      <c r="B272" s="3">
        <v>12.36</v>
      </c>
      <c r="C272" s="3">
        <v>63.01</v>
      </c>
      <c r="D272" s="3">
        <v>129.96</v>
      </c>
      <c r="E272" s="3">
        <v>19.829999999999998</v>
      </c>
      <c r="F272" s="3">
        <v>39.33</v>
      </c>
      <c r="G272" s="3">
        <v>107.001542</v>
      </c>
      <c r="H272" s="3">
        <v>102.107124</v>
      </c>
      <c r="I272" s="3">
        <v>101.69136899999999</v>
      </c>
      <c r="J272">
        <v>7.4939999999999998</v>
      </c>
      <c r="K272">
        <v>7.5039999999999996</v>
      </c>
      <c r="L272">
        <v>7.6239999999999997</v>
      </c>
    </row>
    <row r="273" spans="1:12" x14ac:dyDescent="0.35">
      <c r="A273" s="2">
        <v>44587</v>
      </c>
      <c r="B273" s="3">
        <v>12.53</v>
      </c>
      <c r="C273" s="3">
        <v>62.39</v>
      </c>
      <c r="D273" s="3">
        <v>131.31</v>
      </c>
      <c r="E273" s="3">
        <v>19.809999999999999</v>
      </c>
      <c r="F273" s="3">
        <v>40.79</v>
      </c>
      <c r="G273" s="3">
        <v>107.081738</v>
      </c>
      <c r="H273" s="3">
        <v>102.26263</v>
      </c>
      <c r="I273" s="3">
        <v>101.958305</v>
      </c>
      <c r="J273">
        <v>7.4740000000000002</v>
      </c>
      <c r="K273">
        <v>7.484</v>
      </c>
      <c r="L273">
        <v>7.6840000000000002</v>
      </c>
    </row>
    <row r="274" spans="1:12" x14ac:dyDescent="0.35">
      <c r="A274" s="2">
        <v>44588</v>
      </c>
      <c r="B274" s="3">
        <v>12.43</v>
      </c>
      <c r="C274" s="3">
        <v>60.54</v>
      </c>
      <c r="D274" s="3">
        <v>130.47</v>
      </c>
      <c r="E274" s="3">
        <v>19.03</v>
      </c>
      <c r="F274" s="3">
        <v>40.86</v>
      </c>
      <c r="G274" s="3">
        <v>106.913747</v>
      </c>
      <c r="H274" s="3">
        <v>102.191659</v>
      </c>
      <c r="I274" s="3">
        <v>101.94006400000001</v>
      </c>
      <c r="J274">
        <v>7.6239999999999997</v>
      </c>
      <c r="K274">
        <v>7.6239999999999997</v>
      </c>
      <c r="L274">
        <v>7.6989999999999998</v>
      </c>
    </row>
    <row r="275" spans="1:12" x14ac:dyDescent="0.35">
      <c r="A275" s="2">
        <v>44589</v>
      </c>
      <c r="B275" s="3">
        <v>12.66</v>
      </c>
      <c r="C275" s="3">
        <v>61.53</v>
      </c>
      <c r="D275" s="3">
        <v>131.07</v>
      </c>
      <c r="E275" s="3">
        <v>19.02</v>
      </c>
      <c r="F275" s="3">
        <v>41.57</v>
      </c>
      <c r="G275" s="3">
        <v>106.644989</v>
      </c>
      <c r="H275" s="3">
        <v>101.87812599999999</v>
      </c>
      <c r="I275" s="3">
        <v>101.471554</v>
      </c>
      <c r="J275">
        <v>7.6239999999999997</v>
      </c>
      <c r="K275">
        <v>7.5990000000000002</v>
      </c>
      <c r="L275">
        <v>7.7039999999999997</v>
      </c>
    </row>
    <row r="276" spans="1:12" x14ac:dyDescent="0.35">
      <c r="A276" s="2">
        <v>44592</v>
      </c>
      <c r="B276" s="3">
        <v>12.6</v>
      </c>
      <c r="C276" s="3">
        <v>64.59</v>
      </c>
      <c r="D276" s="3">
        <v>130.74</v>
      </c>
      <c r="E276" s="3">
        <v>19.41</v>
      </c>
      <c r="F276" s="3">
        <v>42.31</v>
      </c>
      <c r="G276" s="3">
        <v>106.89924000000001</v>
      </c>
      <c r="H276" s="3">
        <v>102.03301500000001</v>
      </c>
      <c r="I276" s="3">
        <v>101.818988</v>
      </c>
      <c r="J276">
        <v>7.5439999999999996</v>
      </c>
      <c r="K276">
        <v>7.5739999999999998</v>
      </c>
      <c r="L276">
        <v>7.6639999999999997</v>
      </c>
    </row>
    <row r="277" spans="1:12" x14ac:dyDescent="0.35">
      <c r="A277" s="2">
        <v>44593</v>
      </c>
      <c r="B277" s="3">
        <v>12.73</v>
      </c>
      <c r="C277" s="3">
        <v>65.099999999999994</v>
      </c>
      <c r="D277" s="3">
        <v>131.21</v>
      </c>
      <c r="E277" s="3">
        <v>19.5</v>
      </c>
      <c r="F277" s="3">
        <v>44.4</v>
      </c>
      <c r="G277" s="3">
        <v>106.92110099999999</v>
      </c>
      <c r="H277" s="3">
        <v>101.853824</v>
      </c>
      <c r="I277" s="3">
        <v>101.922015</v>
      </c>
      <c r="J277">
        <v>7.524</v>
      </c>
      <c r="K277">
        <v>7.5869999999999997</v>
      </c>
      <c r="L277">
        <v>7.6740000000000004</v>
      </c>
    </row>
    <row r="278" spans="1:12" x14ac:dyDescent="0.35">
      <c r="A278" s="2">
        <v>44594</v>
      </c>
      <c r="B278" s="3">
        <v>12.82</v>
      </c>
      <c r="C278" s="3">
        <v>63.21</v>
      </c>
      <c r="D278" s="3">
        <v>129.37</v>
      </c>
      <c r="E278" s="3">
        <v>19.510000000000002</v>
      </c>
      <c r="F278" s="3">
        <v>45.3</v>
      </c>
      <c r="G278" s="3">
        <v>107.001116</v>
      </c>
      <c r="H278" s="3">
        <v>102.142302</v>
      </c>
      <c r="I278" s="3">
        <v>101.861563</v>
      </c>
      <c r="J278">
        <v>7.5039999999999996</v>
      </c>
      <c r="K278">
        <v>7.5140000000000002</v>
      </c>
      <c r="L278">
        <v>7.6040000000000001</v>
      </c>
    </row>
    <row r="279" spans="1:12" x14ac:dyDescent="0.35">
      <c r="A279" s="2">
        <v>44595</v>
      </c>
      <c r="B279" s="3">
        <v>12.41</v>
      </c>
      <c r="C279" s="3">
        <v>60.91</v>
      </c>
      <c r="D279" s="3">
        <v>131.68</v>
      </c>
      <c r="E279" s="3">
        <v>19.350000000000001</v>
      </c>
      <c r="F279" s="3">
        <v>45.94</v>
      </c>
      <c r="G279" s="3">
        <v>107.14667799999999</v>
      </c>
      <c r="H279" s="3">
        <v>102.293982</v>
      </c>
      <c r="I279" s="3">
        <v>102.274067</v>
      </c>
      <c r="J279">
        <v>7.4939999999999998</v>
      </c>
      <c r="K279">
        <v>7.524</v>
      </c>
      <c r="L279">
        <v>7.6040000000000001</v>
      </c>
    </row>
    <row r="280" spans="1:12" x14ac:dyDescent="0.35">
      <c r="A280" s="2">
        <v>44596</v>
      </c>
      <c r="B280" s="3">
        <v>12.33</v>
      </c>
      <c r="C280" s="3">
        <v>62.01</v>
      </c>
      <c r="D280" s="3">
        <v>130.18</v>
      </c>
      <c r="E280" s="3">
        <v>18.920000000000002</v>
      </c>
      <c r="F280" s="3">
        <v>46.25</v>
      </c>
      <c r="G280" s="3">
        <v>107.284864</v>
      </c>
      <c r="H280" s="3">
        <v>102.58328400000001</v>
      </c>
      <c r="I280" s="3">
        <v>102.37737799999999</v>
      </c>
      <c r="J280">
        <v>7.56</v>
      </c>
      <c r="K280">
        <v>7.56</v>
      </c>
      <c r="L280">
        <v>7.64</v>
      </c>
    </row>
    <row r="281" spans="1:12" x14ac:dyDescent="0.35">
      <c r="A281" s="2">
        <v>44600</v>
      </c>
      <c r="B281" s="3">
        <v>12.23</v>
      </c>
      <c r="C281" s="3">
        <v>63.4</v>
      </c>
      <c r="D281" s="3">
        <v>135.38999999999999</v>
      </c>
      <c r="E281" s="3">
        <v>19.16</v>
      </c>
      <c r="F281" s="3">
        <v>47.09</v>
      </c>
      <c r="G281" s="3">
        <v>106.958277</v>
      </c>
      <c r="H281" s="3">
        <v>102.26950100000001</v>
      </c>
      <c r="I281" s="3">
        <v>102.15282500000001</v>
      </c>
      <c r="J281">
        <v>7.5940000000000003</v>
      </c>
      <c r="K281">
        <v>7.5839999999999996</v>
      </c>
      <c r="L281">
        <v>7.6639999999999997</v>
      </c>
    </row>
    <row r="282" spans="1:12" x14ac:dyDescent="0.35">
      <c r="A282" s="2">
        <v>44601</v>
      </c>
      <c r="B282" s="3">
        <v>12.47</v>
      </c>
      <c r="C282" s="3">
        <v>64.040000000000006</v>
      </c>
      <c r="D282" s="3">
        <v>134.26</v>
      </c>
      <c r="E282" s="3">
        <v>19.5</v>
      </c>
      <c r="F282" s="3">
        <v>47.18</v>
      </c>
      <c r="G282" s="3">
        <v>106.864425</v>
      </c>
      <c r="H282" s="3">
        <v>102.090484</v>
      </c>
      <c r="I282" s="3">
        <v>102.010716</v>
      </c>
      <c r="J282">
        <v>7.6139999999999999</v>
      </c>
      <c r="K282">
        <v>7.6139999999999999</v>
      </c>
      <c r="L282">
        <v>7.694</v>
      </c>
    </row>
    <row r="283" spans="1:12" x14ac:dyDescent="0.35">
      <c r="A283" s="2">
        <v>44602</v>
      </c>
      <c r="B283" s="3">
        <v>11.59</v>
      </c>
      <c r="C283" s="3">
        <v>63.44</v>
      </c>
      <c r="D283" s="3">
        <v>138.43</v>
      </c>
      <c r="E283" s="3">
        <v>18.649999999999999</v>
      </c>
      <c r="F283" s="3">
        <v>47.05</v>
      </c>
      <c r="G283" s="3">
        <v>106.52671100000001</v>
      </c>
      <c r="H283" s="3">
        <v>101.75557999999999</v>
      </c>
      <c r="I283" s="3">
        <v>101.911714</v>
      </c>
      <c r="J283">
        <v>7.7539999999999996</v>
      </c>
      <c r="K283">
        <v>7.7140000000000004</v>
      </c>
      <c r="L283">
        <v>7.774</v>
      </c>
    </row>
    <row r="284" spans="1:12" x14ac:dyDescent="0.35">
      <c r="A284" s="2">
        <v>44603</v>
      </c>
      <c r="B284" s="3">
        <v>11.56</v>
      </c>
      <c r="C284" s="3">
        <v>64.63</v>
      </c>
      <c r="D284" s="3">
        <v>139.19999999999999</v>
      </c>
      <c r="E284" s="3">
        <v>19.13</v>
      </c>
      <c r="F284" s="3">
        <v>46.38</v>
      </c>
      <c r="G284" s="3">
        <v>106.37647</v>
      </c>
      <c r="H284" s="3">
        <v>101.64451099999999</v>
      </c>
      <c r="I284" s="3">
        <v>101.446298</v>
      </c>
      <c r="J284">
        <v>7.7640000000000002</v>
      </c>
      <c r="K284">
        <v>7.7140000000000004</v>
      </c>
      <c r="L284">
        <v>7.774</v>
      </c>
    </row>
    <row r="285" spans="1:12" x14ac:dyDescent="0.35">
      <c r="A285" s="2">
        <v>44606</v>
      </c>
      <c r="B285" s="3">
        <v>11.13</v>
      </c>
      <c r="C285" s="3">
        <v>62.9</v>
      </c>
      <c r="D285" s="3">
        <v>135.56</v>
      </c>
      <c r="E285" s="3">
        <v>18.899999999999999</v>
      </c>
      <c r="F285" s="3">
        <v>46.39</v>
      </c>
      <c r="G285" s="3">
        <v>106.341272</v>
      </c>
      <c r="H285" s="3">
        <v>101.599782</v>
      </c>
      <c r="I285" s="3">
        <v>101.30619299999999</v>
      </c>
      <c r="J285">
        <v>7.8040000000000003</v>
      </c>
      <c r="K285">
        <v>7.774</v>
      </c>
      <c r="L285">
        <v>7.8239999999999998</v>
      </c>
    </row>
    <row r="286" spans="1:12" x14ac:dyDescent="0.35">
      <c r="A286" s="2">
        <v>44607</v>
      </c>
      <c r="B286" s="3">
        <v>11.68</v>
      </c>
      <c r="C286" s="3">
        <v>63.07</v>
      </c>
      <c r="D286" s="3">
        <v>137.38999999999999</v>
      </c>
      <c r="E286" s="3">
        <v>19.09</v>
      </c>
      <c r="F286" s="3">
        <v>46.28</v>
      </c>
      <c r="G286" s="3">
        <v>106.19168000000001</v>
      </c>
      <c r="H286" s="3">
        <v>101.42321800000001</v>
      </c>
      <c r="I286" s="3">
        <v>100.925409</v>
      </c>
      <c r="J286">
        <v>7.7939999999999996</v>
      </c>
      <c r="K286">
        <v>7.7539999999999996</v>
      </c>
      <c r="L286">
        <v>7.8090000000000002</v>
      </c>
    </row>
    <row r="287" spans="1:12" x14ac:dyDescent="0.35">
      <c r="A287" s="2">
        <v>44608</v>
      </c>
      <c r="B287" s="3">
        <v>11.67</v>
      </c>
      <c r="C287" s="3">
        <v>63.22</v>
      </c>
      <c r="D287" s="3">
        <v>136.97</v>
      </c>
      <c r="E287" s="3">
        <v>19.239999999999998</v>
      </c>
      <c r="F287" s="3">
        <v>46.17</v>
      </c>
      <c r="G287" s="3">
        <v>106.328346</v>
      </c>
      <c r="H287" s="3">
        <v>101.57656</v>
      </c>
      <c r="I287" s="3">
        <v>101.027173</v>
      </c>
      <c r="J287">
        <v>7.7539999999999996</v>
      </c>
      <c r="K287">
        <v>7.7140000000000004</v>
      </c>
      <c r="L287">
        <v>7.774</v>
      </c>
    </row>
    <row r="288" spans="1:12" x14ac:dyDescent="0.35">
      <c r="A288" s="2">
        <v>44609</v>
      </c>
      <c r="B288" s="3">
        <v>11.5</v>
      </c>
      <c r="C288" s="3">
        <v>63.75</v>
      </c>
      <c r="D288" s="3">
        <v>133.19</v>
      </c>
      <c r="E288" s="3">
        <v>18.75</v>
      </c>
      <c r="F288" s="3">
        <v>46.6</v>
      </c>
      <c r="G288" s="3">
        <v>106.33776899999999</v>
      </c>
      <c r="H288" s="3">
        <v>101.574912</v>
      </c>
      <c r="I288" s="3">
        <v>101.25240599999999</v>
      </c>
      <c r="J288">
        <v>7.7439999999999998</v>
      </c>
      <c r="K288">
        <v>7.7140000000000004</v>
      </c>
      <c r="L288">
        <v>7.7839999999999998</v>
      </c>
    </row>
    <row r="289" spans="1:12" x14ac:dyDescent="0.35">
      <c r="A289" s="2">
        <v>44610</v>
      </c>
      <c r="B289" s="3">
        <v>11.42</v>
      </c>
      <c r="C289" s="3">
        <v>64.81</v>
      </c>
      <c r="D289" s="3">
        <v>130.25</v>
      </c>
      <c r="E289" s="3">
        <v>18.489999999999998</v>
      </c>
      <c r="F289" s="3">
        <v>46.01</v>
      </c>
      <c r="G289" s="3">
        <v>106.474384</v>
      </c>
      <c r="H289" s="3">
        <v>101.72826499999999</v>
      </c>
      <c r="I289" s="3">
        <v>101.193501</v>
      </c>
      <c r="J289">
        <v>7.7640000000000002</v>
      </c>
      <c r="K289">
        <v>7.7240000000000002</v>
      </c>
      <c r="L289">
        <v>7.7839999999999998</v>
      </c>
    </row>
    <row r="290" spans="1:12" x14ac:dyDescent="0.35">
      <c r="A290" s="2">
        <v>44613</v>
      </c>
      <c r="B290" s="3">
        <v>11.34</v>
      </c>
      <c r="C290" s="3">
        <v>64.69</v>
      </c>
      <c r="D290" s="3">
        <v>131.41</v>
      </c>
      <c r="E290" s="3">
        <v>18.27</v>
      </c>
      <c r="F290" s="3">
        <v>44.99</v>
      </c>
      <c r="G290" s="3">
        <v>106.496585</v>
      </c>
      <c r="H290" s="3">
        <v>101.74969400000001</v>
      </c>
      <c r="I290" s="3">
        <v>101.215008</v>
      </c>
      <c r="J290">
        <v>7.7640000000000002</v>
      </c>
      <c r="K290">
        <v>7.8090000000000002</v>
      </c>
      <c r="L290">
        <v>7.859</v>
      </c>
    </row>
    <row r="291" spans="1:12" x14ac:dyDescent="0.35">
      <c r="A291" s="2">
        <v>44614</v>
      </c>
      <c r="B291" s="3">
        <v>11.28</v>
      </c>
      <c r="C291" s="3">
        <v>65.489999999999995</v>
      </c>
      <c r="D291" s="3">
        <v>132.78</v>
      </c>
      <c r="E291" s="3">
        <v>18.670000000000002</v>
      </c>
      <c r="F291" s="3">
        <v>44.34</v>
      </c>
      <c r="G291" s="3">
        <v>106.461612</v>
      </c>
      <c r="H291" s="3">
        <v>101.771128</v>
      </c>
      <c r="I291" s="3">
        <v>101.316895</v>
      </c>
      <c r="J291">
        <v>7.79</v>
      </c>
      <c r="K291">
        <v>7.8</v>
      </c>
      <c r="L291">
        <v>7.86</v>
      </c>
    </row>
    <row r="292" spans="1:12" x14ac:dyDescent="0.35">
      <c r="A292" s="2">
        <v>44615</v>
      </c>
      <c r="B292" s="3">
        <v>10.52</v>
      </c>
      <c r="C292" s="3">
        <v>62.66</v>
      </c>
      <c r="D292" s="3">
        <v>128.16999999999999</v>
      </c>
      <c r="E292" s="3">
        <v>18.22</v>
      </c>
      <c r="F292" s="3">
        <v>43.63</v>
      </c>
      <c r="G292" s="3">
        <v>105.971142</v>
      </c>
      <c r="H292" s="3">
        <v>101.135685</v>
      </c>
      <c r="I292" s="3">
        <v>101.09756299999999</v>
      </c>
      <c r="J292">
        <v>7.79</v>
      </c>
      <c r="K292">
        <v>7.8</v>
      </c>
      <c r="L292">
        <v>7.87</v>
      </c>
    </row>
    <row r="293" spans="1:12" x14ac:dyDescent="0.35">
      <c r="A293" s="2">
        <v>44616</v>
      </c>
      <c r="B293" s="3">
        <v>10.4</v>
      </c>
      <c r="C293" s="3">
        <v>62.36</v>
      </c>
      <c r="D293" s="3">
        <v>129.59</v>
      </c>
      <c r="E293" s="3">
        <v>18.22</v>
      </c>
      <c r="F293" s="3">
        <v>42.49</v>
      </c>
      <c r="G293" s="3">
        <v>105.868247</v>
      </c>
      <c r="H293" s="3">
        <v>100.939378</v>
      </c>
      <c r="I293" s="3">
        <v>100.84242399999999</v>
      </c>
      <c r="J293">
        <v>7.85</v>
      </c>
      <c r="K293">
        <v>7.86</v>
      </c>
      <c r="L293">
        <v>7.91</v>
      </c>
    </row>
    <row r="294" spans="1:12" x14ac:dyDescent="0.35">
      <c r="A294" s="2">
        <v>44617</v>
      </c>
      <c r="B294" s="3">
        <v>10.56</v>
      </c>
      <c r="C294" s="3">
        <v>64.349999999999994</v>
      </c>
      <c r="D294" s="3">
        <v>132.19999999999999</v>
      </c>
      <c r="E294" s="3">
        <v>18.38</v>
      </c>
      <c r="F294" s="3">
        <v>46.24</v>
      </c>
      <c r="G294" s="3">
        <v>106.117434</v>
      </c>
      <c r="H294" s="3">
        <v>101.222013</v>
      </c>
      <c r="I294" s="3">
        <v>100.387022</v>
      </c>
      <c r="J294">
        <v>7.84</v>
      </c>
      <c r="K294">
        <v>7.85</v>
      </c>
      <c r="L294">
        <v>7.9</v>
      </c>
    </row>
    <row r="295" spans="1:12" x14ac:dyDescent="0.35">
      <c r="A295" s="2">
        <v>44620</v>
      </c>
      <c r="B295" s="3">
        <v>10.52</v>
      </c>
      <c r="C295" s="3">
        <v>63.07</v>
      </c>
      <c r="D295" s="3">
        <v>138.54</v>
      </c>
      <c r="E295" s="3">
        <v>18.510000000000002</v>
      </c>
      <c r="F295" s="3">
        <v>44.36</v>
      </c>
      <c r="G295" s="3">
        <v>105.96974899999999</v>
      </c>
      <c r="H295" s="3">
        <v>101.113026</v>
      </c>
      <c r="I295" s="3">
        <v>100.64675699999999</v>
      </c>
      <c r="J295">
        <v>7.8460000000000001</v>
      </c>
      <c r="K295">
        <v>7.8650000000000002</v>
      </c>
      <c r="L295">
        <v>7.9269999999999996</v>
      </c>
    </row>
    <row r="296" spans="1:12" x14ac:dyDescent="0.35">
      <c r="A296" s="2">
        <v>44621</v>
      </c>
      <c r="B296" s="3">
        <v>10.41</v>
      </c>
      <c r="C296" s="3">
        <v>62.33</v>
      </c>
      <c r="D296" s="3">
        <v>137.51</v>
      </c>
      <c r="E296" s="3">
        <v>18.93</v>
      </c>
      <c r="F296" s="3">
        <v>45.93</v>
      </c>
      <c r="G296" s="3">
        <v>105.65319599999999</v>
      </c>
      <c r="H296" s="3">
        <v>100.54987199999999</v>
      </c>
      <c r="I296" s="3">
        <v>100.114148</v>
      </c>
      <c r="J296">
        <v>7.8490000000000002</v>
      </c>
      <c r="K296">
        <v>7.9379999999999997</v>
      </c>
      <c r="L296">
        <v>7.9889999999999999</v>
      </c>
    </row>
    <row r="297" spans="1:12" x14ac:dyDescent="0.35">
      <c r="A297" s="2">
        <v>44622</v>
      </c>
      <c r="B297" s="3">
        <v>10.55</v>
      </c>
      <c r="C297" s="3">
        <v>61.9</v>
      </c>
      <c r="D297" s="3">
        <v>130.34</v>
      </c>
      <c r="E297" s="3">
        <v>19.21</v>
      </c>
      <c r="F297" s="3">
        <v>46.16</v>
      </c>
      <c r="G297" s="3">
        <v>105.675735</v>
      </c>
      <c r="H297" s="3">
        <v>100.701159</v>
      </c>
      <c r="I297" s="3">
        <v>99.664193999999995</v>
      </c>
      <c r="J297">
        <v>7.87</v>
      </c>
      <c r="K297">
        <v>7.89</v>
      </c>
      <c r="L297">
        <v>7.98</v>
      </c>
    </row>
    <row r="298" spans="1:12" x14ac:dyDescent="0.35">
      <c r="A298" s="2">
        <v>44623</v>
      </c>
      <c r="B298" s="3">
        <v>10.57</v>
      </c>
      <c r="C298" s="3">
        <v>59.21</v>
      </c>
      <c r="D298" s="3">
        <v>133.78</v>
      </c>
      <c r="E298" s="3">
        <v>19.22</v>
      </c>
      <c r="F298" s="3">
        <v>47.61</v>
      </c>
      <c r="G298" s="3">
        <v>105.51842000000001</v>
      </c>
      <c r="H298" s="3">
        <v>100.378607</v>
      </c>
      <c r="I298" s="3">
        <v>99.729508999999993</v>
      </c>
      <c r="J298">
        <v>7.88</v>
      </c>
      <c r="K298">
        <v>7.93</v>
      </c>
      <c r="L298">
        <v>8</v>
      </c>
    </row>
    <row r="299" spans="1:12" x14ac:dyDescent="0.35">
      <c r="A299" s="2">
        <v>44624</v>
      </c>
      <c r="B299" s="3">
        <v>10.029999999999999</v>
      </c>
      <c r="C299" s="3">
        <v>57.44</v>
      </c>
      <c r="D299" s="3">
        <v>133.38</v>
      </c>
      <c r="E299" s="3">
        <v>19.34</v>
      </c>
      <c r="F299" s="3">
        <v>47.04</v>
      </c>
      <c r="G299" s="3">
        <v>105.093092</v>
      </c>
      <c r="H299" s="3">
        <v>99.950615999999997</v>
      </c>
      <c r="I299" s="3">
        <v>99.360772999999995</v>
      </c>
      <c r="J299">
        <v>7.97</v>
      </c>
      <c r="K299">
        <v>8.0299999999999994</v>
      </c>
      <c r="L299">
        <v>8.09</v>
      </c>
    </row>
    <row r="300" spans="1:12" x14ac:dyDescent="0.35">
      <c r="A300" s="2">
        <v>44627</v>
      </c>
      <c r="B300" s="3">
        <v>9.5399999999999991</v>
      </c>
      <c r="C300" s="3">
        <v>53.2</v>
      </c>
      <c r="D300" s="3">
        <v>131.79</v>
      </c>
      <c r="E300" s="3">
        <v>19.38</v>
      </c>
      <c r="F300" s="3">
        <v>44.09</v>
      </c>
      <c r="G300" s="3">
        <v>103.841914</v>
      </c>
      <c r="H300" s="3">
        <v>98.450564999999997</v>
      </c>
      <c r="I300" s="3">
        <v>99.071752000000004</v>
      </c>
      <c r="J300">
        <v>8.16</v>
      </c>
      <c r="K300">
        <v>8.25</v>
      </c>
      <c r="L300">
        <v>8.3450000000000006</v>
      </c>
    </row>
    <row r="301" spans="1:12" x14ac:dyDescent="0.35">
      <c r="A301" s="2">
        <v>44628</v>
      </c>
      <c r="B301" s="3">
        <v>10.29</v>
      </c>
      <c r="C301" s="3">
        <v>54.21</v>
      </c>
      <c r="D301" s="3">
        <v>136.04</v>
      </c>
      <c r="E301" s="3">
        <v>20.02</v>
      </c>
      <c r="F301" s="3">
        <v>44.21</v>
      </c>
      <c r="G301" s="3">
        <v>102.990786</v>
      </c>
      <c r="H301" s="3">
        <v>97.723355999999995</v>
      </c>
      <c r="I301" s="3">
        <v>97.483759000000006</v>
      </c>
      <c r="J301">
        <v>8.32</v>
      </c>
      <c r="K301">
        <v>8.41</v>
      </c>
      <c r="L301">
        <v>8.4700000000000006</v>
      </c>
    </row>
    <row r="302" spans="1:12" x14ac:dyDescent="0.35">
      <c r="A302" s="2">
        <v>44629</v>
      </c>
      <c r="B302" s="3">
        <v>10.47</v>
      </c>
      <c r="C302" s="3">
        <v>56.46</v>
      </c>
      <c r="D302" s="3">
        <v>139.91</v>
      </c>
      <c r="E302" s="3">
        <v>19.86</v>
      </c>
      <c r="F302" s="3">
        <v>44.95</v>
      </c>
      <c r="G302" s="3">
        <v>103.55929500000001</v>
      </c>
      <c r="H302" s="3">
        <v>98.369589000000005</v>
      </c>
      <c r="I302" s="3">
        <v>96.527528000000004</v>
      </c>
      <c r="J302">
        <v>8.2650000000000006</v>
      </c>
      <c r="K302">
        <v>8.31</v>
      </c>
      <c r="L302">
        <v>8.36</v>
      </c>
    </row>
    <row r="303" spans="1:12" x14ac:dyDescent="0.35">
      <c r="A303" s="2">
        <v>44630</v>
      </c>
      <c r="B303" s="3">
        <v>9.98</v>
      </c>
      <c r="C303" s="3">
        <v>57.1</v>
      </c>
      <c r="D303" s="3">
        <v>136.66</v>
      </c>
      <c r="E303" s="3">
        <v>19.809999999999999</v>
      </c>
      <c r="F303" s="3">
        <v>47.05</v>
      </c>
      <c r="G303" s="3">
        <v>102.70523300000001</v>
      </c>
      <c r="H303" s="3">
        <v>97.503020000000006</v>
      </c>
      <c r="I303" s="3">
        <v>97.194309000000004</v>
      </c>
      <c r="J303">
        <v>8.41</v>
      </c>
      <c r="K303">
        <v>8.4499999999999993</v>
      </c>
      <c r="L303">
        <v>8.48</v>
      </c>
    </row>
    <row r="304" spans="1:12" x14ac:dyDescent="0.35">
      <c r="A304" s="2">
        <v>44631</v>
      </c>
      <c r="B304" s="3">
        <v>10.1</v>
      </c>
      <c r="C304" s="3">
        <v>56.65</v>
      </c>
      <c r="D304" s="3">
        <v>140.16</v>
      </c>
      <c r="E304" s="3">
        <v>19.920000000000002</v>
      </c>
      <c r="F304" s="3">
        <v>48.85</v>
      </c>
      <c r="G304" s="3">
        <v>102.674741</v>
      </c>
      <c r="H304" s="3">
        <v>97.587305000000001</v>
      </c>
      <c r="I304" s="3">
        <v>96.467089999999999</v>
      </c>
      <c r="J304">
        <v>8.4700000000000006</v>
      </c>
      <c r="K304">
        <v>8.49</v>
      </c>
      <c r="L304">
        <v>8.5150000000000006</v>
      </c>
    </row>
    <row r="305" spans="1:12" x14ac:dyDescent="0.35">
      <c r="A305" s="2">
        <v>44634</v>
      </c>
      <c r="B305" s="3">
        <v>9.9600000000000009</v>
      </c>
      <c r="C305" s="3">
        <v>55.2</v>
      </c>
      <c r="D305" s="3">
        <v>141.19999999999999</v>
      </c>
      <c r="E305" s="3">
        <v>19.600000000000001</v>
      </c>
      <c r="F305" s="3">
        <v>48.47</v>
      </c>
      <c r="G305" s="3">
        <v>101.999892</v>
      </c>
      <c r="H305" s="3">
        <v>96.687629999999999</v>
      </c>
      <c r="I305" s="3">
        <v>96.414833000000002</v>
      </c>
      <c r="J305">
        <v>8.58</v>
      </c>
      <c r="K305">
        <v>8.6199999999999992</v>
      </c>
      <c r="L305">
        <v>8.6549999999999994</v>
      </c>
    </row>
    <row r="306" spans="1:12" x14ac:dyDescent="0.35">
      <c r="A306" s="2">
        <v>44635</v>
      </c>
      <c r="B306" s="3">
        <v>10.3</v>
      </c>
      <c r="C306" s="3">
        <v>56.27</v>
      </c>
      <c r="D306" s="3">
        <v>139.94999999999999</v>
      </c>
      <c r="E306" s="3">
        <v>19.809999999999999</v>
      </c>
      <c r="F306" s="3">
        <v>49.1</v>
      </c>
      <c r="G306" s="3">
        <v>101.91674500000001</v>
      </c>
      <c r="H306" s="3">
        <v>96.527237</v>
      </c>
      <c r="I306" s="3">
        <v>95.476164999999995</v>
      </c>
      <c r="J306">
        <v>8.58</v>
      </c>
      <c r="K306">
        <v>8.6</v>
      </c>
      <c r="L306">
        <v>8.6300000000000008</v>
      </c>
    </row>
    <row r="307" spans="1:12" x14ac:dyDescent="0.35">
      <c r="A307" s="2">
        <v>44636</v>
      </c>
      <c r="B307" s="3">
        <v>10.6</v>
      </c>
      <c r="C307" s="3">
        <v>58.67</v>
      </c>
      <c r="D307" s="3">
        <v>142.11000000000001</v>
      </c>
      <c r="E307" s="3">
        <v>20.100000000000001</v>
      </c>
      <c r="F307" s="3">
        <v>49.24</v>
      </c>
      <c r="G307" s="3">
        <v>102.15431599999999</v>
      </c>
      <c r="H307" s="3">
        <v>96.855095000000006</v>
      </c>
      <c r="I307" s="3">
        <v>95.498519000000002</v>
      </c>
      <c r="J307">
        <v>8.5299999999999994</v>
      </c>
      <c r="K307">
        <v>8.5299999999999994</v>
      </c>
      <c r="L307">
        <v>8.5299999999999994</v>
      </c>
    </row>
    <row r="308" spans="1:12" x14ac:dyDescent="0.35">
      <c r="A308" s="2">
        <v>44637</v>
      </c>
      <c r="B308" s="3">
        <v>10.65</v>
      </c>
      <c r="C308" s="3">
        <v>58.72</v>
      </c>
      <c r="D308" s="3">
        <v>149.97</v>
      </c>
      <c r="E308" s="3">
        <v>20.38</v>
      </c>
      <c r="F308" s="3">
        <v>49.77</v>
      </c>
      <c r="G308" s="3">
        <v>102.409717</v>
      </c>
      <c r="H308" s="3">
        <v>97.251777000000004</v>
      </c>
      <c r="I308" s="3">
        <v>96.177391</v>
      </c>
      <c r="J308">
        <v>8.44</v>
      </c>
      <c r="K308">
        <v>8.43</v>
      </c>
      <c r="L308">
        <v>8.4499999999999993</v>
      </c>
    </row>
    <row r="309" spans="1:12" x14ac:dyDescent="0.35">
      <c r="A309" s="2">
        <v>44638</v>
      </c>
      <c r="B309" s="3">
        <v>10.81</v>
      </c>
      <c r="C309" s="3">
        <v>57.98</v>
      </c>
      <c r="D309" s="3">
        <v>160.93</v>
      </c>
      <c r="E309" s="3">
        <v>20.329999999999998</v>
      </c>
      <c r="F309" s="3">
        <v>49.94</v>
      </c>
      <c r="G309" s="3">
        <v>103.132775</v>
      </c>
      <c r="H309" s="3">
        <v>98.138503999999998</v>
      </c>
      <c r="I309" s="3">
        <v>97.243329000000003</v>
      </c>
      <c r="J309">
        <v>8.32</v>
      </c>
      <c r="K309">
        <v>8.3000000000000007</v>
      </c>
      <c r="L309">
        <v>8.3000000000000007</v>
      </c>
    </row>
    <row r="310" spans="1:12" x14ac:dyDescent="0.35">
      <c r="A310" s="2">
        <v>44642</v>
      </c>
      <c r="B310" s="3">
        <v>10.76</v>
      </c>
      <c r="C310" s="3">
        <v>59.29</v>
      </c>
      <c r="D310" s="3">
        <v>149.34</v>
      </c>
      <c r="E310" s="3">
        <v>20.83</v>
      </c>
      <c r="F310" s="3">
        <v>49.74</v>
      </c>
      <c r="G310" s="3">
        <v>102.61788199999999</v>
      </c>
      <c r="H310" s="3">
        <v>97.727645999999993</v>
      </c>
      <c r="I310" s="3">
        <v>98.553989999999999</v>
      </c>
      <c r="J310">
        <v>8.5399999999999991</v>
      </c>
      <c r="K310">
        <v>8.5399999999999991</v>
      </c>
      <c r="L310">
        <v>8.5050000000000008</v>
      </c>
    </row>
    <row r="311" spans="1:12" x14ac:dyDescent="0.35">
      <c r="A311" s="2">
        <v>44643</v>
      </c>
      <c r="B311" s="3">
        <v>10.58</v>
      </c>
      <c r="C311" s="3">
        <v>57.49</v>
      </c>
      <c r="D311" s="3">
        <v>148.82</v>
      </c>
      <c r="E311" s="3">
        <v>20.73</v>
      </c>
      <c r="F311" s="3">
        <v>48.18</v>
      </c>
      <c r="G311" s="3">
        <v>102.587903</v>
      </c>
      <c r="H311" s="3">
        <v>98.183314999999993</v>
      </c>
      <c r="I311" s="3">
        <v>97.287729999999996</v>
      </c>
      <c r="J311">
        <v>8.5850000000000009</v>
      </c>
      <c r="K311">
        <v>8.5</v>
      </c>
      <c r="L311">
        <v>8.4350000000000005</v>
      </c>
    </row>
    <row r="312" spans="1:12" x14ac:dyDescent="0.35">
      <c r="A312" s="2">
        <v>44644</v>
      </c>
      <c r="B312" s="3">
        <v>10.69</v>
      </c>
      <c r="C312" s="3">
        <v>57.73</v>
      </c>
      <c r="D312" s="3">
        <v>152.66</v>
      </c>
      <c r="E312" s="3">
        <v>20.91</v>
      </c>
      <c r="F312" s="3">
        <v>47.6</v>
      </c>
      <c r="G312" s="3">
        <v>103.034719</v>
      </c>
      <c r="H312" s="3">
        <v>98.561352999999997</v>
      </c>
      <c r="I312" s="3">
        <v>97.806213</v>
      </c>
      <c r="J312">
        <v>8.5850000000000009</v>
      </c>
      <c r="K312">
        <v>8.5670000000000002</v>
      </c>
      <c r="L312">
        <v>8.4770000000000003</v>
      </c>
    </row>
    <row r="313" spans="1:12" x14ac:dyDescent="0.35">
      <c r="A313" s="2">
        <v>44645</v>
      </c>
      <c r="B313" s="3">
        <v>10.69</v>
      </c>
      <c r="C313" s="3">
        <v>58.28</v>
      </c>
      <c r="D313" s="3">
        <v>149.93</v>
      </c>
      <c r="E313" s="3">
        <v>21</v>
      </c>
      <c r="F313" s="3">
        <v>48.09</v>
      </c>
      <c r="G313" s="3">
        <v>102.62906599999999</v>
      </c>
      <c r="H313" s="3">
        <v>97.901832999999996</v>
      </c>
      <c r="I313" s="3">
        <v>96.927712999999997</v>
      </c>
      <c r="J313">
        <v>8.7650000000000006</v>
      </c>
      <c r="K313">
        <v>8.6999999999999993</v>
      </c>
      <c r="L313">
        <v>8.625</v>
      </c>
    </row>
    <row r="314" spans="1:12" x14ac:dyDescent="0.35">
      <c r="A314" s="2">
        <v>44648</v>
      </c>
      <c r="B314" s="3">
        <v>10.54</v>
      </c>
      <c r="C314" s="3">
        <v>59.22</v>
      </c>
      <c r="D314" s="3">
        <v>151.26</v>
      </c>
      <c r="E314" s="3">
        <v>20.72</v>
      </c>
      <c r="F314" s="3">
        <v>48.76</v>
      </c>
      <c r="G314" s="3">
        <v>102.22597500000001</v>
      </c>
      <c r="H314" s="3">
        <v>97.616508999999994</v>
      </c>
      <c r="I314" s="3">
        <v>96.356044999999995</v>
      </c>
      <c r="J314">
        <v>8.7100000000000009</v>
      </c>
      <c r="K314">
        <v>8.61</v>
      </c>
      <c r="L314">
        <v>8.5449999999999999</v>
      </c>
    </row>
    <row r="315" spans="1:12" x14ac:dyDescent="0.35">
      <c r="A315" s="2">
        <v>44649</v>
      </c>
      <c r="B315" s="3">
        <v>10.92</v>
      </c>
      <c r="C315" s="3">
        <v>60.6</v>
      </c>
      <c r="D315" s="3">
        <v>152.6</v>
      </c>
      <c r="E315" s="3">
        <v>20.7</v>
      </c>
      <c r="F315" s="3">
        <v>48.87</v>
      </c>
      <c r="G315" s="3">
        <v>102.997996</v>
      </c>
      <c r="H315" s="3">
        <v>98.379885000000002</v>
      </c>
      <c r="I315" s="3">
        <v>96.972280999999995</v>
      </c>
      <c r="J315">
        <v>8.57</v>
      </c>
      <c r="K315">
        <v>8.43</v>
      </c>
      <c r="L315">
        <v>8.39</v>
      </c>
    </row>
    <row r="316" spans="1:12" x14ac:dyDescent="0.35">
      <c r="A316" s="2">
        <v>44650</v>
      </c>
      <c r="B316" s="3">
        <v>10.61</v>
      </c>
      <c r="C316" s="3">
        <v>60.12</v>
      </c>
      <c r="D316" s="3">
        <v>150.66</v>
      </c>
      <c r="E316" s="3">
        <v>20.75</v>
      </c>
      <c r="F316" s="3">
        <v>48.7</v>
      </c>
      <c r="G316" s="3">
        <v>103.398273</v>
      </c>
      <c r="H316" s="3">
        <v>99.087795</v>
      </c>
      <c r="I316" s="3">
        <v>97.970479999999995</v>
      </c>
      <c r="J316">
        <v>8.43</v>
      </c>
      <c r="K316">
        <v>8.36</v>
      </c>
      <c r="L316">
        <v>8.32</v>
      </c>
    </row>
    <row r="317" spans="1:12" x14ac:dyDescent="0.35">
      <c r="A317" s="2">
        <v>44651</v>
      </c>
      <c r="B317" s="3">
        <v>10.69</v>
      </c>
      <c r="C317" s="3">
        <v>60.06</v>
      </c>
      <c r="D317" s="3">
        <v>149.55000000000001</v>
      </c>
      <c r="E317" s="3">
        <v>21.12</v>
      </c>
      <c r="F317" s="3">
        <v>49.86</v>
      </c>
      <c r="G317" s="3">
        <v>104.00957</v>
      </c>
      <c r="H317" s="3">
        <v>99.405395999999996</v>
      </c>
      <c r="I317" s="3">
        <v>98.644206999999994</v>
      </c>
      <c r="J317">
        <v>8.42</v>
      </c>
      <c r="K317">
        <v>8.31</v>
      </c>
      <c r="L317">
        <v>8.2899999999999991</v>
      </c>
    </row>
    <row r="318" spans="1:12" x14ac:dyDescent="0.35">
      <c r="A318" s="2">
        <v>44652</v>
      </c>
      <c r="B318" s="3">
        <v>10.56</v>
      </c>
      <c r="C318" s="3">
        <v>62.98</v>
      </c>
      <c r="D318" s="3">
        <v>148.06</v>
      </c>
      <c r="E318" s="3">
        <v>21.62</v>
      </c>
      <c r="F318" s="3">
        <v>49.55</v>
      </c>
      <c r="G318" s="3">
        <v>103.708175</v>
      </c>
      <c r="H318" s="3">
        <v>99.114507000000003</v>
      </c>
      <c r="I318" s="3">
        <v>99.048430999999994</v>
      </c>
      <c r="J318">
        <v>8.4499999999999993</v>
      </c>
      <c r="K318">
        <v>8.3699999999999992</v>
      </c>
      <c r="L318">
        <v>8.34</v>
      </c>
    </row>
    <row r="319" spans="1:12" x14ac:dyDescent="0.35">
      <c r="A319" s="2">
        <v>44655</v>
      </c>
      <c r="B319" s="3">
        <v>10.58</v>
      </c>
      <c r="C319" s="3">
        <v>64.319999999999993</v>
      </c>
      <c r="D319" s="3">
        <v>146.56</v>
      </c>
      <c r="E319" s="3">
        <v>21.5</v>
      </c>
      <c r="F319" s="3">
        <v>48.62</v>
      </c>
      <c r="G319" s="3">
        <v>103.62371899999999</v>
      </c>
      <c r="H319" s="3">
        <v>98.762844999999999</v>
      </c>
      <c r="I319" s="3">
        <v>98.460211999999999</v>
      </c>
      <c r="J319">
        <v>8.4550000000000001</v>
      </c>
      <c r="K319">
        <v>8.4250000000000007</v>
      </c>
      <c r="L319">
        <v>8.3949999999999996</v>
      </c>
    </row>
    <row r="320" spans="1:12" x14ac:dyDescent="0.35">
      <c r="A320" s="2">
        <v>44656</v>
      </c>
      <c r="B320" s="3">
        <v>10.199999999999999</v>
      </c>
      <c r="C320" s="3">
        <v>62.5</v>
      </c>
      <c r="D320" s="3">
        <v>144.66999999999999</v>
      </c>
      <c r="E320" s="3">
        <v>21.4</v>
      </c>
      <c r="F320" s="3">
        <v>48.39</v>
      </c>
      <c r="G320" s="3">
        <v>102.949392</v>
      </c>
      <c r="H320" s="3">
        <v>98.104563999999996</v>
      </c>
      <c r="I320" s="3">
        <v>98.103644000000003</v>
      </c>
      <c r="J320">
        <v>8.4589999999999996</v>
      </c>
      <c r="K320">
        <v>8.5429999999999993</v>
      </c>
      <c r="L320">
        <v>8.4949999999999992</v>
      </c>
    </row>
    <row r="321" spans="1:12" x14ac:dyDescent="0.35">
      <c r="A321" s="2">
        <v>44657</v>
      </c>
      <c r="B321" s="3">
        <v>9.86</v>
      </c>
      <c r="C321" s="3">
        <v>59.66</v>
      </c>
      <c r="D321" s="3">
        <v>147.57</v>
      </c>
      <c r="E321" s="3">
        <v>21.61</v>
      </c>
      <c r="F321" s="3">
        <v>47.94</v>
      </c>
      <c r="G321" s="3">
        <v>102.91970000000001</v>
      </c>
      <c r="H321" s="3">
        <v>97.881179000000003</v>
      </c>
      <c r="I321" s="3">
        <v>97.449336000000002</v>
      </c>
      <c r="J321">
        <v>8.59</v>
      </c>
      <c r="K321">
        <v>8.58</v>
      </c>
      <c r="L321">
        <v>8.5500000000000007</v>
      </c>
    </row>
    <row r="322" spans="1:12" x14ac:dyDescent="0.35">
      <c r="A322" s="2">
        <v>44658</v>
      </c>
      <c r="B322" s="3">
        <v>9.68</v>
      </c>
      <c r="C322" s="3">
        <v>59.5</v>
      </c>
      <c r="D322" s="3">
        <v>143.32</v>
      </c>
      <c r="E322" s="3">
        <v>21.99</v>
      </c>
      <c r="F322" s="3">
        <v>48.24</v>
      </c>
      <c r="G322" s="3">
        <v>102.459243</v>
      </c>
      <c r="H322" s="3">
        <v>97.398948000000004</v>
      </c>
      <c r="I322" s="3">
        <v>96.846472000000006</v>
      </c>
      <c r="J322">
        <v>8.65</v>
      </c>
      <c r="K322">
        <v>8.65</v>
      </c>
      <c r="L322">
        <v>8.6300000000000008</v>
      </c>
    </row>
    <row r="323" spans="1:12" x14ac:dyDescent="0.35">
      <c r="A323" s="2">
        <v>44659</v>
      </c>
      <c r="B323" s="3">
        <v>9.2100000000000009</v>
      </c>
      <c r="C323" s="3">
        <v>59.22</v>
      </c>
      <c r="D323" s="3">
        <v>139.31</v>
      </c>
      <c r="E323" s="3">
        <v>22.01</v>
      </c>
      <c r="F323" s="3">
        <v>47.62</v>
      </c>
      <c r="G323" s="3">
        <v>101.902568</v>
      </c>
      <c r="H323" s="3">
        <v>96.875811999999996</v>
      </c>
      <c r="I323" s="3">
        <v>96.278985000000006</v>
      </c>
      <c r="J323">
        <v>8.6530000000000005</v>
      </c>
      <c r="K323">
        <v>8.7620000000000005</v>
      </c>
      <c r="L323">
        <v>8.7200000000000006</v>
      </c>
    </row>
    <row r="324" spans="1:12" x14ac:dyDescent="0.35">
      <c r="A324" s="2">
        <v>44662</v>
      </c>
      <c r="B324" s="3">
        <v>9.1199999999999992</v>
      </c>
      <c r="C324" s="3">
        <v>58.41</v>
      </c>
      <c r="D324" s="3">
        <v>137.02000000000001</v>
      </c>
      <c r="E324" s="3">
        <v>21.81</v>
      </c>
      <c r="F324" s="3">
        <v>46.49</v>
      </c>
      <c r="G324" s="3">
        <v>101.4027</v>
      </c>
      <c r="H324" s="3">
        <v>95.998047</v>
      </c>
      <c r="I324" s="3">
        <v>95.571261000000007</v>
      </c>
      <c r="J324">
        <v>8.82</v>
      </c>
      <c r="K324">
        <v>8.86</v>
      </c>
      <c r="L324">
        <v>8.8699999999999992</v>
      </c>
    </row>
    <row r="325" spans="1:12" x14ac:dyDescent="0.35">
      <c r="A325" s="2">
        <v>44663</v>
      </c>
      <c r="B325" s="3">
        <v>9.02</v>
      </c>
      <c r="C325" s="3">
        <v>56.65</v>
      </c>
      <c r="D325" s="3">
        <v>138.1</v>
      </c>
      <c r="E325" s="3">
        <v>21.74</v>
      </c>
      <c r="F325" s="3">
        <v>46</v>
      </c>
      <c r="G325" s="3">
        <v>101.52389700000001</v>
      </c>
      <c r="H325" s="3">
        <v>96.232489999999999</v>
      </c>
      <c r="I325" s="3">
        <v>94.818600000000004</v>
      </c>
      <c r="J325">
        <v>8.7899999999999991</v>
      </c>
      <c r="K325">
        <v>8.86</v>
      </c>
      <c r="L325">
        <v>8.85</v>
      </c>
    </row>
    <row r="326" spans="1:12" x14ac:dyDescent="0.35">
      <c r="A326" s="2">
        <v>44664</v>
      </c>
      <c r="B326" s="3">
        <v>9.4700000000000006</v>
      </c>
      <c r="C326" s="3">
        <v>57.78</v>
      </c>
      <c r="D326" s="3">
        <v>136.77000000000001</v>
      </c>
      <c r="E326" s="3">
        <v>22.11</v>
      </c>
      <c r="F326" s="3">
        <v>46.31</v>
      </c>
      <c r="G326" s="3">
        <v>101.496039</v>
      </c>
      <c r="H326" s="3">
        <v>96.315231999999995</v>
      </c>
      <c r="I326" s="3">
        <v>94.984742999999995</v>
      </c>
      <c r="J326">
        <v>8.84</v>
      </c>
      <c r="K326">
        <v>8.8699999999999992</v>
      </c>
      <c r="L326">
        <v>8.8369999999999997</v>
      </c>
    </row>
    <row r="327" spans="1:12" x14ac:dyDescent="0.35">
      <c r="A327" s="2">
        <v>44669</v>
      </c>
      <c r="B327" s="3">
        <v>9.2100000000000009</v>
      </c>
      <c r="C327" s="3">
        <v>57.78</v>
      </c>
      <c r="D327" s="3">
        <v>136.94</v>
      </c>
      <c r="E327" s="3">
        <v>22.15</v>
      </c>
      <c r="F327" s="3">
        <v>45.75</v>
      </c>
      <c r="G327" s="3">
        <v>101.416222</v>
      </c>
      <c r="H327" s="3">
        <v>96.099688999999998</v>
      </c>
      <c r="I327" s="3">
        <v>94.792356999999996</v>
      </c>
      <c r="J327">
        <v>8.89</v>
      </c>
      <c r="K327">
        <v>8.89</v>
      </c>
      <c r="L327">
        <v>8.8800000000000008</v>
      </c>
    </row>
    <row r="328" spans="1:12" x14ac:dyDescent="0.35">
      <c r="A328" s="2">
        <v>44670</v>
      </c>
      <c r="B328" s="3">
        <v>9.67</v>
      </c>
      <c r="C328" s="3">
        <v>59.61</v>
      </c>
      <c r="D328" s="3">
        <v>136.78</v>
      </c>
      <c r="E328" s="3">
        <v>22.18</v>
      </c>
      <c r="F328" s="3">
        <v>46.1</v>
      </c>
      <c r="G328" s="3">
        <v>101.232822</v>
      </c>
      <c r="H328" s="3">
        <v>95.88503</v>
      </c>
      <c r="I328" s="3">
        <v>94.529415999999998</v>
      </c>
      <c r="J328">
        <v>8.93</v>
      </c>
      <c r="K328">
        <v>8.94</v>
      </c>
      <c r="L328">
        <v>8.92</v>
      </c>
    </row>
    <row r="329" spans="1:12" x14ac:dyDescent="0.35">
      <c r="A329" s="2">
        <v>44671</v>
      </c>
      <c r="B329" s="3">
        <v>9.83</v>
      </c>
      <c r="C329" s="3">
        <v>57.61</v>
      </c>
      <c r="D329" s="3">
        <v>136.38999999999999</v>
      </c>
      <c r="E329" s="3">
        <v>21.5</v>
      </c>
      <c r="F329" s="3">
        <v>45.88</v>
      </c>
      <c r="G329" s="3">
        <v>101.620958</v>
      </c>
      <c r="H329" s="3">
        <v>96.503811999999996</v>
      </c>
      <c r="I329" s="3">
        <v>94.338745000000003</v>
      </c>
      <c r="J329">
        <v>8.9</v>
      </c>
      <c r="K329">
        <v>8.86</v>
      </c>
      <c r="L329">
        <v>8.82</v>
      </c>
    </row>
    <row r="330" spans="1:12" x14ac:dyDescent="0.35">
      <c r="A330" s="2">
        <v>44672</v>
      </c>
      <c r="B330" s="3">
        <v>9.33</v>
      </c>
      <c r="C330" s="3">
        <v>55.84</v>
      </c>
      <c r="D330" s="3">
        <v>137.11000000000001</v>
      </c>
      <c r="E330" s="3">
        <v>21.49</v>
      </c>
      <c r="F330" s="3">
        <v>44.99</v>
      </c>
      <c r="G330" s="3">
        <v>101.797973</v>
      </c>
      <c r="H330" s="3">
        <v>96.632649999999998</v>
      </c>
      <c r="I330" s="3">
        <v>94.977473000000003</v>
      </c>
      <c r="J330">
        <v>8.8800000000000008</v>
      </c>
      <c r="K330">
        <v>8.84</v>
      </c>
      <c r="L330">
        <v>8.81</v>
      </c>
    </row>
    <row r="331" spans="1:12" x14ac:dyDescent="0.35">
      <c r="A331" s="2">
        <v>44673</v>
      </c>
      <c r="B331" s="3">
        <v>8.98</v>
      </c>
      <c r="C331" s="3">
        <v>55.99</v>
      </c>
      <c r="D331" s="3">
        <v>148.31</v>
      </c>
      <c r="E331" s="3">
        <v>21.49</v>
      </c>
      <c r="F331" s="3">
        <v>45.21</v>
      </c>
      <c r="G331" s="3">
        <v>101.77015900000001</v>
      </c>
      <c r="H331" s="3">
        <v>96.476432000000003</v>
      </c>
      <c r="I331" s="3">
        <v>95.143540000000002</v>
      </c>
      <c r="J331">
        <v>8.9350000000000005</v>
      </c>
      <c r="K331">
        <v>8.85</v>
      </c>
      <c r="L331">
        <v>8.8350000000000009</v>
      </c>
    </row>
    <row r="332" spans="1:12" x14ac:dyDescent="0.35">
      <c r="A332" s="2">
        <v>44676</v>
      </c>
      <c r="B332" s="3">
        <v>8.9</v>
      </c>
      <c r="C332" s="3">
        <v>56.14</v>
      </c>
      <c r="D332" s="3">
        <v>141.22</v>
      </c>
      <c r="E332" s="3">
        <v>21.39</v>
      </c>
      <c r="F332" s="3">
        <v>45.18</v>
      </c>
      <c r="G332" s="3">
        <v>101.53463499999999</v>
      </c>
      <c r="H332" s="3">
        <v>95.846216999999996</v>
      </c>
      <c r="I332" s="3">
        <v>95.094542000000004</v>
      </c>
      <c r="J332">
        <v>8.98</v>
      </c>
      <c r="K332">
        <v>8.9</v>
      </c>
      <c r="L332">
        <v>8.9499999999999993</v>
      </c>
    </row>
    <row r="333" spans="1:12" x14ac:dyDescent="0.35">
      <c r="A333" s="2">
        <v>44677</v>
      </c>
      <c r="B333" s="3">
        <v>8.58</v>
      </c>
      <c r="C333" s="3">
        <v>56.19</v>
      </c>
      <c r="D333" s="3">
        <v>138.44999999999999</v>
      </c>
      <c r="E333" s="3">
        <v>21.43</v>
      </c>
      <c r="F333" s="3">
        <v>43.9</v>
      </c>
      <c r="G333" s="3">
        <v>101.300128</v>
      </c>
      <c r="H333" s="3">
        <v>95.692294000000004</v>
      </c>
      <c r="I333" s="3">
        <v>94.546434000000005</v>
      </c>
      <c r="J333">
        <v>9.0299999999999994</v>
      </c>
      <c r="K333">
        <v>8.9499999999999993</v>
      </c>
      <c r="L333">
        <v>8.98</v>
      </c>
    </row>
    <row r="334" spans="1:12" x14ac:dyDescent="0.35">
      <c r="A334" s="2">
        <v>44678</v>
      </c>
      <c r="B334" s="3">
        <v>8.73</v>
      </c>
      <c r="C334" s="3">
        <v>61.49</v>
      </c>
      <c r="D334" s="3">
        <v>139.22999999999999</v>
      </c>
      <c r="E334" s="3">
        <v>20.89</v>
      </c>
      <c r="F334" s="3">
        <v>44.88</v>
      </c>
      <c r="G334" s="3">
        <v>101.066636</v>
      </c>
      <c r="H334" s="3">
        <v>95.362680999999995</v>
      </c>
      <c r="I334" s="3">
        <v>93.792316</v>
      </c>
      <c r="J334">
        <v>9.0399999999999991</v>
      </c>
      <c r="K334">
        <v>8.98</v>
      </c>
      <c r="L334">
        <v>9.0399999999999991</v>
      </c>
    </row>
    <row r="335" spans="1:12" x14ac:dyDescent="0.35">
      <c r="A335" s="2">
        <v>44679</v>
      </c>
      <c r="B335" s="3">
        <v>9.25</v>
      </c>
      <c r="C335" s="3">
        <v>62.61</v>
      </c>
      <c r="D335" s="3">
        <v>140</v>
      </c>
      <c r="E335" s="3">
        <v>20.89</v>
      </c>
      <c r="F335" s="3">
        <v>45.39</v>
      </c>
      <c r="G335" s="3">
        <v>101.65652900000001</v>
      </c>
      <c r="H335" s="3">
        <v>95.667468</v>
      </c>
      <c r="I335" s="3">
        <v>93.580808000000005</v>
      </c>
      <c r="J335">
        <v>9.08</v>
      </c>
      <c r="K335">
        <v>9.0399999999999991</v>
      </c>
      <c r="L335">
        <v>9.09</v>
      </c>
    </row>
    <row r="336" spans="1:12" x14ac:dyDescent="0.35">
      <c r="A336" s="2">
        <v>44680</v>
      </c>
      <c r="B336" s="3">
        <v>8.98</v>
      </c>
      <c r="C336" s="3">
        <v>62.9</v>
      </c>
      <c r="D336" s="3">
        <v>134.71</v>
      </c>
      <c r="E336" s="3">
        <v>19.86</v>
      </c>
      <c r="F336" s="3">
        <v>44.73</v>
      </c>
      <c r="G336" s="3">
        <v>100.75430900000001</v>
      </c>
      <c r="H336" s="3">
        <v>95.221801999999997</v>
      </c>
      <c r="I336" s="3">
        <v>92.977746999999994</v>
      </c>
      <c r="J336">
        <v>9.0809999999999995</v>
      </c>
      <c r="K336">
        <v>9.08</v>
      </c>
      <c r="L336">
        <v>9.08</v>
      </c>
    </row>
    <row r="337" spans="1:12" x14ac:dyDescent="0.35">
      <c r="A337" s="2">
        <v>44683</v>
      </c>
      <c r="B337" s="3">
        <v>8.99</v>
      </c>
      <c r="C337" s="3">
        <v>67.09</v>
      </c>
      <c r="D337" s="3">
        <v>141.08000000000001</v>
      </c>
      <c r="E337" s="3">
        <v>19.920000000000002</v>
      </c>
      <c r="F337" s="3">
        <v>43.13</v>
      </c>
      <c r="G337" s="3">
        <v>100.72783200000001</v>
      </c>
      <c r="H337" s="3">
        <v>95.128431000000006</v>
      </c>
      <c r="I337" s="3">
        <v>93.070004999999995</v>
      </c>
      <c r="J337">
        <v>9.15</v>
      </c>
      <c r="K337">
        <v>9.09</v>
      </c>
      <c r="L337">
        <v>9.1</v>
      </c>
    </row>
    <row r="338" spans="1:12" x14ac:dyDescent="0.35">
      <c r="A338" s="2">
        <v>44684</v>
      </c>
      <c r="B338" s="3">
        <v>9.07</v>
      </c>
      <c r="C338" s="3">
        <v>62.05</v>
      </c>
      <c r="D338" s="3">
        <v>137.49</v>
      </c>
      <c r="E338" s="3">
        <v>19.600000000000001</v>
      </c>
      <c r="F338" s="3">
        <v>43.56</v>
      </c>
      <c r="G338" s="3">
        <v>100.243132</v>
      </c>
      <c r="H338" s="3">
        <v>95.093536</v>
      </c>
      <c r="I338" s="3">
        <v>92.954592000000005</v>
      </c>
      <c r="J338">
        <v>9.1300000000000008</v>
      </c>
      <c r="K338">
        <v>9.09</v>
      </c>
      <c r="L338">
        <v>9.11</v>
      </c>
    </row>
    <row r="339" spans="1:12" x14ac:dyDescent="0.35">
      <c r="A339" s="2">
        <v>44685</v>
      </c>
      <c r="B339" s="3">
        <v>9.15</v>
      </c>
      <c r="C339" s="3">
        <v>59.29</v>
      </c>
      <c r="D339" s="3">
        <v>141.53</v>
      </c>
      <c r="E339" s="3">
        <v>19.87</v>
      </c>
      <c r="F339" s="3">
        <v>45.07</v>
      </c>
      <c r="G339" s="3">
        <v>100.82831400000001</v>
      </c>
      <c r="H339" s="3">
        <v>95.058715000000007</v>
      </c>
      <c r="I339" s="3">
        <v>92.908525999999995</v>
      </c>
      <c r="J339">
        <v>9.1530000000000005</v>
      </c>
      <c r="K339">
        <v>9.0749999999999993</v>
      </c>
      <c r="L339">
        <v>9.1229999999999993</v>
      </c>
    </row>
    <row r="340" spans="1:12" x14ac:dyDescent="0.35">
      <c r="A340" s="2">
        <v>44686</v>
      </c>
      <c r="B340" s="3">
        <v>8.7100000000000009</v>
      </c>
      <c r="C340" s="3">
        <v>60.71</v>
      </c>
      <c r="D340" s="3">
        <v>138.06</v>
      </c>
      <c r="E340" s="3">
        <v>19.440000000000001</v>
      </c>
      <c r="F340" s="3">
        <v>44.47</v>
      </c>
      <c r="G340" s="3">
        <v>101.05578</v>
      </c>
      <c r="H340" s="3">
        <v>95.245419999999996</v>
      </c>
      <c r="I340" s="3">
        <v>93.185079999999999</v>
      </c>
      <c r="J340">
        <v>9.0500000000000007</v>
      </c>
      <c r="K340">
        <v>9.1</v>
      </c>
      <c r="L340">
        <v>9.1479999999999997</v>
      </c>
    </row>
    <row r="341" spans="1:12" x14ac:dyDescent="0.35">
      <c r="A341" s="2">
        <v>44687</v>
      </c>
      <c r="B341" s="3">
        <v>8.51</v>
      </c>
      <c r="C341" s="3">
        <v>61.26</v>
      </c>
      <c r="D341" s="3">
        <v>135.78</v>
      </c>
      <c r="E341" s="3">
        <v>18.88</v>
      </c>
      <c r="F341" s="3">
        <v>42.87</v>
      </c>
      <c r="G341" s="3">
        <v>100.67214199999999</v>
      </c>
      <c r="H341" s="3">
        <v>94.688704999999999</v>
      </c>
      <c r="I341" s="3">
        <v>92.862809999999996</v>
      </c>
      <c r="J341">
        <v>9.0640000000000001</v>
      </c>
      <c r="K341">
        <v>9.1300000000000008</v>
      </c>
      <c r="L341">
        <v>9.1980000000000004</v>
      </c>
    </row>
    <row r="342" spans="1:12" x14ac:dyDescent="0.35">
      <c r="A342" s="2">
        <v>44690</v>
      </c>
      <c r="B342" s="3">
        <v>8.1300000000000008</v>
      </c>
      <c r="C342" s="3">
        <v>60.33</v>
      </c>
      <c r="D342" s="3">
        <v>133.15</v>
      </c>
      <c r="E342" s="3">
        <v>18.91</v>
      </c>
      <c r="F342" s="3">
        <v>41.81</v>
      </c>
      <c r="G342" s="3">
        <v>101.156272</v>
      </c>
      <c r="H342" s="3">
        <v>95.001650999999995</v>
      </c>
      <c r="I342" s="3">
        <v>92.610985999999997</v>
      </c>
      <c r="J342">
        <v>9</v>
      </c>
      <c r="K342">
        <v>9.0399999999999991</v>
      </c>
      <c r="L342">
        <v>9.15</v>
      </c>
    </row>
    <row r="343" spans="1:12" x14ac:dyDescent="0.35">
      <c r="A343" s="2">
        <v>44691</v>
      </c>
      <c r="B343" s="3">
        <v>8.2100000000000009</v>
      </c>
      <c r="C343" s="3">
        <v>60.27</v>
      </c>
      <c r="D343" s="3">
        <v>130.5</v>
      </c>
      <c r="E343" s="3">
        <v>19.170000000000002</v>
      </c>
      <c r="F343" s="3">
        <v>42.13</v>
      </c>
      <c r="G343" s="3">
        <v>101.43723900000001</v>
      </c>
      <c r="H343" s="3">
        <v>95.373935000000003</v>
      </c>
      <c r="I343" s="3">
        <v>92.634097999999994</v>
      </c>
      <c r="J343">
        <v>9.0139999999999993</v>
      </c>
      <c r="K343">
        <v>8.99</v>
      </c>
      <c r="L343">
        <v>9.09</v>
      </c>
    </row>
    <row r="344" spans="1:12" x14ac:dyDescent="0.35">
      <c r="A344" s="2">
        <v>44692</v>
      </c>
      <c r="B344" s="3">
        <v>8.1300000000000008</v>
      </c>
      <c r="C344" s="3">
        <v>58.13</v>
      </c>
      <c r="D344" s="3">
        <v>126.42</v>
      </c>
      <c r="E344" s="3">
        <v>19.739999999999998</v>
      </c>
      <c r="F344" s="3">
        <v>42.04</v>
      </c>
      <c r="G344" s="3">
        <v>102.13205499999999</v>
      </c>
      <c r="H344" s="3">
        <v>96.394813999999997</v>
      </c>
      <c r="I344" s="3">
        <v>93.485235000000003</v>
      </c>
      <c r="J344">
        <v>8.8650000000000002</v>
      </c>
      <c r="K344">
        <v>8.86</v>
      </c>
      <c r="L344">
        <v>8.9179999999999993</v>
      </c>
    </row>
    <row r="345" spans="1:12" x14ac:dyDescent="0.35">
      <c r="A345" s="2">
        <v>44693</v>
      </c>
      <c r="B345" s="3">
        <v>8.18</v>
      </c>
      <c r="C345" s="3">
        <v>59.37</v>
      </c>
      <c r="D345" s="3">
        <v>120.03</v>
      </c>
      <c r="E345" s="3">
        <v>20.079999999999998</v>
      </c>
      <c r="F345" s="3">
        <v>41.17</v>
      </c>
      <c r="G345" s="3">
        <v>102.82858</v>
      </c>
      <c r="H345" s="3">
        <v>97.296008999999998</v>
      </c>
      <c r="I345" s="3">
        <v>94.886641999999995</v>
      </c>
      <c r="J345">
        <v>8.9009999999999998</v>
      </c>
      <c r="K345">
        <v>8.8010000000000002</v>
      </c>
      <c r="L345">
        <v>8.84</v>
      </c>
    </row>
    <row r="346" spans="1:12" x14ac:dyDescent="0.35">
      <c r="A346" s="2">
        <v>44694</v>
      </c>
      <c r="B346" s="3">
        <v>8.26</v>
      </c>
      <c r="C346" s="3">
        <v>57.91</v>
      </c>
      <c r="D346" s="3">
        <v>129.56</v>
      </c>
      <c r="E346" s="3">
        <v>19.36</v>
      </c>
      <c r="F346" s="3">
        <v>41.92</v>
      </c>
      <c r="G346" s="3">
        <v>102.074692</v>
      </c>
      <c r="H346" s="3">
        <v>96.724334999999996</v>
      </c>
      <c r="I346" s="3">
        <v>95.407134999999997</v>
      </c>
      <c r="J346">
        <v>9</v>
      </c>
      <c r="K346">
        <v>8.84</v>
      </c>
      <c r="L346">
        <v>8.85</v>
      </c>
    </row>
    <row r="347" spans="1:12" x14ac:dyDescent="0.35">
      <c r="A347" s="2">
        <v>44697</v>
      </c>
      <c r="B347" s="3">
        <v>8.6999999999999993</v>
      </c>
      <c r="C347" s="3">
        <v>58.43</v>
      </c>
      <c r="D347" s="3">
        <v>133.38999999999999</v>
      </c>
      <c r="E347" s="3">
        <v>19.399999999999999</v>
      </c>
      <c r="F347" s="3">
        <v>42.95</v>
      </c>
      <c r="G347" s="3">
        <v>102.357602</v>
      </c>
      <c r="H347" s="3">
        <v>96.984821999999994</v>
      </c>
      <c r="I347" s="3">
        <v>94.932444000000004</v>
      </c>
      <c r="J347">
        <v>8.9600000000000009</v>
      </c>
      <c r="K347">
        <v>8.85</v>
      </c>
      <c r="L347">
        <v>8.86</v>
      </c>
    </row>
    <row r="348" spans="1:12" x14ac:dyDescent="0.35">
      <c r="A348" s="2">
        <v>44698</v>
      </c>
      <c r="B348" s="3">
        <v>8.89</v>
      </c>
      <c r="C348" s="3">
        <v>58.97</v>
      </c>
      <c r="D348" s="3">
        <v>133.88999999999999</v>
      </c>
      <c r="E348" s="3">
        <v>20.059999999999999</v>
      </c>
      <c r="F348" s="3">
        <v>44.01</v>
      </c>
      <c r="G348" s="3">
        <v>101.71203199999999</v>
      </c>
      <c r="H348" s="3">
        <v>96.181089999999998</v>
      </c>
      <c r="I348" s="3">
        <v>95.524203</v>
      </c>
      <c r="J348">
        <v>8.98</v>
      </c>
      <c r="K348">
        <v>8.9499999999999993</v>
      </c>
      <c r="L348">
        <v>8.9499999999999993</v>
      </c>
    </row>
    <row r="349" spans="1:12" x14ac:dyDescent="0.35">
      <c r="A349" s="2">
        <v>44699</v>
      </c>
      <c r="B349" s="3">
        <v>8.64</v>
      </c>
      <c r="C349" s="3">
        <v>57.17</v>
      </c>
      <c r="D349" s="3">
        <v>127.02</v>
      </c>
      <c r="E349" s="3">
        <v>20.38</v>
      </c>
      <c r="F349" s="3">
        <v>43.46</v>
      </c>
      <c r="G349" s="3">
        <v>102.251333</v>
      </c>
      <c r="H349" s="3">
        <v>96.734815999999995</v>
      </c>
      <c r="I349" s="3">
        <v>94.484523999999993</v>
      </c>
      <c r="J349">
        <v>9</v>
      </c>
      <c r="K349">
        <v>8.8699999999999992</v>
      </c>
      <c r="L349">
        <v>8.89</v>
      </c>
    </row>
    <row r="350" spans="1:12" x14ac:dyDescent="0.35">
      <c r="A350" s="2">
        <v>44700</v>
      </c>
      <c r="B350" s="3">
        <v>8.7200000000000006</v>
      </c>
      <c r="C350" s="3">
        <v>56.46</v>
      </c>
      <c r="D350" s="3">
        <v>128.47</v>
      </c>
      <c r="E350" s="3">
        <v>20.93</v>
      </c>
      <c r="F350" s="3">
        <v>43.62</v>
      </c>
      <c r="G350" s="3">
        <v>102.63491999999999</v>
      </c>
      <c r="H350" s="3">
        <v>97.338559000000004</v>
      </c>
      <c r="I350" s="3">
        <v>94.905648999999997</v>
      </c>
      <c r="J350">
        <v>8.9700000000000006</v>
      </c>
      <c r="K350">
        <v>8.84</v>
      </c>
      <c r="L350">
        <v>8.84</v>
      </c>
    </row>
    <row r="351" spans="1:12" x14ac:dyDescent="0.35">
      <c r="A351" s="2">
        <v>44701</v>
      </c>
      <c r="B351" s="3">
        <v>8.81</v>
      </c>
      <c r="C351" s="3">
        <v>57.77</v>
      </c>
      <c r="D351" s="3">
        <v>126.91</v>
      </c>
      <c r="E351" s="3">
        <v>21.2</v>
      </c>
      <c r="F351" s="3">
        <v>43.47</v>
      </c>
      <c r="G351" s="3">
        <v>103.178901</v>
      </c>
      <c r="H351" s="3">
        <v>98.139887000000002</v>
      </c>
      <c r="I351" s="3">
        <v>95.353638000000004</v>
      </c>
      <c r="J351">
        <v>8.86</v>
      </c>
      <c r="K351">
        <v>8.7100000000000009</v>
      </c>
      <c r="L351">
        <v>8.67</v>
      </c>
    </row>
    <row r="352" spans="1:12" x14ac:dyDescent="0.35">
      <c r="A352" s="2">
        <v>44704</v>
      </c>
      <c r="B352" s="3">
        <v>8.73</v>
      </c>
      <c r="C352" s="3">
        <v>58.52</v>
      </c>
      <c r="D352" s="3">
        <v>127.75</v>
      </c>
      <c r="E352" s="3">
        <v>21.35</v>
      </c>
      <c r="F352" s="3">
        <v>44.22</v>
      </c>
      <c r="G352" s="3">
        <v>103.411886</v>
      </c>
      <c r="H352" s="3">
        <v>98.223083000000003</v>
      </c>
      <c r="I352" s="3">
        <v>95.376547000000002</v>
      </c>
      <c r="J352">
        <v>8.74</v>
      </c>
      <c r="K352">
        <v>8.67</v>
      </c>
      <c r="L352">
        <v>8.66</v>
      </c>
    </row>
    <row r="353" spans="1:12" x14ac:dyDescent="0.35">
      <c r="A353" s="2">
        <v>44705</v>
      </c>
      <c r="B353" s="3">
        <v>8.4</v>
      </c>
      <c r="C353" s="3">
        <v>58.1</v>
      </c>
      <c r="D353" s="3">
        <v>129.96</v>
      </c>
      <c r="E353" s="3">
        <v>21.66</v>
      </c>
      <c r="F353" s="3">
        <v>43.56</v>
      </c>
      <c r="G353" s="3">
        <v>103.645309</v>
      </c>
      <c r="H353" s="3">
        <v>98.426918000000001</v>
      </c>
      <c r="I353" s="3">
        <v>96.329485000000005</v>
      </c>
      <c r="J353">
        <v>8.68</v>
      </c>
      <c r="K353">
        <v>8.6300000000000008</v>
      </c>
      <c r="L353">
        <v>8.6300000000000008</v>
      </c>
    </row>
    <row r="354" spans="1:12" x14ac:dyDescent="0.35">
      <c r="A354" s="2">
        <v>44706</v>
      </c>
      <c r="B354" s="3">
        <v>8.59</v>
      </c>
      <c r="C354" s="3">
        <v>59.54</v>
      </c>
      <c r="D354" s="3">
        <v>131.01</v>
      </c>
      <c r="E354" s="3">
        <v>22.02</v>
      </c>
      <c r="F354" s="3">
        <v>43.28</v>
      </c>
      <c r="G354" s="3">
        <v>103.984246</v>
      </c>
      <c r="H354" s="3">
        <v>98.752210000000005</v>
      </c>
      <c r="I354" s="3">
        <v>96.641013999999998</v>
      </c>
      <c r="J354">
        <v>8.6300000000000008</v>
      </c>
      <c r="K354">
        <v>8.57</v>
      </c>
      <c r="L354">
        <v>8.58</v>
      </c>
    </row>
    <row r="355" spans="1:12" x14ac:dyDescent="0.35">
      <c r="A355" s="2">
        <v>44707</v>
      </c>
      <c r="B355" s="3">
        <v>8.7799999999999994</v>
      </c>
      <c r="C355" s="3">
        <v>61.16</v>
      </c>
      <c r="D355" s="3">
        <v>134.25</v>
      </c>
      <c r="E355" s="3">
        <v>22.25</v>
      </c>
      <c r="F355" s="3">
        <v>43.16</v>
      </c>
      <c r="G355" s="3">
        <v>103.898967</v>
      </c>
      <c r="H355" s="3">
        <v>98.760430999999997</v>
      </c>
      <c r="I355" s="3">
        <v>97.071871000000002</v>
      </c>
      <c r="J355">
        <v>8.73</v>
      </c>
      <c r="K355">
        <v>8.61</v>
      </c>
      <c r="L355">
        <v>8.58</v>
      </c>
    </row>
    <row r="356" spans="1:12" x14ac:dyDescent="0.35">
      <c r="A356" s="2">
        <v>44708</v>
      </c>
      <c r="B356" s="3">
        <v>9.0399999999999991</v>
      </c>
      <c r="C356" s="3">
        <v>61.44</v>
      </c>
      <c r="D356" s="3">
        <v>131.02000000000001</v>
      </c>
      <c r="E356" s="3">
        <v>22.16</v>
      </c>
      <c r="F356" s="3">
        <v>42.83</v>
      </c>
      <c r="G356" s="3">
        <v>103.923072</v>
      </c>
      <c r="H356" s="3">
        <v>98.904450999999995</v>
      </c>
      <c r="I356" s="3">
        <v>97.385975999999999</v>
      </c>
      <c r="J356">
        <v>8.7100000000000009</v>
      </c>
      <c r="K356">
        <v>8.56</v>
      </c>
      <c r="L356">
        <v>8.49</v>
      </c>
    </row>
    <row r="357" spans="1:12" x14ac:dyDescent="0.35">
      <c r="A357" s="2">
        <v>44711</v>
      </c>
      <c r="B357" s="3">
        <v>9.19</v>
      </c>
      <c r="C357" s="3">
        <v>61.09</v>
      </c>
      <c r="D357" s="3">
        <v>129.04</v>
      </c>
      <c r="E357" s="3">
        <v>21.55</v>
      </c>
      <c r="F357" s="3">
        <v>42.7</v>
      </c>
      <c r="G357" s="3">
        <v>104.10451</v>
      </c>
      <c r="H357" s="3">
        <v>99.413584999999998</v>
      </c>
      <c r="I357" s="3">
        <v>98.364079000000004</v>
      </c>
      <c r="J357">
        <v>8.7200000000000006</v>
      </c>
      <c r="K357">
        <v>8.58</v>
      </c>
      <c r="L357">
        <v>8.48</v>
      </c>
    </row>
    <row r="358" spans="1:12" x14ac:dyDescent="0.35">
      <c r="A358" s="2">
        <v>44712</v>
      </c>
      <c r="B358" s="3">
        <v>9.26</v>
      </c>
      <c r="C358" s="3">
        <v>64.72</v>
      </c>
      <c r="D358" s="3">
        <v>127.59</v>
      </c>
      <c r="E358" s="3">
        <v>20.81</v>
      </c>
      <c r="F358" s="3">
        <v>42.15</v>
      </c>
      <c r="G358" s="3">
        <v>103.34529000000001</v>
      </c>
      <c r="H358" s="3">
        <v>98.527552999999997</v>
      </c>
      <c r="I358" s="3">
        <v>98.609018000000006</v>
      </c>
      <c r="J358">
        <v>8.8699999999999992</v>
      </c>
      <c r="K358">
        <v>8.7200000000000006</v>
      </c>
      <c r="L358">
        <v>8.64</v>
      </c>
    </row>
    <row r="359" spans="1:12" x14ac:dyDescent="0.35">
      <c r="A359" s="2">
        <v>44713</v>
      </c>
      <c r="B359" s="3">
        <v>8.86</v>
      </c>
      <c r="C359" s="3">
        <v>64.66</v>
      </c>
      <c r="D359" s="3">
        <v>125.83</v>
      </c>
      <c r="E359" s="3">
        <v>20.98</v>
      </c>
      <c r="F359" s="3">
        <v>42.14</v>
      </c>
      <c r="G359" s="3">
        <v>103.11030100000001</v>
      </c>
      <c r="H359" s="3">
        <v>98.190216000000007</v>
      </c>
      <c r="I359" s="3">
        <v>97.527168000000003</v>
      </c>
      <c r="J359">
        <v>8.91</v>
      </c>
      <c r="K359">
        <v>8.77</v>
      </c>
      <c r="L359">
        <v>8.6999999999999993</v>
      </c>
    </row>
    <row r="360" spans="1:12" x14ac:dyDescent="0.35">
      <c r="A360" s="2">
        <v>44714</v>
      </c>
      <c r="B360" s="3">
        <v>8.6300000000000008</v>
      </c>
      <c r="C360" s="3">
        <v>62.48</v>
      </c>
      <c r="D360" s="3">
        <v>124.52</v>
      </c>
      <c r="E360" s="3">
        <v>20.69</v>
      </c>
      <c r="F360" s="3">
        <v>42.91</v>
      </c>
      <c r="G360" s="3">
        <v>103.287009</v>
      </c>
      <c r="H360" s="3">
        <v>98.379363999999995</v>
      </c>
      <c r="I360" s="3">
        <v>97.086152999999996</v>
      </c>
      <c r="J360">
        <v>8.92</v>
      </c>
      <c r="K360">
        <v>8.75</v>
      </c>
      <c r="L360">
        <v>8.68</v>
      </c>
    </row>
    <row r="361" spans="1:12" x14ac:dyDescent="0.35">
      <c r="A361" s="2">
        <v>44715</v>
      </c>
      <c r="B361" s="3">
        <v>8.5500000000000007</v>
      </c>
      <c r="C361" s="3">
        <v>62.18</v>
      </c>
      <c r="D361" s="3">
        <v>123.12</v>
      </c>
      <c r="E361" s="3">
        <v>20.36</v>
      </c>
      <c r="F361" s="3">
        <v>43.07</v>
      </c>
      <c r="G361" s="3">
        <v>103.001312</v>
      </c>
      <c r="H361" s="3">
        <v>97.924325999999994</v>
      </c>
      <c r="I361" s="3">
        <v>97.181466999999998</v>
      </c>
      <c r="J361">
        <v>8.9600000000000009</v>
      </c>
      <c r="K361">
        <v>8.81</v>
      </c>
      <c r="L361">
        <v>8.76</v>
      </c>
    </row>
    <row r="362" spans="1:12" x14ac:dyDescent="0.35">
      <c r="A362" s="2">
        <v>44718</v>
      </c>
      <c r="B362" s="3">
        <v>8.6199999999999992</v>
      </c>
      <c r="C362" s="3">
        <v>63.44</v>
      </c>
      <c r="D362" s="3">
        <v>121.44</v>
      </c>
      <c r="E362" s="3">
        <v>19.95</v>
      </c>
      <c r="F362" s="3">
        <v>43.03</v>
      </c>
      <c r="G362" s="3">
        <v>102.154144</v>
      </c>
      <c r="H362" s="3">
        <v>96.942019999999999</v>
      </c>
      <c r="I362" s="3">
        <v>96.698404999999994</v>
      </c>
      <c r="J362">
        <v>9.1</v>
      </c>
      <c r="K362">
        <v>8.98</v>
      </c>
      <c r="L362">
        <v>8.93</v>
      </c>
    </row>
    <row r="363" spans="1:12" x14ac:dyDescent="0.35">
      <c r="A363" s="2">
        <v>44719</v>
      </c>
      <c r="B363" s="3">
        <v>8.61</v>
      </c>
      <c r="C363" s="3">
        <v>63.57</v>
      </c>
      <c r="D363" s="3">
        <v>121.83</v>
      </c>
      <c r="E363" s="3">
        <v>19.829999999999998</v>
      </c>
      <c r="F363" s="3">
        <v>43.23</v>
      </c>
      <c r="G363" s="3">
        <v>98.034719999999993</v>
      </c>
      <c r="H363" s="3">
        <v>93.106108000000006</v>
      </c>
      <c r="I363" s="3">
        <v>91.731898000000001</v>
      </c>
      <c r="J363">
        <v>9.1</v>
      </c>
      <c r="K363">
        <v>8.9499999999999993</v>
      </c>
      <c r="L363">
        <v>8.92</v>
      </c>
    </row>
    <row r="364" spans="1:12" x14ac:dyDescent="0.35">
      <c r="A364" s="2">
        <v>44720</v>
      </c>
      <c r="B364" s="3">
        <v>8.4</v>
      </c>
      <c r="C364" s="3">
        <v>63.22</v>
      </c>
      <c r="D364" s="3">
        <v>120.74</v>
      </c>
      <c r="E364" s="3">
        <v>19.64</v>
      </c>
      <c r="F364" s="3">
        <v>44.84</v>
      </c>
      <c r="G364" s="3">
        <v>97.650985000000006</v>
      </c>
      <c r="H364" s="3">
        <v>92.835335000000001</v>
      </c>
      <c r="I364" s="3">
        <v>91.683149</v>
      </c>
      <c r="J364">
        <v>9.18</v>
      </c>
      <c r="K364">
        <v>9.0299999999999994</v>
      </c>
      <c r="L364">
        <v>8.9700000000000006</v>
      </c>
    </row>
    <row r="365" spans="1:12" x14ac:dyDescent="0.35">
      <c r="A365" s="2">
        <v>44721</v>
      </c>
      <c r="B365" s="3">
        <v>8.16</v>
      </c>
      <c r="C365" s="3">
        <v>64.52</v>
      </c>
      <c r="D365" s="3">
        <v>120.85</v>
      </c>
      <c r="E365" s="3">
        <v>19.489999999999998</v>
      </c>
      <c r="F365" s="3">
        <v>43.54</v>
      </c>
      <c r="G365" s="3">
        <v>97.722320999999994</v>
      </c>
      <c r="H365" s="3">
        <v>92.844387999999995</v>
      </c>
      <c r="I365" s="3">
        <v>91.255956999999995</v>
      </c>
      <c r="J365">
        <v>9.1820000000000004</v>
      </c>
      <c r="K365">
        <v>9.0649999999999995</v>
      </c>
      <c r="L365">
        <v>9.0139999999999993</v>
      </c>
    </row>
    <row r="366" spans="1:12" x14ac:dyDescent="0.35">
      <c r="A366" s="2">
        <v>44722</v>
      </c>
      <c r="B366" s="3">
        <v>7.83</v>
      </c>
      <c r="C366" s="3">
        <v>61.4</v>
      </c>
      <c r="D366" s="3">
        <v>117.67</v>
      </c>
      <c r="E366" s="3">
        <v>19.45</v>
      </c>
      <c r="F366" s="3">
        <v>42.12</v>
      </c>
      <c r="G366" s="3">
        <v>97.442296999999996</v>
      </c>
      <c r="H366" s="3">
        <v>92.633560000000003</v>
      </c>
      <c r="I366" s="3">
        <v>91.489104999999995</v>
      </c>
      <c r="J366">
        <v>9.2799999999999994</v>
      </c>
      <c r="K366">
        <v>9.09</v>
      </c>
      <c r="L366">
        <v>9.02</v>
      </c>
    </row>
    <row r="367" spans="1:12" x14ac:dyDescent="0.35">
      <c r="A367" s="2">
        <v>44725</v>
      </c>
      <c r="B367" s="3">
        <v>7.56</v>
      </c>
      <c r="C367" s="3">
        <v>62.29</v>
      </c>
      <c r="D367" s="3">
        <v>118.26</v>
      </c>
      <c r="E367" s="3">
        <v>19.63</v>
      </c>
      <c r="F367" s="3">
        <v>39.67</v>
      </c>
      <c r="G367" s="3">
        <v>97.314756000000003</v>
      </c>
      <c r="H367" s="3">
        <v>92.656136000000004</v>
      </c>
      <c r="I367" s="3">
        <v>90.740881000000002</v>
      </c>
      <c r="J367">
        <v>9.4600000000000009</v>
      </c>
      <c r="K367">
        <v>9.31</v>
      </c>
      <c r="L367">
        <v>9.2200000000000006</v>
      </c>
    </row>
    <row r="368" spans="1:12" x14ac:dyDescent="0.35">
      <c r="A368" s="2">
        <v>44726</v>
      </c>
      <c r="B368" s="3">
        <v>7.49</v>
      </c>
      <c r="C368" s="3">
        <v>60.72</v>
      </c>
      <c r="D368" s="3">
        <v>118.78</v>
      </c>
      <c r="E368" s="3">
        <v>19.940000000000001</v>
      </c>
      <c r="F368" s="3">
        <v>40.1</v>
      </c>
      <c r="G368" s="3">
        <v>96.039157000000003</v>
      </c>
      <c r="H368" s="3">
        <v>91.066877000000005</v>
      </c>
      <c r="I368" s="3">
        <v>89.658513999999997</v>
      </c>
      <c r="J368">
        <v>9.56</v>
      </c>
      <c r="K368">
        <v>9.36</v>
      </c>
      <c r="L368">
        <v>9.3000000000000007</v>
      </c>
    </row>
    <row r="369" spans="1:12" x14ac:dyDescent="0.35">
      <c r="A369" s="2">
        <v>44727</v>
      </c>
      <c r="B369" s="3">
        <v>7.19</v>
      </c>
      <c r="C369" s="3">
        <v>62.6</v>
      </c>
      <c r="D369" s="3">
        <v>117.94</v>
      </c>
      <c r="E369" s="3">
        <v>19.86</v>
      </c>
      <c r="F369" s="3">
        <v>40.840000000000003</v>
      </c>
      <c r="G369" s="3">
        <v>96.460820999999996</v>
      </c>
      <c r="H369" s="3">
        <v>91.489208000000005</v>
      </c>
      <c r="I369" s="3">
        <v>89.339489999999998</v>
      </c>
      <c r="J369">
        <v>9.5030000000000001</v>
      </c>
      <c r="K369">
        <v>9.2799999999999994</v>
      </c>
      <c r="L369">
        <v>9.2349999999999994</v>
      </c>
    </row>
    <row r="370" spans="1:12" x14ac:dyDescent="0.35">
      <c r="A370" s="2">
        <v>44728</v>
      </c>
      <c r="B370" s="3">
        <v>6.82</v>
      </c>
      <c r="C370" s="3">
        <v>62.63</v>
      </c>
      <c r="D370" s="3">
        <v>116.64</v>
      </c>
      <c r="E370" s="3">
        <v>19.73</v>
      </c>
      <c r="F370" s="3">
        <v>37.9</v>
      </c>
      <c r="G370" s="3">
        <v>96.682804000000004</v>
      </c>
      <c r="H370" s="3">
        <v>91.672135999999995</v>
      </c>
      <c r="I370" s="3">
        <v>89.816321000000002</v>
      </c>
      <c r="J370">
        <v>9.4969999999999999</v>
      </c>
      <c r="K370">
        <v>9.25</v>
      </c>
      <c r="L370">
        <v>9.2100000000000009</v>
      </c>
    </row>
    <row r="371" spans="1:12" x14ac:dyDescent="0.35">
      <c r="A371" s="2">
        <v>44729</v>
      </c>
      <c r="B371" s="3">
        <v>6.95</v>
      </c>
      <c r="C371" s="3">
        <v>62.51</v>
      </c>
      <c r="D371" s="3">
        <v>117.69</v>
      </c>
      <c r="E371" s="3">
        <v>19.79</v>
      </c>
      <c r="F371" s="3">
        <v>38.24</v>
      </c>
      <c r="G371" s="3">
        <v>96.557556000000005</v>
      </c>
      <c r="H371" s="3">
        <v>91.694940000000003</v>
      </c>
      <c r="I371" s="3">
        <v>89.770205000000004</v>
      </c>
      <c r="J371">
        <v>9.4600000000000009</v>
      </c>
      <c r="K371">
        <v>9.25</v>
      </c>
      <c r="L371">
        <v>9.1999999999999993</v>
      </c>
    </row>
    <row r="372" spans="1:12" x14ac:dyDescent="0.35">
      <c r="A372" s="2">
        <v>44732</v>
      </c>
      <c r="B372" s="3">
        <v>7.18</v>
      </c>
      <c r="C372" s="3">
        <v>64.11</v>
      </c>
      <c r="D372" s="3">
        <v>115.01</v>
      </c>
      <c r="E372" s="3">
        <v>20.03</v>
      </c>
      <c r="F372" s="3">
        <v>38.380000000000003</v>
      </c>
      <c r="G372" s="3">
        <v>96.880773000000005</v>
      </c>
      <c r="H372" s="3">
        <v>91.889770999999996</v>
      </c>
      <c r="I372" s="3">
        <v>90.204352</v>
      </c>
      <c r="J372">
        <v>9.44</v>
      </c>
      <c r="K372">
        <v>9.23</v>
      </c>
      <c r="L372">
        <v>9.18</v>
      </c>
    </row>
    <row r="373" spans="1:12" x14ac:dyDescent="0.35">
      <c r="A373" s="2">
        <v>44733</v>
      </c>
      <c r="B373" s="3">
        <v>7.35</v>
      </c>
      <c r="C373" s="3">
        <v>61.7</v>
      </c>
      <c r="D373" s="3">
        <v>118.77</v>
      </c>
      <c r="E373" s="3">
        <v>19.93</v>
      </c>
      <c r="F373" s="3">
        <v>37.97</v>
      </c>
      <c r="G373" s="3">
        <v>96.456930999999997</v>
      </c>
      <c r="H373" s="3">
        <v>91.626137999999997</v>
      </c>
      <c r="I373" s="3">
        <v>90.226671999999994</v>
      </c>
      <c r="J373">
        <v>9.4700000000000006</v>
      </c>
      <c r="K373">
        <v>9.2899999999999991</v>
      </c>
      <c r="L373">
        <v>9.2289999999999992</v>
      </c>
    </row>
    <row r="374" spans="1:12" x14ac:dyDescent="0.35">
      <c r="A374" s="2">
        <v>44734</v>
      </c>
      <c r="B374" s="3">
        <v>7.28</v>
      </c>
      <c r="C374" s="3">
        <v>63.49</v>
      </c>
      <c r="D374" s="3">
        <v>113.08</v>
      </c>
      <c r="E374" s="3">
        <v>19.7</v>
      </c>
      <c r="F374" s="3">
        <v>37.979999999999997</v>
      </c>
      <c r="G374" s="3">
        <v>97.128923</v>
      </c>
      <c r="H374" s="3">
        <v>92.280524</v>
      </c>
      <c r="I374" s="3">
        <v>89.837287000000003</v>
      </c>
      <c r="J374">
        <v>9.36</v>
      </c>
      <c r="K374">
        <v>9.1750000000000007</v>
      </c>
      <c r="L374">
        <v>9.125</v>
      </c>
    </row>
    <row r="375" spans="1:12" x14ac:dyDescent="0.35">
      <c r="A375" s="2">
        <v>44735</v>
      </c>
      <c r="B375" s="3">
        <v>7.49</v>
      </c>
      <c r="C375" s="3">
        <v>63.48</v>
      </c>
      <c r="D375" s="3">
        <v>111.69</v>
      </c>
      <c r="E375" s="3">
        <v>19.62</v>
      </c>
      <c r="F375" s="3">
        <v>38.630000000000003</v>
      </c>
      <c r="G375" s="3">
        <v>97.652506000000002</v>
      </c>
      <c r="H375" s="3">
        <v>92.846170999999998</v>
      </c>
      <c r="I375" s="3">
        <v>90.660979999999995</v>
      </c>
      <c r="J375">
        <v>9.2100000000000009</v>
      </c>
      <c r="K375">
        <v>9.02</v>
      </c>
      <c r="L375">
        <v>8.9600000000000009</v>
      </c>
    </row>
    <row r="376" spans="1:12" x14ac:dyDescent="0.35">
      <c r="A376" s="2">
        <v>44736</v>
      </c>
      <c r="B376" s="3">
        <v>7.83</v>
      </c>
      <c r="C376" s="3">
        <v>63.81</v>
      </c>
      <c r="D376" s="3">
        <v>114.59</v>
      </c>
      <c r="E376" s="3">
        <v>20.48</v>
      </c>
      <c r="F376" s="3">
        <v>39.96</v>
      </c>
      <c r="G376" s="3">
        <v>97.827475000000007</v>
      </c>
      <c r="H376" s="3">
        <v>93.066412999999997</v>
      </c>
      <c r="I376" s="3">
        <v>91.729060000000004</v>
      </c>
      <c r="J376">
        <v>9.2100000000000009</v>
      </c>
      <c r="K376">
        <v>9.06</v>
      </c>
      <c r="L376">
        <v>9</v>
      </c>
    </row>
    <row r="377" spans="1:12" x14ac:dyDescent="0.35">
      <c r="A377" s="2">
        <v>44739</v>
      </c>
      <c r="B377" s="3">
        <v>7.87</v>
      </c>
      <c r="C377" s="3">
        <v>65.959999999999994</v>
      </c>
      <c r="D377" s="3">
        <v>117.28</v>
      </c>
      <c r="E377" s="3">
        <v>20.34</v>
      </c>
      <c r="F377" s="3">
        <v>40.44</v>
      </c>
      <c r="G377" s="3">
        <v>97.650222999999997</v>
      </c>
      <c r="H377" s="3">
        <v>92.856696999999997</v>
      </c>
      <c r="I377" s="3">
        <v>91.400880999999998</v>
      </c>
      <c r="J377">
        <v>9.2200000000000006</v>
      </c>
      <c r="K377">
        <v>9.08</v>
      </c>
      <c r="L377">
        <v>9.07</v>
      </c>
    </row>
    <row r="378" spans="1:12" x14ac:dyDescent="0.35">
      <c r="A378" s="2">
        <v>44740</v>
      </c>
      <c r="B378" s="3">
        <v>7.87</v>
      </c>
      <c r="C378" s="3">
        <v>66</v>
      </c>
      <c r="D378" s="3">
        <v>116.7</v>
      </c>
      <c r="E378" s="3">
        <v>20.55</v>
      </c>
      <c r="F378" s="3">
        <v>39.630000000000003</v>
      </c>
      <c r="G378" s="3">
        <v>97.573854999999995</v>
      </c>
      <c r="H378" s="3">
        <v>92.301896999999997</v>
      </c>
      <c r="I378" s="3">
        <v>90.866388000000001</v>
      </c>
      <c r="J378">
        <v>9.24</v>
      </c>
      <c r="K378">
        <v>9.1199999999999992</v>
      </c>
      <c r="L378">
        <v>9.14</v>
      </c>
    </row>
    <row r="379" spans="1:12" x14ac:dyDescent="0.35">
      <c r="A379" s="2">
        <v>44741</v>
      </c>
      <c r="B379" s="3">
        <v>7.85</v>
      </c>
      <c r="C379" s="3">
        <v>65.849999999999994</v>
      </c>
      <c r="D379" s="3">
        <v>113.91</v>
      </c>
      <c r="E379" s="3">
        <v>20.47</v>
      </c>
      <c r="F379" s="3">
        <v>38.64</v>
      </c>
      <c r="G379" s="3">
        <v>97.597893999999997</v>
      </c>
      <c r="H379" s="3">
        <v>92.382214000000005</v>
      </c>
      <c r="I379" s="3">
        <v>90.612110000000001</v>
      </c>
      <c r="J379">
        <v>9.2899999999999991</v>
      </c>
      <c r="K379">
        <v>9.1300000000000008</v>
      </c>
      <c r="L379">
        <v>9.125</v>
      </c>
    </row>
    <row r="380" spans="1:12" x14ac:dyDescent="0.35">
      <c r="A380" s="2">
        <v>44742</v>
      </c>
      <c r="B380" s="3">
        <v>7.83</v>
      </c>
      <c r="C380" s="3">
        <v>65.37</v>
      </c>
      <c r="D380" s="3">
        <v>112.17</v>
      </c>
      <c r="E380" s="3">
        <v>20.55</v>
      </c>
      <c r="F380" s="3">
        <v>38.08</v>
      </c>
      <c r="G380" s="3">
        <v>98.122275000000002</v>
      </c>
      <c r="H380" s="3">
        <v>93.028114000000002</v>
      </c>
      <c r="I380" s="3">
        <v>90.679169999999999</v>
      </c>
      <c r="J380">
        <v>9.26</v>
      </c>
      <c r="K380">
        <v>9.0299999999999994</v>
      </c>
      <c r="L380">
        <v>9.0299999999999994</v>
      </c>
    </row>
    <row r="381" spans="1:12" x14ac:dyDescent="0.35">
      <c r="A381" s="2">
        <v>44743</v>
      </c>
      <c r="B381" s="3">
        <v>7.81</v>
      </c>
      <c r="C381" s="3">
        <v>65.81</v>
      </c>
      <c r="D381" s="3">
        <v>112.71</v>
      </c>
      <c r="E381" s="3">
        <v>20.8</v>
      </c>
      <c r="F381" s="3">
        <v>37.700000000000003</v>
      </c>
      <c r="G381" s="3">
        <v>98.045517000000004</v>
      </c>
      <c r="H381" s="3">
        <v>93.108811000000003</v>
      </c>
      <c r="I381" s="3">
        <v>91.394915999999995</v>
      </c>
      <c r="J381">
        <v>9.14</v>
      </c>
      <c r="K381">
        <v>8.93</v>
      </c>
      <c r="L381">
        <v>8.8949999999999996</v>
      </c>
    </row>
    <row r="382" spans="1:12" x14ac:dyDescent="0.35">
      <c r="A382" s="2">
        <v>44746</v>
      </c>
      <c r="B382" s="3">
        <v>7.75</v>
      </c>
      <c r="C382" s="3">
        <v>69.569999999999993</v>
      </c>
      <c r="D382" s="3">
        <v>112.56</v>
      </c>
      <c r="E382" s="3">
        <v>20.58</v>
      </c>
      <c r="F382" s="3">
        <v>36.61</v>
      </c>
      <c r="G382" s="3">
        <v>98.726198999999994</v>
      </c>
      <c r="H382" s="3">
        <v>94.007002</v>
      </c>
      <c r="I382" s="3">
        <v>92.541777999999994</v>
      </c>
      <c r="J382">
        <v>9.18</v>
      </c>
      <c r="K382">
        <v>8.98</v>
      </c>
      <c r="L382">
        <v>8.93</v>
      </c>
    </row>
    <row r="383" spans="1:12" x14ac:dyDescent="0.35">
      <c r="A383" s="2">
        <v>44747</v>
      </c>
      <c r="B383" s="3">
        <v>8.01</v>
      </c>
      <c r="C383" s="3">
        <v>67.180000000000007</v>
      </c>
      <c r="D383" s="3">
        <v>112.06</v>
      </c>
      <c r="E383" s="3">
        <v>20.68</v>
      </c>
      <c r="F383" s="3">
        <v>36.770000000000003</v>
      </c>
      <c r="G383" s="3">
        <v>98.800730999999999</v>
      </c>
      <c r="H383" s="3">
        <v>93.970850999999996</v>
      </c>
      <c r="I383" s="3">
        <v>92.210538999999997</v>
      </c>
      <c r="J383">
        <v>9.1199999999999992</v>
      </c>
      <c r="K383">
        <v>8.91</v>
      </c>
      <c r="L383">
        <v>8.8800000000000008</v>
      </c>
    </row>
    <row r="384" spans="1:12" x14ac:dyDescent="0.35">
      <c r="A384" s="2">
        <v>44748</v>
      </c>
      <c r="B384" s="3">
        <v>8.0399999999999991</v>
      </c>
      <c r="C384" s="3">
        <v>69.91</v>
      </c>
      <c r="D384" s="3">
        <v>112.89</v>
      </c>
      <c r="E384" s="3">
        <v>20.99</v>
      </c>
      <c r="F384" s="3">
        <v>37.18</v>
      </c>
      <c r="G384" s="3">
        <v>98.369236000000001</v>
      </c>
      <c r="H384" s="3">
        <v>93.583995999999999</v>
      </c>
      <c r="I384" s="3">
        <v>92.444575</v>
      </c>
      <c r="J384">
        <v>9.2100000000000009</v>
      </c>
      <c r="K384">
        <v>9.01</v>
      </c>
      <c r="L384">
        <v>8.98</v>
      </c>
    </row>
    <row r="385" spans="1:12" x14ac:dyDescent="0.35">
      <c r="A385" s="2">
        <v>44749</v>
      </c>
      <c r="B385" s="3">
        <v>8.0299999999999994</v>
      </c>
      <c r="C385" s="3">
        <v>69.680000000000007</v>
      </c>
      <c r="D385" s="3">
        <v>112.18</v>
      </c>
      <c r="E385" s="3">
        <v>20.16</v>
      </c>
      <c r="F385" s="3">
        <v>38.18</v>
      </c>
      <c r="G385" s="3">
        <v>98.239693000000003</v>
      </c>
      <c r="H385" s="3">
        <v>93.245043999999993</v>
      </c>
      <c r="I385" s="3">
        <v>91.878</v>
      </c>
      <c r="J385">
        <v>9.2100000000000009</v>
      </c>
      <c r="K385">
        <v>9.01</v>
      </c>
      <c r="L385">
        <v>9</v>
      </c>
    </row>
    <row r="386" spans="1:12" x14ac:dyDescent="0.35">
      <c r="A386" s="2">
        <v>44750</v>
      </c>
      <c r="B386" s="3">
        <v>8.07</v>
      </c>
      <c r="C386" s="3">
        <v>70.599999999999994</v>
      </c>
      <c r="D386" s="3">
        <v>113.73</v>
      </c>
      <c r="E386" s="3">
        <v>20.309999999999999</v>
      </c>
      <c r="F386" s="3">
        <v>37.119999999999997</v>
      </c>
      <c r="G386" s="3">
        <v>98.364256999999995</v>
      </c>
      <c r="H386" s="3">
        <v>93.441827000000004</v>
      </c>
      <c r="I386" s="3">
        <v>91.690568999999996</v>
      </c>
      <c r="J386">
        <v>9.18</v>
      </c>
      <c r="K386">
        <v>9.0399999999999991</v>
      </c>
      <c r="L386">
        <v>9.02</v>
      </c>
    </row>
    <row r="387" spans="1:12" x14ac:dyDescent="0.35">
      <c r="A387" s="2">
        <v>44753</v>
      </c>
      <c r="B387" s="3">
        <v>7.85</v>
      </c>
      <c r="C387" s="3">
        <v>70.760000000000005</v>
      </c>
      <c r="D387" s="3">
        <v>111.57</v>
      </c>
      <c r="E387" s="3">
        <v>20.5</v>
      </c>
      <c r="F387" s="3">
        <v>36.33</v>
      </c>
      <c r="G387" s="3">
        <v>98.337941999999998</v>
      </c>
      <c r="H387" s="3">
        <v>93.406469999999999</v>
      </c>
      <c r="I387" s="3">
        <v>91.712890999999999</v>
      </c>
      <c r="J387">
        <v>9.2100000000000009</v>
      </c>
      <c r="K387">
        <v>9.06</v>
      </c>
      <c r="L387">
        <v>9.0399999999999991</v>
      </c>
    </row>
    <row r="388" spans="1:12" x14ac:dyDescent="0.35">
      <c r="A388" s="2">
        <v>44754</v>
      </c>
      <c r="B388" s="3">
        <v>8.08</v>
      </c>
      <c r="C388" s="3">
        <v>68.56</v>
      </c>
      <c r="D388" s="3">
        <v>115.05</v>
      </c>
      <c r="E388" s="3">
        <v>20.73</v>
      </c>
      <c r="F388" s="3">
        <v>36.19</v>
      </c>
      <c r="G388" s="3">
        <v>97.960922999999994</v>
      </c>
      <c r="H388" s="3">
        <v>92.96651</v>
      </c>
      <c r="I388" s="3">
        <v>91.526196999999996</v>
      </c>
      <c r="J388">
        <v>9.25</v>
      </c>
      <c r="K388">
        <v>9.11</v>
      </c>
      <c r="L388">
        <v>9.08</v>
      </c>
    </row>
    <row r="389" spans="1:12" x14ac:dyDescent="0.35">
      <c r="A389" s="2">
        <v>44755</v>
      </c>
      <c r="B389" s="3">
        <v>8.08</v>
      </c>
      <c r="C389" s="3">
        <v>69.05</v>
      </c>
      <c r="D389" s="3">
        <v>114.96</v>
      </c>
      <c r="E389" s="3">
        <v>19.88</v>
      </c>
      <c r="F389" s="3">
        <v>36.69</v>
      </c>
      <c r="G389" s="3">
        <v>98.185220999999999</v>
      </c>
      <c r="H389" s="3">
        <v>93.220236999999997</v>
      </c>
      <c r="I389" s="3">
        <v>91.270906999999994</v>
      </c>
      <c r="J389">
        <v>9.25</v>
      </c>
      <c r="K389">
        <v>9.07</v>
      </c>
      <c r="L389">
        <v>9.0399999999999991</v>
      </c>
    </row>
    <row r="390" spans="1:12" x14ac:dyDescent="0.35">
      <c r="A390" s="2">
        <v>44756</v>
      </c>
      <c r="B390" s="3">
        <v>7.92</v>
      </c>
      <c r="C390" s="3">
        <v>70.11</v>
      </c>
      <c r="D390" s="3">
        <v>113.54</v>
      </c>
      <c r="E390" s="3">
        <v>19.260000000000002</v>
      </c>
      <c r="F390" s="3">
        <v>36.92</v>
      </c>
      <c r="G390" s="3">
        <v>98.207362000000003</v>
      </c>
      <c r="H390" s="3">
        <v>93.346373999999997</v>
      </c>
      <c r="I390" s="3">
        <v>91.615647999999993</v>
      </c>
      <c r="J390">
        <v>9.32</v>
      </c>
      <c r="K390">
        <v>9.0749999999999993</v>
      </c>
      <c r="L390">
        <v>9.0299999999999994</v>
      </c>
    </row>
    <row r="391" spans="1:12" x14ac:dyDescent="0.35">
      <c r="A391" s="2">
        <v>44757</v>
      </c>
      <c r="B391" s="3">
        <v>8.0399999999999991</v>
      </c>
      <c r="C391" s="3">
        <v>72.599999999999994</v>
      </c>
      <c r="D391" s="3">
        <v>113.06</v>
      </c>
      <c r="E391" s="3">
        <v>19.25</v>
      </c>
      <c r="F391" s="3">
        <v>37.56</v>
      </c>
      <c r="G391" s="3">
        <v>98.231453000000002</v>
      </c>
      <c r="H391" s="3">
        <v>93.253585999999999</v>
      </c>
      <c r="I391" s="3">
        <v>91.499116000000001</v>
      </c>
      <c r="J391">
        <v>9.2799999999999994</v>
      </c>
      <c r="K391">
        <v>9.08</v>
      </c>
      <c r="L391">
        <v>9.0500000000000007</v>
      </c>
    </row>
    <row r="392" spans="1:12" x14ac:dyDescent="0.35">
      <c r="A392" s="2">
        <v>44760</v>
      </c>
      <c r="B392" s="3">
        <v>7.95</v>
      </c>
      <c r="C392" s="3">
        <v>71.5</v>
      </c>
      <c r="D392" s="3">
        <v>111.6</v>
      </c>
      <c r="E392" s="3">
        <v>19.28</v>
      </c>
      <c r="F392" s="3">
        <v>38.5</v>
      </c>
      <c r="G392" s="3">
        <v>97.856499999999997</v>
      </c>
      <c r="H392" s="3">
        <v>92.816085000000001</v>
      </c>
      <c r="I392" s="3">
        <v>91.313715999999999</v>
      </c>
      <c r="J392">
        <v>9.33</v>
      </c>
      <c r="K392">
        <v>9.15</v>
      </c>
      <c r="L392">
        <v>9.11</v>
      </c>
    </row>
    <row r="393" spans="1:12" x14ac:dyDescent="0.35">
      <c r="A393" s="2">
        <v>44761</v>
      </c>
      <c r="B393" s="3">
        <v>8.16</v>
      </c>
      <c r="C393" s="3">
        <v>72.069999999999993</v>
      </c>
      <c r="D393" s="3">
        <v>114.28</v>
      </c>
      <c r="E393" s="3">
        <v>19.55</v>
      </c>
      <c r="F393" s="3">
        <v>38.75</v>
      </c>
      <c r="G393" s="3">
        <v>97.830990999999997</v>
      </c>
      <c r="H393" s="3">
        <v>92.724384000000001</v>
      </c>
      <c r="I393" s="3">
        <v>90.853863000000004</v>
      </c>
      <c r="J393">
        <v>9.3800000000000008</v>
      </c>
      <c r="K393">
        <v>9.17</v>
      </c>
      <c r="L393">
        <v>9.15</v>
      </c>
    </row>
    <row r="394" spans="1:12" x14ac:dyDescent="0.35">
      <c r="A394" s="2">
        <v>44762</v>
      </c>
      <c r="B394" s="3">
        <v>8.11</v>
      </c>
      <c r="C394" s="3">
        <v>72.41</v>
      </c>
      <c r="D394" s="3">
        <v>117.58</v>
      </c>
      <c r="E394" s="3">
        <v>18.989999999999998</v>
      </c>
      <c r="F394" s="3">
        <v>38.72</v>
      </c>
      <c r="G394" s="3">
        <v>97.904932000000002</v>
      </c>
      <c r="H394" s="3">
        <v>92.804564999999997</v>
      </c>
      <c r="I394" s="3">
        <v>90.807740999999993</v>
      </c>
      <c r="J394">
        <v>9.34</v>
      </c>
      <c r="K394">
        <v>9.17</v>
      </c>
      <c r="L394">
        <v>9.14</v>
      </c>
    </row>
    <row r="395" spans="1:12" x14ac:dyDescent="0.35">
      <c r="A395" s="2">
        <v>44763</v>
      </c>
      <c r="B395" s="3">
        <v>8.25</v>
      </c>
      <c r="C395" s="3">
        <v>73</v>
      </c>
      <c r="D395" s="3">
        <v>119.61</v>
      </c>
      <c r="E395" s="3">
        <v>19.16</v>
      </c>
      <c r="F395" s="3">
        <v>38.03</v>
      </c>
      <c r="G395" s="3">
        <v>97.878321999999997</v>
      </c>
      <c r="H395" s="3">
        <v>92.816091999999998</v>
      </c>
      <c r="I395" s="3">
        <v>90.943816999999996</v>
      </c>
      <c r="J395">
        <v>9.26</v>
      </c>
      <c r="K395">
        <v>9.1199999999999992</v>
      </c>
      <c r="L395">
        <v>9.1</v>
      </c>
    </row>
    <row r="396" spans="1:12" x14ac:dyDescent="0.35">
      <c r="A396" s="2">
        <v>44764</v>
      </c>
      <c r="B396" s="3">
        <v>8.2200000000000006</v>
      </c>
      <c r="C396" s="3">
        <v>74.44</v>
      </c>
      <c r="D396" s="3">
        <v>113.56</v>
      </c>
      <c r="E396" s="3">
        <v>19.2</v>
      </c>
      <c r="F396" s="3">
        <v>37.869999999999997</v>
      </c>
      <c r="G396" s="3">
        <v>98.300464000000005</v>
      </c>
      <c r="H396" s="3">
        <v>93.298086999999995</v>
      </c>
      <c r="I396" s="3">
        <v>91.379266000000001</v>
      </c>
      <c r="J396">
        <v>9.01</v>
      </c>
      <c r="K396">
        <v>8.8800000000000008</v>
      </c>
      <c r="L396">
        <v>8.85</v>
      </c>
    </row>
    <row r="397" spans="1:12" x14ac:dyDescent="0.35">
      <c r="A397" s="2">
        <v>44767</v>
      </c>
      <c r="B397" s="3">
        <v>8.31</v>
      </c>
      <c r="C397" s="3">
        <v>74.239999999999995</v>
      </c>
      <c r="D397" s="3">
        <v>116.17</v>
      </c>
      <c r="E397" s="3">
        <v>19.010000000000002</v>
      </c>
      <c r="F397" s="3">
        <v>38.909999999999997</v>
      </c>
      <c r="G397" s="3">
        <v>99.530365000000003</v>
      </c>
      <c r="H397" s="3">
        <v>94.833183000000005</v>
      </c>
      <c r="I397" s="3">
        <v>93.150351999999998</v>
      </c>
      <c r="J397">
        <v>8.94</v>
      </c>
      <c r="K397">
        <v>8.82</v>
      </c>
      <c r="L397">
        <v>8.7899999999999991</v>
      </c>
    </row>
    <row r="398" spans="1:12" x14ac:dyDescent="0.35">
      <c r="A398" s="2">
        <v>44768</v>
      </c>
      <c r="B398" s="3">
        <v>8</v>
      </c>
      <c r="C398" s="3">
        <v>74.069999999999993</v>
      </c>
      <c r="D398" s="3">
        <v>114.3</v>
      </c>
      <c r="E398" s="3">
        <v>18.84</v>
      </c>
      <c r="F398" s="3">
        <v>38.29</v>
      </c>
      <c r="G398" s="3">
        <v>99.807693</v>
      </c>
      <c r="H398" s="3">
        <v>95.032268999999999</v>
      </c>
      <c r="I398" s="3">
        <v>93.456659000000002</v>
      </c>
      <c r="J398">
        <v>8.9600000000000009</v>
      </c>
      <c r="K398">
        <v>8.8800000000000008</v>
      </c>
      <c r="L398">
        <v>8.82</v>
      </c>
    </row>
    <row r="399" spans="1:12" x14ac:dyDescent="0.35">
      <c r="A399" s="2">
        <v>44769</v>
      </c>
      <c r="B399" s="3">
        <v>8.0299999999999994</v>
      </c>
      <c r="C399" s="3">
        <v>73.069999999999993</v>
      </c>
      <c r="D399" s="3">
        <v>113.01</v>
      </c>
      <c r="E399" s="3">
        <v>18.77</v>
      </c>
      <c r="F399" s="3">
        <v>38.58</v>
      </c>
      <c r="G399" s="3">
        <v>99.426378</v>
      </c>
      <c r="H399" s="3">
        <v>94.937128999999999</v>
      </c>
      <c r="I399" s="3">
        <v>92.912114000000003</v>
      </c>
      <c r="J399">
        <v>8.94</v>
      </c>
      <c r="K399">
        <v>8.85</v>
      </c>
      <c r="L399">
        <v>8.8569999999999993</v>
      </c>
    </row>
    <row r="400" spans="1:12" x14ac:dyDescent="0.35">
      <c r="A400" s="2">
        <v>44770</v>
      </c>
      <c r="B400" s="3">
        <v>8.1300000000000008</v>
      </c>
      <c r="C400" s="3">
        <v>75.08</v>
      </c>
      <c r="D400" s="3">
        <v>117.65</v>
      </c>
      <c r="E400" s="3">
        <v>19.350000000000001</v>
      </c>
      <c r="F400" s="3">
        <v>39.19</v>
      </c>
      <c r="G400" s="3">
        <v>99.801413999999994</v>
      </c>
      <c r="H400" s="3">
        <v>95.004891000000001</v>
      </c>
      <c r="I400" s="3">
        <v>93.261809</v>
      </c>
      <c r="J400">
        <v>8.76</v>
      </c>
      <c r="K400">
        <v>8.69</v>
      </c>
      <c r="L400">
        <v>8.65</v>
      </c>
    </row>
    <row r="401" spans="1:12" x14ac:dyDescent="0.35">
      <c r="A401" s="2">
        <v>44771</v>
      </c>
      <c r="B401" s="3">
        <v>8.23</v>
      </c>
      <c r="C401" s="3">
        <v>72.040000000000006</v>
      </c>
      <c r="D401" s="3">
        <v>115.99</v>
      </c>
      <c r="E401" s="3">
        <v>19.399999999999999</v>
      </c>
      <c r="F401" s="3">
        <v>39.659999999999997</v>
      </c>
      <c r="G401" s="3">
        <v>100.742148</v>
      </c>
      <c r="H401" s="3">
        <v>96.092774000000006</v>
      </c>
      <c r="I401" s="3">
        <v>94.715447999999995</v>
      </c>
      <c r="J401">
        <v>8.6300000000000008</v>
      </c>
      <c r="K401">
        <v>8.56</v>
      </c>
      <c r="L401">
        <v>8.5500000000000007</v>
      </c>
    </row>
    <row r="402" spans="1:12" x14ac:dyDescent="0.35">
      <c r="A402" s="2">
        <v>44774</v>
      </c>
      <c r="B402" s="3">
        <v>8.3800000000000008</v>
      </c>
      <c r="C402" s="3">
        <v>71.150000000000006</v>
      </c>
      <c r="D402" s="3">
        <v>112.19</v>
      </c>
      <c r="E402" s="3">
        <v>19.23</v>
      </c>
      <c r="F402" s="3">
        <v>40.82</v>
      </c>
      <c r="G402" s="3">
        <v>101.331174</v>
      </c>
      <c r="H402" s="3">
        <v>96.653536000000003</v>
      </c>
      <c r="I402" s="3">
        <v>95.684117000000001</v>
      </c>
      <c r="J402">
        <v>8.49</v>
      </c>
      <c r="K402">
        <v>8.4499999999999993</v>
      </c>
      <c r="L402">
        <v>8.42</v>
      </c>
    </row>
    <row r="403" spans="1:12" x14ac:dyDescent="0.35">
      <c r="A403" s="2">
        <v>44775</v>
      </c>
      <c r="B403" s="3">
        <v>8.5399999999999991</v>
      </c>
      <c r="C403" s="3">
        <v>72.290000000000006</v>
      </c>
      <c r="D403" s="3">
        <v>111.37</v>
      </c>
      <c r="E403" s="3">
        <v>18.61</v>
      </c>
      <c r="F403" s="3">
        <v>39.65</v>
      </c>
      <c r="G403" s="3">
        <v>101.768246</v>
      </c>
      <c r="H403" s="3">
        <v>97.218014999999994</v>
      </c>
      <c r="I403" s="3">
        <v>96.295036999999994</v>
      </c>
      <c r="J403">
        <v>8.61</v>
      </c>
      <c r="K403">
        <v>8.58</v>
      </c>
      <c r="L403">
        <v>8.57</v>
      </c>
    </row>
    <row r="404" spans="1:12" x14ac:dyDescent="0.35">
      <c r="A404" s="2">
        <v>44776</v>
      </c>
      <c r="B404" s="3">
        <v>8.89</v>
      </c>
      <c r="C404" s="3">
        <v>71.58</v>
      </c>
      <c r="D404" s="3">
        <v>112.01</v>
      </c>
      <c r="E404" s="3">
        <v>18.57</v>
      </c>
      <c r="F404" s="3">
        <v>40.380000000000003</v>
      </c>
      <c r="G404" s="3">
        <v>101.069226</v>
      </c>
      <c r="H404" s="3">
        <v>96.338928999999993</v>
      </c>
      <c r="I404" s="3">
        <v>95.654961999999998</v>
      </c>
      <c r="J404">
        <v>8.52</v>
      </c>
      <c r="K404">
        <v>8.4600000000000009</v>
      </c>
      <c r="L404">
        <v>8.44</v>
      </c>
    </row>
    <row r="405" spans="1:12" x14ac:dyDescent="0.35">
      <c r="A405" s="2">
        <v>44777</v>
      </c>
      <c r="B405" s="3">
        <v>8.7799999999999994</v>
      </c>
      <c r="C405" s="3">
        <v>70.849999999999994</v>
      </c>
      <c r="D405" s="3">
        <v>110.93</v>
      </c>
      <c r="E405" s="3">
        <v>18.7</v>
      </c>
      <c r="F405" s="3">
        <v>41.74</v>
      </c>
      <c r="G405" s="3">
        <v>101.80965399999999</v>
      </c>
      <c r="H405" s="3">
        <v>97.246426</v>
      </c>
      <c r="I405" s="3">
        <v>96.235380000000006</v>
      </c>
      <c r="J405">
        <v>8.49</v>
      </c>
      <c r="K405">
        <v>8.44</v>
      </c>
      <c r="L405">
        <v>8.43</v>
      </c>
    </row>
    <row r="406" spans="1:12" x14ac:dyDescent="0.35">
      <c r="A406" s="2">
        <v>44778</v>
      </c>
      <c r="B406" s="3">
        <v>8.86</v>
      </c>
      <c r="C406" s="3">
        <v>70.16</v>
      </c>
      <c r="D406" s="3">
        <v>110.2</v>
      </c>
      <c r="E406" s="3">
        <v>18.489999999999998</v>
      </c>
      <c r="F406" s="3">
        <v>40.81</v>
      </c>
      <c r="G406" s="3">
        <v>101.677927</v>
      </c>
      <c r="H406" s="3">
        <v>97.027630000000002</v>
      </c>
      <c r="I406" s="3">
        <v>95.889765999999995</v>
      </c>
      <c r="J406">
        <v>8.56</v>
      </c>
      <c r="K406">
        <v>8.4700000000000006</v>
      </c>
      <c r="L406">
        <v>8.4499999999999993</v>
      </c>
    </row>
    <row r="407" spans="1:12" x14ac:dyDescent="0.35">
      <c r="A407" s="2">
        <v>44781</v>
      </c>
      <c r="B407" s="3">
        <v>9.01</v>
      </c>
      <c r="C407" s="3">
        <v>73.13</v>
      </c>
      <c r="D407" s="3">
        <v>115.29</v>
      </c>
      <c r="E407" s="3">
        <v>18.649999999999999</v>
      </c>
      <c r="F407" s="3">
        <v>39.76</v>
      </c>
      <c r="G407" s="3">
        <v>101.959806</v>
      </c>
      <c r="H407" s="3">
        <v>97.472121000000001</v>
      </c>
      <c r="I407" s="3">
        <v>96.353173999999996</v>
      </c>
      <c r="J407">
        <v>8.5299999999999994</v>
      </c>
      <c r="K407">
        <v>8.43</v>
      </c>
      <c r="L407">
        <v>8.41</v>
      </c>
    </row>
    <row r="408" spans="1:12" x14ac:dyDescent="0.35">
      <c r="A408" s="2">
        <v>44782</v>
      </c>
      <c r="B408" s="3">
        <v>8.75</v>
      </c>
      <c r="C408" s="3">
        <v>75.540000000000006</v>
      </c>
      <c r="D408" s="3">
        <v>116.04</v>
      </c>
      <c r="E408" s="3">
        <v>18.89</v>
      </c>
      <c r="F408" s="3">
        <v>39.090000000000003</v>
      </c>
      <c r="G408" s="3">
        <v>102.190455</v>
      </c>
      <c r="H408" s="3">
        <v>97.675961999999998</v>
      </c>
      <c r="I408" s="3">
        <v>96.819277999999997</v>
      </c>
      <c r="J408">
        <v>8.61</v>
      </c>
      <c r="K408">
        <v>8.4949999999999992</v>
      </c>
      <c r="L408">
        <v>8.4830000000000005</v>
      </c>
    </row>
    <row r="409" spans="1:12" x14ac:dyDescent="0.35">
      <c r="A409" s="2">
        <v>44783</v>
      </c>
      <c r="B409" s="3">
        <v>8.99</v>
      </c>
      <c r="C409" s="3">
        <v>76.31</v>
      </c>
      <c r="D409" s="3">
        <v>120.75</v>
      </c>
      <c r="E409" s="3">
        <v>18.88</v>
      </c>
      <c r="F409" s="3">
        <v>38.74</v>
      </c>
      <c r="G409" s="3">
        <v>101.644955</v>
      </c>
      <c r="H409" s="3">
        <v>97.034381999999994</v>
      </c>
      <c r="I409" s="3">
        <v>96.029330999999999</v>
      </c>
      <c r="J409">
        <v>8.5299999999999994</v>
      </c>
      <c r="K409">
        <v>8.4770000000000003</v>
      </c>
      <c r="L409">
        <v>8.4770000000000003</v>
      </c>
    </row>
    <row r="410" spans="1:12" x14ac:dyDescent="0.35">
      <c r="A410" s="2">
        <v>44784</v>
      </c>
      <c r="B410" s="3">
        <v>9.0299999999999994</v>
      </c>
      <c r="C410" s="3">
        <v>76.319999999999993</v>
      </c>
      <c r="D410" s="3">
        <v>121.36</v>
      </c>
      <c r="E410" s="3">
        <v>19.27</v>
      </c>
      <c r="F410" s="3">
        <v>38.770000000000003</v>
      </c>
      <c r="G410" s="3">
        <v>101.766721</v>
      </c>
      <c r="H410" s="3">
        <v>97.161376000000004</v>
      </c>
      <c r="I410" s="3">
        <v>96.242440999999999</v>
      </c>
      <c r="J410">
        <v>8.5399999999999991</v>
      </c>
      <c r="K410">
        <v>8.51</v>
      </c>
      <c r="L410">
        <v>8.51</v>
      </c>
    </row>
    <row r="411" spans="1:12" x14ac:dyDescent="0.35">
      <c r="A411" s="2">
        <v>44785</v>
      </c>
      <c r="B411" s="3">
        <v>9.2100000000000009</v>
      </c>
      <c r="C411" s="3">
        <v>76.69</v>
      </c>
      <c r="D411" s="3">
        <v>123.49</v>
      </c>
      <c r="E411" s="3">
        <v>19.32</v>
      </c>
      <c r="F411" s="3">
        <v>38.950000000000003</v>
      </c>
      <c r="G411" s="3">
        <v>101.790142</v>
      </c>
      <c r="H411" s="3">
        <v>97.063633999999993</v>
      </c>
      <c r="I411" s="3">
        <v>96.117660000000001</v>
      </c>
      <c r="J411">
        <v>8.58</v>
      </c>
      <c r="K411">
        <v>8.52</v>
      </c>
      <c r="L411">
        <v>8.51</v>
      </c>
    </row>
    <row r="412" spans="1:12" x14ac:dyDescent="0.35">
      <c r="A412" s="2">
        <v>44788</v>
      </c>
      <c r="B412" s="3">
        <v>9.0500000000000007</v>
      </c>
      <c r="C412" s="3">
        <v>75.239999999999995</v>
      </c>
      <c r="D412" s="3">
        <v>124.25</v>
      </c>
      <c r="E412" s="3">
        <v>19.21</v>
      </c>
      <c r="F412" s="3">
        <v>38.159999999999997</v>
      </c>
      <c r="G412" s="3">
        <v>101.762107</v>
      </c>
      <c r="H412" s="3">
        <v>97.026031000000003</v>
      </c>
      <c r="I412" s="3">
        <v>95.920078000000004</v>
      </c>
      <c r="J412">
        <v>8.5500000000000007</v>
      </c>
      <c r="K412">
        <v>8.48</v>
      </c>
      <c r="L412">
        <v>8.4600000000000009</v>
      </c>
    </row>
    <row r="413" spans="1:12" x14ac:dyDescent="0.35">
      <c r="A413" s="2">
        <v>44789</v>
      </c>
      <c r="B413" s="3">
        <v>9.1</v>
      </c>
      <c r="C413" s="3">
        <v>74.77</v>
      </c>
      <c r="D413" s="3">
        <v>123.86</v>
      </c>
      <c r="E413" s="3">
        <v>19.59</v>
      </c>
      <c r="F413" s="3">
        <v>39.28</v>
      </c>
      <c r="G413" s="3">
        <v>101.88847800000001</v>
      </c>
      <c r="H413" s="3">
        <v>97.228318000000002</v>
      </c>
      <c r="I413" s="3">
        <v>96.235225999999997</v>
      </c>
      <c r="J413">
        <v>8.5399999999999991</v>
      </c>
      <c r="K413">
        <v>8.5</v>
      </c>
      <c r="L413">
        <v>8.5</v>
      </c>
    </row>
    <row r="414" spans="1:12" x14ac:dyDescent="0.35">
      <c r="A414" s="2">
        <v>44790</v>
      </c>
      <c r="B414" s="3">
        <v>9</v>
      </c>
      <c r="C414" s="3">
        <v>73.94</v>
      </c>
      <c r="D414" s="3">
        <v>125.98</v>
      </c>
      <c r="E414" s="3">
        <v>19.39</v>
      </c>
      <c r="F414" s="3">
        <v>38.450000000000003</v>
      </c>
      <c r="G414" s="3">
        <v>101.552352</v>
      </c>
      <c r="H414" s="3">
        <v>96.771885999999995</v>
      </c>
      <c r="I414" s="3">
        <v>95.599829</v>
      </c>
      <c r="J414">
        <v>8.61</v>
      </c>
      <c r="K414">
        <v>8.61</v>
      </c>
      <c r="L414">
        <v>8.61</v>
      </c>
    </row>
    <row r="415" spans="1:12" x14ac:dyDescent="0.35">
      <c r="A415" s="2">
        <v>44791</v>
      </c>
      <c r="B415" s="3">
        <v>8.8800000000000008</v>
      </c>
      <c r="C415" s="3">
        <v>73.56</v>
      </c>
      <c r="D415" s="3">
        <v>125.22</v>
      </c>
      <c r="E415" s="3">
        <v>19.13</v>
      </c>
      <c r="F415" s="3">
        <v>37.979999999999997</v>
      </c>
      <c r="G415" s="3">
        <v>101.26536</v>
      </c>
      <c r="H415" s="3">
        <v>96.363776000000001</v>
      </c>
      <c r="I415" s="3">
        <v>95.159453999999997</v>
      </c>
      <c r="J415">
        <v>8.73</v>
      </c>
      <c r="K415">
        <v>8.7149999999999999</v>
      </c>
      <c r="L415">
        <v>8.7249999999999996</v>
      </c>
    </row>
    <row r="416" spans="1:12" x14ac:dyDescent="0.35">
      <c r="A416" s="2">
        <v>44792</v>
      </c>
      <c r="B416" s="3">
        <v>8.66</v>
      </c>
      <c r="C416" s="3">
        <v>73.56</v>
      </c>
      <c r="D416" s="3">
        <v>127.11</v>
      </c>
      <c r="E416" s="3">
        <v>19.29</v>
      </c>
      <c r="F416" s="3">
        <v>37.28</v>
      </c>
      <c r="G416" s="3">
        <v>100.578829</v>
      </c>
      <c r="H416" s="3">
        <v>95.444799000000003</v>
      </c>
      <c r="I416" s="3">
        <v>94.107988000000006</v>
      </c>
      <c r="J416">
        <v>8.85</v>
      </c>
      <c r="K416">
        <v>8.8450000000000006</v>
      </c>
      <c r="L416">
        <v>8.85</v>
      </c>
    </row>
    <row r="417" spans="1:12" x14ac:dyDescent="0.35">
      <c r="A417" s="2">
        <v>44795</v>
      </c>
      <c r="B417" s="3">
        <v>8.3699999999999992</v>
      </c>
      <c r="C417" s="3">
        <v>74.52</v>
      </c>
      <c r="D417" s="3">
        <v>126.52</v>
      </c>
      <c r="E417" s="3">
        <v>19.27</v>
      </c>
      <c r="F417" s="3">
        <v>36.799999999999997</v>
      </c>
      <c r="G417" s="3">
        <v>100.099473</v>
      </c>
      <c r="H417" s="3">
        <v>95.117628999999994</v>
      </c>
      <c r="I417" s="3">
        <v>93.705627000000007</v>
      </c>
      <c r="J417">
        <v>8.9350000000000005</v>
      </c>
      <c r="K417">
        <v>8.9149999999999991</v>
      </c>
      <c r="L417">
        <v>8.9149999999999991</v>
      </c>
    </row>
    <row r="418" spans="1:12" x14ac:dyDescent="0.35">
      <c r="A418" s="2">
        <v>44796</v>
      </c>
      <c r="B418" s="3">
        <v>8.3800000000000008</v>
      </c>
      <c r="C418" s="3">
        <v>73.650000000000006</v>
      </c>
      <c r="D418" s="3">
        <v>127.25</v>
      </c>
      <c r="E418" s="3">
        <v>18.760000000000002</v>
      </c>
      <c r="F418" s="3">
        <v>36.65</v>
      </c>
      <c r="G418" s="3">
        <v>99.723354</v>
      </c>
      <c r="H418" s="3">
        <v>94.676596000000004</v>
      </c>
      <c r="I418" s="3">
        <v>93.026120000000006</v>
      </c>
      <c r="J418">
        <v>8.91</v>
      </c>
      <c r="K418">
        <v>8.92</v>
      </c>
      <c r="L418">
        <v>8.91</v>
      </c>
    </row>
    <row r="419" spans="1:12" x14ac:dyDescent="0.35">
      <c r="A419" s="2">
        <v>44797</v>
      </c>
      <c r="B419" s="3">
        <v>8.23</v>
      </c>
      <c r="C419" s="3">
        <v>73.5</v>
      </c>
      <c r="D419" s="3">
        <v>126.21</v>
      </c>
      <c r="E419" s="3">
        <v>18.59</v>
      </c>
      <c r="F419" s="3">
        <v>36.82</v>
      </c>
      <c r="G419" s="3">
        <v>99.697640000000007</v>
      </c>
      <c r="H419" s="3">
        <v>94.641734</v>
      </c>
      <c r="I419" s="3">
        <v>93.048642999999998</v>
      </c>
      <c r="J419">
        <v>8.9600000000000009</v>
      </c>
      <c r="K419">
        <v>8.94</v>
      </c>
      <c r="L419">
        <v>8.94</v>
      </c>
    </row>
    <row r="420" spans="1:12" x14ac:dyDescent="0.35">
      <c r="A420" s="2">
        <v>44798</v>
      </c>
      <c r="B420" s="3">
        <v>8.3699999999999992</v>
      </c>
      <c r="C420" s="3">
        <v>73.61</v>
      </c>
      <c r="D420" s="3">
        <v>125.8</v>
      </c>
      <c r="E420" s="3">
        <v>18.45</v>
      </c>
      <c r="F420" s="3">
        <v>38.130000000000003</v>
      </c>
      <c r="G420" s="3">
        <v>100.219645</v>
      </c>
      <c r="H420" s="3">
        <v>95.173597000000001</v>
      </c>
      <c r="I420" s="3">
        <v>93.747380000000007</v>
      </c>
      <c r="J420">
        <v>8.91</v>
      </c>
      <c r="K420">
        <v>8.85</v>
      </c>
      <c r="L420">
        <v>8.85</v>
      </c>
    </row>
    <row r="421" spans="1:12" x14ac:dyDescent="0.35">
      <c r="A421" s="2">
        <v>44799</v>
      </c>
      <c r="B421" s="3">
        <v>8.09</v>
      </c>
      <c r="C421" s="3">
        <v>73.23</v>
      </c>
      <c r="D421" s="3">
        <v>123.86</v>
      </c>
      <c r="E421" s="3">
        <v>18.079999999999998</v>
      </c>
      <c r="F421" s="3">
        <v>37.68</v>
      </c>
      <c r="G421" s="3">
        <v>100.243696</v>
      </c>
      <c r="H421" s="3">
        <v>95.254521999999994</v>
      </c>
      <c r="I421" s="3">
        <v>93.769853999999995</v>
      </c>
      <c r="J421">
        <v>9.02</v>
      </c>
      <c r="K421">
        <v>8.93</v>
      </c>
      <c r="L421">
        <v>8.91</v>
      </c>
    </row>
    <row r="422" spans="1:12" x14ac:dyDescent="0.35">
      <c r="A422" s="2">
        <v>44802</v>
      </c>
      <c r="B422" s="3">
        <v>7.82</v>
      </c>
      <c r="C422" s="3">
        <v>71.13</v>
      </c>
      <c r="D422" s="3">
        <v>121.11</v>
      </c>
      <c r="E422" s="3">
        <v>17.84</v>
      </c>
      <c r="F422" s="3">
        <v>37.25</v>
      </c>
      <c r="G422" s="3">
        <v>99.918127999999996</v>
      </c>
      <c r="H422" s="3">
        <v>94.929610999999994</v>
      </c>
      <c r="I422" s="3">
        <v>93.371014000000002</v>
      </c>
      <c r="J422">
        <v>9.1</v>
      </c>
      <c r="K422">
        <v>9.01</v>
      </c>
      <c r="L422">
        <v>9.01</v>
      </c>
    </row>
    <row r="423" spans="1:12" x14ac:dyDescent="0.35">
      <c r="A423" s="2">
        <v>44803</v>
      </c>
      <c r="B423" s="3">
        <v>7.71</v>
      </c>
      <c r="C423" s="3">
        <v>69.47</v>
      </c>
      <c r="D423" s="3">
        <v>121.41</v>
      </c>
      <c r="E423" s="3">
        <v>17.71</v>
      </c>
      <c r="F423" s="3">
        <v>36.67</v>
      </c>
      <c r="G423" s="3">
        <v>99.445687000000007</v>
      </c>
      <c r="H423" s="3">
        <v>94.262137999999993</v>
      </c>
      <c r="I423" s="3">
        <v>92.628022000000001</v>
      </c>
      <c r="J423">
        <v>9.17</v>
      </c>
      <c r="K423">
        <v>9.11</v>
      </c>
      <c r="L423">
        <v>9.11</v>
      </c>
    </row>
    <row r="424" spans="1:12" x14ac:dyDescent="0.35">
      <c r="A424" s="2">
        <v>44804</v>
      </c>
      <c r="B424" s="3">
        <v>7.47</v>
      </c>
      <c r="C424" s="3">
        <v>66.22</v>
      </c>
      <c r="D424" s="3">
        <v>118.98</v>
      </c>
      <c r="E424" s="3">
        <v>17.170000000000002</v>
      </c>
      <c r="F424" s="3">
        <v>36.56</v>
      </c>
      <c r="G424" s="3">
        <v>99.420529999999999</v>
      </c>
      <c r="H424" s="3">
        <v>94.170786000000007</v>
      </c>
      <c r="I424" s="3">
        <v>92.581492999999995</v>
      </c>
      <c r="J424">
        <v>9.1300000000000008</v>
      </c>
      <c r="K424">
        <v>9.0399999999999991</v>
      </c>
      <c r="L424">
        <v>9.0399999999999991</v>
      </c>
    </row>
    <row r="425" spans="1:12" x14ac:dyDescent="0.35">
      <c r="A425" s="2">
        <v>44805</v>
      </c>
      <c r="B425" s="3">
        <v>7.66</v>
      </c>
      <c r="C425" s="3">
        <v>70.27</v>
      </c>
      <c r="D425" s="3">
        <v>119.97</v>
      </c>
      <c r="E425" s="3">
        <v>17.16</v>
      </c>
      <c r="F425" s="3">
        <v>36.35</v>
      </c>
      <c r="G425" s="3">
        <v>99.246885000000006</v>
      </c>
      <c r="H425" s="3">
        <v>94.125878</v>
      </c>
      <c r="I425" s="3">
        <v>92.304852999999994</v>
      </c>
      <c r="J425">
        <v>9.18</v>
      </c>
      <c r="K425">
        <v>9.1300000000000008</v>
      </c>
      <c r="L425">
        <v>9.1199999999999992</v>
      </c>
    </row>
    <row r="426" spans="1:12" x14ac:dyDescent="0.35">
      <c r="A426" s="2">
        <v>44806</v>
      </c>
      <c r="B426" s="3">
        <v>7.8</v>
      </c>
      <c r="C426" s="3">
        <v>71.97</v>
      </c>
      <c r="D426" s="3">
        <v>122.28</v>
      </c>
      <c r="E426" s="3">
        <v>17.52</v>
      </c>
      <c r="F426" s="3">
        <v>37.44</v>
      </c>
      <c r="G426" s="3">
        <v>98.976429999999993</v>
      </c>
      <c r="H426" s="3">
        <v>93.750967000000003</v>
      </c>
      <c r="I426" s="3">
        <v>91.916464000000005</v>
      </c>
      <c r="J426">
        <v>9.06</v>
      </c>
      <c r="K426">
        <v>8.99</v>
      </c>
      <c r="L426">
        <v>8.9700000000000006</v>
      </c>
    </row>
    <row r="427" spans="1:12" x14ac:dyDescent="0.35">
      <c r="A427" s="2">
        <v>44809</v>
      </c>
      <c r="B427" s="3">
        <v>7.71</v>
      </c>
      <c r="C427" s="3">
        <v>70.48</v>
      </c>
      <c r="D427" s="3">
        <v>123.86</v>
      </c>
      <c r="E427" s="3">
        <v>17.38</v>
      </c>
      <c r="F427" s="3">
        <v>37.39</v>
      </c>
      <c r="G427" s="3">
        <v>99.988006999999996</v>
      </c>
      <c r="H427" s="3">
        <v>94.801961000000006</v>
      </c>
      <c r="I427" s="3">
        <v>93.180038999999994</v>
      </c>
      <c r="J427">
        <v>9.09</v>
      </c>
      <c r="K427">
        <v>8.99</v>
      </c>
      <c r="L427">
        <v>8.99</v>
      </c>
    </row>
    <row r="428" spans="1:12" x14ac:dyDescent="0.35">
      <c r="A428" s="2">
        <v>44810</v>
      </c>
      <c r="B428" s="3">
        <v>7.63</v>
      </c>
      <c r="C428" s="3">
        <v>70.88</v>
      </c>
      <c r="D428" s="3">
        <v>121.66</v>
      </c>
      <c r="E428" s="3">
        <v>17.48</v>
      </c>
      <c r="F428" s="3">
        <v>37.450000000000003</v>
      </c>
      <c r="G428" s="3">
        <v>100.21111399999999</v>
      </c>
      <c r="H428" s="3">
        <v>95.113032000000004</v>
      </c>
      <c r="I428" s="3">
        <v>93.551423999999997</v>
      </c>
      <c r="J428">
        <v>9.19</v>
      </c>
      <c r="K428">
        <v>9.08</v>
      </c>
      <c r="L428">
        <v>9.08</v>
      </c>
    </row>
    <row r="429" spans="1:12" x14ac:dyDescent="0.35">
      <c r="A429" s="2">
        <v>44811</v>
      </c>
      <c r="B429" s="3">
        <v>7.73</v>
      </c>
      <c r="C429" s="3">
        <v>71.94</v>
      </c>
      <c r="D429" s="3">
        <v>123.4</v>
      </c>
      <c r="E429" s="3">
        <v>17.46</v>
      </c>
      <c r="F429" s="3">
        <v>37.61</v>
      </c>
      <c r="G429" s="3">
        <v>99.591004999999996</v>
      </c>
      <c r="H429" s="3">
        <v>94.389534999999995</v>
      </c>
      <c r="I429" s="3">
        <v>92.671042999999997</v>
      </c>
      <c r="J429">
        <v>9.1199999999999992</v>
      </c>
      <c r="K429">
        <v>9.0299999999999994</v>
      </c>
      <c r="L429">
        <v>9.02</v>
      </c>
    </row>
    <row r="430" spans="1:12" x14ac:dyDescent="0.35">
      <c r="A430" s="2">
        <v>44812</v>
      </c>
      <c r="B430" s="3">
        <v>7.67</v>
      </c>
      <c r="C430" s="3">
        <v>72.12</v>
      </c>
      <c r="D430" s="3">
        <v>122.28</v>
      </c>
      <c r="E430" s="3">
        <v>17.12</v>
      </c>
      <c r="F430" s="3">
        <v>37.049999999999997</v>
      </c>
      <c r="G430" s="3">
        <v>99.614858999999996</v>
      </c>
      <c r="H430" s="3">
        <v>94.401797999999999</v>
      </c>
      <c r="I430" s="3">
        <v>92.601320000000001</v>
      </c>
      <c r="J430">
        <v>9.09</v>
      </c>
      <c r="K430">
        <v>8.98</v>
      </c>
      <c r="L430">
        <v>8.98</v>
      </c>
    </row>
    <row r="431" spans="1:12" x14ac:dyDescent="0.35">
      <c r="A431" s="2">
        <v>44813</v>
      </c>
      <c r="B431" s="3">
        <v>7.88</v>
      </c>
      <c r="C431" s="3">
        <v>73.03</v>
      </c>
      <c r="D431" s="3">
        <v>124.99</v>
      </c>
      <c r="E431" s="3">
        <v>17.25</v>
      </c>
      <c r="F431" s="3">
        <v>37.659999999999997</v>
      </c>
      <c r="G431" s="3">
        <v>100.23273399999999</v>
      </c>
      <c r="H431" s="3">
        <v>95.112599000000003</v>
      </c>
      <c r="I431" s="3">
        <v>93.524709000000001</v>
      </c>
      <c r="J431">
        <v>9.0399999999999991</v>
      </c>
      <c r="K431">
        <v>8.91</v>
      </c>
      <c r="L431">
        <v>8.91</v>
      </c>
    </row>
    <row r="432" spans="1:12" x14ac:dyDescent="0.35">
      <c r="A432" s="2">
        <v>44816</v>
      </c>
      <c r="B432" s="3">
        <v>8</v>
      </c>
      <c r="C432" s="3">
        <v>73.7</v>
      </c>
      <c r="D432" s="3">
        <v>127.64</v>
      </c>
      <c r="E432" s="3">
        <v>17.489999999999998</v>
      </c>
      <c r="F432" s="3">
        <v>38.75</v>
      </c>
      <c r="G432" s="3">
        <v>100.555328</v>
      </c>
      <c r="H432" s="3">
        <v>95.481838999999994</v>
      </c>
      <c r="I432" s="3">
        <v>94.037312999999997</v>
      </c>
      <c r="J432">
        <v>9.0399999999999991</v>
      </c>
      <c r="K432">
        <v>8.91</v>
      </c>
      <c r="L432">
        <v>8.91</v>
      </c>
    </row>
    <row r="433" spans="1:12" x14ac:dyDescent="0.35">
      <c r="A433" s="2">
        <v>44817</v>
      </c>
      <c r="B433" s="3">
        <v>7.72</v>
      </c>
      <c r="C433" s="3">
        <v>73.03</v>
      </c>
      <c r="D433" s="3">
        <v>125.04</v>
      </c>
      <c r="E433" s="3">
        <v>17.11</v>
      </c>
      <c r="F433" s="3">
        <v>38.56</v>
      </c>
      <c r="G433" s="3">
        <v>100.479939</v>
      </c>
      <c r="H433" s="3">
        <v>95.331487999999993</v>
      </c>
      <c r="I433" s="3">
        <v>93.779486000000006</v>
      </c>
      <c r="J433">
        <v>9.25</v>
      </c>
      <c r="K433">
        <v>9.0399999999999991</v>
      </c>
      <c r="L433">
        <v>9.0299999999999994</v>
      </c>
    </row>
    <row r="434" spans="1:12" x14ac:dyDescent="0.35">
      <c r="A434" s="2">
        <v>44818</v>
      </c>
      <c r="B434" s="3">
        <v>7.56</v>
      </c>
      <c r="C434" s="3">
        <v>72.650000000000006</v>
      </c>
      <c r="D434" s="3">
        <v>129.43</v>
      </c>
      <c r="E434" s="3">
        <v>17</v>
      </c>
      <c r="F434" s="3">
        <v>38.71</v>
      </c>
      <c r="G434" s="3">
        <v>99.835048</v>
      </c>
      <c r="H434" s="3">
        <v>94.620830999999995</v>
      </c>
      <c r="I434" s="3">
        <v>92.898128999999997</v>
      </c>
      <c r="J434">
        <v>9.33</v>
      </c>
      <c r="K434">
        <v>9.1</v>
      </c>
      <c r="L434">
        <v>9.09</v>
      </c>
    </row>
    <row r="435" spans="1:12" x14ac:dyDescent="0.35">
      <c r="A435" s="2">
        <v>44819</v>
      </c>
      <c r="B435" s="3">
        <v>7.26</v>
      </c>
      <c r="C435" s="3">
        <v>73.45</v>
      </c>
      <c r="D435" s="3">
        <v>133.94</v>
      </c>
      <c r="E435" s="3">
        <v>17.03</v>
      </c>
      <c r="F435" s="3">
        <v>38.46</v>
      </c>
      <c r="G435" s="3">
        <v>99.222565000000003</v>
      </c>
      <c r="H435" s="3">
        <v>93.963238000000004</v>
      </c>
      <c r="I435" s="3">
        <v>92.235378999999995</v>
      </c>
      <c r="J435">
        <v>9.43</v>
      </c>
      <c r="K435">
        <v>9.2100000000000009</v>
      </c>
      <c r="L435">
        <v>9.18</v>
      </c>
    </row>
    <row r="436" spans="1:12" x14ac:dyDescent="0.35">
      <c r="A436" s="2">
        <v>44823</v>
      </c>
      <c r="B436" s="3">
        <v>7.36</v>
      </c>
      <c r="C436" s="3">
        <v>72.92</v>
      </c>
      <c r="D436" s="3">
        <v>138.63999999999999</v>
      </c>
      <c r="E436" s="3">
        <v>16.649999999999999</v>
      </c>
      <c r="F436" s="3">
        <v>38.71</v>
      </c>
      <c r="G436" s="3">
        <v>99.198432999999994</v>
      </c>
      <c r="H436" s="3">
        <v>93.930109999999999</v>
      </c>
      <c r="I436" s="3">
        <v>92.326424000000003</v>
      </c>
      <c r="J436">
        <v>9.43</v>
      </c>
      <c r="K436">
        <v>9.2249999999999996</v>
      </c>
      <c r="L436">
        <v>9.2149999999999999</v>
      </c>
    </row>
    <row r="437" spans="1:12" x14ac:dyDescent="0.35">
      <c r="A437" s="2">
        <v>44824</v>
      </c>
      <c r="B437" s="3">
        <v>7.13</v>
      </c>
      <c r="C437" s="3">
        <v>72.97</v>
      </c>
      <c r="D437" s="3">
        <v>135.38999999999999</v>
      </c>
      <c r="E437" s="3">
        <v>17.489999999999998</v>
      </c>
      <c r="F437" s="3">
        <v>38.28</v>
      </c>
      <c r="G437" s="3">
        <v>98.882715000000005</v>
      </c>
      <c r="H437" s="3">
        <v>93.615869000000004</v>
      </c>
      <c r="I437" s="3">
        <v>91.941012999999998</v>
      </c>
      <c r="J437">
        <v>9.5</v>
      </c>
      <c r="K437">
        <v>9.32</v>
      </c>
      <c r="L437">
        <v>9.31</v>
      </c>
    </row>
    <row r="438" spans="1:12" x14ac:dyDescent="0.35">
      <c r="A438" s="2">
        <v>44825</v>
      </c>
      <c r="B438" s="3">
        <v>7.19</v>
      </c>
      <c r="C438" s="3">
        <v>73.59</v>
      </c>
      <c r="D438" s="3">
        <v>136.29</v>
      </c>
      <c r="E438" s="3">
        <v>17.77</v>
      </c>
      <c r="F438" s="3">
        <v>38.299999999999997</v>
      </c>
      <c r="G438" s="3">
        <v>98.907470000000004</v>
      </c>
      <c r="H438" s="3">
        <v>93.583162999999999</v>
      </c>
      <c r="I438" s="3">
        <v>91.963883999999993</v>
      </c>
      <c r="J438">
        <v>9.4849999999999994</v>
      </c>
      <c r="K438">
        <v>9.3000000000000007</v>
      </c>
      <c r="L438">
        <v>9.3049999999999997</v>
      </c>
    </row>
    <row r="439" spans="1:12" x14ac:dyDescent="0.35">
      <c r="A439" s="2">
        <v>44826</v>
      </c>
      <c r="B439" s="3">
        <v>7.05</v>
      </c>
      <c r="C439" s="3">
        <v>75.180000000000007</v>
      </c>
      <c r="D439" s="3">
        <v>134.26</v>
      </c>
      <c r="E439" s="3">
        <v>17.77</v>
      </c>
      <c r="F439" s="3">
        <v>36.54</v>
      </c>
      <c r="G439" s="3">
        <v>98.306340000000006</v>
      </c>
      <c r="H439" s="3">
        <v>92.984111999999996</v>
      </c>
      <c r="I439" s="3">
        <v>90.890037000000007</v>
      </c>
      <c r="J439">
        <v>9.57</v>
      </c>
      <c r="K439">
        <v>9.35</v>
      </c>
      <c r="L439">
        <v>9.3550000000000004</v>
      </c>
    </row>
    <row r="440" spans="1:12" x14ac:dyDescent="0.35">
      <c r="A440" s="2">
        <v>44827</v>
      </c>
      <c r="B440" s="3">
        <v>6.97</v>
      </c>
      <c r="C440" s="3">
        <v>72.39</v>
      </c>
      <c r="D440" s="3">
        <v>131.33000000000001</v>
      </c>
      <c r="E440" s="3">
        <v>17.670000000000002</v>
      </c>
      <c r="F440" s="3">
        <v>36.340000000000003</v>
      </c>
      <c r="G440" s="3">
        <v>98.091606999999996</v>
      </c>
      <c r="H440" s="3">
        <v>92.565072999999998</v>
      </c>
      <c r="I440" s="3">
        <v>90.382362000000001</v>
      </c>
      <c r="J440">
        <v>9.6300000000000008</v>
      </c>
      <c r="K440">
        <v>9.4700000000000006</v>
      </c>
      <c r="L440">
        <v>9.4600000000000009</v>
      </c>
    </row>
    <row r="441" spans="1:12" x14ac:dyDescent="0.35">
      <c r="A441" s="2">
        <v>44830</v>
      </c>
      <c r="B441" s="3">
        <v>6.78</v>
      </c>
      <c r="C441" s="3">
        <v>71.56</v>
      </c>
      <c r="D441" s="3">
        <v>130.47999999999999</v>
      </c>
      <c r="E441" s="3">
        <v>17.59</v>
      </c>
      <c r="F441" s="3">
        <v>35.04</v>
      </c>
      <c r="G441" s="3">
        <v>98.116658999999999</v>
      </c>
      <c r="H441" s="3">
        <v>92.533596000000003</v>
      </c>
      <c r="I441" s="3">
        <v>90.405445</v>
      </c>
      <c r="J441">
        <v>9.93</v>
      </c>
      <c r="K441">
        <v>9.6300000000000008</v>
      </c>
      <c r="L441">
        <v>9.65</v>
      </c>
    </row>
    <row r="442" spans="1:12" x14ac:dyDescent="0.35">
      <c r="A442" s="2">
        <v>44831</v>
      </c>
      <c r="B442" s="3">
        <v>6.74</v>
      </c>
      <c r="C442" s="3">
        <v>73.260000000000005</v>
      </c>
      <c r="D442" s="3">
        <v>129.43</v>
      </c>
      <c r="E442" s="3">
        <v>17.68</v>
      </c>
      <c r="F442" s="3">
        <v>35.92</v>
      </c>
      <c r="G442" s="3">
        <v>96.767037000000002</v>
      </c>
      <c r="H442" s="3">
        <v>90.709237000000002</v>
      </c>
      <c r="I442" s="3">
        <v>87.967022999999998</v>
      </c>
      <c r="J442">
        <v>9.9</v>
      </c>
      <c r="K442">
        <v>9.86</v>
      </c>
      <c r="L442">
        <v>9.85</v>
      </c>
    </row>
    <row r="443" spans="1:12" x14ac:dyDescent="0.35">
      <c r="A443" s="2">
        <v>44832</v>
      </c>
      <c r="B443" s="3">
        <v>6.85</v>
      </c>
      <c r="C443" s="3">
        <v>73.099999999999994</v>
      </c>
      <c r="D443" s="3">
        <v>132.15</v>
      </c>
      <c r="E443" s="3">
        <v>18.03</v>
      </c>
      <c r="F443" s="3">
        <v>36.01</v>
      </c>
      <c r="G443" s="3">
        <v>96.558080000000004</v>
      </c>
      <c r="H443" s="3">
        <v>90.786884999999998</v>
      </c>
      <c r="I443" s="3">
        <v>88.181214999999995</v>
      </c>
      <c r="J443">
        <v>9.74</v>
      </c>
      <c r="K443">
        <v>9.65</v>
      </c>
      <c r="L443">
        <v>9.65</v>
      </c>
    </row>
    <row r="444" spans="1:12" x14ac:dyDescent="0.35">
      <c r="A444" s="2">
        <v>44833</v>
      </c>
      <c r="B444" s="3">
        <v>6.87</v>
      </c>
      <c r="C444" s="3">
        <v>72.81</v>
      </c>
      <c r="D444" s="3">
        <v>128.66</v>
      </c>
      <c r="E444" s="3">
        <v>17.12</v>
      </c>
      <c r="F444" s="3">
        <v>35.28</v>
      </c>
      <c r="G444" s="3">
        <v>96.634691000000004</v>
      </c>
      <c r="H444" s="3">
        <v>90.858918000000003</v>
      </c>
      <c r="I444" s="3">
        <v>88.251249999999999</v>
      </c>
      <c r="J444">
        <v>9.7899999999999991</v>
      </c>
      <c r="K444">
        <v>9.6999999999999993</v>
      </c>
      <c r="L444">
        <v>9.6999999999999993</v>
      </c>
    </row>
    <row r="445" spans="1:12" x14ac:dyDescent="0.35">
      <c r="A445" s="2">
        <v>44834</v>
      </c>
      <c r="B445" s="3">
        <v>6.94</v>
      </c>
      <c r="C445" s="3">
        <v>70.97</v>
      </c>
      <c r="D445" s="3">
        <v>129.32</v>
      </c>
      <c r="E445" s="3">
        <v>16.63</v>
      </c>
      <c r="F445" s="3">
        <v>36.29</v>
      </c>
      <c r="G445" s="3">
        <v>97.082243000000005</v>
      </c>
      <c r="H445" s="3">
        <v>91.367251999999993</v>
      </c>
      <c r="I445" s="3">
        <v>88.914732000000001</v>
      </c>
      <c r="J445">
        <v>9.7799999999999994</v>
      </c>
      <c r="K445">
        <v>9.65</v>
      </c>
      <c r="L445">
        <v>9.65</v>
      </c>
    </row>
    <row r="446" spans="1:12" x14ac:dyDescent="0.35">
      <c r="A446" s="2">
        <v>44837</v>
      </c>
      <c r="B446" s="3">
        <v>7</v>
      </c>
      <c r="C446" s="3">
        <v>71.62</v>
      </c>
      <c r="D446" s="3">
        <v>131.5</v>
      </c>
      <c r="E446" s="3">
        <v>16.920000000000002</v>
      </c>
      <c r="F446" s="3">
        <v>36.270000000000003</v>
      </c>
      <c r="G446" s="3">
        <v>97.626570999999998</v>
      </c>
      <c r="H446" s="3">
        <v>92.042169999999999</v>
      </c>
      <c r="I446" s="3">
        <v>89.71481</v>
      </c>
      <c r="J446">
        <v>9.67</v>
      </c>
      <c r="K446">
        <v>9.5399999999999991</v>
      </c>
      <c r="L446">
        <v>9.5500000000000007</v>
      </c>
    </row>
    <row r="447" spans="1:12" x14ac:dyDescent="0.35">
      <c r="A447" s="2">
        <v>44838</v>
      </c>
      <c r="B447" s="3">
        <v>7.46</v>
      </c>
      <c r="C447" s="3">
        <v>71.44</v>
      </c>
      <c r="D447" s="3">
        <v>132.41999999999999</v>
      </c>
      <c r="E447" s="3">
        <v>17</v>
      </c>
      <c r="F447" s="3">
        <v>36.450000000000003</v>
      </c>
      <c r="G447" s="3">
        <v>98.078975</v>
      </c>
      <c r="H447" s="3">
        <v>92.448507000000006</v>
      </c>
      <c r="I447" s="3">
        <v>90.195543000000001</v>
      </c>
      <c r="J447">
        <v>9.67</v>
      </c>
      <c r="K447">
        <v>9.5299999999999994</v>
      </c>
      <c r="L447">
        <v>9.5299999999999994</v>
      </c>
    </row>
    <row r="448" spans="1:12" x14ac:dyDescent="0.35">
      <c r="A448" s="2">
        <v>44839</v>
      </c>
      <c r="B448" s="3">
        <v>7.3</v>
      </c>
      <c r="C448" s="3">
        <v>71.81</v>
      </c>
      <c r="D448" s="3">
        <v>133.34</v>
      </c>
      <c r="E448" s="3">
        <v>16.600000000000001</v>
      </c>
      <c r="F448" s="3">
        <v>36.75</v>
      </c>
      <c r="G448" s="3">
        <v>97.771844999999999</v>
      </c>
      <c r="H448" s="3">
        <v>92.144329999999997</v>
      </c>
      <c r="I448" s="3">
        <v>89.761259999999993</v>
      </c>
      <c r="J448">
        <v>9.69</v>
      </c>
      <c r="K448">
        <v>9.61</v>
      </c>
      <c r="L448">
        <v>9.61</v>
      </c>
    </row>
    <row r="449" spans="1:12" x14ac:dyDescent="0.35">
      <c r="A449" s="2">
        <v>44840</v>
      </c>
      <c r="B449" s="3">
        <v>7.31</v>
      </c>
      <c r="C449" s="3">
        <v>71.239999999999995</v>
      </c>
      <c r="D449" s="3">
        <v>138.53</v>
      </c>
      <c r="E449" s="3">
        <v>16.53</v>
      </c>
      <c r="F449" s="3">
        <v>36.81</v>
      </c>
      <c r="G449" s="3">
        <v>97.611446000000001</v>
      </c>
      <c r="H449" s="3">
        <v>91.943883</v>
      </c>
      <c r="I449" s="3">
        <v>89.441601000000006</v>
      </c>
      <c r="J449">
        <v>9.7100000000000009</v>
      </c>
      <c r="K449">
        <v>9.61</v>
      </c>
      <c r="L449">
        <v>9.61</v>
      </c>
    </row>
    <row r="450" spans="1:12" x14ac:dyDescent="0.35">
      <c r="A450" s="2">
        <v>44841</v>
      </c>
      <c r="B450" s="3">
        <v>7.12</v>
      </c>
      <c r="C450" s="3">
        <v>72.47</v>
      </c>
      <c r="D450" s="3">
        <v>140.80000000000001</v>
      </c>
      <c r="E450" s="3">
        <v>16.41</v>
      </c>
      <c r="F450" s="3">
        <v>36.22</v>
      </c>
      <c r="G450" s="3">
        <v>97.448393999999993</v>
      </c>
      <c r="H450" s="3">
        <v>91.642912999999993</v>
      </c>
      <c r="I450" s="3">
        <v>89.013682000000003</v>
      </c>
      <c r="J450">
        <v>9.7850000000000001</v>
      </c>
      <c r="K450">
        <v>9.66</v>
      </c>
      <c r="L450">
        <v>9.67</v>
      </c>
    </row>
    <row r="451" spans="1:12" x14ac:dyDescent="0.35">
      <c r="A451" s="2">
        <v>44844</v>
      </c>
      <c r="B451" s="3">
        <v>6.91</v>
      </c>
      <c r="C451" s="3">
        <v>70.569999999999993</v>
      </c>
      <c r="D451" s="3">
        <v>140.83000000000001</v>
      </c>
      <c r="E451" s="3">
        <v>16.53</v>
      </c>
      <c r="F451" s="3">
        <v>35.07</v>
      </c>
      <c r="G451" s="3">
        <v>97.332858999999999</v>
      </c>
      <c r="H451" s="3">
        <v>91.558948000000001</v>
      </c>
      <c r="I451" s="3">
        <v>88.972841000000003</v>
      </c>
      <c r="J451">
        <v>9.9</v>
      </c>
      <c r="K451">
        <v>9.76</v>
      </c>
      <c r="L451">
        <v>9.7650000000000006</v>
      </c>
    </row>
    <row r="452" spans="1:12" x14ac:dyDescent="0.35">
      <c r="A452" s="2">
        <v>44845</v>
      </c>
      <c r="B452" s="3">
        <v>6.82</v>
      </c>
      <c r="C452" s="3">
        <v>71.98</v>
      </c>
      <c r="D452" s="3">
        <v>143.87</v>
      </c>
      <c r="E452" s="3">
        <v>16.79</v>
      </c>
      <c r="F452" s="3">
        <v>35.61</v>
      </c>
      <c r="G452" s="3">
        <v>96.937154000000007</v>
      </c>
      <c r="H452" s="3">
        <v>91.099439000000004</v>
      </c>
      <c r="I452" s="3">
        <v>88.612486000000004</v>
      </c>
      <c r="J452">
        <v>9.91</v>
      </c>
      <c r="K452">
        <v>9.77</v>
      </c>
      <c r="L452">
        <v>9.77</v>
      </c>
    </row>
    <row r="453" spans="1:12" x14ac:dyDescent="0.35">
      <c r="A453" s="2">
        <v>44846</v>
      </c>
      <c r="B453" s="3">
        <v>6.85</v>
      </c>
      <c r="C453" s="3">
        <v>71</v>
      </c>
      <c r="D453" s="3">
        <v>145.03</v>
      </c>
      <c r="E453" s="3">
        <v>16.399999999999999</v>
      </c>
      <c r="F453" s="3">
        <v>35.200000000000003</v>
      </c>
      <c r="G453" s="3">
        <v>97.196387999999999</v>
      </c>
      <c r="H453" s="3">
        <v>91.391666000000001</v>
      </c>
      <c r="I453" s="3">
        <v>88.763521999999995</v>
      </c>
      <c r="J453">
        <v>9.85</v>
      </c>
      <c r="K453">
        <v>9.74</v>
      </c>
      <c r="L453">
        <v>9.77</v>
      </c>
    </row>
    <row r="454" spans="1:12" x14ac:dyDescent="0.35">
      <c r="A454" s="2">
        <v>44847</v>
      </c>
      <c r="B454" s="3">
        <v>6.75</v>
      </c>
      <c r="C454" s="3">
        <v>70.72</v>
      </c>
      <c r="D454" s="3">
        <v>146.77000000000001</v>
      </c>
      <c r="E454" s="3">
        <v>16.52</v>
      </c>
      <c r="F454" s="3">
        <v>35.590000000000003</v>
      </c>
      <c r="G454" s="3">
        <v>97.039614</v>
      </c>
      <c r="H454" s="3">
        <v>91.035534999999996</v>
      </c>
      <c r="I454" s="3">
        <v>88.451747999999995</v>
      </c>
      <c r="J454">
        <v>9.9149999999999991</v>
      </c>
      <c r="K454">
        <v>9.81</v>
      </c>
      <c r="L454">
        <v>9.82</v>
      </c>
    </row>
    <row r="455" spans="1:12" x14ac:dyDescent="0.35">
      <c r="A455" s="2">
        <v>44848</v>
      </c>
      <c r="B455" s="3">
        <v>6.52</v>
      </c>
      <c r="C455" s="3">
        <v>70.069999999999993</v>
      </c>
      <c r="D455" s="3">
        <v>147.59</v>
      </c>
      <c r="E455" s="3">
        <v>16.27</v>
      </c>
      <c r="F455" s="3">
        <v>35.82</v>
      </c>
      <c r="G455" s="3">
        <v>96.739766000000003</v>
      </c>
      <c r="H455" s="3">
        <v>90.846581</v>
      </c>
      <c r="I455" s="3">
        <v>88.221868000000001</v>
      </c>
      <c r="J455">
        <v>9.98</v>
      </c>
      <c r="K455">
        <v>9.86</v>
      </c>
      <c r="L455">
        <v>9.8699999999999992</v>
      </c>
    </row>
    <row r="456" spans="1:12" x14ac:dyDescent="0.35">
      <c r="A456" s="2">
        <v>44851</v>
      </c>
      <c r="B456" s="3">
        <v>6.91</v>
      </c>
      <c r="C456" s="3">
        <v>73.180000000000007</v>
      </c>
      <c r="D456" s="3">
        <v>153.26</v>
      </c>
      <c r="E456" s="3">
        <v>16.62</v>
      </c>
      <c r="F456" s="3">
        <v>36.31</v>
      </c>
      <c r="G456" s="3">
        <v>96.997771999999998</v>
      </c>
      <c r="H456" s="3">
        <v>91.190606000000002</v>
      </c>
      <c r="I456" s="3">
        <v>88.689330999999996</v>
      </c>
      <c r="J456">
        <v>9.9700000000000006</v>
      </c>
      <c r="K456">
        <v>9.83</v>
      </c>
      <c r="L456">
        <v>9.83</v>
      </c>
    </row>
    <row r="457" spans="1:12" x14ac:dyDescent="0.35">
      <c r="A457" s="2">
        <v>44852</v>
      </c>
      <c r="B457" s="3">
        <v>6.99</v>
      </c>
      <c r="C457" s="3">
        <v>71.739999999999995</v>
      </c>
      <c r="D457" s="3">
        <v>151.62</v>
      </c>
      <c r="E457" s="3">
        <v>16.38</v>
      </c>
      <c r="F457" s="3">
        <v>37.57</v>
      </c>
      <c r="G457" s="3">
        <v>96.930474000000004</v>
      </c>
      <c r="H457" s="3">
        <v>91.054665</v>
      </c>
      <c r="I457" s="3">
        <v>88.395366999999993</v>
      </c>
      <c r="J457">
        <v>9.98</v>
      </c>
      <c r="K457">
        <v>9.85</v>
      </c>
      <c r="L457">
        <v>9.85</v>
      </c>
    </row>
    <row r="458" spans="1:12" x14ac:dyDescent="0.35">
      <c r="A458" s="2">
        <v>44853</v>
      </c>
      <c r="B458" s="3">
        <v>6.8</v>
      </c>
      <c r="C458" s="3">
        <v>70.14</v>
      </c>
      <c r="D458" s="3">
        <v>150.59</v>
      </c>
      <c r="E458" s="3">
        <v>16.940000000000001</v>
      </c>
      <c r="F458" s="3">
        <v>37.54</v>
      </c>
      <c r="G458" s="3">
        <v>96.447067000000004</v>
      </c>
      <c r="H458" s="3">
        <v>90.548053999999993</v>
      </c>
      <c r="I458" s="3">
        <v>87.726290000000006</v>
      </c>
      <c r="J458">
        <v>10.050000000000001</v>
      </c>
      <c r="K458">
        <v>9.9</v>
      </c>
      <c r="L458">
        <v>9.9</v>
      </c>
    </row>
    <row r="459" spans="1:12" x14ac:dyDescent="0.35">
      <c r="A459" s="2">
        <v>44854</v>
      </c>
      <c r="B459" s="3">
        <v>6.79</v>
      </c>
      <c r="C459" s="3">
        <v>70.72</v>
      </c>
      <c r="D459" s="3">
        <v>152.13999999999999</v>
      </c>
      <c r="E459" s="3">
        <v>16.78</v>
      </c>
      <c r="F459" s="3">
        <v>36.49</v>
      </c>
      <c r="G459" s="3">
        <v>96.663045999999994</v>
      </c>
      <c r="H459" s="3">
        <v>90.779615000000007</v>
      </c>
      <c r="I459" s="3">
        <v>88.047876000000002</v>
      </c>
      <c r="J459">
        <v>10.08</v>
      </c>
      <c r="K459">
        <v>9.9499999999999993</v>
      </c>
      <c r="L459">
        <v>9.9499999999999993</v>
      </c>
    </row>
    <row r="460" spans="1:12" x14ac:dyDescent="0.35">
      <c r="A460" s="2">
        <v>44855</v>
      </c>
      <c r="B460" s="3">
        <v>7.01</v>
      </c>
      <c r="C460" s="3">
        <v>72.14</v>
      </c>
      <c r="D460" s="3">
        <v>156.30000000000001</v>
      </c>
      <c r="E460" s="3">
        <v>17.059999999999999</v>
      </c>
      <c r="F460" s="3">
        <v>36.56</v>
      </c>
      <c r="G460" s="3">
        <v>96.091265000000007</v>
      </c>
      <c r="H460" s="3">
        <v>90.118934999999993</v>
      </c>
      <c r="I460" s="3">
        <v>87.259922000000003</v>
      </c>
      <c r="J460">
        <v>10.01</v>
      </c>
      <c r="K460">
        <v>9.94</v>
      </c>
      <c r="L460">
        <v>9.93</v>
      </c>
    </row>
    <row r="461" spans="1:12" x14ac:dyDescent="0.35">
      <c r="A461" s="2">
        <v>44858</v>
      </c>
      <c r="B461" s="3">
        <v>7.06</v>
      </c>
      <c r="C461" s="3">
        <v>73.13</v>
      </c>
      <c r="D461" s="3">
        <v>161.13999999999999</v>
      </c>
      <c r="E461" s="3">
        <v>17.59</v>
      </c>
      <c r="F461" s="3">
        <v>36.72</v>
      </c>
      <c r="G461" s="3">
        <v>96.576429000000005</v>
      </c>
      <c r="H461" s="3">
        <v>90.616702000000004</v>
      </c>
      <c r="I461" s="3">
        <v>87.906795000000002</v>
      </c>
      <c r="J461">
        <v>10.06</v>
      </c>
      <c r="K461">
        <v>9.9499999999999993</v>
      </c>
      <c r="L461">
        <v>9.9499999999999993</v>
      </c>
    </row>
    <row r="462" spans="1:12" x14ac:dyDescent="0.35">
      <c r="A462" s="2">
        <v>44859</v>
      </c>
      <c r="B462" s="3">
        <v>7.29</v>
      </c>
      <c r="C462" s="3">
        <v>75.16</v>
      </c>
      <c r="D462" s="3">
        <v>165.02</v>
      </c>
      <c r="E462" s="3">
        <v>17.850000000000001</v>
      </c>
      <c r="F462" s="3">
        <v>37.22</v>
      </c>
      <c r="G462" s="3">
        <v>96.832905999999994</v>
      </c>
      <c r="H462" s="3">
        <v>90.958389999999994</v>
      </c>
      <c r="I462" s="3">
        <v>88.181432000000001</v>
      </c>
      <c r="J462">
        <v>9.9499999999999993</v>
      </c>
      <c r="K462">
        <v>9.86</v>
      </c>
      <c r="L462">
        <v>9.86</v>
      </c>
    </row>
    <row r="463" spans="1:12" x14ac:dyDescent="0.35">
      <c r="A463" s="2">
        <v>44860</v>
      </c>
      <c r="B463" s="3">
        <v>7.43</v>
      </c>
      <c r="C463" s="3">
        <v>74.72</v>
      </c>
      <c r="D463" s="3">
        <v>159.81</v>
      </c>
      <c r="E463" s="3">
        <v>18.43</v>
      </c>
      <c r="F463" s="3">
        <v>37.799999999999997</v>
      </c>
      <c r="G463" s="3">
        <v>97.321939999999998</v>
      </c>
      <c r="H463" s="3">
        <v>91.461416</v>
      </c>
      <c r="I463" s="3">
        <v>88.710121000000001</v>
      </c>
      <c r="J463">
        <v>9.86</v>
      </c>
      <c r="K463">
        <v>9.7799999999999994</v>
      </c>
      <c r="L463">
        <v>9.7799999999999994</v>
      </c>
    </row>
    <row r="464" spans="1:12" x14ac:dyDescent="0.35">
      <c r="A464" s="2">
        <v>44861</v>
      </c>
      <c r="B464" s="3">
        <v>7.03</v>
      </c>
      <c r="C464" s="3">
        <v>74.510000000000005</v>
      </c>
      <c r="D464" s="3">
        <v>156.31</v>
      </c>
      <c r="E464" s="3">
        <v>18.36</v>
      </c>
      <c r="F464" s="3">
        <v>38.21</v>
      </c>
      <c r="G464" s="3">
        <v>97.213614000000007</v>
      </c>
      <c r="H464" s="3">
        <v>91.427363</v>
      </c>
      <c r="I464" s="3">
        <v>88.654092000000006</v>
      </c>
      <c r="J464">
        <v>9.7899999999999991</v>
      </c>
      <c r="K464">
        <v>9.7200000000000006</v>
      </c>
      <c r="L464">
        <v>9.7200000000000006</v>
      </c>
    </row>
    <row r="465" spans="1:12" x14ac:dyDescent="0.35">
      <c r="A465" s="2">
        <v>44862</v>
      </c>
      <c r="B465" s="3">
        <v>7.44</v>
      </c>
      <c r="C465" s="3">
        <v>76.319999999999993</v>
      </c>
      <c r="D465" s="3">
        <v>157.58000000000001</v>
      </c>
      <c r="E465" s="3">
        <v>18.43</v>
      </c>
      <c r="F465" s="3">
        <v>36.96</v>
      </c>
      <c r="G465" s="3">
        <v>97.703793000000005</v>
      </c>
      <c r="H465" s="3">
        <v>91.932601000000005</v>
      </c>
      <c r="I465" s="3">
        <v>89.121921999999998</v>
      </c>
      <c r="J465">
        <v>9.7899999999999991</v>
      </c>
      <c r="K465">
        <v>9.75</v>
      </c>
      <c r="L465">
        <v>9.75</v>
      </c>
    </row>
    <row r="466" spans="1:12" x14ac:dyDescent="0.35">
      <c r="A466" s="2">
        <v>44865</v>
      </c>
      <c r="B466" s="3">
        <v>7.7</v>
      </c>
      <c r="C466" s="3">
        <v>76.709999999999994</v>
      </c>
      <c r="D466" s="3">
        <v>161.05000000000001</v>
      </c>
      <c r="E466" s="3">
        <v>18.75</v>
      </c>
      <c r="F466" s="3">
        <v>37.99</v>
      </c>
      <c r="G466" s="3">
        <v>97.337260000000001</v>
      </c>
      <c r="H466" s="3">
        <v>91.553308000000001</v>
      </c>
      <c r="I466" s="3">
        <v>88.661587999999995</v>
      </c>
      <c r="J466">
        <v>9.8800000000000008</v>
      </c>
      <c r="K466">
        <v>9.84</v>
      </c>
      <c r="L466">
        <v>9.86</v>
      </c>
    </row>
    <row r="467" spans="1:12" x14ac:dyDescent="0.35">
      <c r="A467" s="2">
        <v>44866</v>
      </c>
      <c r="B467" s="3">
        <v>7.8</v>
      </c>
      <c r="C467" s="3">
        <v>81.400000000000006</v>
      </c>
      <c r="D467" s="3">
        <v>163.47999999999999</v>
      </c>
      <c r="E467" s="3">
        <v>18.93</v>
      </c>
      <c r="F467" s="3">
        <v>38.11</v>
      </c>
      <c r="G467" s="3">
        <v>97.363048000000006</v>
      </c>
      <c r="H467" s="3">
        <v>91.471081999999996</v>
      </c>
      <c r="I467" s="3">
        <v>88.685171999999994</v>
      </c>
      <c r="J467">
        <v>9.85</v>
      </c>
      <c r="K467">
        <v>9.81</v>
      </c>
      <c r="L467">
        <v>9.82</v>
      </c>
    </row>
    <row r="468" spans="1:12" x14ac:dyDescent="0.35">
      <c r="A468" s="2">
        <v>44868</v>
      </c>
      <c r="B468" s="3">
        <v>7.43</v>
      </c>
      <c r="C468" s="3">
        <v>79.680000000000007</v>
      </c>
      <c r="D468" s="3">
        <v>163.38</v>
      </c>
      <c r="E468" s="3">
        <v>19.010000000000002</v>
      </c>
      <c r="F468" s="3">
        <v>37.06</v>
      </c>
      <c r="G468" s="3">
        <v>97.071430000000007</v>
      </c>
      <c r="H468" s="3">
        <v>91.119943000000006</v>
      </c>
      <c r="I468" s="3">
        <v>88.252911999999995</v>
      </c>
      <c r="J468">
        <v>9.8800000000000008</v>
      </c>
      <c r="K468">
        <v>9.84</v>
      </c>
      <c r="L468">
        <v>9.86</v>
      </c>
    </row>
    <row r="469" spans="1:12" x14ac:dyDescent="0.35">
      <c r="A469" s="2">
        <v>44869</v>
      </c>
      <c r="B469" s="3">
        <v>7.89</v>
      </c>
      <c r="C469" s="3">
        <v>81.540000000000006</v>
      </c>
      <c r="D469" s="3">
        <v>166.33</v>
      </c>
      <c r="E469" s="3">
        <v>19.489999999999998</v>
      </c>
      <c r="F469" s="3">
        <v>38.22</v>
      </c>
      <c r="G469" s="3">
        <v>97.605086</v>
      </c>
      <c r="H469" s="3">
        <v>91.727778999999998</v>
      </c>
      <c r="I469" s="3">
        <v>88.969249000000005</v>
      </c>
      <c r="J469">
        <v>9.83</v>
      </c>
      <c r="K469">
        <v>9.7899999999999991</v>
      </c>
      <c r="L469">
        <v>9.81</v>
      </c>
    </row>
    <row r="470" spans="1:12" x14ac:dyDescent="0.35">
      <c r="A470" s="2">
        <v>44872</v>
      </c>
      <c r="B470" s="3">
        <v>7.9</v>
      </c>
      <c r="C470" s="3">
        <v>80.819999999999993</v>
      </c>
      <c r="D470" s="3">
        <v>160.31</v>
      </c>
      <c r="E470" s="3">
        <v>19.559999999999999</v>
      </c>
      <c r="F470" s="3">
        <v>38.25</v>
      </c>
      <c r="G470" s="3">
        <v>97.723528999999999</v>
      </c>
      <c r="H470" s="3">
        <v>91.858637000000002</v>
      </c>
      <c r="I470" s="3">
        <v>89.119605000000007</v>
      </c>
      <c r="J470">
        <v>9.83</v>
      </c>
      <c r="K470">
        <v>9.82</v>
      </c>
      <c r="L470">
        <v>9.83</v>
      </c>
    </row>
    <row r="471" spans="1:12" x14ac:dyDescent="0.35">
      <c r="A471" s="2">
        <v>44873</v>
      </c>
      <c r="B471" s="3">
        <v>8.0500000000000007</v>
      </c>
      <c r="C471" s="3">
        <v>81.84</v>
      </c>
      <c r="D471" s="3">
        <v>156.19999999999999</v>
      </c>
      <c r="E471" s="3">
        <v>19.64</v>
      </c>
      <c r="F471" s="3">
        <v>38.770000000000003</v>
      </c>
      <c r="G471" s="3">
        <v>97.749290000000002</v>
      </c>
      <c r="H471" s="3">
        <v>91.882875999999996</v>
      </c>
      <c r="I471" s="3">
        <v>89.143191999999999</v>
      </c>
      <c r="J471">
        <v>9.7200000000000006</v>
      </c>
      <c r="K471">
        <v>9.73</v>
      </c>
      <c r="L471">
        <v>9.75</v>
      </c>
    </row>
    <row r="472" spans="1:12" x14ac:dyDescent="0.35">
      <c r="A472" s="2">
        <v>44874</v>
      </c>
      <c r="B472" s="3">
        <v>7.94</v>
      </c>
      <c r="C472" s="3">
        <v>81.41</v>
      </c>
      <c r="D472" s="3">
        <v>152.94</v>
      </c>
      <c r="E472" s="3">
        <v>19.78</v>
      </c>
      <c r="F472" s="3">
        <v>38.700000000000003</v>
      </c>
      <c r="G472" s="3">
        <v>98.146641000000002</v>
      </c>
      <c r="H472" s="3">
        <v>92.335036000000002</v>
      </c>
      <c r="I472" s="3">
        <v>89.484753999999995</v>
      </c>
      <c r="J472">
        <v>9.61</v>
      </c>
      <c r="K472">
        <v>9.6</v>
      </c>
      <c r="L472">
        <v>9.61</v>
      </c>
    </row>
    <row r="473" spans="1:12" x14ac:dyDescent="0.35">
      <c r="A473" s="2">
        <v>44875</v>
      </c>
      <c r="B473" s="3">
        <v>8.49</v>
      </c>
      <c r="C473" s="3">
        <v>82.73</v>
      </c>
      <c r="D473" s="3">
        <v>154.22</v>
      </c>
      <c r="E473" s="3">
        <v>19.38</v>
      </c>
      <c r="F473" s="3">
        <v>38.42</v>
      </c>
      <c r="G473" s="3">
        <v>99.395795000000007</v>
      </c>
      <c r="H473" s="3">
        <v>93.761317000000005</v>
      </c>
      <c r="I473" s="3">
        <v>91.169296000000003</v>
      </c>
      <c r="J473">
        <v>9.4320000000000004</v>
      </c>
      <c r="K473">
        <v>9.2100000000000009</v>
      </c>
      <c r="L473">
        <v>9.27</v>
      </c>
    </row>
    <row r="474" spans="1:12" x14ac:dyDescent="0.35">
      <c r="A474" s="2">
        <v>44876</v>
      </c>
      <c r="B474" s="3">
        <v>8.98</v>
      </c>
      <c r="C474" s="3">
        <v>83.2</v>
      </c>
      <c r="D474" s="3">
        <v>151.54</v>
      </c>
      <c r="E474" s="3">
        <v>19.66</v>
      </c>
      <c r="F474" s="3">
        <v>39.08</v>
      </c>
      <c r="G474" s="3">
        <v>100.803449</v>
      </c>
      <c r="H474" s="3">
        <v>95.221130000000002</v>
      </c>
      <c r="I474" s="3">
        <v>93.049555999999995</v>
      </c>
      <c r="J474">
        <v>9.15</v>
      </c>
      <c r="K474">
        <v>9.15</v>
      </c>
      <c r="L474">
        <v>9.19</v>
      </c>
    </row>
    <row r="475" spans="1:12" x14ac:dyDescent="0.35">
      <c r="A475" s="2">
        <v>44879</v>
      </c>
      <c r="B475" s="3">
        <v>8.75</v>
      </c>
      <c r="C475" s="3">
        <v>85.45</v>
      </c>
      <c r="D475" s="3">
        <v>150.44</v>
      </c>
      <c r="E475" s="3">
        <v>19.68</v>
      </c>
      <c r="F475" s="3">
        <v>38.369999999999997</v>
      </c>
      <c r="G475" s="3">
        <v>100.876463</v>
      </c>
      <c r="H475" s="3">
        <v>95.300566000000003</v>
      </c>
      <c r="I475" s="3">
        <v>93.072753000000006</v>
      </c>
      <c r="J475">
        <v>9.2100000000000009</v>
      </c>
      <c r="K475">
        <v>9.19</v>
      </c>
      <c r="L475">
        <v>9.2200000000000006</v>
      </c>
    </row>
    <row r="476" spans="1:12" x14ac:dyDescent="0.35">
      <c r="A476" s="2">
        <v>44880</v>
      </c>
      <c r="B476" s="3">
        <v>8.74</v>
      </c>
      <c r="C476" s="3">
        <v>85.42</v>
      </c>
      <c r="D476" s="3">
        <v>152.94</v>
      </c>
      <c r="E476" s="3">
        <v>19.43</v>
      </c>
      <c r="F476" s="3">
        <v>38.409999999999997</v>
      </c>
      <c r="G476" s="3">
        <v>100.853286</v>
      </c>
      <c r="H476" s="3">
        <v>95.324196999999998</v>
      </c>
      <c r="I476" s="3">
        <v>93.298029</v>
      </c>
      <c r="J476">
        <v>9.16</v>
      </c>
      <c r="K476">
        <v>9.1300000000000008</v>
      </c>
      <c r="L476">
        <v>9.16</v>
      </c>
    </row>
    <row r="477" spans="1:12" x14ac:dyDescent="0.35">
      <c r="A477" s="2">
        <v>44881</v>
      </c>
      <c r="B477" s="3">
        <v>8.89</v>
      </c>
      <c r="C477" s="3">
        <v>85.88</v>
      </c>
      <c r="D477" s="3">
        <v>150.72</v>
      </c>
      <c r="E477" s="3">
        <v>19.170000000000002</v>
      </c>
      <c r="F477" s="3">
        <v>38.44</v>
      </c>
      <c r="G477" s="3">
        <v>101.11885700000001</v>
      </c>
      <c r="H477" s="3">
        <v>95.571376000000001</v>
      </c>
      <c r="I477" s="3">
        <v>93.591583</v>
      </c>
      <c r="J477">
        <v>9.14</v>
      </c>
      <c r="K477">
        <v>9.08</v>
      </c>
      <c r="L477">
        <v>9.11</v>
      </c>
    </row>
    <row r="478" spans="1:12" x14ac:dyDescent="0.35">
      <c r="A478" s="2">
        <v>44882</v>
      </c>
      <c r="B478" s="3">
        <v>8.7899999999999991</v>
      </c>
      <c r="C478" s="3">
        <v>85.67</v>
      </c>
      <c r="D478" s="3">
        <v>149.16999999999999</v>
      </c>
      <c r="E478" s="3">
        <v>19.45</v>
      </c>
      <c r="F478" s="3">
        <v>39.229999999999997</v>
      </c>
      <c r="G478" s="3">
        <v>100.834137</v>
      </c>
      <c r="H478" s="3">
        <v>95.331023000000002</v>
      </c>
      <c r="I478" s="3">
        <v>93.279302000000001</v>
      </c>
      <c r="J478">
        <v>9.3000000000000007</v>
      </c>
      <c r="K478">
        <v>9.25</v>
      </c>
      <c r="L478">
        <v>9.25</v>
      </c>
    </row>
    <row r="479" spans="1:12" x14ac:dyDescent="0.35">
      <c r="A479" s="2">
        <v>44883</v>
      </c>
      <c r="B479" s="3">
        <v>8.76</v>
      </c>
      <c r="C479" s="3">
        <v>87.56</v>
      </c>
      <c r="D479" s="3">
        <v>152.84</v>
      </c>
      <c r="E479" s="3">
        <v>19.46</v>
      </c>
      <c r="F479" s="3">
        <v>39.97</v>
      </c>
      <c r="G479" s="3">
        <v>100.429338</v>
      </c>
      <c r="H479" s="3">
        <v>94.910865999999999</v>
      </c>
      <c r="I479" s="3">
        <v>92.699826999999999</v>
      </c>
      <c r="J479">
        <v>9.33</v>
      </c>
      <c r="K479">
        <v>9.2949999999999999</v>
      </c>
      <c r="L479">
        <v>9.2850000000000001</v>
      </c>
    </row>
    <row r="480" spans="1:12" x14ac:dyDescent="0.35">
      <c r="A480" s="2">
        <v>44887</v>
      </c>
      <c r="B480" s="3">
        <v>8.7100000000000009</v>
      </c>
      <c r="C480" s="3">
        <v>85.27</v>
      </c>
      <c r="D480" s="3">
        <v>152.41</v>
      </c>
      <c r="E480" s="3">
        <v>19.98</v>
      </c>
      <c r="F480" s="3">
        <v>41.03</v>
      </c>
      <c r="G480" s="3">
        <v>100.50210300000001</v>
      </c>
      <c r="H480" s="3">
        <v>95.045332000000002</v>
      </c>
      <c r="I480" s="3">
        <v>92.923394000000002</v>
      </c>
      <c r="J480">
        <v>9.24</v>
      </c>
      <c r="K480">
        <v>9.16</v>
      </c>
      <c r="L480">
        <v>9.15</v>
      </c>
    </row>
    <row r="481" spans="1:12" x14ac:dyDescent="0.35">
      <c r="A481" s="2">
        <v>44888</v>
      </c>
      <c r="B481" s="3">
        <v>8.93</v>
      </c>
      <c r="C481" s="3">
        <v>86.9</v>
      </c>
      <c r="D481" s="3">
        <v>153.94999999999999</v>
      </c>
      <c r="E481" s="3">
        <v>19.78</v>
      </c>
      <c r="F481" s="3">
        <v>40.5</v>
      </c>
      <c r="G481" s="3">
        <v>101.148836</v>
      </c>
      <c r="H481" s="3">
        <v>95.848545999999999</v>
      </c>
      <c r="I481" s="3">
        <v>93.821513999999993</v>
      </c>
      <c r="J481">
        <v>9.2200000000000006</v>
      </c>
      <c r="K481">
        <v>9.14</v>
      </c>
      <c r="L481">
        <v>9.14</v>
      </c>
    </row>
    <row r="482" spans="1:12" x14ac:dyDescent="0.35">
      <c r="A482" s="2">
        <v>44889</v>
      </c>
      <c r="B482" s="3">
        <v>8.9700000000000006</v>
      </c>
      <c r="C482" s="3">
        <v>87.26</v>
      </c>
      <c r="D482" s="3">
        <v>153.49</v>
      </c>
      <c r="E482" s="3">
        <v>19.920000000000002</v>
      </c>
      <c r="F482" s="3">
        <v>40.39</v>
      </c>
      <c r="G482" s="3">
        <v>101.271674</v>
      </c>
      <c r="H482" s="3">
        <v>95.863484</v>
      </c>
      <c r="I482" s="3">
        <v>93.891099999999994</v>
      </c>
      <c r="J482">
        <v>9.2200000000000006</v>
      </c>
      <c r="K482">
        <v>9.1</v>
      </c>
      <c r="L482">
        <v>9.09</v>
      </c>
    </row>
    <row r="483" spans="1:12" x14ac:dyDescent="0.35">
      <c r="A483" s="2">
        <v>44890</v>
      </c>
      <c r="B483" s="3">
        <v>8.75</v>
      </c>
      <c r="C483" s="3">
        <v>86.45</v>
      </c>
      <c r="D483" s="3">
        <v>156.54</v>
      </c>
      <c r="E483" s="3">
        <v>19.77</v>
      </c>
      <c r="F483" s="3">
        <v>40.51</v>
      </c>
      <c r="G483" s="3">
        <v>101.200727</v>
      </c>
      <c r="H483" s="3">
        <v>95.887127000000007</v>
      </c>
      <c r="I483" s="3">
        <v>93.914306999999994</v>
      </c>
      <c r="J483">
        <v>9.25</v>
      </c>
      <c r="K483">
        <v>9.14</v>
      </c>
      <c r="L483">
        <v>9.1300000000000008</v>
      </c>
    </row>
    <row r="484" spans="1:12" x14ac:dyDescent="0.35">
      <c r="A484" s="2">
        <v>44893</v>
      </c>
      <c r="B484" s="3">
        <v>8.6</v>
      </c>
      <c r="C484" s="3">
        <v>84.11</v>
      </c>
      <c r="D484" s="3">
        <v>153.22</v>
      </c>
      <c r="E484" s="3">
        <v>19.28</v>
      </c>
      <c r="F484" s="3">
        <v>39.58</v>
      </c>
      <c r="G484" s="3">
        <v>100.843433</v>
      </c>
      <c r="H484" s="3">
        <v>95.465148999999997</v>
      </c>
      <c r="I484" s="3">
        <v>93.398110000000003</v>
      </c>
      <c r="J484">
        <v>9.3800000000000008</v>
      </c>
      <c r="K484">
        <v>9.23</v>
      </c>
      <c r="L484">
        <v>9.2100000000000009</v>
      </c>
    </row>
    <row r="485" spans="1:12" x14ac:dyDescent="0.35">
      <c r="A485" s="2">
        <v>44894</v>
      </c>
      <c r="B485" s="3">
        <v>8.4600000000000009</v>
      </c>
      <c r="C485" s="3">
        <v>81.680000000000007</v>
      </c>
      <c r="D485" s="3">
        <v>149.63999999999999</v>
      </c>
      <c r="E485" s="3">
        <v>18.64</v>
      </c>
      <c r="F485" s="3">
        <v>38.42</v>
      </c>
      <c r="G485" s="3">
        <v>100.535707</v>
      </c>
      <c r="H485" s="3">
        <v>95.101324000000005</v>
      </c>
      <c r="I485" s="3">
        <v>93.019768999999997</v>
      </c>
      <c r="J485">
        <v>9.4499999999999993</v>
      </c>
      <c r="K485">
        <v>9.2899999999999991</v>
      </c>
      <c r="L485">
        <v>9.2799999999999994</v>
      </c>
    </row>
    <row r="486" spans="1:12" x14ac:dyDescent="0.35">
      <c r="A486" s="2">
        <v>44895</v>
      </c>
      <c r="B486" s="3">
        <v>8.85</v>
      </c>
      <c r="C486" s="3">
        <v>81.94</v>
      </c>
      <c r="D486" s="3">
        <v>154.30000000000001</v>
      </c>
      <c r="E486" s="3">
        <v>18.77</v>
      </c>
      <c r="F486" s="3">
        <v>38.47</v>
      </c>
      <c r="G486" s="3">
        <v>100.70335300000001</v>
      </c>
      <c r="H486" s="3">
        <v>95.290968000000007</v>
      </c>
      <c r="I486" s="3">
        <v>93.243585999999993</v>
      </c>
      <c r="J486">
        <v>9.31</v>
      </c>
      <c r="K486">
        <v>9.2200000000000006</v>
      </c>
      <c r="L486">
        <v>9.2100000000000009</v>
      </c>
    </row>
    <row r="487" spans="1:12" x14ac:dyDescent="0.35">
      <c r="A487" s="2">
        <v>44896</v>
      </c>
      <c r="B487" s="3">
        <v>8.7100000000000009</v>
      </c>
      <c r="C487" s="3">
        <v>82.12</v>
      </c>
      <c r="D487" s="3">
        <v>152.06</v>
      </c>
      <c r="E487" s="3">
        <v>18.760000000000002</v>
      </c>
      <c r="F487" s="3">
        <v>39.56</v>
      </c>
      <c r="G487" s="3">
        <v>101.68626399999999</v>
      </c>
      <c r="H487" s="3">
        <v>96.308745000000002</v>
      </c>
      <c r="I487" s="3">
        <v>94.324866</v>
      </c>
      <c r="J487">
        <v>9.1999999999999993</v>
      </c>
      <c r="K487">
        <v>9.0350000000000001</v>
      </c>
      <c r="L487">
        <v>9.0299999999999994</v>
      </c>
    </row>
    <row r="488" spans="1:12" x14ac:dyDescent="0.35">
      <c r="A488" s="2">
        <v>44897</v>
      </c>
      <c r="B488" s="3">
        <v>8.5</v>
      </c>
      <c r="C488" s="3">
        <v>82.86</v>
      </c>
      <c r="D488" s="3">
        <v>149.82</v>
      </c>
      <c r="E488" s="3">
        <v>18.309999999999999</v>
      </c>
      <c r="F488" s="3">
        <v>39.89</v>
      </c>
      <c r="G488" s="3">
        <v>102.337979</v>
      </c>
      <c r="H488" s="3">
        <v>97.064380999999997</v>
      </c>
      <c r="I488" s="3">
        <v>95.237069000000005</v>
      </c>
      <c r="J488">
        <v>9.08</v>
      </c>
      <c r="K488">
        <v>8.9450000000000003</v>
      </c>
      <c r="L488">
        <v>8.9499999999999993</v>
      </c>
    </row>
    <row r="489" spans="1:12" x14ac:dyDescent="0.35">
      <c r="A489" s="2">
        <v>44900</v>
      </c>
      <c r="B489" s="3">
        <v>8.32</v>
      </c>
      <c r="C489" s="3">
        <v>83.62</v>
      </c>
      <c r="D489" s="3">
        <v>150.33000000000001</v>
      </c>
      <c r="E489" s="3">
        <v>18.36</v>
      </c>
      <c r="F489" s="3">
        <v>39.119999999999997</v>
      </c>
      <c r="G489" s="3">
        <v>102.024676</v>
      </c>
      <c r="H489" s="3">
        <v>96.749155999999999</v>
      </c>
      <c r="I489" s="3">
        <v>94.916901999999993</v>
      </c>
      <c r="J489">
        <v>9.16</v>
      </c>
      <c r="K489">
        <v>9.08</v>
      </c>
      <c r="L489">
        <v>9.09</v>
      </c>
    </row>
    <row r="490" spans="1:12" x14ac:dyDescent="0.35">
      <c r="A490" s="2">
        <v>44901</v>
      </c>
      <c r="B490" s="3">
        <v>8.4499999999999993</v>
      </c>
      <c r="C490" s="3">
        <v>82.49</v>
      </c>
      <c r="D490" s="3">
        <v>147.57</v>
      </c>
      <c r="E490" s="3">
        <v>18.420000000000002</v>
      </c>
      <c r="F490" s="3">
        <v>38.659999999999997</v>
      </c>
      <c r="G490" s="3">
        <v>97.319974000000002</v>
      </c>
      <c r="H490" s="3">
        <v>92.293775999999994</v>
      </c>
      <c r="I490" s="3">
        <v>90.340781000000007</v>
      </c>
      <c r="J490">
        <v>9.16</v>
      </c>
      <c r="K490">
        <v>9.1</v>
      </c>
      <c r="L490">
        <v>9.11</v>
      </c>
    </row>
    <row r="491" spans="1:12" x14ac:dyDescent="0.35">
      <c r="A491" s="2">
        <v>44902</v>
      </c>
      <c r="B491" s="3">
        <v>8.33</v>
      </c>
      <c r="C491" s="3">
        <v>83.5</v>
      </c>
      <c r="D491" s="3">
        <v>145.43</v>
      </c>
      <c r="E491" s="3">
        <v>18.309999999999999</v>
      </c>
      <c r="F491" s="3">
        <v>38.729999999999997</v>
      </c>
      <c r="G491" s="3">
        <v>97.679839000000001</v>
      </c>
      <c r="H491" s="3">
        <v>92.596329999999995</v>
      </c>
      <c r="I491" s="3">
        <v>90.634686000000002</v>
      </c>
      <c r="J491">
        <v>8.99</v>
      </c>
      <c r="K491">
        <v>8.94</v>
      </c>
      <c r="L491">
        <v>8.9700000000000006</v>
      </c>
    </row>
    <row r="492" spans="1:12" x14ac:dyDescent="0.35">
      <c r="A492" s="2">
        <v>44903</v>
      </c>
      <c r="B492" s="3">
        <v>8.32</v>
      </c>
      <c r="C492" s="3">
        <v>85.53</v>
      </c>
      <c r="D492" s="3">
        <v>147.32</v>
      </c>
      <c r="E492" s="3">
        <v>18.21</v>
      </c>
      <c r="F492" s="3">
        <v>39.020000000000003</v>
      </c>
      <c r="G492" s="3">
        <v>98.402219000000002</v>
      </c>
      <c r="H492" s="3">
        <v>93.362566000000001</v>
      </c>
      <c r="I492" s="3">
        <v>91.407390000000007</v>
      </c>
      <c r="J492">
        <v>8.9600000000000009</v>
      </c>
      <c r="K492">
        <v>8.94</v>
      </c>
      <c r="L492">
        <v>8.98</v>
      </c>
    </row>
    <row r="493" spans="1:12" x14ac:dyDescent="0.35">
      <c r="A493" s="2">
        <v>44904</v>
      </c>
      <c r="B493" s="3">
        <v>8.33</v>
      </c>
      <c r="C493" s="3">
        <v>85.99</v>
      </c>
      <c r="D493" s="3">
        <v>143.32</v>
      </c>
      <c r="E493" s="3">
        <v>17.989999999999998</v>
      </c>
      <c r="F493" s="3">
        <v>38.99</v>
      </c>
      <c r="G493" s="3">
        <v>98.474312999999995</v>
      </c>
      <c r="H493" s="3">
        <v>93.328596000000005</v>
      </c>
      <c r="I493" s="3">
        <v>90.950365000000005</v>
      </c>
      <c r="J493">
        <v>8.9550000000000001</v>
      </c>
      <c r="K493">
        <v>8.94</v>
      </c>
      <c r="L493">
        <v>8.9949999999999992</v>
      </c>
    </row>
    <row r="494" spans="1:12" x14ac:dyDescent="0.35">
      <c r="A494" s="2">
        <v>44908</v>
      </c>
      <c r="B494" s="3">
        <v>8.24</v>
      </c>
      <c r="C494" s="3">
        <v>86.57</v>
      </c>
      <c r="D494" s="3">
        <v>144.03</v>
      </c>
      <c r="E494" s="3">
        <v>17.89</v>
      </c>
      <c r="F494" s="3">
        <v>38.78</v>
      </c>
      <c r="G494" s="3">
        <v>98.594887</v>
      </c>
      <c r="H494" s="3">
        <v>93.464240000000004</v>
      </c>
      <c r="I494" s="3">
        <v>91.246022999999994</v>
      </c>
      <c r="J494">
        <v>8.8000000000000007</v>
      </c>
      <c r="K494">
        <v>8.76</v>
      </c>
      <c r="L494">
        <v>8.84</v>
      </c>
    </row>
    <row r="495" spans="1:12" x14ac:dyDescent="0.35">
      <c r="A495" s="2">
        <v>44909</v>
      </c>
      <c r="B495" s="3">
        <v>8.25</v>
      </c>
      <c r="C495" s="3">
        <v>85.99</v>
      </c>
      <c r="D495" s="3">
        <v>143.35</v>
      </c>
      <c r="E495" s="3">
        <v>18.11</v>
      </c>
      <c r="F495" s="3">
        <v>39.01</v>
      </c>
      <c r="G495" s="3">
        <v>99.446907999999993</v>
      </c>
      <c r="H495" s="3">
        <v>94.283079999999998</v>
      </c>
      <c r="I495" s="3">
        <v>92.095095000000001</v>
      </c>
      <c r="J495">
        <v>8.7200000000000006</v>
      </c>
      <c r="K495">
        <v>8.7200000000000006</v>
      </c>
      <c r="L495">
        <v>8.7899999999999991</v>
      </c>
    </row>
    <row r="496" spans="1:12" x14ac:dyDescent="0.35">
      <c r="A496" s="2">
        <v>44910</v>
      </c>
      <c r="B496" s="3">
        <v>7.99</v>
      </c>
      <c r="C496" s="3">
        <v>84.64</v>
      </c>
      <c r="D496" s="3">
        <v>143.13</v>
      </c>
      <c r="E496" s="3">
        <v>17.8</v>
      </c>
      <c r="F496" s="3">
        <v>39.450000000000003</v>
      </c>
      <c r="G496" s="3">
        <v>99.272769999999994</v>
      </c>
      <c r="H496" s="3">
        <v>94.065088000000003</v>
      </c>
      <c r="I496" s="3">
        <v>91.403498999999996</v>
      </c>
      <c r="J496">
        <v>8.75</v>
      </c>
      <c r="K496">
        <v>8.75</v>
      </c>
      <c r="L496">
        <v>8.7799999999999994</v>
      </c>
    </row>
    <row r="497" spans="1:12" x14ac:dyDescent="0.35">
      <c r="A497" s="2">
        <v>44911</v>
      </c>
      <c r="B497" s="3">
        <v>8.06</v>
      </c>
      <c r="C497" s="3">
        <v>85.59</v>
      </c>
      <c r="D497" s="3">
        <v>145.96</v>
      </c>
      <c r="E497" s="3">
        <v>17.75</v>
      </c>
      <c r="F497" s="3">
        <v>38.61</v>
      </c>
      <c r="G497" s="3">
        <v>99.345039999999997</v>
      </c>
      <c r="H497" s="3">
        <v>94.429879999999997</v>
      </c>
      <c r="I497" s="3">
        <v>91.907115000000005</v>
      </c>
      <c r="J497">
        <v>8.81</v>
      </c>
      <c r="K497">
        <v>8.7100000000000009</v>
      </c>
      <c r="L497">
        <v>8.77</v>
      </c>
    </row>
    <row r="498" spans="1:12" x14ac:dyDescent="0.35">
      <c r="A498" s="2">
        <v>44914</v>
      </c>
      <c r="B498" s="3">
        <v>8.08</v>
      </c>
      <c r="C498" s="3">
        <v>86.34</v>
      </c>
      <c r="D498" s="3">
        <v>148.71</v>
      </c>
      <c r="E498" s="3">
        <v>18.02</v>
      </c>
      <c r="F498" s="3">
        <v>37.75</v>
      </c>
      <c r="G498" s="3">
        <v>98.930622999999997</v>
      </c>
      <c r="H498" s="3">
        <v>94.624015</v>
      </c>
      <c r="I498" s="3">
        <v>91.379530000000003</v>
      </c>
      <c r="J498">
        <v>8.7100000000000009</v>
      </c>
      <c r="K498">
        <v>8.6999999999999993</v>
      </c>
      <c r="L498">
        <v>8.7899999999999991</v>
      </c>
    </row>
    <row r="499" spans="1:12" x14ac:dyDescent="0.35">
      <c r="A499" s="2">
        <v>44915</v>
      </c>
      <c r="B499" s="3">
        <v>8.14</v>
      </c>
      <c r="C499" s="3">
        <v>85.32</v>
      </c>
      <c r="D499" s="3">
        <v>147.5</v>
      </c>
      <c r="E499" s="3">
        <v>18.09</v>
      </c>
      <c r="F499" s="3">
        <v>37.44</v>
      </c>
      <c r="G499" s="3">
        <v>98.663745000000006</v>
      </c>
      <c r="H499" s="3">
        <v>94.303417999999994</v>
      </c>
      <c r="I499" s="3">
        <v>91.470270999999997</v>
      </c>
      <c r="J499">
        <v>8.9600000000000009</v>
      </c>
      <c r="K499">
        <v>8.8699999999999992</v>
      </c>
      <c r="L499">
        <v>8.8699999999999992</v>
      </c>
    </row>
    <row r="500" spans="1:12" x14ac:dyDescent="0.35">
      <c r="A500" s="2">
        <v>44916</v>
      </c>
      <c r="B500" s="3">
        <v>8.2200000000000006</v>
      </c>
      <c r="C500" s="3">
        <v>86.31</v>
      </c>
      <c r="D500" s="3">
        <v>147.1</v>
      </c>
      <c r="E500" s="3">
        <v>18.12</v>
      </c>
      <c r="F500" s="3">
        <v>37.04</v>
      </c>
      <c r="G500" s="3">
        <v>98.832515000000001</v>
      </c>
      <c r="H500" s="3">
        <v>95.128488000000004</v>
      </c>
      <c r="I500" s="3">
        <v>91.767090999999994</v>
      </c>
      <c r="J500">
        <v>8.89</v>
      </c>
      <c r="K500">
        <v>8.83</v>
      </c>
      <c r="L500">
        <v>8.83</v>
      </c>
    </row>
    <row r="501" spans="1:12" x14ac:dyDescent="0.35">
      <c r="A501" s="2">
        <v>44917</v>
      </c>
      <c r="B501" s="3">
        <v>8.1300000000000008</v>
      </c>
      <c r="C501" s="3">
        <v>85.7</v>
      </c>
      <c r="D501" s="3">
        <v>146.49</v>
      </c>
      <c r="E501" s="3">
        <v>18.059999999999999</v>
      </c>
      <c r="F501" s="3">
        <v>36.71</v>
      </c>
      <c r="G501" s="3">
        <v>99.048732999999999</v>
      </c>
      <c r="H501" s="3">
        <v>94.279396000000006</v>
      </c>
      <c r="I501" s="3">
        <v>91.833834999999993</v>
      </c>
      <c r="J501">
        <v>8.93</v>
      </c>
      <c r="K501">
        <v>8.86</v>
      </c>
      <c r="L501">
        <v>8.84</v>
      </c>
    </row>
    <row r="502" spans="1:12" x14ac:dyDescent="0.35">
      <c r="A502" s="2">
        <v>44918</v>
      </c>
      <c r="B502" s="3">
        <v>8.26</v>
      </c>
      <c r="C502" s="3">
        <v>85.94</v>
      </c>
      <c r="D502" s="3">
        <v>148.46</v>
      </c>
      <c r="E502" s="3">
        <v>18.21</v>
      </c>
      <c r="F502" s="3">
        <v>36.97</v>
      </c>
      <c r="G502" s="3">
        <v>98.878887000000006</v>
      </c>
      <c r="H502" s="3">
        <v>94.301896999999997</v>
      </c>
      <c r="I502" s="3">
        <v>91.924875999999998</v>
      </c>
      <c r="J502">
        <v>9.01</v>
      </c>
      <c r="K502">
        <v>8.93</v>
      </c>
      <c r="L502">
        <v>8.89</v>
      </c>
    </row>
    <row r="503" spans="1:12" x14ac:dyDescent="0.35">
      <c r="A503" s="2">
        <v>44921</v>
      </c>
      <c r="B503" s="3">
        <v>8.18</v>
      </c>
      <c r="C503" s="3">
        <v>85.82</v>
      </c>
      <c r="D503" s="3">
        <v>147.31</v>
      </c>
      <c r="E503" s="3">
        <v>18.260000000000002</v>
      </c>
      <c r="F503" s="3">
        <v>37.17</v>
      </c>
      <c r="G503" s="3">
        <v>98.613344999999995</v>
      </c>
      <c r="H503" s="3">
        <v>93.983959999999996</v>
      </c>
      <c r="I503" s="3">
        <v>91.809653999999995</v>
      </c>
      <c r="J503">
        <v>9.01</v>
      </c>
      <c r="K503">
        <v>8.93</v>
      </c>
      <c r="L503">
        <v>8.91</v>
      </c>
    </row>
    <row r="504" spans="1:12" x14ac:dyDescent="0.35">
      <c r="A504" s="2">
        <v>44922</v>
      </c>
      <c r="B504" s="3">
        <v>8.1999999999999993</v>
      </c>
      <c r="C504" s="3">
        <v>86.71</v>
      </c>
      <c r="D504" s="3">
        <v>146.80000000000001</v>
      </c>
      <c r="E504" s="3">
        <v>18.260000000000002</v>
      </c>
      <c r="F504" s="3">
        <v>37.58</v>
      </c>
      <c r="G504" s="3">
        <v>98.301137999999995</v>
      </c>
      <c r="H504" s="3">
        <v>93.949965000000006</v>
      </c>
      <c r="I504" s="3">
        <v>91.284873000000005</v>
      </c>
      <c r="J504">
        <v>9.07</v>
      </c>
      <c r="K504">
        <v>8.98</v>
      </c>
      <c r="L504">
        <v>8.9700000000000006</v>
      </c>
    </row>
    <row r="505" spans="1:12" x14ac:dyDescent="0.35">
      <c r="A505" s="2">
        <v>44923</v>
      </c>
      <c r="B505" s="3">
        <v>8.0299999999999994</v>
      </c>
      <c r="C505" s="3">
        <v>85.26</v>
      </c>
      <c r="D505" s="3">
        <v>145</v>
      </c>
      <c r="E505" s="3">
        <v>17.829999999999998</v>
      </c>
      <c r="F505" s="3">
        <v>37.5</v>
      </c>
      <c r="G505" s="3">
        <v>98.133747</v>
      </c>
      <c r="H505" s="3">
        <v>93.972561999999996</v>
      </c>
      <c r="I505" s="3">
        <v>91.171163000000007</v>
      </c>
      <c r="J505">
        <v>9.09</v>
      </c>
      <c r="K505">
        <v>9.0500000000000007</v>
      </c>
      <c r="L505">
        <v>8.99</v>
      </c>
    </row>
    <row r="506" spans="1:12" x14ac:dyDescent="0.35">
      <c r="A506" s="2">
        <v>44924</v>
      </c>
      <c r="B506" s="3">
        <v>8.1199999999999992</v>
      </c>
      <c r="C506" s="3">
        <v>84.24</v>
      </c>
      <c r="D506" s="3">
        <v>143.68</v>
      </c>
      <c r="E506" s="3">
        <v>17.93</v>
      </c>
      <c r="F506" s="3">
        <v>37.479999999999997</v>
      </c>
      <c r="G506" s="3">
        <v>98.110285000000005</v>
      </c>
      <c r="H506" s="3">
        <v>94.266767000000002</v>
      </c>
      <c r="I506" s="3">
        <v>90.764419000000004</v>
      </c>
      <c r="J506">
        <v>9.16</v>
      </c>
      <c r="K506">
        <v>9.06</v>
      </c>
      <c r="L506">
        <v>9.01</v>
      </c>
    </row>
    <row r="507" spans="1:12" x14ac:dyDescent="0.35">
      <c r="A507" s="2">
        <v>44925</v>
      </c>
      <c r="B507" s="3">
        <v>7.88</v>
      </c>
      <c r="C507" s="3">
        <v>82.36</v>
      </c>
      <c r="D507" s="3">
        <v>139.91</v>
      </c>
      <c r="E507" s="3">
        <v>17.68</v>
      </c>
      <c r="F507" s="3">
        <v>36.86</v>
      </c>
      <c r="G507" s="3">
        <v>98.181963999999994</v>
      </c>
      <c r="H507" s="3">
        <v>94.402771000000001</v>
      </c>
      <c r="I507" s="3">
        <v>90.921880999999999</v>
      </c>
      <c r="J507">
        <v>9.2100000000000009</v>
      </c>
      <c r="K507">
        <v>9.09</v>
      </c>
      <c r="L507">
        <v>9.0399999999999991</v>
      </c>
    </row>
    <row r="508" spans="1:12" x14ac:dyDescent="0.35">
      <c r="A508" s="2">
        <v>44928</v>
      </c>
      <c r="B508" s="3">
        <v>7.96</v>
      </c>
      <c r="C508" s="3">
        <v>84.72</v>
      </c>
      <c r="D508" s="3">
        <v>142.86000000000001</v>
      </c>
      <c r="E508" s="3">
        <v>17.760000000000002</v>
      </c>
      <c r="F508" s="3">
        <v>37.07</v>
      </c>
      <c r="G508" s="3">
        <v>98.063109999999995</v>
      </c>
      <c r="H508" s="3">
        <v>93.410942000000006</v>
      </c>
      <c r="I508" s="3">
        <v>91.419021000000001</v>
      </c>
      <c r="J508">
        <v>9.16</v>
      </c>
      <c r="K508">
        <v>9.0299999999999994</v>
      </c>
      <c r="L508">
        <v>9.02</v>
      </c>
    </row>
    <row r="509" spans="1:12" x14ac:dyDescent="0.35">
      <c r="A509" s="2">
        <v>44929</v>
      </c>
      <c r="B509" s="3">
        <v>8.01</v>
      </c>
      <c r="C509" s="3">
        <v>84.89</v>
      </c>
      <c r="D509" s="3">
        <v>142.30000000000001</v>
      </c>
      <c r="E509" s="3">
        <v>17.809999999999999</v>
      </c>
      <c r="F509" s="3">
        <v>36.590000000000003</v>
      </c>
      <c r="G509" s="3">
        <v>98.612114000000005</v>
      </c>
      <c r="H509" s="3">
        <v>93.489682000000002</v>
      </c>
      <c r="I509" s="3">
        <v>91.509483000000003</v>
      </c>
      <c r="J509">
        <v>9.11</v>
      </c>
      <c r="K509">
        <v>8.99</v>
      </c>
      <c r="L509">
        <v>8.9700000000000006</v>
      </c>
    </row>
    <row r="510" spans="1:12" x14ac:dyDescent="0.35">
      <c r="A510" s="2">
        <v>44930</v>
      </c>
      <c r="B510" s="3">
        <v>8.4700000000000006</v>
      </c>
      <c r="C510" s="3">
        <v>85.39</v>
      </c>
      <c r="D510" s="3">
        <v>145.43</v>
      </c>
      <c r="E510" s="3">
        <v>18.059999999999999</v>
      </c>
      <c r="F510" s="3">
        <v>37.270000000000003</v>
      </c>
      <c r="G510" s="3">
        <v>98.779756000000006</v>
      </c>
      <c r="H510" s="3">
        <v>93.792903999999993</v>
      </c>
      <c r="I510" s="3">
        <v>92.285302999999999</v>
      </c>
      <c r="J510">
        <v>9</v>
      </c>
      <c r="K510">
        <v>8.91</v>
      </c>
      <c r="L510">
        <v>8.8699999999999992</v>
      </c>
    </row>
    <row r="511" spans="1:12" x14ac:dyDescent="0.35">
      <c r="A511" s="2">
        <v>44931</v>
      </c>
      <c r="B511" s="3">
        <v>8.5399999999999991</v>
      </c>
      <c r="C511" s="3">
        <v>87.73</v>
      </c>
      <c r="D511" s="3">
        <v>145.94</v>
      </c>
      <c r="E511" s="3">
        <v>18.47</v>
      </c>
      <c r="F511" s="3">
        <v>38.799999999999997</v>
      </c>
      <c r="G511" s="3">
        <v>99.091297999999995</v>
      </c>
      <c r="H511" s="3">
        <v>94.142425000000003</v>
      </c>
      <c r="I511" s="3">
        <v>92.628189000000006</v>
      </c>
      <c r="J511">
        <v>8.93</v>
      </c>
      <c r="K511">
        <v>8.83</v>
      </c>
      <c r="L511">
        <v>8.81</v>
      </c>
    </row>
    <row r="512" spans="1:12" x14ac:dyDescent="0.35">
      <c r="A512" s="2">
        <v>44932</v>
      </c>
      <c r="B512" s="3">
        <v>8.7899999999999991</v>
      </c>
      <c r="C512" s="3">
        <v>88.41</v>
      </c>
      <c r="D512" s="3">
        <v>150.72</v>
      </c>
      <c r="E512" s="3">
        <v>18.55</v>
      </c>
      <c r="F512" s="3">
        <v>39.46</v>
      </c>
      <c r="G512" s="3">
        <v>100.033309</v>
      </c>
      <c r="H512" s="3">
        <v>94.844710000000006</v>
      </c>
      <c r="I512" s="3">
        <v>93.625210999999993</v>
      </c>
      <c r="J512">
        <v>8.68</v>
      </c>
      <c r="K512">
        <v>8.56</v>
      </c>
      <c r="L512">
        <v>8.5399999999999991</v>
      </c>
    </row>
    <row r="513" spans="1:12" x14ac:dyDescent="0.35">
      <c r="A513" s="2">
        <v>44935</v>
      </c>
      <c r="B513" s="3">
        <v>8.64</v>
      </c>
      <c r="C513" s="3">
        <v>90.3</v>
      </c>
      <c r="D513" s="3">
        <v>154.65</v>
      </c>
      <c r="E513" s="3">
        <v>18.63</v>
      </c>
      <c r="F513" s="3">
        <v>40.42</v>
      </c>
      <c r="G513" s="3">
        <v>100.83816299999999</v>
      </c>
      <c r="H513" s="3">
        <v>96.361241000000007</v>
      </c>
      <c r="I513" s="3">
        <v>94.069357999999994</v>
      </c>
      <c r="J513">
        <v>8.66</v>
      </c>
      <c r="K513">
        <v>8.51</v>
      </c>
      <c r="L513">
        <v>8.5399999999999991</v>
      </c>
    </row>
    <row r="514" spans="1:12" x14ac:dyDescent="0.35">
      <c r="A514" s="2">
        <v>44936</v>
      </c>
      <c r="B514" s="3">
        <v>8.61</v>
      </c>
      <c r="C514" s="3">
        <v>90.38</v>
      </c>
      <c r="D514" s="3">
        <v>153.41999999999999</v>
      </c>
      <c r="E514" s="3">
        <v>18.82</v>
      </c>
      <c r="F514" s="3">
        <v>40.46</v>
      </c>
      <c r="G514" s="3">
        <v>100.46995200000001</v>
      </c>
      <c r="H514" s="3">
        <v>95.690343999999996</v>
      </c>
      <c r="I514" s="3">
        <v>93.880196999999995</v>
      </c>
      <c r="J514">
        <v>8.7100000000000009</v>
      </c>
      <c r="K514">
        <v>8.56</v>
      </c>
      <c r="L514">
        <v>8.6</v>
      </c>
    </row>
    <row r="515" spans="1:12" x14ac:dyDescent="0.35">
      <c r="A515" s="2">
        <v>44937</v>
      </c>
      <c r="B515" s="3">
        <v>9.3000000000000007</v>
      </c>
      <c r="C515" s="3">
        <v>90.56</v>
      </c>
      <c r="D515" s="3">
        <v>154.75</v>
      </c>
      <c r="E515" s="3">
        <v>18.989999999999998</v>
      </c>
      <c r="F515" s="3">
        <v>41.17</v>
      </c>
      <c r="G515" s="3">
        <v>101.032005</v>
      </c>
      <c r="H515" s="3">
        <v>96.116179000000002</v>
      </c>
      <c r="I515" s="3">
        <v>94.680152000000007</v>
      </c>
      <c r="J515">
        <v>8.69</v>
      </c>
      <c r="K515">
        <v>8.5399999999999991</v>
      </c>
      <c r="L515">
        <v>8.5449999999999999</v>
      </c>
    </row>
    <row r="516" spans="1:12" x14ac:dyDescent="0.35">
      <c r="A516" s="2">
        <v>44938</v>
      </c>
      <c r="B516" s="3">
        <v>9.57</v>
      </c>
      <c r="C516" s="3">
        <v>91.08</v>
      </c>
      <c r="D516" s="3">
        <v>156.28</v>
      </c>
      <c r="E516" s="3">
        <v>19.25</v>
      </c>
      <c r="F516" s="3">
        <v>42.13</v>
      </c>
      <c r="G516" s="3">
        <v>101.34758100000001</v>
      </c>
      <c r="H516" s="3">
        <v>96.414473999999998</v>
      </c>
      <c r="I516" s="3">
        <v>94.746368000000004</v>
      </c>
      <c r="J516">
        <v>8.58</v>
      </c>
      <c r="K516">
        <v>8.4499999999999993</v>
      </c>
      <c r="L516">
        <v>8.4700000000000006</v>
      </c>
    </row>
    <row r="517" spans="1:12" x14ac:dyDescent="0.35">
      <c r="A517" s="2">
        <v>44939</v>
      </c>
      <c r="B517" s="3">
        <v>9.4</v>
      </c>
      <c r="C517" s="3">
        <v>90.93</v>
      </c>
      <c r="D517" s="3">
        <v>157.47</v>
      </c>
      <c r="E517" s="3">
        <v>19.239999999999998</v>
      </c>
      <c r="F517" s="3">
        <v>42.4</v>
      </c>
      <c r="G517" s="3">
        <v>101.518567</v>
      </c>
      <c r="H517" s="3">
        <v>97.018212000000005</v>
      </c>
      <c r="I517" s="3">
        <v>95.124722000000006</v>
      </c>
      <c r="J517">
        <v>8.6300000000000008</v>
      </c>
      <c r="K517">
        <v>8.4600000000000009</v>
      </c>
      <c r="L517">
        <v>8.4700000000000006</v>
      </c>
    </row>
    <row r="518" spans="1:12" x14ac:dyDescent="0.35">
      <c r="A518" s="2">
        <v>44942</v>
      </c>
      <c r="B518" s="3">
        <v>9.5299999999999994</v>
      </c>
      <c r="C518" s="3">
        <v>93.28</v>
      </c>
      <c r="D518" s="3">
        <v>155.1</v>
      </c>
      <c r="E518" s="3">
        <v>19.63</v>
      </c>
      <c r="F518" s="3">
        <v>41.96</v>
      </c>
      <c r="G518" s="3">
        <v>101.492434</v>
      </c>
      <c r="H518" s="3">
        <v>96.923728999999994</v>
      </c>
      <c r="I518" s="3">
        <v>95.146766</v>
      </c>
      <c r="J518">
        <v>8.67</v>
      </c>
      <c r="K518">
        <v>8.49</v>
      </c>
      <c r="L518">
        <v>8.51</v>
      </c>
    </row>
    <row r="519" spans="1:12" x14ac:dyDescent="0.35">
      <c r="A519" s="2">
        <v>44943</v>
      </c>
      <c r="B519" s="3">
        <v>9.34</v>
      </c>
      <c r="C519" s="3">
        <v>92.32</v>
      </c>
      <c r="D519" s="3">
        <v>155.85</v>
      </c>
      <c r="E519" s="3">
        <v>19.43</v>
      </c>
      <c r="F519" s="3">
        <v>41.82</v>
      </c>
      <c r="G519" s="3">
        <v>101.024614</v>
      </c>
      <c r="H519" s="3">
        <v>96.713238000000004</v>
      </c>
      <c r="I519" s="3">
        <v>93.754919000000001</v>
      </c>
      <c r="J519">
        <v>8.77</v>
      </c>
      <c r="K519">
        <v>8.6</v>
      </c>
      <c r="L519">
        <v>8.61</v>
      </c>
    </row>
    <row r="520" spans="1:12" x14ac:dyDescent="0.35">
      <c r="A520" s="2">
        <v>44944</v>
      </c>
      <c r="B520" s="3">
        <v>9.2899999999999991</v>
      </c>
      <c r="C520" s="3">
        <v>91.86</v>
      </c>
      <c r="D520" s="3">
        <v>152.93</v>
      </c>
      <c r="E520" s="3">
        <v>19.62</v>
      </c>
      <c r="F520" s="3">
        <v>41.6</v>
      </c>
      <c r="G520" s="3">
        <v>100.803653</v>
      </c>
      <c r="H520" s="3">
        <v>96.387887000000006</v>
      </c>
      <c r="I520" s="3">
        <v>94.480401999999998</v>
      </c>
      <c r="J520">
        <v>8.73</v>
      </c>
      <c r="K520">
        <v>8.5500000000000007</v>
      </c>
      <c r="L520">
        <v>8.5399999999999991</v>
      </c>
    </row>
    <row r="521" spans="1:12" x14ac:dyDescent="0.35">
      <c r="A521" s="2">
        <v>44945</v>
      </c>
      <c r="B521" s="3">
        <v>9.27</v>
      </c>
      <c r="C521" s="3">
        <v>92.66</v>
      </c>
      <c r="D521" s="3">
        <v>153.96</v>
      </c>
      <c r="E521" s="3">
        <v>19.64</v>
      </c>
      <c r="F521" s="3">
        <v>42.13</v>
      </c>
      <c r="G521" s="3">
        <v>100.63059800000001</v>
      </c>
      <c r="H521" s="3">
        <v>96.166595000000001</v>
      </c>
      <c r="I521" s="3">
        <v>94.476234000000005</v>
      </c>
      <c r="J521">
        <v>8.77</v>
      </c>
      <c r="K521">
        <v>8.58</v>
      </c>
      <c r="L521">
        <v>8.56</v>
      </c>
    </row>
    <row r="522" spans="1:12" x14ac:dyDescent="0.35">
      <c r="A522" s="2">
        <v>44946</v>
      </c>
      <c r="B522" s="3">
        <v>9.4</v>
      </c>
      <c r="C522" s="3">
        <v>91.69</v>
      </c>
      <c r="D522" s="3">
        <v>154.71</v>
      </c>
      <c r="E522" s="3">
        <v>19.8</v>
      </c>
      <c r="F522" s="3">
        <v>42.29</v>
      </c>
      <c r="G522" s="3">
        <v>100.605548</v>
      </c>
      <c r="H522" s="3">
        <v>96.188982999999993</v>
      </c>
      <c r="I522" s="3">
        <v>94.710464000000002</v>
      </c>
      <c r="J522">
        <v>8.86</v>
      </c>
      <c r="K522">
        <v>8.59</v>
      </c>
      <c r="L522">
        <v>8.57</v>
      </c>
    </row>
    <row r="523" spans="1:12" x14ac:dyDescent="0.35">
      <c r="A523" s="2">
        <v>44949</v>
      </c>
      <c r="B523" s="3">
        <v>9.44</v>
      </c>
      <c r="C523" s="3">
        <v>94.66</v>
      </c>
      <c r="D523" s="3">
        <v>156.22999999999999</v>
      </c>
      <c r="E523" s="3">
        <v>19.84</v>
      </c>
      <c r="F523" s="3">
        <v>43.41</v>
      </c>
      <c r="G523" s="3">
        <v>100.774793</v>
      </c>
      <c r="H523" s="3">
        <v>96.268911000000003</v>
      </c>
      <c r="I523" s="3">
        <v>94.591185999999993</v>
      </c>
      <c r="J523">
        <v>8.8699999999999992</v>
      </c>
      <c r="K523">
        <v>8.6199999999999992</v>
      </c>
      <c r="L523">
        <v>8.61</v>
      </c>
    </row>
    <row r="524" spans="1:12" x14ac:dyDescent="0.35">
      <c r="A524" s="2">
        <v>44950</v>
      </c>
      <c r="B524" s="3">
        <v>9.5</v>
      </c>
      <c r="C524" s="3">
        <v>95.53</v>
      </c>
      <c r="D524" s="3">
        <v>159.32</v>
      </c>
      <c r="E524" s="3">
        <v>19.87</v>
      </c>
      <c r="F524" s="3">
        <v>43.86</v>
      </c>
      <c r="G524" s="3">
        <v>100.410419</v>
      </c>
      <c r="H524" s="3">
        <v>96.291297</v>
      </c>
      <c r="I524" s="3">
        <v>94.261089999999996</v>
      </c>
      <c r="J524">
        <v>8.93</v>
      </c>
      <c r="K524">
        <v>8.6300000000000008</v>
      </c>
      <c r="L524">
        <v>8.6199999999999992</v>
      </c>
    </row>
    <row r="525" spans="1:12" x14ac:dyDescent="0.35">
      <c r="A525" s="2">
        <v>44951</v>
      </c>
      <c r="B525" s="3">
        <v>9.57</v>
      </c>
      <c r="C525" s="3">
        <v>95.53</v>
      </c>
      <c r="D525" s="3">
        <v>157.22999999999999</v>
      </c>
      <c r="E525" s="3">
        <v>19.920000000000002</v>
      </c>
      <c r="F525" s="3">
        <v>44.45</v>
      </c>
      <c r="G525" s="3">
        <v>100.43403600000001</v>
      </c>
      <c r="H525" s="3">
        <v>96.256178000000006</v>
      </c>
      <c r="I525" s="3">
        <v>95.131675000000001</v>
      </c>
      <c r="J525">
        <v>8.93</v>
      </c>
      <c r="K525">
        <v>8.6300000000000008</v>
      </c>
      <c r="L525">
        <v>8.6199999999999992</v>
      </c>
    </row>
    <row r="526" spans="1:12" x14ac:dyDescent="0.35">
      <c r="A526" s="2">
        <v>44952</v>
      </c>
      <c r="B526" s="3">
        <v>9.9700000000000006</v>
      </c>
      <c r="C526" s="3">
        <v>95.77</v>
      </c>
      <c r="D526" s="3">
        <v>155.37</v>
      </c>
      <c r="E526" s="3">
        <v>20.03</v>
      </c>
      <c r="F526" s="3">
        <v>45.03</v>
      </c>
      <c r="G526" s="3">
        <v>100.360142</v>
      </c>
      <c r="H526" s="3">
        <v>96.208605000000006</v>
      </c>
      <c r="I526" s="3">
        <v>95.055993000000001</v>
      </c>
      <c r="J526">
        <v>8.93</v>
      </c>
      <c r="K526">
        <v>8.6300000000000008</v>
      </c>
      <c r="L526">
        <v>8.6199999999999992</v>
      </c>
    </row>
    <row r="527" spans="1:12" x14ac:dyDescent="0.35">
      <c r="A527" s="2">
        <v>44953</v>
      </c>
      <c r="B527" s="3">
        <v>10.06</v>
      </c>
      <c r="C527" s="3">
        <v>94.7</v>
      </c>
      <c r="D527" s="3">
        <v>156.22</v>
      </c>
      <c r="E527" s="3">
        <v>19.850000000000001</v>
      </c>
      <c r="F527" s="3">
        <v>45.06</v>
      </c>
      <c r="G527" s="3">
        <v>100.143197</v>
      </c>
      <c r="H527" s="3">
        <v>96.059200000000004</v>
      </c>
      <c r="I527" s="3">
        <v>93.952136999999993</v>
      </c>
      <c r="J527">
        <v>9.01</v>
      </c>
      <c r="K527">
        <v>8.73</v>
      </c>
      <c r="L527">
        <v>8.6999999999999993</v>
      </c>
    </row>
    <row r="528" spans="1:12" x14ac:dyDescent="0.35">
      <c r="A528" s="2">
        <v>44956</v>
      </c>
      <c r="B528" s="3">
        <v>9.94</v>
      </c>
      <c r="C528" s="3">
        <v>94.36</v>
      </c>
      <c r="D528" s="3">
        <v>155.63999999999999</v>
      </c>
      <c r="E528" s="3">
        <v>19.91</v>
      </c>
      <c r="F528" s="3">
        <v>44.52</v>
      </c>
      <c r="G528" s="3">
        <v>100.407518</v>
      </c>
      <c r="H528" s="3">
        <v>95.682321999999999</v>
      </c>
      <c r="I528" s="3">
        <v>94.254187000000002</v>
      </c>
      <c r="J528">
        <v>9.0299999999999994</v>
      </c>
      <c r="K528">
        <v>8.73</v>
      </c>
      <c r="L528">
        <v>8.7200000000000006</v>
      </c>
    </row>
    <row r="529" spans="1:12" x14ac:dyDescent="0.35">
      <c r="A529" s="2">
        <v>44957</v>
      </c>
      <c r="B529" s="3">
        <v>10.039999999999999</v>
      </c>
      <c r="C529" s="3">
        <v>94.02</v>
      </c>
      <c r="D529" s="3">
        <v>156.19</v>
      </c>
      <c r="E529" s="3">
        <v>19.68</v>
      </c>
      <c r="F529" s="3">
        <v>44.87</v>
      </c>
      <c r="G529" s="3">
        <v>100.334935</v>
      </c>
      <c r="H529" s="3">
        <v>95.818764999999999</v>
      </c>
      <c r="I529" s="3">
        <v>93.926985000000002</v>
      </c>
      <c r="J529">
        <v>8.98</v>
      </c>
      <c r="K529">
        <v>8.69</v>
      </c>
      <c r="L529">
        <v>8.67</v>
      </c>
    </row>
    <row r="530" spans="1:12" x14ac:dyDescent="0.35">
      <c r="A530" s="2">
        <v>44958</v>
      </c>
      <c r="B530" s="3">
        <v>10.25</v>
      </c>
      <c r="C530" s="3">
        <v>94.1</v>
      </c>
      <c r="D530" s="3">
        <v>157.54</v>
      </c>
      <c r="E530" s="3">
        <v>19.59</v>
      </c>
      <c r="F530" s="3">
        <v>44.92</v>
      </c>
      <c r="G530" s="3">
        <v>100.986378</v>
      </c>
      <c r="H530" s="3">
        <v>96.126688999999999</v>
      </c>
      <c r="I530" s="3">
        <v>95.073755000000006</v>
      </c>
      <c r="J530">
        <v>8.9</v>
      </c>
      <c r="K530">
        <v>8.61</v>
      </c>
      <c r="L530">
        <v>8.57</v>
      </c>
    </row>
    <row r="531" spans="1:12" x14ac:dyDescent="0.35">
      <c r="A531" s="2">
        <v>44959</v>
      </c>
      <c r="B531" s="3">
        <v>10.26</v>
      </c>
      <c r="C531" s="3">
        <v>92.95</v>
      </c>
      <c r="D531" s="3">
        <v>152.9</v>
      </c>
      <c r="E531" s="3">
        <v>19.079999999999998</v>
      </c>
      <c r="F531" s="3">
        <v>44.64</v>
      </c>
      <c r="G531" s="3">
        <v>101.517482</v>
      </c>
      <c r="H531" s="3">
        <v>96.560336000000007</v>
      </c>
      <c r="I531" s="3">
        <v>95.802797999999996</v>
      </c>
      <c r="J531">
        <v>8.82</v>
      </c>
      <c r="K531">
        <v>8.5299999999999994</v>
      </c>
      <c r="L531">
        <v>8.49</v>
      </c>
    </row>
    <row r="532" spans="1:12" x14ac:dyDescent="0.35">
      <c r="A532" s="2">
        <v>44960</v>
      </c>
      <c r="B532" s="3">
        <v>10.28</v>
      </c>
      <c r="C532" s="3">
        <v>93.9</v>
      </c>
      <c r="D532" s="3">
        <v>153.75</v>
      </c>
      <c r="E532" s="3">
        <v>18.920000000000002</v>
      </c>
      <c r="F532" s="3">
        <v>44.64</v>
      </c>
      <c r="G532" s="3">
        <v>101.200974</v>
      </c>
      <c r="H532" s="3">
        <v>96.410835000000006</v>
      </c>
      <c r="I532" s="3">
        <v>95.610872000000001</v>
      </c>
      <c r="J532">
        <v>8.93</v>
      </c>
      <c r="K532">
        <v>8.59</v>
      </c>
      <c r="L532">
        <v>8.57</v>
      </c>
    </row>
    <row r="533" spans="1:12" x14ac:dyDescent="0.35">
      <c r="A533" s="2">
        <v>44964</v>
      </c>
      <c r="B533" s="3">
        <v>9.92</v>
      </c>
      <c r="C533" s="3">
        <v>91.15</v>
      </c>
      <c r="D533" s="3">
        <v>154.09</v>
      </c>
      <c r="E533" s="3">
        <v>18.309999999999999</v>
      </c>
      <c r="F533" s="3">
        <v>44.3</v>
      </c>
      <c r="G533" s="3">
        <v>100.741557</v>
      </c>
      <c r="H533" s="3">
        <v>95.863118</v>
      </c>
      <c r="I533" s="3">
        <v>95.206936999999996</v>
      </c>
      <c r="J533">
        <v>9.0489999999999995</v>
      </c>
      <c r="K533">
        <v>8.6989999999999998</v>
      </c>
      <c r="L533">
        <v>8.6690000000000005</v>
      </c>
    </row>
    <row r="534" spans="1:12" x14ac:dyDescent="0.35">
      <c r="A534" s="2">
        <v>44965</v>
      </c>
      <c r="B534" s="3">
        <v>9.9499999999999993</v>
      </c>
      <c r="C534" s="3">
        <v>91.01</v>
      </c>
      <c r="D534" s="3">
        <v>153.16</v>
      </c>
      <c r="E534" s="3">
        <v>18.52</v>
      </c>
      <c r="F534" s="3">
        <v>44.31</v>
      </c>
      <c r="G534" s="3">
        <v>100.572952</v>
      </c>
      <c r="H534" s="3">
        <v>96.227271000000002</v>
      </c>
      <c r="I534" s="3">
        <v>94.735380000000006</v>
      </c>
      <c r="J534">
        <v>9.1389999999999993</v>
      </c>
      <c r="K534">
        <v>8.7390000000000008</v>
      </c>
      <c r="L534">
        <v>8.6989999999999998</v>
      </c>
    </row>
    <row r="535" spans="1:12" x14ac:dyDescent="0.35">
      <c r="A535" s="2">
        <v>44966</v>
      </c>
      <c r="B535" s="3">
        <v>9.85</v>
      </c>
      <c r="C535" s="3">
        <v>90.08</v>
      </c>
      <c r="D535" s="3">
        <v>153.44999999999999</v>
      </c>
      <c r="E535" s="3">
        <v>18.28</v>
      </c>
      <c r="F535" s="3">
        <v>44.31</v>
      </c>
      <c r="G535" s="3">
        <v>100.692239</v>
      </c>
      <c r="H535" s="3">
        <v>96.237960000000001</v>
      </c>
      <c r="I535" s="3">
        <v>95.366629000000003</v>
      </c>
      <c r="J535">
        <v>9.3889999999999993</v>
      </c>
      <c r="K535">
        <v>8.8789999999999996</v>
      </c>
      <c r="L535">
        <v>8.8290000000000006</v>
      </c>
    </row>
    <row r="536" spans="1:12" x14ac:dyDescent="0.35">
      <c r="A536" s="2">
        <v>44967</v>
      </c>
      <c r="B536" s="3">
        <v>9.67</v>
      </c>
      <c r="C536" s="3">
        <v>88.84</v>
      </c>
      <c r="D536" s="3">
        <v>154.57</v>
      </c>
      <c r="E536" s="3">
        <v>18.420000000000002</v>
      </c>
      <c r="F536" s="3">
        <v>43.73</v>
      </c>
      <c r="G536" s="3">
        <v>99.951971999999998</v>
      </c>
      <c r="H536" s="3">
        <v>95.411033000000003</v>
      </c>
      <c r="I536" s="3">
        <v>94.056045999999995</v>
      </c>
      <c r="J536">
        <v>9.4990000000000006</v>
      </c>
      <c r="K536">
        <v>8.9890000000000008</v>
      </c>
      <c r="L536">
        <v>8.8789999999999996</v>
      </c>
    </row>
    <row r="537" spans="1:12" x14ac:dyDescent="0.35">
      <c r="A537" s="2">
        <v>44970</v>
      </c>
      <c r="B537" s="3">
        <v>9.76</v>
      </c>
      <c r="C537" s="3">
        <v>89.61</v>
      </c>
      <c r="D537" s="3">
        <v>156.09</v>
      </c>
      <c r="E537" s="3">
        <v>18.73</v>
      </c>
      <c r="F537" s="3">
        <v>43.93</v>
      </c>
      <c r="G537" s="3">
        <v>99.644148000000001</v>
      </c>
      <c r="H537" s="3">
        <v>95.265105000000005</v>
      </c>
      <c r="I537" s="3">
        <v>94.009011999999998</v>
      </c>
      <c r="J537">
        <v>9.6189999999999998</v>
      </c>
      <c r="K537">
        <v>9.0489999999999995</v>
      </c>
      <c r="L537">
        <v>8.8989999999999991</v>
      </c>
    </row>
    <row r="538" spans="1:12" x14ac:dyDescent="0.35">
      <c r="A538" s="2">
        <v>44971</v>
      </c>
      <c r="B538" s="3">
        <v>9.65</v>
      </c>
      <c r="C538" s="3">
        <v>89.07</v>
      </c>
      <c r="D538" s="3">
        <v>156.31</v>
      </c>
      <c r="E538" s="3">
        <v>18.55</v>
      </c>
      <c r="F538" s="3">
        <v>43.17</v>
      </c>
      <c r="G538" s="3">
        <v>99.337941000000001</v>
      </c>
      <c r="H538" s="3">
        <v>95.119640000000004</v>
      </c>
      <c r="I538" s="3">
        <v>94.031424000000001</v>
      </c>
      <c r="J538">
        <v>9.7289999999999992</v>
      </c>
      <c r="K538">
        <v>9.1590000000000007</v>
      </c>
      <c r="L538">
        <v>9.0090000000000003</v>
      </c>
    </row>
    <row r="539" spans="1:12" x14ac:dyDescent="0.35">
      <c r="A539" s="2">
        <v>44972</v>
      </c>
      <c r="B539" s="3">
        <v>9.81</v>
      </c>
      <c r="C539" s="3">
        <v>89.34</v>
      </c>
      <c r="D539" s="3">
        <v>163</v>
      </c>
      <c r="E539" s="3">
        <v>18.55</v>
      </c>
      <c r="F539" s="3">
        <v>43.15</v>
      </c>
      <c r="G539" s="3">
        <v>98.799311000000003</v>
      </c>
      <c r="H539" s="3">
        <v>94.528895000000006</v>
      </c>
      <c r="I539" s="3">
        <v>93.089392000000004</v>
      </c>
      <c r="J539">
        <v>9.6289999999999996</v>
      </c>
      <c r="K539">
        <v>9.109</v>
      </c>
      <c r="L539">
        <v>8.9990000000000006</v>
      </c>
    </row>
    <row r="540" spans="1:12" x14ac:dyDescent="0.35">
      <c r="A540" s="2">
        <v>44973</v>
      </c>
      <c r="B540" s="3">
        <v>9.61</v>
      </c>
      <c r="C540" s="3">
        <v>89.05</v>
      </c>
      <c r="D540" s="3">
        <v>164.06</v>
      </c>
      <c r="E540" s="3">
        <v>19.010000000000002</v>
      </c>
      <c r="F540" s="3">
        <v>44</v>
      </c>
      <c r="G540" s="3">
        <v>99.153246999999993</v>
      </c>
      <c r="H540" s="3">
        <v>94.764604000000006</v>
      </c>
      <c r="I540" s="3">
        <v>93.293918000000005</v>
      </c>
      <c r="J540">
        <v>9.6189999999999998</v>
      </c>
      <c r="K540">
        <v>9.1069999999999993</v>
      </c>
      <c r="L540">
        <v>9.0190000000000001</v>
      </c>
    </row>
    <row r="541" spans="1:12" x14ac:dyDescent="0.35">
      <c r="A541" s="2">
        <v>44974</v>
      </c>
      <c r="B541" s="3">
        <v>9.42</v>
      </c>
      <c r="C541" s="3">
        <v>87.4</v>
      </c>
      <c r="D541" s="3">
        <v>162.75</v>
      </c>
      <c r="E541" s="3">
        <v>19.010000000000002</v>
      </c>
      <c r="F541" s="3">
        <v>43.75</v>
      </c>
      <c r="G541" s="3">
        <v>98.570975000000004</v>
      </c>
      <c r="H541" s="3">
        <v>94.509961000000004</v>
      </c>
      <c r="I541" s="3">
        <v>92.567040000000006</v>
      </c>
      <c r="J541">
        <v>9.6590000000000007</v>
      </c>
      <c r="K541">
        <v>9.1690000000000005</v>
      </c>
      <c r="L541">
        <v>9.0790000000000006</v>
      </c>
    </row>
    <row r="542" spans="1:12" x14ac:dyDescent="0.35">
      <c r="A542" s="2">
        <v>44977</v>
      </c>
      <c r="B542" s="3">
        <v>9.4499999999999993</v>
      </c>
      <c r="C542" s="3">
        <v>89.29</v>
      </c>
      <c r="D542" s="3">
        <v>163.06</v>
      </c>
      <c r="E542" s="3">
        <v>19.37</v>
      </c>
      <c r="F542" s="3">
        <v>43.86</v>
      </c>
      <c r="G542" s="3">
        <v>98.874821999999995</v>
      </c>
      <c r="H542" s="3">
        <v>94.256496999999996</v>
      </c>
      <c r="I542" s="3">
        <v>92.657450999999995</v>
      </c>
      <c r="J542">
        <v>9.7590000000000003</v>
      </c>
      <c r="K542">
        <v>9.2590000000000003</v>
      </c>
      <c r="L542">
        <v>9.1890000000000001</v>
      </c>
    </row>
    <row r="543" spans="1:12" x14ac:dyDescent="0.35">
      <c r="A543" s="2">
        <v>44978</v>
      </c>
      <c r="B543" s="3">
        <v>9.15</v>
      </c>
      <c r="C543" s="3">
        <v>87.92</v>
      </c>
      <c r="D543" s="3">
        <v>158.88999999999999</v>
      </c>
      <c r="E543" s="3">
        <v>18.96</v>
      </c>
      <c r="F543" s="3">
        <v>42.88</v>
      </c>
      <c r="G543" s="3">
        <v>98.156953999999999</v>
      </c>
      <c r="H543" s="3">
        <v>93.675117</v>
      </c>
      <c r="I543" s="3">
        <v>91.470624000000001</v>
      </c>
      <c r="J543">
        <v>10.009</v>
      </c>
      <c r="K543">
        <v>9.5190000000000001</v>
      </c>
      <c r="L543">
        <v>9.4489999999999998</v>
      </c>
    </row>
    <row r="544" spans="1:12" x14ac:dyDescent="0.35">
      <c r="A544" s="2">
        <v>44979</v>
      </c>
      <c r="B544" s="3">
        <v>9.0500000000000007</v>
      </c>
      <c r="C544" s="3">
        <v>86.48</v>
      </c>
      <c r="D544" s="3">
        <v>154.69999999999999</v>
      </c>
      <c r="E544" s="3">
        <v>19.14</v>
      </c>
      <c r="F544" s="3">
        <v>42.98</v>
      </c>
      <c r="G544" s="3">
        <v>97.172853000000003</v>
      </c>
      <c r="H544" s="3">
        <v>92.343475999999995</v>
      </c>
      <c r="I544" s="3">
        <v>90.044786000000002</v>
      </c>
      <c r="J544">
        <v>10.019</v>
      </c>
      <c r="K544">
        <v>9.4990000000000006</v>
      </c>
      <c r="L544">
        <v>9.3889999999999993</v>
      </c>
    </row>
    <row r="545" spans="1:12" x14ac:dyDescent="0.35">
      <c r="A545" s="2">
        <v>44980</v>
      </c>
      <c r="B545" s="3">
        <v>9.09</v>
      </c>
      <c r="C545" s="3">
        <v>87.26</v>
      </c>
      <c r="D545" s="3">
        <v>157.68</v>
      </c>
      <c r="E545" s="3">
        <v>18.829999999999998</v>
      </c>
      <c r="F545" s="3">
        <v>43.99</v>
      </c>
      <c r="G545" s="3">
        <v>97.841891000000004</v>
      </c>
      <c r="H545" s="3">
        <v>92.736654999999999</v>
      </c>
      <c r="I545" s="3">
        <v>90.636543000000003</v>
      </c>
      <c r="J545">
        <v>9.8989999999999991</v>
      </c>
      <c r="K545">
        <v>9.3889999999999993</v>
      </c>
      <c r="L545">
        <v>9.2789999999999999</v>
      </c>
    </row>
    <row r="546" spans="1:12" x14ac:dyDescent="0.35">
      <c r="A546" s="2">
        <v>44981</v>
      </c>
      <c r="B546" s="3">
        <v>8.89</v>
      </c>
      <c r="C546" s="3">
        <v>88.2</v>
      </c>
      <c r="D546" s="3">
        <v>156.72</v>
      </c>
      <c r="E546" s="3">
        <v>18.88</v>
      </c>
      <c r="F546" s="3">
        <v>43.15</v>
      </c>
      <c r="G546" s="3">
        <v>97.729315999999997</v>
      </c>
      <c r="H546" s="3">
        <v>93.246725999999995</v>
      </c>
      <c r="I546" s="3">
        <v>91.054338999999999</v>
      </c>
      <c r="J546">
        <v>9.9890000000000008</v>
      </c>
      <c r="K546">
        <v>9.4290000000000003</v>
      </c>
      <c r="L546">
        <v>9.2989999999999995</v>
      </c>
    </row>
    <row r="547" spans="1:12" x14ac:dyDescent="0.35">
      <c r="A547" s="2">
        <v>44984</v>
      </c>
      <c r="B547" s="3">
        <v>8.9700000000000006</v>
      </c>
      <c r="C547" s="3">
        <v>89.63</v>
      </c>
      <c r="D547" s="3">
        <v>156.16</v>
      </c>
      <c r="E547" s="3">
        <v>18.98</v>
      </c>
      <c r="F547" s="3">
        <v>42.51</v>
      </c>
      <c r="G547" s="3">
        <v>98.167137999999994</v>
      </c>
      <c r="H547" s="3">
        <v>93.705344999999994</v>
      </c>
      <c r="I547" s="3">
        <v>91.607380000000006</v>
      </c>
      <c r="J547">
        <v>9.9589999999999996</v>
      </c>
      <c r="K547">
        <v>9.3989999999999991</v>
      </c>
      <c r="L547">
        <v>9.2690000000000001</v>
      </c>
    </row>
    <row r="548" spans="1:12" x14ac:dyDescent="0.35">
      <c r="A548" s="2">
        <v>44985</v>
      </c>
      <c r="B548" s="3">
        <v>9.16</v>
      </c>
      <c r="C548" s="3">
        <v>86.85</v>
      </c>
      <c r="D548" s="3">
        <v>154.44</v>
      </c>
      <c r="E548" s="3">
        <v>18.98</v>
      </c>
      <c r="F548" s="3">
        <v>40.44</v>
      </c>
      <c r="G548" s="3">
        <v>97.687709999999996</v>
      </c>
      <c r="H548" s="3">
        <v>93.402012999999997</v>
      </c>
      <c r="I548" s="3">
        <v>91.298373999999995</v>
      </c>
      <c r="J548">
        <v>9.9749999999999996</v>
      </c>
      <c r="K548">
        <v>9.4390000000000001</v>
      </c>
      <c r="L548">
        <v>9.2989999999999995</v>
      </c>
    </row>
    <row r="549" spans="1:12" x14ac:dyDescent="0.35">
      <c r="A549" s="2">
        <v>44986</v>
      </c>
      <c r="B549" s="3">
        <v>9.3800000000000008</v>
      </c>
      <c r="C549" s="3">
        <v>86.98</v>
      </c>
      <c r="D549" s="3">
        <v>161.94</v>
      </c>
      <c r="E549" s="3">
        <v>19.059999999999999</v>
      </c>
      <c r="F549" s="3">
        <v>41.25</v>
      </c>
      <c r="G549" s="3">
        <v>97.257299000000003</v>
      </c>
      <c r="H549" s="3">
        <v>93.208495999999997</v>
      </c>
      <c r="I549" s="3">
        <v>90.597150999999997</v>
      </c>
      <c r="J549">
        <v>9.9990000000000006</v>
      </c>
      <c r="K549">
        <v>9.4990000000000006</v>
      </c>
      <c r="L549">
        <v>9.3190000000000008</v>
      </c>
    </row>
    <row r="550" spans="1:12" x14ac:dyDescent="0.35">
      <c r="A550" s="2">
        <v>44987</v>
      </c>
      <c r="B550" s="3">
        <v>9.8000000000000007</v>
      </c>
      <c r="C550" s="3">
        <v>87.89</v>
      </c>
      <c r="D550" s="3">
        <v>158.47</v>
      </c>
      <c r="E550" s="3">
        <v>18.91</v>
      </c>
      <c r="F550" s="3">
        <v>40.99</v>
      </c>
      <c r="G550" s="3">
        <v>97.287265000000005</v>
      </c>
      <c r="H550" s="3">
        <v>93.170616999999993</v>
      </c>
      <c r="I550" s="3">
        <v>90.600598000000005</v>
      </c>
      <c r="J550">
        <v>10</v>
      </c>
      <c r="K550">
        <v>9.5190000000000001</v>
      </c>
      <c r="L550">
        <v>9.359</v>
      </c>
    </row>
    <row r="551" spans="1:12" x14ac:dyDescent="0.35">
      <c r="A551" s="2">
        <v>44988</v>
      </c>
      <c r="B551" s="3">
        <v>10.130000000000001</v>
      </c>
      <c r="C551" s="3">
        <v>88.07</v>
      </c>
      <c r="D551" s="3">
        <v>159.84</v>
      </c>
      <c r="E551" s="3">
        <v>18.96</v>
      </c>
      <c r="F551" s="3">
        <v>40.86</v>
      </c>
      <c r="G551" s="3">
        <v>97.858147000000002</v>
      </c>
      <c r="H551" s="3">
        <v>93.736219000000006</v>
      </c>
      <c r="I551" s="3">
        <v>90.885563000000005</v>
      </c>
      <c r="J551">
        <v>9.9090000000000007</v>
      </c>
      <c r="K551">
        <v>9.4290000000000003</v>
      </c>
      <c r="L551">
        <v>9.2789999999999999</v>
      </c>
    </row>
    <row r="552" spans="1:12" x14ac:dyDescent="0.35">
      <c r="A552" s="2">
        <v>44991</v>
      </c>
      <c r="B552" s="3">
        <v>9.9600000000000009</v>
      </c>
      <c r="C552" s="3">
        <v>88.34</v>
      </c>
      <c r="D552" s="3">
        <v>160.87</v>
      </c>
      <c r="E552" s="3">
        <v>18.989999999999998</v>
      </c>
      <c r="F552" s="3">
        <v>41.3</v>
      </c>
      <c r="G552" s="3">
        <v>97.928754999999995</v>
      </c>
      <c r="H552" s="3">
        <v>93.379701999999995</v>
      </c>
      <c r="I552" s="3">
        <v>91.369482000000005</v>
      </c>
      <c r="J552">
        <v>9.86</v>
      </c>
      <c r="K552">
        <v>9.3989999999999991</v>
      </c>
      <c r="L552">
        <v>9.2789999999999999</v>
      </c>
    </row>
    <row r="553" spans="1:12" x14ac:dyDescent="0.35">
      <c r="A553" s="2">
        <v>44992</v>
      </c>
      <c r="B553" s="3">
        <v>9.6199999999999992</v>
      </c>
      <c r="C553" s="3">
        <v>86.29</v>
      </c>
      <c r="D553" s="3">
        <v>157.88</v>
      </c>
      <c r="E553" s="3">
        <v>18.8</v>
      </c>
      <c r="F553" s="3">
        <v>40.22</v>
      </c>
      <c r="G553" s="3">
        <v>97.908085999999997</v>
      </c>
      <c r="H553" s="3">
        <v>93.457261000000003</v>
      </c>
      <c r="I553" s="3">
        <v>91.194447999999994</v>
      </c>
      <c r="J553">
        <v>9.9689999999999994</v>
      </c>
      <c r="K553">
        <v>9.4990000000000006</v>
      </c>
      <c r="L553">
        <v>9.3689999999999998</v>
      </c>
    </row>
    <row r="554" spans="1:12" x14ac:dyDescent="0.35">
      <c r="A554" s="2">
        <v>44993</v>
      </c>
      <c r="B554" s="3">
        <v>9.66</v>
      </c>
      <c r="C554" s="3">
        <v>86.62</v>
      </c>
      <c r="D554" s="3">
        <v>160.41999999999999</v>
      </c>
      <c r="E554" s="3">
        <v>19.190000000000001</v>
      </c>
      <c r="F554" s="3">
        <v>40.44</v>
      </c>
      <c r="G554" s="3">
        <v>97.750883999999999</v>
      </c>
      <c r="H554" s="3">
        <v>93.048867999999999</v>
      </c>
      <c r="I554" s="3">
        <v>91.020060000000001</v>
      </c>
      <c r="J554">
        <v>10.039999999999999</v>
      </c>
      <c r="K554">
        <v>9.5289999999999999</v>
      </c>
      <c r="L554">
        <v>9.3789999999999996</v>
      </c>
    </row>
    <row r="555" spans="1:12" x14ac:dyDescent="0.35">
      <c r="A555" s="2">
        <v>44994</v>
      </c>
      <c r="B555" s="3">
        <v>9.59</v>
      </c>
      <c r="C555" s="3">
        <v>86.11</v>
      </c>
      <c r="D555" s="3">
        <v>163.08000000000001</v>
      </c>
      <c r="E555" s="3">
        <v>19.53</v>
      </c>
      <c r="F555" s="3">
        <v>40.21</v>
      </c>
      <c r="G555" s="3">
        <v>98.236165</v>
      </c>
      <c r="H555" s="3">
        <v>93.280962000000002</v>
      </c>
      <c r="I555" s="3">
        <v>91.154629</v>
      </c>
      <c r="J555">
        <v>9.77</v>
      </c>
      <c r="K555">
        <v>9.2089999999999996</v>
      </c>
      <c r="L555">
        <v>9.1189999999999998</v>
      </c>
    </row>
    <row r="556" spans="1:12" x14ac:dyDescent="0.35">
      <c r="A556" s="2">
        <v>44995</v>
      </c>
      <c r="B556" s="3">
        <v>9.25</v>
      </c>
      <c r="C556" s="3">
        <v>83.85</v>
      </c>
      <c r="D556" s="3">
        <v>152.41999999999999</v>
      </c>
      <c r="E556" s="3">
        <v>19.52</v>
      </c>
      <c r="F556" s="3">
        <v>40.5</v>
      </c>
      <c r="G556" s="3">
        <v>99.597305000000006</v>
      </c>
      <c r="H556" s="3">
        <v>94.554807999999994</v>
      </c>
      <c r="I556" s="3">
        <v>93.382261999999997</v>
      </c>
      <c r="J556">
        <v>9.5690000000000008</v>
      </c>
      <c r="K556">
        <v>9.109</v>
      </c>
      <c r="L556">
        <v>9.0289999999999999</v>
      </c>
    </row>
    <row r="557" spans="1:12" x14ac:dyDescent="0.35">
      <c r="A557" s="2">
        <v>44998</v>
      </c>
      <c r="B557" s="3">
        <v>9.44</v>
      </c>
      <c r="C557" s="3">
        <v>85.02</v>
      </c>
      <c r="D557" s="3">
        <v>149.11000000000001</v>
      </c>
      <c r="E557" s="3">
        <v>19.62</v>
      </c>
      <c r="F557" s="3">
        <v>40.4</v>
      </c>
      <c r="G557" s="3">
        <v>99.621816999999993</v>
      </c>
      <c r="H557" s="3">
        <v>94.578052999999997</v>
      </c>
      <c r="I557" s="3">
        <v>93.404971000000003</v>
      </c>
      <c r="J557">
        <v>9.73</v>
      </c>
      <c r="K557">
        <v>9.3000000000000007</v>
      </c>
      <c r="L557">
        <v>9.1999999999999993</v>
      </c>
    </row>
    <row r="558" spans="1:12" x14ac:dyDescent="0.35">
      <c r="A558" s="2">
        <v>44999</v>
      </c>
      <c r="B558" s="3">
        <v>9.3699999999999992</v>
      </c>
      <c r="C558" s="3">
        <v>85.11</v>
      </c>
      <c r="D558" s="3">
        <v>145.19999999999999</v>
      </c>
      <c r="E558" s="3">
        <v>19.47</v>
      </c>
      <c r="F558" s="3">
        <v>40.76</v>
      </c>
      <c r="G558" s="3">
        <v>99.275649000000001</v>
      </c>
      <c r="H558" s="3">
        <v>94.601303999999999</v>
      </c>
      <c r="I558" s="3">
        <v>92.550663</v>
      </c>
      <c r="J558">
        <v>9.6790000000000003</v>
      </c>
      <c r="K558">
        <v>9.2189999999999994</v>
      </c>
      <c r="L558">
        <v>9.0890000000000004</v>
      </c>
    </row>
    <row r="559" spans="1:12" x14ac:dyDescent="0.35">
      <c r="A559" s="2">
        <v>45000</v>
      </c>
      <c r="B559" s="3">
        <v>9.1999999999999993</v>
      </c>
      <c r="C559" s="3">
        <v>85.34</v>
      </c>
      <c r="D559" s="3">
        <v>138.28</v>
      </c>
      <c r="E559" s="3">
        <v>19.600000000000001</v>
      </c>
      <c r="F559" s="3">
        <v>39.9</v>
      </c>
      <c r="G559" s="3">
        <v>99.161784999999995</v>
      </c>
      <c r="H559" s="3">
        <v>94.734247999999994</v>
      </c>
      <c r="I559" s="3">
        <v>92.909409999999994</v>
      </c>
      <c r="J559">
        <v>9.5389999999999997</v>
      </c>
      <c r="K559">
        <v>9.1489999999999991</v>
      </c>
      <c r="L559">
        <v>9.0389999999999997</v>
      </c>
    </row>
    <row r="560" spans="1:12" x14ac:dyDescent="0.35">
      <c r="A560" s="2">
        <v>45001</v>
      </c>
      <c r="B560" s="3">
        <v>9.3000000000000007</v>
      </c>
      <c r="C560" s="3">
        <v>86.12</v>
      </c>
      <c r="D560" s="3">
        <v>149.03</v>
      </c>
      <c r="E560" s="3">
        <v>19.39</v>
      </c>
      <c r="F560" s="3">
        <v>40.020000000000003</v>
      </c>
      <c r="G560" s="3">
        <v>98.892930000000007</v>
      </c>
      <c r="H560" s="3">
        <v>94.280919999999995</v>
      </c>
      <c r="I560" s="3">
        <v>92.197609</v>
      </c>
      <c r="J560">
        <v>9.5990000000000002</v>
      </c>
      <c r="K560">
        <v>9.2189999999999994</v>
      </c>
      <c r="L560">
        <v>9.1389999999999993</v>
      </c>
    </row>
    <row r="561" spans="1:12" x14ac:dyDescent="0.35">
      <c r="A561" s="2">
        <v>45002</v>
      </c>
      <c r="B561" s="3">
        <v>9.18</v>
      </c>
      <c r="C561" s="3">
        <v>88.39</v>
      </c>
      <c r="D561" s="3">
        <v>144.52000000000001</v>
      </c>
      <c r="E561" s="3">
        <v>18.82</v>
      </c>
      <c r="F561" s="3">
        <v>39.729999999999997</v>
      </c>
      <c r="G561" s="3">
        <v>99.377476999999999</v>
      </c>
      <c r="H561" s="3">
        <v>94.576882999999995</v>
      </c>
      <c r="I561" s="3">
        <v>92.956143999999995</v>
      </c>
      <c r="J561">
        <v>9.4190000000000005</v>
      </c>
      <c r="K561">
        <v>9.109</v>
      </c>
      <c r="L561">
        <v>9.0489999999999995</v>
      </c>
    </row>
    <row r="562" spans="1:12" x14ac:dyDescent="0.35">
      <c r="A562" s="2">
        <v>45006</v>
      </c>
      <c r="B562" s="3">
        <v>9.32</v>
      </c>
      <c r="C562" s="3">
        <v>88.12</v>
      </c>
      <c r="D562" s="3">
        <v>150.63999999999999</v>
      </c>
      <c r="E562" s="3">
        <v>19.190000000000001</v>
      </c>
      <c r="F562" s="3">
        <v>39.64</v>
      </c>
      <c r="G562" s="3">
        <v>99.356092000000004</v>
      </c>
      <c r="H562" s="3">
        <v>94.382104999999996</v>
      </c>
      <c r="I562" s="3">
        <v>92.777565999999993</v>
      </c>
      <c r="J562">
        <v>9.5389999999999997</v>
      </c>
      <c r="K562">
        <v>9.2089999999999996</v>
      </c>
      <c r="L562">
        <v>9.1690000000000005</v>
      </c>
    </row>
    <row r="563" spans="1:12" x14ac:dyDescent="0.35">
      <c r="A563" s="2">
        <v>45007</v>
      </c>
      <c r="B563" s="3">
        <v>9.33</v>
      </c>
      <c r="C563" s="3">
        <v>87.62</v>
      </c>
      <c r="D563" s="3">
        <v>150.09</v>
      </c>
      <c r="E563" s="3">
        <v>19.16</v>
      </c>
      <c r="F563" s="3">
        <v>39.81</v>
      </c>
      <c r="G563" s="3">
        <v>99.334771000000003</v>
      </c>
      <c r="H563" s="3">
        <v>94.405484000000001</v>
      </c>
      <c r="I563" s="3">
        <v>92.599647000000004</v>
      </c>
      <c r="J563">
        <v>9.3490000000000002</v>
      </c>
      <c r="K563">
        <v>9.0090000000000003</v>
      </c>
      <c r="L563">
        <v>9.0090000000000003</v>
      </c>
    </row>
    <row r="564" spans="1:12" x14ac:dyDescent="0.35">
      <c r="A564" s="2">
        <v>45008</v>
      </c>
      <c r="B564" s="3">
        <v>9.43</v>
      </c>
      <c r="C564" s="3">
        <v>87.12</v>
      </c>
      <c r="D564" s="3">
        <v>152.16999999999999</v>
      </c>
      <c r="E564" s="3">
        <v>19.190000000000001</v>
      </c>
      <c r="F564" s="3">
        <v>39.93</v>
      </c>
      <c r="G564" s="3">
        <v>100.241062</v>
      </c>
      <c r="H564" s="3">
        <v>95.461483999999999</v>
      </c>
      <c r="I564" s="3">
        <v>93.339691000000002</v>
      </c>
      <c r="J564">
        <v>9.2590000000000003</v>
      </c>
      <c r="K564">
        <v>8.9390000000000001</v>
      </c>
      <c r="L564">
        <v>8.9190000000000005</v>
      </c>
    </row>
    <row r="565" spans="1:12" x14ac:dyDescent="0.35">
      <c r="A565" s="2">
        <v>45009</v>
      </c>
      <c r="B565" s="3">
        <v>9.24</v>
      </c>
      <c r="C565" s="3">
        <v>87.17</v>
      </c>
      <c r="D565" s="3">
        <v>149.01</v>
      </c>
      <c r="E565" s="3">
        <v>19.18</v>
      </c>
      <c r="F565" s="3">
        <v>39.92</v>
      </c>
      <c r="G565" s="3">
        <v>100.918683</v>
      </c>
      <c r="H565" s="3">
        <v>95.927045000000007</v>
      </c>
      <c r="I565" s="3">
        <v>94.245305999999999</v>
      </c>
      <c r="J565">
        <v>9.2289999999999992</v>
      </c>
      <c r="K565">
        <v>8.8689999999999998</v>
      </c>
      <c r="L565">
        <v>8.8789999999999996</v>
      </c>
    </row>
    <row r="566" spans="1:12" x14ac:dyDescent="0.35">
      <c r="A566" s="2">
        <v>45012</v>
      </c>
      <c r="B566" s="3">
        <v>9.2200000000000006</v>
      </c>
      <c r="C566" s="3">
        <v>88.38</v>
      </c>
      <c r="D566" s="3">
        <v>143.66</v>
      </c>
      <c r="E566" s="3">
        <v>19.190000000000001</v>
      </c>
      <c r="F566" s="3">
        <v>40.36</v>
      </c>
      <c r="G566" s="3">
        <v>100.70914399999999</v>
      </c>
      <c r="H566" s="3">
        <v>95.507868000000002</v>
      </c>
      <c r="I566" s="3">
        <v>94.404847000000004</v>
      </c>
      <c r="J566">
        <v>9.3190000000000008</v>
      </c>
      <c r="K566">
        <v>8.9789999999999992</v>
      </c>
      <c r="L566">
        <v>8.9789999999999992</v>
      </c>
    </row>
    <row r="567" spans="1:12" x14ac:dyDescent="0.35">
      <c r="A567" s="2">
        <v>45013</v>
      </c>
      <c r="B567" s="3">
        <v>9.35</v>
      </c>
      <c r="C567" s="3">
        <v>88.44</v>
      </c>
      <c r="D567" s="3">
        <v>142.56</v>
      </c>
      <c r="E567" s="3">
        <v>19.38</v>
      </c>
      <c r="F567" s="3">
        <v>40.840000000000003</v>
      </c>
      <c r="G567" s="3">
        <v>100.17537</v>
      </c>
      <c r="H567" s="3">
        <v>95.696572000000003</v>
      </c>
      <c r="I567" s="3">
        <v>94.086055000000002</v>
      </c>
      <c r="J567">
        <v>9.359</v>
      </c>
      <c r="K567">
        <v>9.0190000000000001</v>
      </c>
      <c r="L567">
        <v>8.9789999999999992</v>
      </c>
    </row>
    <row r="568" spans="1:12" x14ac:dyDescent="0.35">
      <c r="A568" s="2">
        <v>45014</v>
      </c>
      <c r="B568" s="3">
        <v>9.6999999999999993</v>
      </c>
      <c r="C568" s="3">
        <v>89.75</v>
      </c>
      <c r="D568" s="3">
        <v>149.31</v>
      </c>
      <c r="E568" s="3">
        <v>19.34</v>
      </c>
      <c r="F568" s="3">
        <v>41.67</v>
      </c>
      <c r="G568" s="3">
        <v>100.478393</v>
      </c>
      <c r="H568" s="3">
        <v>95.664544000000006</v>
      </c>
      <c r="I568" s="3">
        <v>93.836876000000004</v>
      </c>
      <c r="J568">
        <v>9.3089999999999993</v>
      </c>
      <c r="K568">
        <v>8.9190000000000005</v>
      </c>
      <c r="L568">
        <v>8.9290000000000003</v>
      </c>
    </row>
    <row r="569" spans="1:12" x14ac:dyDescent="0.35">
      <c r="A569" s="2">
        <v>45015</v>
      </c>
      <c r="B569" s="3">
        <v>9.7899999999999991</v>
      </c>
      <c r="C569" s="3">
        <v>91.89</v>
      </c>
      <c r="D569" s="3">
        <v>149.16999999999999</v>
      </c>
      <c r="E569" s="3">
        <v>19.32</v>
      </c>
      <c r="F569" s="3">
        <v>43.15</v>
      </c>
      <c r="G569" s="3">
        <v>100.830986</v>
      </c>
      <c r="H569" s="3">
        <v>96.010346999999996</v>
      </c>
      <c r="I569" s="3">
        <v>93.837486999999996</v>
      </c>
      <c r="J569">
        <v>9.1890000000000001</v>
      </c>
      <c r="K569">
        <v>8.8290000000000006</v>
      </c>
      <c r="L569">
        <v>8.8390000000000004</v>
      </c>
    </row>
    <row r="570" spans="1:12" x14ac:dyDescent="0.35">
      <c r="A570" s="2">
        <v>45016</v>
      </c>
      <c r="B570" s="3">
        <v>9.89</v>
      </c>
      <c r="C570" s="3">
        <v>90.68</v>
      </c>
      <c r="D570" s="3">
        <v>151.9</v>
      </c>
      <c r="E570" s="3">
        <v>18.93</v>
      </c>
      <c r="F570" s="3">
        <v>43.16</v>
      </c>
      <c r="G570" s="3">
        <v>101.46351300000001</v>
      </c>
      <c r="H570" s="3">
        <v>96.644727000000003</v>
      </c>
      <c r="I570" s="3">
        <v>95.090795999999997</v>
      </c>
      <c r="J570">
        <v>9.109</v>
      </c>
      <c r="K570">
        <v>8.8390000000000004</v>
      </c>
      <c r="L570">
        <v>8.8290000000000006</v>
      </c>
    </row>
    <row r="571" spans="1:12" x14ac:dyDescent="0.35">
      <c r="A571" s="2">
        <v>45019</v>
      </c>
      <c r="B571" s="3">
        <v>9.75</v>
      </c>
      <c r="C571" s="3">
        <v>90.14</v>
      </c>
      <c r="D571" s="3">
        <v>150.71</v>
      </c>
      <c r="E571" s="3">
        <v>18.97</v>
      </c>
      <c r="F571" s="3">
        <v>43.3</v>
      </c>
      <c r="G571" s="3">
        <v>101.206532</v>
      </c>
      <c r="H571" s="3">
        <v>96.333783999999994</v>
      </c>
      <c r="I571" s="3">
        <v>94.975661000000002</v>
      </c>
      <c r="J571">
        <v>9.1590000000000007</v>
      </c>
      <c r="K571">
        <v>8.8889999999999993</v>
      </c>
      <c r="L571">
        <v>8.8789999999999996</v>
      </c>
    </row>
    <row r="572" spans="1:12" x14ac:dyDescent="0.35">
      <c r="A572" s="2">
        <v>45020</v>
      </c>
      <c r="B572" s="3">
        <v>9.77</v>
      </c>
      <c r="C572" s="3">
        <v>90.82</v>
      </c>
      <c r="D572" s="3">
        <v>152.44</v>
      </c>
      <c r="E572" s="3">
        <v>19.27</v>
      </c>
      <c r="F572" s="3">
        <v>43.71</v>
      </c>
      <c r="G572" s="3">
        <v>101.32803199999999</v>
      </c>
      <c r="H572" s="3">
        <v>96.504800000000003</v>
      </c>
      <c r="I572" s="3">
        <v>95.503151000000003</v>
      </c>
      <c r="J572">
        <v>9.0990000000000002</v>
      </c>
      <c r="K572">
        <v>8.8190000000000008</v>
      </c>
      <c r="L572">
        <v>8.8190000000000008</v>
      </c>
    </row>
    <row r="573" spans="1:12" x14ac:dyDescent="0.35">
      <c r="A573" s="2">
        <v>45021</v>
      </c>
      <c r="B573" s="3">
        <v>9.58</v>
      </c>
      <c r="C573" s="3">
        <v>90.4</v>
      </c>
      <c r="D573" s="3">
        <v>149.61000000000001</v>
      </c>
      <c r="E573" s="3">
        <v>19.21</v>
      </c>
      <c r="F573" s="3">
        <v>42.65</v>
      </c>
      <c r="G573" s="3">
        <v>101.492526</v>
      </c>
      <c r="H573" s="3">
        <v>96.805937999999998</v>
      </c>
      <c r="I573" s="3">
        <v>95.387566000000007</v>
      </c>
      <c r="J573">
        <v>9.1300000000000008</v>
      </c>
      <c r="K573">
        <v>8.8290000000000006</v>
      </c>
      <c r="L573">
        <v>8.8490000000000002</v>
      </c>
    </row>
    <row r="574" spans="1:12" x14ac:dyDescent="0.35">
      <c r="A574" s="2">
        <v>45026</v>
      </c>
      <c r="B574" s="3">
        <v>9.82</v>
      </c>
      <c r="C574" s="3">
        <v>90.84</v>
      </c>
      <c r="D574" s="3">
        <v>149.27000000000001</v>
      </c>
      <c r="E574" s="3">
        <v>19.420000000000002</v>
      </c>
      <c r="F574" s="3">
        <v>43.43</v>
      </c>
      <c r="G574" s="3">
        <v>101.65718099999999</v>
      </c>
      <c r="H574" s="3">
        <v>96.717678000000006</v>
      </c>
      <c r="I574" s="3">
        <v>95.548488000000006</v>
      </c>
      <c r="J574">
        <v>9.23</v>
      </c>
      <c r="K574">
        <v>8.8390000000000004</v>
      </c>
      <c r="L574">
        <v>8.8290000000000006</v>
      </c>
    </row>
    <row r="575" spans="1:12" x14ac:dyDescent="0.35">
      <c r="A575" s="2">
        <v>45027</v>
      </c>
      <c r="B575" s="3">
        <v>10.039999999999999</v>
      </c>
      <c r="C575" s="3">
        <v>91.95</v>
      </c>
      <c r="D575" s="3">
        <v>149.66</v>
      </c>
      <c r="E575" s="3">
        <v>19.350000000000001</v>
      </c>
      <c r="F575" s="3">
        <v>43.71</v>
      </c>
      <c r="G575" s="3">
        <v>101.401003</v>
      </c>
      <c r="H575" s="3">
        <v>96.740759999999995</v>
      </c>
      <c r="I575" s="3">
        <v>95.640376000000003</v>
      </c>
      <c r="J575">
        <v>9.24</v>
      </c>
      <c r="K575">
        <v>8.8290000000000006</v>
      </c>
      <c r="L575">
        <v>8.7789999999999999</v>
      </c>
    </row>
    <row r="576" spans="1:12" x14ac:dyDescent="0.35">
      <c r="A576" s="2">
        <v>45028</v>
      </c>
      <c r="B576" s="3">
        <v>10.19</v>
      </c>
      <c r="C576" s="3">
        <v>90.95</v>
      </c>
      <c r="D576" s="3">
        <v>145.69</v>
      </c>
      <c r="E576" s="3">
        <v>19.43</v>
      </c>
      <c r="F576" s="3">
        <v>43.41</v>
      </c>
      <c r="G576" s="3">
        <v>101.47198899999999</v>
      </c>
      <c r="H576" s="3">
        <v>97.042320000000004</v>
      </c>
      <c r="I576" s="3">
        <v>95.732320999999999</v>
      </c>
      <c r="J576">
        <v>9.2100000000000009</v>
      </c>
      <c r="K576">
        <v>8.8490000000000002</v>
      </c>
      <c r="L576">
        <v>8.7789999999999999</v>
      </c>
    </row>
    <row r="577" spans="1:12" x14ac:dyDescent="0.35">
      <c r="A577" s="2">
        <v>45029</v>
      </c>
      <c r="B577" s="3">
        <v>10.74</v>
      </c>
      <c r="C577" s="3">
        <v>91.58</v>
      </c>
      <c r="D577" s="3">
        <v>147.58000000000001</v>
      </c>
      <c r="E577" s="3">
        <v>19.5</v>
      </c>
      <c r="F577" s="3">
        <v>43.82</v>
      </c>
      <c r="G577" s="3">
        <v>101.544982</v>
      </c>
      <c r="H577" s="3">
        <v>97.167212000000006</v>
      </c>
      <c r="I577" s="3">
        <v>95.592817999999994</v>
      </c>
      <c r="J577">
        <v>9.25</v>
      </c>
      <c r="K577">
        <v>8.8789999999999996</v>
      </c>
      <c r="L577">
        <v>8.8290000000000006</v>
      </c>
    </row>
    <row r="578" spans="1:12" x14ac:dyDescent="0.35">
      <c r="A578" s="2">
        <v>45030</v>
      </c>
      <c r="B578" s="3">
        <v>10.79</v>
      </c>
      <c r="C578" s="3">
        <v>90.38</v>
      </c>
      <c r="D578" s="3">
        <v>147.83000000000001</v>
      </c>
      <c r="E578" s="3">
        <v>19.41</v>
      </c>
      <c r="F578" s="3">
        <v>43.9</v>
      </c>
      <c r="G578" s="3">
        <v>101.15103000000001</v>
      </c>
      <c r="H578" s="3">
        <v>96.911816999999999</v>
      </c>
      <c r="I578" s="3">
        <v>95.065239000000005</v>
      </c>
      <c r="J578">
        <v>9.3000000000000007</v>
      </c>
      <c r="K578">
        <v>8.9290000000000003</v>
      </c>
      <c r="L578">
        <v>8.8689999999999998</v>
      </c>
    </row>
    <row r="579" spans="1:12" x14ac:dyDescent="0.35">
      <c r="A579" s="2">
        <v>45033</v>
      </c>
      <c r="B579" s="3">
        <v>10.84</v>
      </c>
      <c r="C579" s="3">
        <v>92.25</v>
      </c>
      <c r="D579" s="3">
        <v>150.28</v>
      </c>
      <c r="E579" s="3">
        <v>19.64</v>
      </c>
      <c r="F579" s="3">
        <v>45.15</v>
      </c>
      <c r="G579" s="3">
        <v>100.71350700000001</v>
      </c>
      <c r="H579" s="3">
        <v>96.712978000000007</v>
      </c>
      <c r="I579" s="3">
        <v>94.678246000000001</v>
      </c>
      <c r="J579">
        <v>9.39</v>
      </c>
      <c r="K579">
        <v>8.9990000000000006</v>
      </c>
      <c r="L579">
        <v>8.9390000000000001</v>
      </c>
    </row>
    <row r="580" spans="1:12" x14ac:dyDescent="0.35">
      <c r="A580" s="2">
        <v>45034</v>
      </c>
      <c r="B580" s="3">
        <v>10.65</v>
      </c>
      <c r="C580" s="3">
        <v>90.93</v>
      </c>
      <c r="D580" s="3">
        <v>149.74</v>
      </c>
      <c r="E580" s="3">
        <v>19.57</v>
      </c>
      <c r="F580" s="3">
        <v>45.68</v>
      </c>
      <c r="G580" s="3">
        <v>100.96874699999999</v>
      </c>
      <c r="H580" s="3">
        <v>97.013605999999996</v>
      </c>
      <c r="I580" s="3">
        <v>95.042364000000006</v>
      </c>
      <c r="J580">
        <v>9.36</v>
      </c>
      <c r="K580">
        <v>9.0090000000000003</v>
      </c>
      <c r="L580">
        <v>8.9090000000000007</v>
      </c>
    </row>
    <row r="581" spans="1:12" x14ac:dyDescent="0.35">
      <c r="A581" s="2">
        <v>45035</v>
      </c>
      <c r="B581" s="3">
        <v>10.63</v>
      </c>
      <c r="C581" s="3">
        <v>90.73</v>
      </c>
      <c r="D581" s="3">
        <v>152.68</v>
      </c>
      <c r="E581" s="3">
        <v>19.03</v>
      </c>
      <c r="F581" s="3">
        <v>46.56</v>
      </c>
      <c r="G581" s="3">
        <v>100.762817</v>
      </c>
      <c r="H581" s="3">
        <v>96.482934999999998</v>
      </c>
      <c r="I581" s="3">
        <v>95.065173999999999</v>
      </c>
      <c r="J581">
        <v>9.44</v>
      </c>
      <c r="K581">
        <v>9.0690000000000008</v>
      </c>
      <c r="L581">
        <v>8.9689999999999994</v>
      </c>
    </row>
    <row r="582" spans="1:12" x14ac:dyDescent="0.35">
      <c r="A582" s="2">
        <v>45036</v>
      </c>
      <c r="B582" s="3">
        <v>10.47</v>
      </c>
      <c r="C582" s="3">
        <v>93.07</v>
      </c>
      <c r="D582" s="3">
        <v>152.33000000000001</v>
      </c>
      <c r="E582" s="3">
        <v>19.22</v>
      </c>
      <c r="F582" s="3">
        <v>46.41</v>
      </c>
      <c r="G582" s="3">
        <v>100.974913</v>
      </c>
      <c r="H582" s="3">
        <v>96.332448999999997</v>
      </c>
      <c r="I582" s="3">
        <v>95.065279000000004</v>
      </c>
      <c r="J582">
        <v>9.39</v>
      </c>
      <c r="K582">
        <v>9.0389999999999997</v>
      </c>
      <c r="L582">
        <v>8.9290000000000003</v>
      </c>
    </row>
    <row r="583" spans="1:12" x14ac:dyDescent="0.35">
      <c r="A583" s="2">
        <v>45037</v>
      </c>
      <c r="B583" s="3">
        <v>10.37</v>
      </c>
      <c r="C583" s="3">
        <v>92.46</v>
      </c>
      <c r="D583" s="3">
        <v>151.69</v>
      </c>
      <c r="E583" s="3">
        <v>19.350000000000001</v>
      </c>
      <c r="F583" s="3">
        <v>45.99</v>
      </c>
      <c r="G583" s="3">
        <v>100.90749599999999</v>
      </c>
      <c r="H583" s="3">
        <v>96.465738999999999</v>
      </c>
      <c r="I583" s="3">
        <v>94.883488999999997</v>
      </c>
      <c r="J583">
        <v>9.34</v>
      </c>
      <c r="K583">
        <v>8.9990000000000006</v>
      </c>
      <c r="L583">
        <v>8.9290000000000003</v>
      </c>
    </row>
    <row r="584" spans="1:12" x14ac:dyDescent="0.35">
      <c r="A584" s="2">
        <v>45040</v>
      </c>
      <c r="B584" s="3">
        <v>10.4</v>
      </c>
      <c r="C584" s="3">
        <v>93.07</v>
      </c>
      <c r="D584" s="3">
        <v>158.01</v>
      </c>
      <c r="E584" s="3">
        <v>19.309999999999999</v>
      </c>
      <c r="F584" s="3">
        <v>46.48</v>
      </c>
      <c r="G584" s="3">
        <v>101.43962999999999</v>
      </c>
      <c r="H584" s="3">
        <v>96.544064000000006</v>
      </c>
      <c r="I584" s="3">
        <v>94.906361000000004</v>
      </c>
      <c r="J584">
        <v>9.25</v>
      </c>
      <c r="K584">
        <v>8.9390000000000001</v>
      </c>
      <c r="L584">
        <v>8.8889999999999993</v>
      </c>
    </row>
    <row r="585" spans="1:12" x14ac:dyDescent="0.35">
      <c r="A585" s="2">
        <v>45041</v>
      </c>
      <c r="B585" s="3">
        <v>10.51</v>
      </c>
      <c r="C585" s="3">
        <v>92.47</v>
      </c>
      <c r="D585" s="3">
        <v>156.78</v>
      </c>
      <c r="E585" s="3">
        <v>19.05</v>
      </c>
      <c r="F585" s="3">
        <v>45.85</v>
      </c>
      <c r="G585" s="3">
        <v>101.603059</v>
      </c>
      <c r="H585" s="3">
        <v>96.843121999999994</v>
      </c>
      <c r="I585" s="3">
        <v>95.339005999999998</v>
      </c>
      <c r="J585">
        <v>9.15</v>
      </c>
      <c r="K585">
        <v>8.8490000000000002</v>
      </c>
      <c r="L585">
        <v>8.8390000000000004</v>
      </c>
    </row>
    <row r="586" spans="1:12" x14ac:dyDescent="0.35">
      <c r="A586" s="2">
        <v>45042</v>
      </c>
      <c r="B586" s="3">
        <v>10.53</v>
      </c>
      <c r="C586" s="3">
        <v>91.89</v>
      </c>
      <c r="D586" s="3">
        <v>151.13</v>
      </c>
      <c r="E586" s="3">
        <v>19.059999999999999</v>
      </c>
      <c r="F586" s="3">
        <v>45.5</v>
      </c>
      <c r="G586" s="3">
        <v>101.72024399999999</v>
      </c>
      <c r="H586" s="3">
        <v>97.143096</v>
      </c>
      <c r="I586" s="3">
        <v>95.088419999999999</v>
      </c>
      <c r="J586">
        <v>9.1300000000000008</v>
      </c>
      <c r="K586">
        <v>8.8089999999999993</v>
      </c>
      <c r="L586">
        <v>8.7789999999999999</v>
      </c>
    </row>
    <row r="587" spans="1:12" x14ac:dyDescent="0.35">
      <c r="A587" s="2">
        <v>45043</v>
      </c>
      <c r="B587" s="3">
        <v>10.62</v>
      </c>
      <c r="C587" s="3">
        <v>93.33</v>
      </c>
      <c r="D587" s="3">
        <v>153.35</v>
      </c>
      <c r="E587" s="3">
        <v>19.14</v>
      </c>
      <c r="F587" s="3">
        <v>46.08</v>
      </c>
      <c r="G587" s="3">
        <v>102.049994</v>
      </c>
      <c r="H587" s="3">
        <v>97.457714999999993</v>
      </c>
      <c r="I587" s="3">
        <v>95.043709000000007</v>
      </c>
      <c r="J587">
        <v>9.18</v>
      </c>
      <c r="K587">
        <v>8.8089999999999993</v>
      </c>
      <c r="L587">
        <v>8.8089999999999993</v>
      </c>
    </row>
    <row r="588" spans="1:12" x14ac:dyDescent="0.35">
      <c r="A588" s="2">
        <v>45044</v>
      </c>
      <c r="B588" s="3">
        <v>10.8</v>
      </c>
      <c r="C588" s="3">
        <v>96.3</v>
      </c>
      <c r="D588" s="3">
        <v>155.47999999999999</v>
      </c>
      <c r="E588" s="3">
        <v>19.39</v>
      </c>
      <c r="F588" s="3">
        <v>48.18</v>
      </c>
      <c r="G588" s="3">
        <v>102.16731900000001</v>
      </c>
      <c r="H588" s="3">
        <v>97.258943000000002</v>
      </c>
      <c r="I588" s="3">
        <v>95.476066000000003</v>
      </c>
      <c r="J588">
        <v>9.15</v>
      </c>
      <c r="K588">
        <v>8.7690000000000001</v>
      </c>
      <c r="L588">
        <v>8.7789999999999999</v>
      </c>
    </row>
    <row r="589" spans="1:12" x14ac:dyDescent="0.35">
      <c r="A589" s="2">
        <v>45048</v>
      </c>
      <c r="B589" s="3">
        <v>11.47</v>
      </c>
      <c r="C589" s="3">
        <v>95.59</v>
      </c>
      <c r="D589" s="3">
        <v>155.71</v>
      </c>
      <c r="E589" s="3">
        <v>19.239999999999998</v>
      </c>
      <c r="F589" s="3">
        <v>49.18</v>
      </c>
      <c r="G589" s="3">
        <v>102.471063</v>
      </c>
      <c r="H589" s="3">
        <v>97.559545999999997</v>
      </c>
      <c r="I589" s="3">
        <v>95.773223000000002</v>
      </c>
      <c r="J589">
        <v>9.17</v>
      </c>
      <c r="K589">
        <v>8.7889999999999997</v>
      </c>
      <c r="L589">
        <v>8.7889999999999997</v>
      </c>
    </row>
    <row r="590" spans="1:12" x14ac:dyDescent="0.35">
      <c r="A590" s="2">
        <v>45049</v>
      </c>
      <c r="B590" s="3">
        <v>11.29</v>
      </c>
      <c r="C590" s="3">
        <v>95.25</v>
      </c>
      <c r="D590" s="3">
        <v>155.77000000000001</v>
      </c>
      <c r="E590" s="3">
        <v>19.190000000000001</v>
      </c>
      <c r="F590" s="3">
        <v>50.06</v>
      </c>
      <c r="G590" s="3">
        <v>102.40212200000001</v>
      </c>
      <c r="H590" s="3">
        <v>97.527119999999996</v>
      </c>
      <c r="I590" s="3">
        <v>95.727386999999993</v>
      </c>
      <c r="J590">
        <v>9.16</v>
      </c>
      <c r="K590">
        <v>8.7690000000000001</v>
      </c>
      <c r="L590">
        <v>8.7789999999999999</v>
      </c>
    </row>
    <row r="591" spans="1:12" x14ac:dyDescent="0.35">
      <c r="A591" s="2">
        <v>45050</v>
      </c>
      <c r="B591" s="3">
        <v>11.31</v>
      </c>
      <c r="C591" s="3">
        <v>97.38</v>
      </c>
      <c r="D591" s="3">
        <v>153.46</v>
      </c>
      <c r="E591" s="3">
        <v>19.07</v>
      </c>
      <c r="F591" s="3">
        <v>51.03</v>
      </c>
      <c r="G591" s="3">
        <v>102.708027</v>
      </c>
      <c r="H591" s="3">
        <v>97.652090000000001</v>
      </c>
      <c r="I591" s="3">
        <v>95.795941999999997</v>
      </c>
      <c r="J591">
        <v>9.1199999999999992</v>
      </c>
      <c r="K591">
        <v>8.7490000000000006</v>
      </c>
      <c r="L591">
        <v>8.7490000000000006</v>
      </c>
    </row>
    <row r="592" spans="1:12" x14ac:dyDescent="0.35">
      <c r="A592" s="2">
        <v>45051</v>
      </c>
      <c r="B592" s="3">
        <v>11.67</v>
      </c>
      <c r="C592" s="3">
        <v>98.96</v>
      </c>
      <c r="D592" s="3">
        <v>152.91</v>
      </c>
      <c r="E592" s="3">
        <v>18.84</v>
      </c>
      <c r="F592" s="3">
        <v>51.37</v>
      </c>
      <c r="G592" s="3">
        <v>102.592445</v>
      </c>
      <c r="H592" s="3">
        <v>97.841997000000006</v>
      </c>
      <c r="I592" s="3">
        <v>96.369774000000007</v>
      </c>
      <c r="J592">
        <v>9.16</v>
      </c>
      <c r="K592">
        <v>8.7590000000000003</v>
      </c>
      <c r="L592">
        <v>8.7590000000000003</v>
      </c>
    </row>
    <row r="593" spans="1:12" x14ac:dyDescent="0.35">
      <c r="A593" s="2">
        <v>45054</v>
      </c>
      <c r="B593" s="3">
        <v>11.63</v>
      </c>
      <c r="C593" s="3">
        <v>97.82</v>
      </c>
      <c r="D593" s="3">
        <v>155.21</v>
      </c>
      <c r="E593" s="3">
        <v>18.71</v>
      </c>
      <c r="F593" s="3">
        <v>51.03</v>
      </c>
      <c r="G593" s="3">
        <v>102.52369400000001</v>
      </c>
      <c r="H593" s="3">
        <v>97.809499000000002</v>
      </c>
      <c r="I593" s="3">
        <v>96.185467000000003</v>
      </c>
      <c r="J593">
        <v>9.1999999999999993</v>
      </c>
      <c r="K593">
        <v>8.7989999999999995</v>
      </c>
      <c r="L593">
        <v>8.8089999999999993</v>
      </c>
    </row>
    <row r="594" spans="1:12" x14ac:dyDescent="0.35">
      <c r="A594" s="2">
        <v>45055</v>
      </c>
      <c r="B594" s="3">
        <v>11.95</v>
      </c>
      <c r="C594" s="3">
        <v>97.91</v>
      </c>
      <c r="D594" s="3">
        <v>157.56</v>
      </c>
      <c r="E594" s="3">
        <v>18.62</v>
      </c>
      <c r="F594" s="3">
        <v>51.4</v>
      </c>
      <c r="G594" s="3">
        <v>102.501561</v>
      </c>
      <c r="H594" s="3">
        <v>97.610642999999996</v>
      </c>
      <c r="I594" s="3">
        <v>96.139408000000003</v>
      </c>
      <c r="J594">
        <v>9.1199999999999992</v>
      </c>
      <c r="K594">
        <v>8.77</v>
      </c>
      <c r="L594">
        <v>8.77</v>
      </c>
    </row>
    <row r="595" spans="1:12" x14ac:dyDescent="0.35">
      <c r="A595" s="2">
        <v>45056</v>
      </c>
      <c r="B595" s="3">
        <v>11.56</v>
      </c>
      <c r="C595" s="3">
        <v>98.56</v>
      </c>
      <c r="D595" s="3">
        <v>157.15</v>
      </c>
      <c r="E595" s="3">
        <v>19.23</v>
      </c>
      <c r="F595" s="3">
        <v>52.89</v>
      </c>
      <c r="G595" s="3">
        <v>102.758432</v>
      </c>
      <c r="H595" s="3">
        <v>97.800228000000004</v>
      </c>
      <c r="I595" s="3">
        <v>96.507327000000004</v>
      </c>
      <c r="J595">
        <v>9.06</v>
      </c>
      <c r="K595">
        <v>8.73</v>
      </c>
      <c r="L595">
        <v>8.73</v>
      </c>
    </row>
    <row r="596" spans="1:12" x14ac:dyDescent="0.35">
      <c r="A596" s="2">
        <v>45057</v>
      </c>
      <c r="B596" s="3">
        <v>11.64</v>
      </c>
      <c r="C596" s="3">
        <v>96.46</v>
      </c>
      <c r="D596" s="3">
        <v>152.38</v>
      </c>
      <c r="E596" s="3">
        <v>19.53</v>
      </c>
      <c r="F596" s="3">
        <v>53.44</v>
      </c>
      <c r="G596" s="3">
        <v>102.92438300000001</v>
      </c>
      <c r="H596" s="3">
        <v>98.092004000000003</v>
      </c>
      <c r="I596" s="3">
        <v>96.575747000000007</v>
      </c>
      <c r="J596">
        <v>9.06</v>
      </c>
      <c r="K596">
        <v>8.73</v>
      </c>
      <c r="L596">
        <v>8.73</v>
      </c>
    </row>
    <row r="597" spans="1:12" x14ac:dyDescent="0.35">
      <c r="A597" s="2">
        <v>45058</v>
      </c>
      <c r="B597" s="3">
        <v>11.59</v>
      </c>
      <c r="C597" s="3">
        <v>96.68</v>
      </c>
      <c r="D597" s="3">
        <v>149.30000000000001</v>
      </c>
      <c r="E597" s="3">
        <v>19.45</v>
      </c>
      <c r="F597" s="3">
        <v>53.51</v>
      </c>
      <c r="G597" s="3">
        <v>102.62338800000001</v>
      </c>
      <c r="H597" s="3">
        <v>98.170788999999999</v>
      </c>
      <c r="I597" s="3">
        <v>96.391423000000003</v>
      </c>
      <c r="J597">
        <v>9.1199999999999992</v>
      </c>
      <c r="K597">
        <v>8.76</v>
      </c>
      <c r="L597">
        <v>8.76</v>
      </c>
    </row>
    <row r="598" spans="1:12" x14ac:dyDescent="0.35">
      <c r="A598" s="2">
        <v>45061</v>
      </c>
      <c r="B598" s="3">
        <v>11.43</v>
      </c>
      <c r="C598" s="3">
        <v>96.04</v>
      </c>
      <c r="D598" s="3">
        <v>152.35</v>
      </c>
      <c r="E598" s="3">
        <v>19.89</v>
      </c>
      <c r="F598" s="3">
        <v>54.3</v>
      </c>
      <c r="G598" s="3">
        <v>102.740533</v>
      </c>
      <c r="H598" s="3">
        <v>97.860635000000002</v>
      </c>
      <c r="I598" s="3">
        <v>96.345374000000007</v>
      </c>
      <c r="J598">
        <v>9.0500000000000007</v>
      </c>
      <c r="K598">
        <v>8.73</v>
      </c>
      <c r="L598">
        <v>8.73</v>
      </c>
    </row>
    <row r="599" spans="1:12" x14ac:dyDescent="0.35">
      <c r="A599" s="2">
        <v>45062</v>
      </c>
      <c r="B599" s="3">
        <v>11.53</v>
      </c>
      <c r="C599" s="3">
        <v>94.62</v>
      </c>
      <c r="D599" s="3">
        <v>148.5</v>
      </c>
      <c r="E599" s="3">
        <v>20.07</v>
      </c>
      <c r="F599" s="3">
        <v>53.74</v>
      </c>
      <c r="G599" s="3">
        <v>102.857727</v>
      </c>
      <c r="H599" s="3">
        <v>98.217026000000004</v>
      </c>
      <c r="I599" s="3">
        <v>96.36824</v>
      </c>
      <c r="J599">
        <v>9.11</v>
      </c>
      <c r="K599">
        <v>8.75</v>
      </c>
      <c r="L599">
        <v>8.74</v>
      </c>
    </row>
    <row r="600" spans="1:12" x14ac:dyDescent="0.35">
      <c r="A600" s="2">
        <v>45063</v>
      </c>
      <c r="B600" s="3">
        <v>11.59</v>
      </c>
      <c r="C600" s="3">
        <v>92.88</v>
      </c>
      <c r="D600" s="3">
        <v>148.43</v>
      </c>
      <c r="E600" s="3">
        <v>20.059999999999999</v>
      </c>
      <c r="F600" s="3">
        <v>53.17</v>
      </c>
      <c r="G600" s="3">
        <v>102.83564</v>
      </c>
      <c r="H600" s="3">
        <v>98.128949000000006</v>
      </c>
      <c r="I600" s="3">
        <v>96.459992</v>
      </c>
      <c r="J600">
        <v>9.11</v>
      </c>
      <c r="K600">
        <v>8.73</v>
      </c>
      <c r="L600">
        <v>8.73</v>
      </c>
    </row>
    <row r="601" spans="1:12" x14ac:dyDescent="0.35">
      <c r="A601" s="2">
        <v>45064</v>
      </c>
      <c r="B601" s="3">
        <v>11.64</v>
      </c>
      <c r="C601" s="3">
        <v>94.05</v>
      </c>
      <c r="D601" s="3">
        <v>149.75</v>
      </c>
      <c r="E601" s="3">
        <v>19.89</v>
      </c>
      <c r="F601" s="3">
        <v>51.62</v>
      </c>
      <c r="G601" s="3">
        <v>102.816058</v>
      </c>
      <c r="H601" s="3">
        <v>98.142939999999996</v>
      </c>
      <c r="I601" s="3">
        <v>96.116516000000004</v>
      </c>
      <c r="J601">
        <v>9.1449999999999996</v>
      </c>
      <c r="K601">
        <v>8.7550000000000008</v>
      </c>
      <c r="L601">
        <v>8.7550000000000008</v>
      </c>
    </row>
    <row r="602" spans="1:12" x14ac:dyDescent="0.35">
      <c r="A602" s="2">
        <v>45065</v>
      </c>
      <c r="B602" s="3">
        <v>11.5</v>
      </c>
      <c r="C602" s="3">
        <v>93</v>
      </c>
      <c r="D602" s="3">
        <v>145.33000000000001</v>
      </c>
      <c r="E602" s="3">
        <v>19.25</v>
      </c>
      <c r="F602" s="3">
        <v>52.77</v>
      </c>
      <c r="G602" s="3">
        <v>102.93307900000001</v>
      </c>
      <c r="H602" s="3">
        <v>98.055276000000006</v>
      </c>
      <c r="I602" s="3">
        <v>96.551492999999994</v>
      </c>
      <c r="J602">
        <v>9.2249999999999996</v>
      </c>
      <c r="K602">
        <v>8.8149999999999995</v>
      </c>
      <c r="L602">
        <v>8.8049999999999997</v>
      </c>
    </row>
    <row r="603" spans="1:12" x14ac:dyDescent="0.35">
      <c r="A603" s="2">
        <v>45068</v>
      </c>
      <c r="B603" s="3">
        <v>11.32</v>
      </c>
      <c r="C603" s="3">
        <v>90.82</v>
      </c>
      <c r="D603" s="3">
        <v>143.5</v>
      </c>
      <c r="E603" s="3">
        <v>19.04</v>
      </c>
      <c r="F603" s="3">
        <v>52.96</v>
      </c>
      <c r="G603" s="3">
        <v>102.72618799999999</v>
      </c>
      <c r="H603" s="3">
        <v>97.857339999999994</v>
      </c>
      <c r="I603" s="3">
        <v>96.299453999999997</v>
      </c>
      <c r="J603">
        <v>9.2750000000000004</v>
      </c>
      <c r="K603">
        <v>8.875</v>
      </c>
      <c r="L603">
        <v>8.8450000000000006</v>
      </c>
    </row>
    <row r="604" spans="1:12" x14ac:dyDescent="0.35">
      <c r="A604" s="2">
        <v>45069</v>
      </c>
      <c r="B604" s="3">
        <v>11.05</v>
      </c>
      <c r="C604" s="3">
        <v>91.01</v>
      </c>
      <c r="D604" s="3">
        <v>142.11000000000001</v>
      </c>
      <c r="E604" s="3">
        <v>19.16</v>
      </c>
      <c r="F604" s="3">
        <v>51.79</v>
      </c>
      <c r="G604" s="3">
        <v>102.244416</v>
      </c>
      <c r="H604" s="3">
        <v>97.605160999999995</v>
      </c>
      <c r="I604" s="3">
        <v>95.707866999999993</v>
      </c>
      <c r="J604">
        <v>9.2949999999999999</v>
      </c>
      <c r="K604">
        <v>8.9149999999999991</v>
      </c>
      <c r="L604">
        <v>8.9049999999999994</v>
      </c>
    </row>
    <row r="605" spans="1:12" x14ac:dyDescent="0.35">
      <c r="A605" s="2">
        <v>45070</v>
      </c>
      <c r="B605" s="3">
        <v>10.98</v>
      </c>
      <c r="C605" s="3">
        <v>92.13</v>
      </c>
      <c r="D605" s="3">
        <v>145.44999999999999</v>
      </c>
      <c r="E605" s="3">
        <v>19.02</v>
      </c>
      <c r="F605" s="3">
        <v>51.39</v>
      </c>
      <c r="G605" s="3">
        <v>102.17740000000001</v>
      </c>
      <c r="H605" s="3">
        <v>97.354139000000004</v>
      </c>
      <c r="I605" s="3">
        <v>95.391901000000004</v>
      </c>
      <c r="J605">
        <v>9.3249999999999993</v>
      </c>
      <c r="K605">
        <v>8.9350000000000005</v>
      </c>
      <c r="L605">
        <v>8.9250000000000007</v>
      </c>
    </row>
    <row r="606" spans="1:12" x14ac:dyDescent="0.35">
      <c r="A606" s="2">
        <v>45071</v>
      </c>
      <c r="B606" s="3">
        <v>11.1</v>
      </c>
      <c r="C606" s="3">
        <v>93.53</v>
      </c>
      <c r="D606" s="3">
        <v>147.41999999999999</v>
      </c>
      <c r="E606" s="3">
        <v>19.59</v>
      </c>
      <c r="F606" s="3">
        <v>50.49</v>
      </c>
      <c r="G606" s="3">
        <v>102.114324</v>
      </c>
      <c r="H606" s="3">
        <v>97.260385999999997</v>
      </c>
      <c r="I606" s="3">
        <v>95.528765000000007</v>
      </c>
      <c r="J606">
        <v>9.4049999999999994</v>
      </c>
      <c r="K606">
        <v>8.9949999999999992</v>
      </c>
      <c r="L606">
        <v>8.9849999999999994</v>
      </c>
    </row>
    <row r="607" spans="1:12" x14ac:dyDescent="0.35">
      <c r="A607" s="2">
        <v>45072</v>
      </c>
      <c r="B607" s="3">
        <v>11.08</v>
      </c>
      <c r="C607" s="3">
        <v>94.23</v>
      </c>
      <c r="D607" s="3">
        <v>151.47</v>
      </c>
      <c r="E607" s="3">
        <v>19.760000000000002</v>
      </c>
      <c r="F607" s="3">
        <v>51.74</v>
      </c>
      <c r="G607" s="3">
        <v>102.002214</v>
      </c>
      <c r="H607" s="3">
        <v>96.956992</v>
      </c>
      <c r="I607" s="3">
        <v>95.484217000000001</v>
      </c>
      <c r="J607">
        <v>9.3350000000000009</v>
      </c>
      <c r="K607">
        <v>8.9450000000000003</v>
      </c>
      <c r="L607">
        <v>8.9450000000000003</v>
      </c>
    </row>
    <row r="608" spans="1:12" x14ac:dyDescent="0.35">
      <c r="A608" s="2">
        <v>45075</v>
      </c>
      <c r="B608" s="3">
        <v>10.91</v>
      </c>
      <c r="C608" s="3">
        <v>93.67</v>
      </c>
      <c r="D608" s="3">
        <v>151.25</v>
      </c>
      <c r="E608" s="3">
        <v>20.149999999999999</v>
      </c>
      <c r="F608" s="3">
        <v>51.12</v>
      </c>
      <c r="G608" s="3">
        <v>102.027019</v>
      </c>
      <c r="H608" s="3">
        <v>96.980543999999995</v>
      </c>
      <c r="I608" s="3">
        <v>95.507310000000004</v>
      </c>
      <c r="J608">
        <v>9.2949999999999999</v>
      </c>
      <c r="K608">
        <v>8.8949999999999996</v>
      </c>
      <c r="L608">
        <v>8.8849999999999998</v>
      </c>
    </row>
    <row r="609" spans="1:12" x14ac:dyDescent="0.35">
      <c r="A609" s="2">
        <v>45076</v>
      </c>
      <c r="B609" s="3">
        <v>10.56</v>
      </c>
      <c r="C609" s="3">
        <v>92.74</v>
      </c>
      <c r="D609" s="3">
        <v>148.47999999999999</v>
      </c>
      <c r="E609" s="3">
        <v>19.399999999999999</v>
      </c>
      <c r="F609" s="3">
        <v>50.55</v>
      </c>
      <c r="G609" s="3">
        <v>102.554467</v>
      </c>
      <c r="H609" s="3">
        <v>97.658986999999996</v>
      </c>
      <c r="I609" s="3">
        <v>96.141305000000003</v>
      </c>
      <c r="J609">
        <v>9.2650000000000006</v>
      </c>
      <c r="K609">
        <v>8.8350000000000009</v>
      </c>
      <c r="L609">
        <v>8.8249999999999993</v>
      </c>
    </row>
    <row r="610" spans="1:12" x14ac:dyDescent="0.35">
      <c r="A610" s="2">
        <v>45077</v>
      </c>
      <c r="B610" s="3">
        <v>10.64</v>
      </c>
      <c r="C610" s="3">
        <v>94.56</v>
      </c>
      <c r="D610" s="3">
        <v>141.79</v>
      </c>
      <c r="E610" s="3">
        <v>18.88</v>
      </c>
      <c r="F610" s="3">
        <v>51.31</v>
      </c>
      <c r="G610" s="3">
        <v>102.900531</v>
      </c>
      <c r="H610" s="3">
        <v>97.956929000000002</v>
      </c>
      <c r="I610" s="3">
        <v>96.643192999999997</v>
      </c>
      <c r="J610">
        <v>9.2439999999999998</v>
      </c>
      <c r="K610">
        <v>8.7940000000000005</v>
      </c>
      <c r="L610">
        <v>8.7940000000000005</v>
      </c>
    </row>
    <row r="611" spans="1:12" x14ac:dyDescent="0.35">
      <c r="A611" s="2">
        <v>45078</v>
      </c>
      <c r="B611" s="3">
        <v>10.63</v>
      </c>
      <c r="C611" s="3">
        <v>92.88</v>
      </c>
      <c r="D611" s="3">
        <v>140.87</v>
      </c>
      <c r="E611" s="3">
        <v>18.989999999999998</v>
      </c>
      <c r="F611" s="3">
        <v>51.23</v>
      </c>
      <c r="G611" s="3">
        <v>102.744664</v>
      </c>
      <c r="H611" s="3">
        <v>98.192094999999995</v>
      </c>
      <c r="I611" s="3">
        <v>96.438162000000005</v>
      </c>
      <c r="J611">
        <v>9.2940000000000005</v>
      </c>
      <c r="K611">
        <v>8.8239999999999998</v>
      </c>
      <c r="L611">
        <v>8.8040000000000003</v>
      </c>
    </row>
    <row r="612" spans="1:12" x14ac:dyDescent="0.35">
      <c r="A612" s="2">
        <v>45079</v>
      </c>
      <c r="B612" s="3">
        <v>11.14</v>
      </c>
      <c r="C612" s="3">
        <v>92.49</v>
      </c>
      <c r="D612" s="3">
        <v>141.28</v>
      </c>
      <c r="E612" s="3">
        <v>19.11</v>
      </c>
      <c r="F612" s="3">
        <v>50.94</v>
      </c>
      <c r="G612" s="3">
        <v>102.49489800000001</v>
      </c>
      <c r="H612" s="3">
        <v>98.105349000000004</v>
      </c>
      <c r="I612" s="3">
        <v>96.052368000000001</v>
      </c>
      <c r="J612">
        <v>9.3840000000000003</v>
      </c>
      <c r="K612">
        <v>8.9139999999999997</v>
      </c>
      <c r="L612">
        <v>8.8740000000000006</v>
      </c>
    </row>
    <row r="613" spans="1:12" x14ac:dyDescent="0.35">
      <c r="A613" s="2">
        <v>45082</v>
      </c>
      <c r="B613" s="3">
        <v>11.17</v>
      </c>
      <c r="C613" s="3">
        <v>92.43</v>
      </c>
      <c r="D613" s="3">
        <v>142.19999999999999</v>
      </c>
      <c r="E613" s="3">
        <v>19.09</v>
      </c>
      <c r="F613" s="3">
        <v>51.1</v>
      </c>
      <c r="G613" s="3">
        <v>102.61095899999999</v>
      </c>
      <c r="H613" s="3">
        <v>97.799537999999998</v>
      </c>
      <c r="I613" s="3">
        <v>96.279517999999996</v>
      </c>
      <c r="J613">
        <v>9.3640000000000008</v>
      </c>
      <c r="K613">
        <v>8.8840000000000003</v>
      </c>
      <c r="L613">
        <v>8.8539999999999992</v>
      </c>
    </row>
    <row r="614" spans="1:12" x14ac:dyDescent="0.35">
      <c r="A614" s="2">
        <v>45083</v>
      </c>
      <c r="B614" s="3">
        <v>11.66</v>
      </c>
      <c r="C614" s="3">
        <v>92.37</v>
      </c>
      <c r="D614" s="3">
        <v>146.11000000000001</v>
      </c>
      <c r="E614" s="3">
        <v>19.489999999999998</v>
      </c>
      <c r="F614" s="3">
        <v>51.27</v>
      </c>
      <c r="G614" s="3">
        <v>98.475583999999998</v>
      </c>
      <c r="H614" s="3">
        <v>94.014463000000006</v>
      </c>
      <c r="I614" s="3">
        <v>92.657523999999995</v>
      </c>
      <c r="J614">
        <v>9.2940000000000005</v>
      </c>
      <c r="K614">
        <v>8.8840000000000003</v>
      </c>
      <c r="L614">
        <v>8.8140000000000001</v>
      </c>
    </row>
    <row r="615" spans="1:12" x14ac:dyDescent="0.35">
      <c r="A615" s="2">
        <v>45084</v>
      </c>
      <c r="B615" s="3">
        <v>11.91</v>
      </c>
      <c r="C615" s="3">
        <v>91.39</v>
      </c>
      <c r="D615" s="3">
        <v>143.52000000000001</v>
      </c>
      <c r="E615" s="3">
        <v>19.309999999999999</v>
      </c>
      <c r="F615" s="3">
        <v>51.28</v>
      </c>
      <c r="G615" s="3">
        <v>98.134162000000003</v>
      </c>
      <c r="H615" s="3">
        <v>94.146625</v>
      </c>
      <c r="I615" s="3">
        <v>92.134748000000002</v>
      </c>
      <c r="J615">
        <v>9.3239999999999998</v>
      </c>
      <c r="K615">
        <v>8.8940000000000001</v>
      </c>
      <c r="L615">
        <v>8.8840000000000003</v>
      </c>
    </row>
    <row r="616" spans="1:12" x14ac:dyDescent="0.35">
      <c r="A616" s="2">
        <v>45085</v>
      </c>
      <c r="B616" s="3">
        <v>12</v>
      </c>
      <c r="C616" s="3">
        <v>92.83</v>
      </c>
      <c r="D616" s="3">
        <v>139.79</v>
      </c>
      <c r="E616" s="3">
        <v>19.600000000000001</v>
      </c>
      <c r="F616" s="3">
        <v>52.86</v>
      </c>
      <c r="G616" s="3">
        <v>98.707346000000001</v>
      </c>
      <c r="H616" s="3">
        <v>94.488765999999998</v>
      </c>
      <c r="I616" s="3">
        <v>92.201245</v>
      </c>
      <c r="J616">
        <v>9.2140000000000004</v>
      </c>
      <c r="K616">
        <v>8.8239999999999998</v>
      </c>
      <c r="L616">
        <v>8.8239999999999998</v>
      </c>
    </row>
    <row r="617" spans="1:12" x14ac:dyDescent="0.35">
      <c r="A617" s="2">
        <v>45086</v>
      </c>
      <c r="B617" s="3">
        <v>12.06</v>
      </c>
      <c r="C617" s="3">
        <v>94.22</v>
      </c>
      <c r="D617" s="3">
        <v>140.87</v>
      </c>
      <c r="E617" s="3">
        <v>19.37</v>
      </c>
      <c r="F617" s="3">
        <v>55.34</v>
      </c>
      <c r="G617" s="3">
        <v>98.868345000000005</v>
      </c>
      <c r="H617" s="3">
        <v>94.291382999999996</v>
      </c>
      <c r="I617" s="3">
        <v>92.563289999999995</v>
      </c>
      <c r="J617">
        <v>9.2439999999999998</v>
      </c>
      <c r="K617">
        <v>8.8740000000000006</v>
      </c>
      <c r="L617">
        <v>8.8740000000000006</v>
      </c>
    </row>
    <row r="618" spans="1:12" x14ac:dyDescent="0.35">
      <c r="A618" s="2">
        <v>45089</v>
      </c>
      <c r="B618" s="3">
        <v>11.99</v>
      </c>
      <c r="C618" s="3">
        <v>92.88</v>
      </c>
      <c r="D618" s="3">
        <v>141.94999999999999</v>
      </c>
      <c r="E618" s="3">
        <v>19.14</v>
      </c>
      <c r="F618" s="3">
        <v>57.25</v>
      </c>
      <c r="G618" s="3">
        <v>98.571819000000005</v>
      </c>
      <c r="H618" s="3">
        <v>94.040075999999999</v>
      </c>
      <c r="I618" s="3">
        <v>92.313434000000001</v>
      </c>
      <c r="J618">
        <v>9.234</v>
      </c>
      <c r="K618">
        <v>8.8640000000000008</v>
      </c>
      <c r="L618">
        <v>8.8539999999999992</v>
      </c>
    </row>
    <row r="619" spans="1:12" x14ac:dyDescent="0.35">
      <c r="A619" s="2">
        <v>45090</v>
      </c>
      <c r="B619" s="3">
        <v>12.31</v>
      </c>
      <c r="C619" s="3">
        <v>91.57</v>
      </c>
      <c r="D619" s="3">
        <v>143.16</v>
      </c>
      <c r="E619" s="3">
        <v>19.09</v>
      </c>
      <c r="F619" s="3">
        <v>57.43</v>
      </c>
      <c r="G619" s="3">
        <v>98.732481000000007</v>
      </c>
      <c r="H619" s="3">
        <v>94.226732999999996</v>
      </c>
      <c r="I619" s="3">
        <v>92.539484000000002</v>
      </c>
      <c r="J619">
        <v>9.2439999999999998</v>
      </c>
      <c r="K619">
        <v>8.8740000000000006</v>
      </c>
      <c r="L619">
        <v>8.8539999999999992</v>
      </c>
    </row>
    <row r="620" spans="1:12" x14ac:dyDescent="0.35">
      <c r="A620" s="2">
        <v>45091</v>
      </c>
      <c r="B620" s="3">
        <v>12.5</v>
      </c>
      <c r="C620" s="3">
        <v>93.51</v>
      </c>
      <c r="D620" s="3">
        <v>143.32</v>
      </c>
      <c r="E620" s="3">
        <v>19.239999999999998</v>
      </c>
      <c r="F620" s="3">
        <v>58.01</v>
      </c>
      <c r="G620" s="3">
        <v>98.710452000000004</v>
      </c>
      <c r="H620" s="3">
        <v>94.194513000000001</v>
      </c>
      <c r="I620" s="3">
        <v>92.561643000000004</v>
      </c>
      <c r="J620">
        <v>9.2539999999999996</v>
      </c>
      <c r="K620">
        <v>8.8640000000000008</v>
      </c>
      <c r="L620">
        <v>8.8339999999999996</v>
      </c>
    </row>
    <row r="621" spans="1:12" x14ac:dyDescent="0.35">
      <c r="A621" s="2">
        <v>45092</v>
      </c>
      <c r="B621" s="3">
        <v>12.54</v>
      </c>
      <c r="C621" s="3">
        <v>93.03</v>
      </c>
      <c r="D621" s="3">
        <v>145.11000000000001</v>
      </c>
      <c r="E621" s="3">
        <v>19.03</v>
      </c>
      <c r="F621" s="3">
        <v>58.44</v>
      </c>
      <c r="G621" s="3">
        <v>98.918412000000004</v>
      </c>
      <c r="H621" s="3">
        <v>94.316817999999998</v>
      </c>
      <c r="I621" s="3">
        <v>92.969121000000001</v>
      </c>
      <c r="J621">
        <v>9.2140000000000004</v>
      </c>
      <c r="K621">
        <v>8.8040000000000003</v>
      </c>
      <c r="L621">
        <v>8.7840000000000007</v>
      </c>
    </row>
    <row r="622" spans="1:12" x14ac:dyDescent="0.35">
      <c r="A622" s="2">
        <v>45093</v>
      </c>
      <c r="B622" s="3">
        <v>12.4</v>
      </c>
      <c r="C622" s="3">
        <v>92.13</v>
      </c>
      <c r="D622" s="3">
        <v>143.94</v>
      </c>
      <c r="E622" s="3">
        <v>18.73</v>
      </c>
      <c r="F622" s="3">
        <v>58.26</v>
      </c>
      <c r="G622" s="3">
        <v>99.033450000000002</v>
      </c>
      <c r="H622" s="3">
        <v>94.668313999999995</v>
      </c>
      <c r="I622" s="3">
        <v>93.196627000000007</v>
      </c>
      <c r="J622">
        <v>9.2240000000000002</v>
      </c>
      <c r="K622">
        <v>8.85</v>
      </c>
      <c r="L622">
        <v>8.8230000000000004</v>
      </c>
    </row>
    <row r="623" spans="1:12" x14ac:dyDescent="0.35">
      <c r="A623" s="2">
        <v>45096</v>
      </c>
      <c r="B623" s="3">
        <v>12.34</v>
      </c>
      <c r="C623" s="3">
        <v>92.08</v>
      </c>
      <c r="D623" s="3">
        <v>143.91999999999999</v>
      </c>
      <c r="E623" s="3">
        <v>18.899999999999999</v>
      </c>
      <c r="F623" s="3">
        <v>59.31</v>
      </c>
      <c r="G623" s="3">
        <v>99.148537000000005</v>
      </c>
      <c r="H623" s="3">
        <v>94.635865999999993</v>
      </c>
      <c r="I623" s="3">
        <v>93.355980000000002</v>
      </c>
      <c r="J623">
        <v>9.2240000000000002</v>
      </c>
      <c r="K623">
        <v>8.8040000000000003</v>
      </c>
      <c r="L623">
        <v>8.7940000000000005</v>
      </c>
    </row>
    <row r="624" spans="1:12" x14ac:dyDescent="0.35">
      <c r="A624" s="2">
        <v>45097</v>
      </c>
      <c r="B624" s="3">
        <v>12.08</v>
      </c>
      <c r="C624" s="3">
        <v>92.18</v>
      </c>
      <c r="D624" s="3">
        <v>140.69999999999999</v>
      </c>
      <c r="E624" s="3">
        <v>18.87</v>
      </c>
      <c r="F624" s="3">
        <v>59.76</v>
      </c>
      <c r="G624" s="3">
        <v>99.309489999999997</v>
      </c>
      <c r="H624" s="3">
        <v>94.658350999999996</v>
      </c>
      <c r="I624" s="3">
        <v>93.172362000000007</v>
      </c>
      <c r="J624">
        <v>9.1739999999999995</v>
      </c>
      <c r="K624">
        <v>8.7739999999999991</v>
      </c>
      <c r="L624">
        <v>8.7639999999999993</v>
      </c>
    </row>
    <row r="625" spans="1:12" x14ac:dyDescent="0.35">
      <c r="A625" s="2">
        <v>45098</v>
      </c>
      <c r="B625" s="3">
        <v>12.06</v>
      </c>
      <c r="C625" s="3">
        <v>92.21</v>
      </c>
      <c r="D625" s="3">
        <v>139.30000000000001</v>
      </c>
      <c r="E625" s="3">
        <v>18.73</v>
      </c>
      <c r="F625" s="3">
        <v>59.89</v>
      </c>
      <c r="G625" s="3">
        <v>99.333033</v>
      </c>
      <c r="H625" s="3">
        <v>94.845637999999994</v>
      </c>
      <c r="I625" s="3">
        <v>93.537670000000006</v>
      </c>
      <c r="J625">
        <v>9.1639999999999997</v>
      </c>
      <c r="K625">
        <v>8.7439999999999998</v>
      </c>
      <c r="L625">
        <v>8.7439999999999998</v>
      </c>
    </row>
    <row r="626" spans="1:12" x14ac:dyDescent="0.35">
      <c r="A626" s="2">
        <v>45099</v>
      </c>
      <c r="B626" s="3">
        <v>11.86</v>
      </c>
      <c r="C626" s="3">
        <v>91.56</v>
      </c>
      <c r="D626" s="3">
        <v>137.29</v>
      </c>
      <c r="E626" s="3">
        <v>18.5</v>
      </c>
      <c r="F626" s="3">
        <v>59.63</v>
      </c>
      <c r="G626" s="3">
        <v>99.816669000000005</v>
      </c>
      <c r="H626" s="3">
        <v>95.243503000000004</v>
      </c>
      <c r="I626" s="3">
        <v>93.948728000000003</v>
      </c>
      <c r="J626">
        <v>9.0739999999999998</v>
      </c>
      <c r="K626">
        <v>8.6639999999999997</v>
      </c>
      <c r="L626">
        <v>8.6739999999999995</v>
      </c>
    </row>
    <row r="627" spans="1:12" x14ac:dyDescent="0.35">
      <c r="A627" s="2">
        <v>45100</v>
      </c>
      <c r="B627" s="3">
        <v>11.89</v>
      </c>
      <c r="C627" s="3">
        <v>91.94</v>
      </c>
      <c r="D627" s="3">
        <v>137.97</v>
      </c>
      <c r="E627" s="3">
        <v>18.54</v>
      </c>
      <c r="F627" s="3">
        <v>58.22</v>
      </c>
      <c r="G627" s="3">
        <v>100.20886</v>
      </c>
      <c r="H627" s="3">
        <v>95.431652</v>
      </c>
      <c r="I627" s="3">
        <v>94.386700000000005</v>
      </c>
      <c r="J627">
        <v>8.9640000000000004</v>
      </c>
      <c r="K627">
        <v>8.5640000000000001</v>
      </c>
      <c r="L627">
        <v>8.5739999999999998</v>
      </c>
    </row>
    <row r="628" spans="1:12" x14ac:dyDescent="0.35">
      <c r="A628" s="2">
        <v>45103</v>
      </c>
      <c r="B628" s="3">
        <v>11.84</v>
      </c>
      <c r="C628" s="3">
        <v>90.82</v>
      </c>
      <c r="D628" s="3">
        <v>137.6</v>
      </c>
      <c r="E628" s="3">
        <v>18.48</v>
      </c>
      <c r="F628" s="3">
        <v>57.67</v>
      </c>
      <c r="G628" s="3">
        <v>100.370842</v>
      </c>
      <c r="H628" s="3">
        <v>96.009050000000002</v>
      </c>
      <c r="I628" s="3">
        <v>94.687331999999998</v>
      </c>
      <c r="J628">
        <v>8.9039999999999999</v>
      </c>
      <c r="K628">
        <v>8.5440000000000005</v>
      </c>
      <c r="L628">
        <v>8.5440000000000005</v>
      </c>
    </row>
    <row r="629" spans="1:12" x14ac:dyDescent="0.35">
      <c r="A629" s="2">
        <v>45104</v>
      </c>
      <c r="B629" s="3">
        <v>12.09</v>
      </c>
      <c r="C629" s="3">
        <v>91.22</v>
      </c>
      <c r="D629" s="3">
        <v>139.55000000000001</v>
      </c>
      <c r="E629" s="3">
        <v>18.829999999999998</v>
      </c>
      <c r="F629" s="3">
        <v>57.49</v>
      </c>
      <c r="G629" s="3">
        <v>100.20931299999999</v>
      </c>
      <c r="H629" s="3">
        <v>95.864397999999994</v>
      </c>
      <c r="I629" s="3">
        <v>94.500292999999999</v>
      </c>
      <c r="J629">
        <v>8.9540000000000006</v>
      </c>
      <c r="K629">
        <v>8.5839999999999996</v>
      </c>
      <c r="L629">
        <v>8.5839999999999996</v>
      </c>
    </row>
    <row r="630" spans="1:12" x14ac:dyDescent="0.35">
      <c r="A630" s="2">
        <v>45105</v>
      </c>
      <c r="B630" s="3">
        <v>11.88</v>
      </c>
      <c r="C630" s="3">
        <v>90.82</v>
      </c>
      <c r="D630" s="3">
        <v>139.46</v>
      </c>
      <c r="E630" s="3">
        <v>18.73</v>
      </c>
      <c r="F630" s="3">
        <v>55.97</v>
      </c>
      <c r="G630" s="3">
        <v>100.371146</v>
      </c>
      <c r="H630" s="3">
        <v>95.997890999999996</v>
      </c>
      <c r="I630" s="3">
        <v>94.591916999999995</v>
      </c>
      <c r="J630">
        <v>8.9640000000000004</v>
      </c>
      <c r="K630">
        <v>8.5939999999999994</v>
      </c>
      <c r="L630">
        <v>8.5739999999999998</v>
      </c>
    </row>
    <row r="631" spans="1:12" x14ac:dyDescent="0.35">
      <c r="A631" s="2">
        <v>45106</v>
      </c>
      <c r="B631" s="3">
        <v>11.97</v>
      </c>
      <c r="C631" s="3">
        <v>91.04</v>
      </c>
      <c r="D631" s="3">
        <v>142.04</v>
      </c>
      <c r="E631" s="3">
        <v>18.8</v>
      </c>
      <c r="F631" s="3">
        <v>56.8</v>
      </c>
      <c r="G631" s="3">
        <v>99.934869000000006</v>
      </c>
      <c r="H631" s="3">
        <v>95.510731000000007</v>
      </c>
      <c r="I631" s="3">
        <v>93.211331000000001</v>
      </c>
      <c r="J631">
        <v>9.0739999999999998</v>
      </c>
      <c r="K631">
        <v>8.7140000000000004</v>
      </c>
      <c r="L631">
        <v>8.7040000000000006</v>
      </c>
    </row>
    <row r="632" spans="1:12" x14ac:dyDescent="0.35">
      <c r="A632" s="2">
        <v>45107</v>
      </c>
      <c r="B632" s="3">
        <v>12.1</v>
      </c>
      <c r="C632" s="3">
        <v>91.65</v>
      </c>
      <c r="D632" s="3">
        <v>141.21</v>
      </c>
      <c r="E632" s="3">
        <v>18.600000000000001</v>
      </c>
      <c r="F632" s="3">
        <v>55.51</v>
      </c>
      <c r="G632" s="3">
        <v>99.638024999999999</v>
      </c>
      <c r="H632" s="3">
        <v>95.422860999999997</v>
      </c>
      <c r="I632" s="3">
        <v>93.781053</v>
      </c>
      <c r="J632">
        <v>9.1240000000000006</v>
      </c>
      <c r="K632">
        <v>8.7140000000000004</v>
      </c>
      <c r="L632">
        <v>8.6739999999999995</v>
      </c>
    </row>
    <row r="633" spans="1:12" x14ac:dyDescent="0.35">
      <c r="A633" s="2">
        <v>45110</v>
      </c>
      <c r="B633" s="3">
        <v>12.14</v>
      </c>
      <c r="C633" s="3">
        <v>92.8</v>
      </c>
      <c r="D633" s="3">
        <v>142.18</v>
      </c>
      <c r="E633" s="3">
        <v>18.64</v>
      </c>
      <c r="F633" s="3">
        <v>56.68</v>
      </c>
      <c r="G633" s="3">
        <v>99.844438999999994</v>
      </c>
      <c r="H633" s="3">
        <v>95.555563000000006</v>
      </c>
      <c r="I633" s="3">
        <v>94.354989000000003</v>
      </c>
      <c r="J633">
        <v>9.1639999999999997</v>
      </c>
      <c r="K633">
        <v>8.7439999999999998</v>
      </c>
      <c r="L633">
        <v>8.6940000000000008</v>
      </c>
    </row>
    <row r="634" spans="1:12" x14ac:dyDescent="0.35">
      <c r="A634" s="2">
        <v>45111</v>
      </c>
      <c r="B634" s="3">
        <v>12.11</v>
      </c>
      <c r="C634" s="3">
        <v>92.25</v>
      </c>
      <c r="D634" s="3">
        <v>141.05000000000001</v>
      </c>
      <c r="E634" s="3">
        <v>18.61</v>
      </c>
      <c r="F634" s="3">
        <v>56.71</v>
      </c>
      <c r="G634" s="3">
        <v>99.776544999999999</v>
      </c>
      <c r="H634" s="3">
        <v>95.522850000000005</v>
      </c>
      <c r="I634" s="3">
        <v>94.238743999999997</v>
      </c>
      <c r="J634">
        <v>9.2140000000000004</v>
      </c>
      <c r="K634">
        <v>8.7840000000000007</v>
      </c>
      <c r="L634">
        <v>8.734</v>
      </c>
    </row>
    <row r="635" spans="1:12" x14ac:dyDescent="0.35">
      <c r="A635" s="2">
        <v>45112</v>
      </c>
      <c r="B635" s="3">
        <v>11.9</v>
      </c>
      <c r="C635" s="3">
        <v>91.15</v>
      </c>
      <c r="D635" s="3">
        <v>146.15</v>
      </c>
      <c r="E635" s="3">
        <v>18.55</v>
      </c>
      <c r="F635" s="3">
        <v>58.62</v>
      </c>
      <c r="G635" s="3">
        <v>99.390117000000004</v>
      </c>
      <c r="H635" s="3">
        <v>95.380160000000004</v>
      </c>
      <c r="I635" s="3">
        <v>93.573352999999997</v>
      </c>
      <c r="J635">
        <v>9.2639999999999993</v>
      </c>
      <c r="K635">
        <v>8.8339999999999996</v>
      </c>
      <c r="L635">
        <v>8.7639999999999993</v>
      </c>
    </row>
    <row r="636" spans="1:12" x14ac:dyDescent="0.35">
      <c r="A636" s="2">
        <v>45113</v>
      </c>
      <c r="B636" s="3">
        <v>11.35</v>
      </c>
      <c r="C636" s="3">
        <v>89.06</v>
      </c>
      <c r="D636" s="3">
        <v>144.51</v>
      </c>
      <c r="E636" s="3">
        <v>18.52</v>
      </c>
      <c r="F636" s="3">
        <v>57.86</v>
      </c>
      <c r="G636" s="3">
        <v>98.918468000000004</v>
      </c>
      <c r="H636" s="3">
        <v>95.173404000000005</v>
      </c>
      <c r="I636" s="3">
        <v>92.824203999999995</v>
      </c>
      <c r="J636">
        <v>9.39</v>
      </c>
      <c r="K636">
        <v>8.9550000000000001</v>
      </c>
      <c r="L636">
        <v>8.9049999999999994</v>
      </c>
    </row>
    <row r="637" spans="1:12" x14ac:dyDescent="0.35">
      <c r="A637" s="2">
        <v>45114</v>
      </c>
      <c r="B637" s="3">
        <v>11.54</v>
      </c>
      <c r="C637" s="3">
        <v>88.62</v>
      </c>
      <c r="D637" s="3">
        <v>147.47999999999999</v>
      </c>
      <c r="E637" s="3">
        <v>18.559999999999999</v>
      </c>
      <c r="F637" s="3">
        <v>58.21</v>
      </c>
      <c r="G637" s="3">
        <v>99.032572999999999</v>
      </c>
      <c r="H637" s="3">
        <v>94.650654000000003</v>
      </c>
      <c r="I637" s="3">
        <v>92.981808000000001</v>
      </c>
      <c r="J637">
        <v>9.4540000000000006</v>
      </c>
      <c r="K637">
        <v>8.984</v>
      </c>
      <c r="L637">
        <v>8.9239999999999995</v>
      </c>
    </row>
    <row r="638" spans="1:12" x14ac:dyDescent="0.35">
      <c r="A638" s="2">
        <v>45117</v>
      </c>
      <c r="B638" s="3">
        <v>11.7</v>
      </c>
      <c r="C638" s="3">
        <v>87.61</v>
      </c>
      <c r="D638" s="3">
        <v>146.07</v>
      </c>
      <c r="E638" s="3">
        <v>18.27</v>
      </c>
      <c r="F638" s="3">
        <v>58.77</v>
      </c>
      <c r="G638" s="3">
        <v>98.831288999999998</v>
      </c>
      <c r="H638" s="3">
        <v>94.294085999999993</v>
      </c>
      <c r="I638" s="3">
        <v>92.733867000000004</v>
      </c>
      <c r="J638">
        <v>9.4939999999999998</v>
      </c>
      <c r="K638">
        <v>8.9939999999999998</v>
      </c>
      <c r="L638">
        <v>8.9540000000000006</v>
      </c>
    </row>
    <row r="639" spans="1:12" x14ac:dyDescent="0.35">
      <c r="A639" s="2">
        <v>45118</v>
      </c>
      <c r="B639" s="3">
        <v>11.9</v>
      </c>
      <c r="C639" s="3">
        <v>89.45</v>
      </c>
      <c r="D639" s="3">
        <v>146.63</v>
      </c>
      <c r="E639" s="3">
        <v>18.809999999999999</v>
      </c>
      <c r="F639" s="3">
        <v>57.29</v>
      </c>
      <c r="G639" s="3">
        <v>98.765407999999994</v>
      </c>
      <c r="H639" s="3">
        <v>94.262856999999997</v>
      </c>
      <c r="I639" s="3">
        <v>92.621508000000006</v>
      </c>
      <c r="J639">
        <v>9.4740000000000002</v>
      </c>
      <c r="K639">
        <v>8.984</v>
      </c>
      <c r="L639">
        <v>8.9540000000000006</v>
      </c>
    </row>
    <row r="640" spans="1:12" x14ac:dyDescent="0.35">
      <c r="A640" s="2">
        <v>45119</v>
      </c>
      <c r="B640" s="3">
        <v>11.88</v>
      </c>
      <c r="C640" s="3">
        <v>88.47</v>
      </c>
      <c r="D640" s="3">
        <v>146.16999999999999</v>
      </c>
      <c r="E640" s="3">
        <v>18.46</v>
      </c>
      <c r="F640" s="3">
        <v>57.92</v>
      </c>
      <c r="G640" s="3">
        <v>99.828719000000007</v>
      </c>
      <c r="H640" s="3">
        <v>95.373154</v>
      </c>
      <c r="I640" s="3">
        <v>93.320024000000004</v>
      </c>
      <c r="J640">
        <v>9.2539999999999996</v>
      </c>
      <c r="K640">
        <v>8.7539999999999996</v>
      </c>
      <c r="L640">
        <v>8.7539999999999996</v>
      </c>
    </row>
    <row r="641" spans="1:12" x14ac:dyDescent="0.35">
      <c r="A641" s="2">
        <v>45120</v>
      </c>
      <c r="B641" s="3">
        <v>12.39</v>
      </c>
      <c r="C641" s="3">
        <v>89.89</v>
      </c>
      <c r="D641" s="3">
        <v>146.72</v>
      </c>
      <c r="E641" s="3">
        <v>18.29</v>
      </c>
      <c r="F641" s="3">
        <v>58.77</v>
      </c>
      <c r="G641" s="3">
        <v>100.309724</v>
      </c>
      <c r="H641" s="3">
        <v>95.440845999999993</v>
      </c>
      <c r="I641" s="3">
        <v>94.413325</v>
      </c>
      <c r="J641">
        <v>9.1639999999999997</v>
      </c>
      <c r="K641">
        <v>8.7040000000000006</v>
      </c>
      <c r="L641">
        <v>8.7040000000000006</v>
      </c>
    </row>
    <row r="642" spans="1:12" x14ac:dyDescent="0.35">
      <c r="A642" s="2">
        <v>45121</v>
      </c>
      <c r="B642" s="3">
        <v>12.22</v>
      </c>
      <c r="C642" s="3">
        <v>89.63</v>
      </c>
      <c r="D642" s="3">
        <v>147.51</v>
      </c>
      <c r="E642" s="3">
        <v>17.96</v>
      </c>
      <c r="F642" s="3">
        <v>58.47</v>
      </c>
      <c r="G642" s="3">
        <v>100.01430999999999</v>
      </c>
      <c r="H642" s="3">
        <v>95.081326000000004</v>
      </c>
      <c r="I642" s="3">
        <v>94.023178000000001</v>
      </c>
      <c r="J642">
        <v>9.2140000000000004</v>
      </c>
      <c r="K642">
        <v>8.7539999999999996</v>
      </c>
      <c r="L642">
        <v>8.7439999999999998</v>
      </c>
    </row>
    <row r="643" spans="1:12" x14ac:dyDescent="0.35">
      <c r="A643" s="2">
        <v>45124</v>
      </c>
      <c r="B643" s="3">
        <v>12.35</v>
      </c>
      <c r="C643" s="3">
        <v>88.83</v>
      </c>
      <c r="D643" s="3">
        <v>147.13</v>
      </c>
      <c r="E643" s="3">
        <v>17.829999999999998</v>
      </c>
      <c r="F643" s="3">
        <v>58.32</v>
      </c>
      <c r="G643" s="3">
        <v>100.03796699999999</v>
      </c>
      <c r="H643" s="3">
        <v>95.486001000000002</v>
      </c>
      <c r="I643" s="3">
        <v>93.976941999999994</v>
      </c>
      <c r="J643">
        <v>9.1940000000000008</v>
      </c>
      <c r="K643">
        <v>8.7040000000000006</v>
      </c>
      <c r="L643">
        <v>8.7040000000000006</v>
      </c>
    </row>
    <row r="644" spans="1:12" x14ac:dyDescent="0.35">
      <c r="A644" s="2">
        <v>45125</v>
      </c>
      <c r="B644" s="3">
        <v>12.52</v>
      </c>
      <c r="C644" s="3">
        <v>90.39</v>
      </c>
      <c r="D644" s="3">
        <v>147.91</v>
      </c>
      <c r="E644" s="3">
        <v>17.78</v>
      </c>
      <c r="F644" s="3">
        <v>58.08</v>
      </c>
      <c r="G644" s="3">
        <v>100.33474699999999</v>
      </c>
      <c r="H644" s="3">
        <v>95.837511000000006</v>
      </c>
      <c r="I644" s="3">
        <v>94.204797999999997</v>
      </c>
      <c r="J644">
        <v>9.1940000000000008</v>
      </c>
      <c r="K644">
        <v>8.734</v>
      </c>
      <c r="L644">
        <v>8.6839999999999993</v>
      </c>
    </row>
    <row r="645" spans="1:12" x14ac:dyDescent="0.35">
      <c r="A645" s="2">
        <v>45126</v>
      </c>
      <c r="B645" s="3">
        <v>12.48</v>
      </c>
      <c r="C645" s="3">
        <v>87.79</v>
      </c>
      <c r="D645" s="3">
        <v>150.07</v>
      </c>
      <c r="E645" s="3">
        <v>17.59</v>
      </c>
      <c r="F645" s="3">
        <v>56.89</v>
      </c>
      <c r="G645" s="3">
        <v>100.039884</v>
      </c>
      <c r="H645" s="3">
        <v>95.805117999999993</v>
      </c>
      <c r="I645" s="3">
        <v>93.272850000000005</v>
      </c>
      <c r="J645">
        <v>9.2840000000000007</v>
      </c>
      <c r="K645">
        <v>8.8040000000000003</v>
      </c>
      <c r="L645">
        <v>8.734</v>
      </c>
    </row>
    <row r="646" spans="1:12" x14ac:dyDescent="0.35">
      <c r="A646" s="2">
        <v>45127</v>
      </c>
      <c r="B646" s="3">
        <v>12.6</v>
      </c>
      <c r="C646" s="3">
        <v>87</v>
      </c>
      <c r="D646" s="3">
        <v>148.15</v>
      </c>
      <c r="E646" s="3">
        <v>17.489999999999998</v>
      </c>
      <c r="F646" s="3">
        <v>55.91</v>
      </c>
      <c r="G646" s="3">
        <v>99.658734999999993</v>
      </c>
      <c r="H646" s="3">
        <v>95.489761000000001</v>
      </c>
      <c r="I646" s="3">
        <v>93.407640000000001</v>
      </c>
      <c r="J646">
        <v>9.3290000000000006</v>
      </c>
      <c r="K646">
        <v>8.8539999999999992</v>
      </c>
      <c r="L646">
        <v>8.8339999999999996</v>
      </c>
    </row>
    <row r="647" spans="1:12" x14ac:dyDescent="0.35">
      <c r="A647" s="2">
        <v>45128</v>
      </c>
      <c r="B647" s="3">
        <v>12.58</v>
      </c>
      <c r="C647" s="3">
        <v>88.76</v>
      </c>
      <c r="D647" s="3">
        <v>145.97</v>
      </c>
      <c r="E647" s="3">
        <v>17.53</v>
      </c>
      <c r="F647" s="3">
        <v>55.98</v>
      </c>
      <c r="G647" s="3">
        <v>99.772807999999998</v>
      </c>
      <c r="H647" s="3">
        <v>95.240106999999995</v>
      </c>
      <c r="I647" s="3">
        <v>93.227148</v>
      </c>
      <c r="J647">
        <v>9.3000000000000007</v>
      </c>
      <c r="K647">
        <v>8.8239999999999998</v>
      </c>
      <c r="L647">
        <v>8.7940000000000005</v>
      </c>
    </row>
    <row r="648" spans="1:12" x14ac:dyDescent="0.35">
      <c r="A648" s="2">
        <v>45131</v>
      </c>
      <c r="B648" s="3">
        <v>12.44</v>
      </c>
      <c r="C648" s="3">
        <v>86.79</v>
      </c>
      <c r="D648" s="3">
        <v>148.51</v>
      </c>
      <c r="E648" s="3">
        <v>17.670000000000002</v>
      </c>
      <c r="F648" s="3">
        <v>56.13</v>
      </c>
      <c r="G648" s="3">
        <v>99.706468999999998</v>
      </c>
      <c r="H648" s="3">
        <v>95.426029</v>
      </c>
      <c r="I648" s="3">
        <v>93.520122999999998</v>
      </c>
      <c r="J648">
        <v>9.3339999999999996</v>
      </c>
      <c r="K648">
        <v>8.8539999999999992</v>
      </c>
      <c r="L648">
        <v>8.8339999999999996</v>
      </c>
    </row>
    <row r="649" spans="1:12" x14ac:dyDescent="0.35">
      <c r="A649" s="2">
        <v>45132</v>
      </c>
      <c r="B649" s="3">
        <v>12.65</v>
      </c>
      <c r="C649" s="3">
        <v>87.97</v>
      </c>
      <c r="D649" s="3">
        <v>151.55000000000001</v>
      </c>
      <c r="E649" s="3">
        <v>17.71</v>
      </c>
      <c r="F649" s="3">
        <v>57.11</v>
      </c>
      <c r="G649" s="3">
        <v>99.460521999999997</v>
      </c>
      <c r="H649" s="3">
        <v>95.231206999999998</v>
      </c>
      <c r="I649" s="3">
        <v>93.271950000000004</v>
      </c>
      <c r="J649">
        <v>9.3940000000000001</v>
      </c>
      <c r="K649">
        <v>8.8840000000000003</v>
      </c>
      <c r="L649">
        <v>8.8539999999999992</v>
      </c>
    </row>
    <row r="650" spans="1:12" x14ac:dyDescent="0.35">
      <c r="A650" s="2">
        <v>45133</v>
      </c>
      <c r="B650" s="3">
        <v>12.82</v>
      </c>
      <c r="C650" s="3">
        <v>88.18</v>
      </c>
      <c r="D650" s="3">
        <v>154.91</v>
      </c>
      <c r="E650" s="3">
        <v>17.670000000000002</v>
      </c>
      <c r="F650" s="3">
        <v>57.79</v>
      </c>
      <c r="G650" s="3">
        <v>99.619247000000001</v>
      </c>
      <c r="H650" s="3">
        <v>95.037125000000003</v>
      </c>
      <c r="I650" s="3">
        <v>93.768446999999995</v>
      </c>
      <c r="J650">
        <v>9.3940000000000001</v>
      </c>
      <c r="K650">
        <v>8.8539999999999992</v>
      </c>
      <c r="L650">
        <v>8.8239999999999998</v>
      </c>
    </row>
    <row r="651" spans="1:12" x14ac:dyDescent="0.35">
      <c r="A651" s="2">
        <v>45134</v>
      </c>
      <c r="B651" s="3">
        <v>12.78</v>
      </c>
      <c r="C651" s="3">
        <v>87.17</v>
      </c>
      <c r="D651" s="3">
        <v>156.27000000000001</v>
      </c>
      <c r="E651" s="3">
        <v>17.84</v>
      </c>
      <c r="F651" s="3">
        <v>58.58</v>
      </c>
      <c r="G651" s="3">
        <v>99.601302000000004</v>
      </c>
      <c r="H651" s="3">
        <v>94.997394999999997</v>
      </c>
      <c r="I651" s="3">
        <v>93.767623999999998</v>
      </c>
      <c r="J651">
        <v>9.4339999999999993</v>
      </c>
      <c r="K651">
        <v>8.8889999999999993</v>
      </c>
      <c r="L651">
        <v>8.859</v>
      </c>
    </row>
    <row r="652" spans="1:12" x14ac:dyDescent="0.35">
      <c r="A652" s="2">
        <v>45135</v>
      </c>
      <c r="B652" s="3">
        <v>12.81</v>
      </c>
      <c r="C652" s="3">
        <v>88.58</v>
      </c>
      <c r="D652" s="3">
        <v>156.34</v>
      </c>
      <c r="E652" s="3">
        <v>17.91</v>
      </c>
      <c r="F652" s="3">
        <v>58.87</v>
      </c>
      <c r="G652" s="3">
        <v>99.535653999999994</v>
      </c>
      <c r="H652" s="3">
        <v>94.966243000000006</v>
      </c>
      <c r="I652" s="3">
        <v>93.586726999999996</v>
      </c>
      <c r="J652">
        <v>9.4239999999999995</v>
      </c>
      <c r="K652">
        <v>8.8940000000000001</v>
      </c>
      <c r="L652">
        <v>8.8800000000000008</v>
      </c>
    </row>
    <row r="653" spans="1:12" x14ac:dyDescent="0.35">
      <c r="A653" s="2">
        <v>45138</v>
      </c>
      <c r="B653" s="3">
        <v>12.72</v>
      </c>
      <c r="C653" s="3">
        <v>86.81</v>
      </c>
      <c r="D653" s="3">
        <v>158.71</v>
      </c>
      <c r="E653" s="3">
        <v>17.55</v>
      </c>
      <c r="F653" s="3">
        <v>58.11</v>
      </c>
      <c r="G653" s="3">
        <v>100.008691</v>
      </c>
      <c r="H653" s="3">
        <v>95.151093000000003</v>
      </c>
      <c r="I653" s="3">
        <v>94.084318999999994</v>
      </c>
      <c r="J653">
        <v>9.3439999999999994</v>
      </c>
      <c r="K653">
        <v>8.8539999999999992</v>
      </c>
      <c r="L653">
        <v>8.8239999999999998</v>
      </c>
    </row>
    <row r="654" spans="1:12" x14ac:dyDescent="0.35">
      <c r="A654" s="2">
        <v>45139</v>
      </c>
      <c r="B654" s="3">
        <v>12.9</v>
      </c>
      <c r="C654" s="3">
        <v>83.61</v>
      </c>
      <c r="D654" s="3">
        <v>155.21</v>
      </c>
      <c r="E654" s="3">
        <v>17.239999999999998</v>
      </c>
      <c r="F654" s="3">
        <v>57.83</v>
      </c>
      <c r="G654" s="3">
        <v>99.762936999999994</v>
      </c>
      <c r="H654" s="3">
        <v>95.119872999999998</v>
      </c>
      <c r="I654" s="3">
        <v>93.699226999999993</v>
      </c>
      <c r="J654">
        <v>9.36</v>
      </c>
      <c r="K654">
        <v>8.8840000000000003</v>
      </c>
      <c r="L654">
        <v>8.8740000000000006</v>
      </c>
    </row>
    <row r="655" spans="1:12" x14ac:dyDescent="0.35">
      <c r="A655" s="2">
        <v>45140</v>
      </c>
      <c r="B655" s="3">
        <v>12.88</v>
      </c>
      <c r="C655" s="3">
        <v>83.07</v>
      </c>
      <c r="D655" s="3">
        <v>151.13999999999999</v>
      </c>
      <c r="E655" s="3">
        <v>16.940000000000001</v>
      </c>
      <c r="F655" s="3">
        <v>56.22</v>
      </c>
      <c r="G655" s="3">
        <v>99.607731000000001</v>
      </c>
      <c r="H655" s="3">
        <v>95.088723000000002</v>
      </c>
      <c r="I655" s="3">
        <v>92.914013999999995</v>
      </c>
      <c r="J655">
        <v>9.3539999999999992</v>
      </c>
      <c r="K655">
        <v>8.9440000000000008</v>
      </c>
      <c r="L655">
        <v>8.9540000000000006</v>
      </c>
    </row>
    <row r="656" spans="1:12" x14ac:dyDescent="0.35">
      <c r="A656" s="2">
        <v>45141</v>
      </c>
      <c r="B656" s="3">
        <v>12.98</v>
      </c>
      <c r="C656" s="3">
        <v>86.95</v>
      </c>
      <c r="D656" s="3">
        <v>148.75</v>
      </c>
      <c r="E656" s="3">
        <v>16.989999999999998</v>
      </c>
      <c r="F656" s="3">
        <v>57.13</v>
      </c>
      <c r="G656" s="3">
        <v>99.456697000000005</v>
      </c>
      <c r="H656" s="3">
        <v>94.941903999999994</v>
      </c>
      <c r="I656" s="3">
        <v>93.586188000000007</v>
      </c>
      <c r="J656">
        <v>9.3940000000000001</v>
      </c>
      <c r="K656">
        <v>8.9939999999999998</v>
      </c>
      <c r="L656">
        <v>9.0139999999999993</v>
      </c>
    </row>
    <row r="657" spans="1:12" x14ac:dyDescent="0.35">
      <c r="A657" s="2">
        <v>45142</v>
      </c>
      <c r="B657" s="3">
        <v>13.08</v>
      </c>
      <c r="C657" s="3">
        <v>89.43</v>
      </c>
      <c r="D657" s="3">
        <v>152.62</v>
      </c>
      <c r="E657" s="3">
        <v>17.010000000000002</v>
      </c>
      <c r="F657" s="3">
        <v>58.35</v>
      </c>
      <c r="G657" s="3">
        <v>99.391773000000001</v>
      </c>
      <c r="H657" s="3">
        <v>94.482626999999994</v>
      </c>
      <c r="I657" s="3">
        <v>92.870514999999997</v>
      </c>
      <c r="J657">
        <v>9.4239999999999995</v>
      </c>
      <c r="K657">
        <v>9.0139999999999993</v>
      </c>
      <c r="L657">
        <v>9.0239999999999991</v>
      </c>
    </row>
    <row r="658" spans="1:12" x14ac:dyDescent="0.35">
      <c r="A658" s="2">
        <v>45145</v>
      </c>
      <c r="B658" s="3">
        <v>13.37</v>
      </c>
      <c r="C658" s="3">
        <v>89.19</v>
      </c>
      <c r="D658" s="3">
        <v>149.41</v>
      </c>
      <c r="E658" s="3">
        <v>17.14</v>
      </c>
      <c r="F658" s="3">
        <v>58.68</v>
      </c>
      <c r="G658" s="3">
        <v>98.972320999999994</v>
      </c>
      <c r="H658" s="3">
        <v>94.559061999999997</v>
      </c>
      <c r="I658" s="3">
        <v>92.295108999999997</v>
      </c>
      <c r="J658">
        <v>9.484</v>
      </c>
      <c r="K658">
        <v>9.1039999999999992</v>
      </c>
      <c r="L658">
        <v>9.1140000000000008</v>
      </c>
    </row>
    <row r="659" spans="1:12" x14ac:dyDescent="0.35">
      <c r="A659" s="2">
        <v>45146</v>
      </c>
      <c r="B659" s="3">
        <v>13.51</v>
      </c>
      <c r="C659" s="3">
        <v>87.49</v>
      </c>
      <c r="D659" s="3">
        <v>146.41999999999999</v>
      </c>
      <c r="E659" s="3">
        <v>17.13</v>
      </c>
      <c r="F659" s="3">
        <v>58.54</v>
      </c>
      <c r="G659" s="3">
        <v>99.218072000000006</v>
      </c>
      <c r="H659" s="3">
        <v>94.049858999999998</v>
      </c>
      <c r="I659" s="3">
        <v>92.383921999999998</v>
      </c>
      <c r="J659">
        <v>9.4540000000000006</v>
      </c>
      <c r="K659">
        <v>9.0739999999999998</v>
      </c>
      <c r="L659">
        <v>9.0939999999999994</v>
      </c>
    </row>
    <row r="660" spans="1:12" x14ac:dyDescent="0.35">
      <c r="A660" s="2">
        <v>45147</v>
      </c>
      <c r="B660" s="3">
        <v>13.55</v>
      </c>
      <c r="C660" s="3">
        <v>89.65</v>
      </c>
      <c r="D660" s="3">
        <v>149.52000000000001</v>
      </c>
      <c r="E660" s="3">
        <v>17.559999999999999</v>
      </c>
      <c r="F660" s="3">
        <v>58.63</v>
      </c>
      <c r="G660" s="3">
        <v>99.464301000000006</v>
      </c>
      <c r="H660" s="3">
        <v>94.232230000000001</v>
      </c>
      <c r="I660" s="3">
        <v>92.804907</v>
      </c>
      <c r="J660">
        <v>9.3740000000000006</v>
      </c>
      <c r="K660">
        <v>8.9640000000000004</v>
      </c>
      <c r="L660">
        <v>8.9939999999999998</v>
      </c>
    </row>
    <row r="661" spans="1:12" x14ac:dyDescent="0.35">
      <c r="A661" s="2">
        <v>45148</v>
      </c>
      <c r="B661" s="3">
        <v>13.3</v>
      </c>
      <c r="C661" s="3">
        <v>89.32</v>
      </c>
      <c r="D661" s="3">
        <v>150.38999999999999</v>
      </c>
      <c r="E661" s="3">
        <v>17.21</v>
      </c>
      <c r="F661" s="3">
        <v>60.83</v>
      </c>
      <c r="G661" s="3">
        <v>99.625750999999994</v>
      </c>
      <c r="H661" s="3">
        <v>94.834495000000004</v>
      </c>
      <c r="I661" s="3">
        <v>93.139466999999996</v>
      </c>
      <c r="J661">
        <v>9.3940000000000001</v>
      </c>
      <c r="K661">
        <v>9.0039999999999996</v>
      </c>
      <c r="L661">
        <v>9.0039999999999996</v>
      </c>
    </row>
    <row r="662" spans="1:12" x14ac:dyDescent="0.35">
      <c r="A662" s="2">
        <v>45149</v>
      </c>
      <c r="B662" s="3">
        <v>13.2</v>
      </c>
      <c r="C662" s="3">
        <v>88.76</v>
      </c>
      <c r="D662" s="3">
        <v>148.44</v>
      </c>
      <c r="E662" s="3">
        <v>16.46</v>
      </c>
      <c r="F662" s="3">
        <v>62.79</v>
      </c>
      <c r="G662" s="3">
        <v>98.942019999999999</v>
      </c>
      <c r="H662" s="3">
        <v>94.697265999999999</v>
      </c>
      <c r="I662" s="3">
        <v>92.497167000000005</v>
      </c>
      <c r="J662">
        <v>9.4740000000000002</v>
      </c>
      <c r="K662">
        <v>9.0739999999999998</v>
      </c>
      <c r="L662">
        <v>9.0839999999999996</v>
      </c>
    </row>
    <row r="663" spans="1:12" x14ac:dyDescent="0.35">
      <c r="A663" s="2">
        <v>45152</v>
      </c>
      <c r="B663" s="3">
        <v>13.59</v>
      </c>
      <c r="C663" s="3">
        <v>88.38</v>
      </c>
      <c r="D663" s="3">
        <v>149.86000000000001</v>
      </c>
      <c r="E663" s="3">
        <v>16.2</v>
      </c>
      <c r="F663" s="3">
        <v>63.05</v>
      </c>
      <c r="G663" s="3">
        <v>98.878439999999998</v>
      </c>
      <c r="H663" s="3">
        <v>94.347864999999999</v>
      </c>
      <c r="I663" s="3">
        <v>92.255729000000002</v>
      </c>
      <c r="J663">
        <v>9.5839999999999996</v>
      </c>
      <c r="K663">
        <v>9.1940000000000008</v>
      </c>
      <c r="L663">
        <v>9.1839999999999993</v>
      </c>
    </row>
    <row r="664" spans="1:12" x14ac:dyDescent="0.35">
      <c r="A664" s="2">
        <v>45153</v>
      </c>
      <c r="B664" s="3">
        <v>13.69</v>
      </c>
      <c r="C664" s="3">
        <v>89.64</v>
      </c>
      <c r="D664" s="3">
        <v>149.82</v>
      </c>
      <c r="E664" s="3">
        <v>16.02</v>
      </c>
      <c r="F664" s="3">
        <v>65.959999999999994</v>
      </c>
      <c r="G664" s="3">
        <v>98.902906000000002</v>
      </c>
      <c r="H664" s="3">
        <v>93.842320999999998</v>
      </c>
      <c r="I664" s="3">
        <v>92.344353999999996</v>
      </c>
      <c r="J664">
        <v>9.61</v>
      </c>
      <c r="K664">
        <v>9.1639999999999997</v>
      </c>
      <c r="L664">
        <v>9.1639999999999997</v>
      </c>
    </row>
    <row r="665" spans="1:12" x14ac:dyDescent="0.35">
      <c r="A665" s="2">
        <v>45154</v>
      </c>
      <c r="B665" s="3">
        <v>13.8</v>
      </c>
      <c r="C665" s="3">
        <v>90.87</v>
      </c>
      <c r="D665" s="3">
        <v>148.65</v>
      </c>
      <c r="E665" s="3">
        <v>15.88</v>
      </c>
      <c r="F665" s="3">
        <v>64.25</v>
      </c>
      <c r="G665" s="3">
        <v>98.620340999999996</v>
      </c>
      <c r="H665" s="3">
        <v>93.970997999999994</v>
      </c>
      <c r="I665" s="3">
        <v>92.103791000000001</v>
      </c>
      <c r="J665">
        <v>9.6340000000000003</v>
      </c>
      <c r="K665">
        <v>9.234</v>
      </c>
      <c r="L665">
        <v>9.2240000000000002</v>
      </c>
    </row>
    <row r="666" spans="1:12" x14ac:dyDescent="0.35">
      <c r="A666" s="2">
        <v>45155</v>
      </c>
      <c r="B666" s="3">
        <v>13.22</v>
      </c>
      <c r="C666" s="3">
        <v>90.22</v>
      </c>
      <c r="D666" s="3">
        <v>146.03</v>
      </c>
      <c r="E666" s="3">
        <v>16.649999999999999</v>
      </c>
      <c r="F666" s="3">
        <v>61.37</v>
      </c>
      <c r="G666" s="3">
        <v>98.825416000000004</v>
      </c>
      <c r="H666" s="3">
        <v>93.777714000000003</v>
      </c>
      <c r="I666" s="3">
        <v>92.106397999999999</v>
      </c>
      <c r="J666">
        <v>9.734</v>
      </c>
      <c r="K666">
        <v>9.3439999999999994</v>
      </c>
      <c r="L666">
        <v>9.3140000000000001</v>
      </c>
    </row>
    <row r="667" spans="1:12" x14ac:dyDescent="0.35">
      <c r="A667" s="2">
        <v>45156</v>
      </c>
      <c r="B667" s="3">
        <v>13.26</v>
      </c>
      <c r="C667" s="3">
        <v>88.75</v>
      </c>
      <c r="D667" s="3">
        <v>145.16999999999999</v>
      </c>
      <c r="E667" s="3">
        <v>16.61</v>
      </c>
      <c r="F667" s="3">
        <v>59.28</v>
      </c>
      <c r="G667" s="3">
        <v>97.979106000000002</v>
      </c>
      <c r="H667" s="3">
        <v>93.173719000000006</v>
      </c>
      <c r="I667" s="3">
        <v>91.152451999999997</v>
      </c>
      <c r="J667">
        <v>9.7840000000000007</v>
      </c>
      <c r="K667">
        <v>9.4139999999999997</v>
      </c>
      <c r="L667">
        <v>9.3940000000000001</v>
      </c>
    </row>
    <row r="668" spans="1:12" x14ac:dyDescent="0.35">
      <c r="A668" s="2">
        <v>45159</v>
      </c>
      <c r="B668" s="3">
        <v>13.51</v>
      </c>
      <c r="C668" s="3">
        <v>88.78</v>
      </c>
      <c r="D668" s="3">
        <v>146.22</v>
      </c>
      <c r="E668" s="3">
        <v>16.329999999999998</v>
      </c>
      <c r="F668" s="3">
        <v>58.88</v>
      </c>
      <c r="G668" s="3">
        <v>97.443325000000002</v>
      </c>
      <c r="H668" s="3">
        <v>92.937467999999996</v>
      </c>
      <c r="I668" s="3">
        <v>90.596194999999994</v>
      </c>
      <c r="J668">
        <v>9.8640000000000008</v>
      </c>
      <c r="K668">
        <v>9.5139999999999993</v>
      </c>
      <c r="L668">
        <v>9.4939999999999998</v>
      </c>
    </row>
    <row r="669" spans="1:12" x14ac:dyDescent="0.35">
      <c r="A669" s="2">
        <v>45160</v>
      </c>
      <c r="B669" s="3">
        <v>13.63</v>
      </c>
      <c r="C669" s="3">
        <v>88.25</v>
      </c>
      <c r="D669" s="3">
        <v>146.78</v>
      </c>
      <c r="E669" s="3">
        <v>16.14</v>
      </c>
      <c r="F669" s="3">
        <v>60.24</v>
      </c>
      <c r="G669" s="3">
        <v>97.253917999999999</v>
      </c>
      <c r="H669" s="3">
        <v>92.393024999999994</v>
      </c>
      <c r="I669" s="3">
        <v>90.10866</v>
      </c>
      <c r="J669">
        <v>9.8439999999999994</v>
      </c>
      <c r="K669">
        <v>9.4939999999999998</v>
      </c>
      <c r="L669">
        <v>9.4740000000000002</v>
      </c>
    </row>
    <row r="670" spans="1:12" x14ac:dyDescent="0.35">
      <c r="A670" s="2">
        <v>45161</v>
      </c>
      <c r="B670" s="3">
        <v>13.66</v>
      </c>
      <c r="C670" s="3">
        <v>89.32</v>
      </c>
      <c r="D670" s="3">
        <v>147.46</v>
      </c>
      <c r="E670" s="3">
        <v>16.170000000000002</v>
      </c>
      <c r="F670" s="3">
        <v>60.6</v>
      </c>
      <c r="G670" s="3">
        <v>97.880904000000001</v>
      </c>
      <c r="H670" s="3">
        <v>92.519605999999996</v>
      </c>
      <c r="I670" s="3">
        <v>90.642139</v>
      </c>
      <c r="J670">
        <v>9.6340000000000003</v>
      </c>
      <c r="K670">
        <v>9.3040000000000003</v>
      </c>
      <c r="L670">
        <v>9.2739999999999991</v>
      </c>
    </row>
    <row r="671" spans="1:12" x14ac:dyDescent="0.35">
      <c r="A671" s="2">
        <v>45162</v>
      </c>
      <c r="B671" s="3">
        <v>13.49</v>
      </c>
      <c r="C671" s="3">
        <v>88.75</v>
      </c>
      <c r="D671" s="3">
        <v>144.41</v>
      </c>
      <c r="E671" s="3">
        <v>16.12</v>
      </c>
      <c r="F671" s="3">
        <v>60.05</v>
      </c>
      <c r="G671" s="3">
        <v>98.605171999999996</v>
      </c>
      <c r="H671" s="3">
        <v>93.679440999999997</v>
      </c>
      <c r="I671" s="3">
        <v>91.289895000000001</v>
      </c>
      <c r="J671">
        <v>9.6739999999999995</v>
      </c>
      <c r="K671">
        <v>9.3539999999999992</v>
      </c>
      <c r="L671">
        <v>9.3040000000000003</v>
      </c>
    </row>
    <row r="672" spans="1:12" x14ac:dyDescent="0.35">
      <c r="A672" s="2">
        <v>45163</v>
      </c>
      <c r="B672" s="3">
        <v>13.61</v>
      </c>
      <c r="C672" s="3">
        <v>86.98</v>
      </c>
      <c r="D672" s="3">
        <v>145.02000000000001</v>
      </c>
      <c r="E672" s="3">
        <v>15.88</v>
      </c>
      <c r="F672" s="3">
        <v>59.99</v>
      </c>
      <c r="G672" s="3">
        <v>98.196516000000003</v>
      </c>
      <c r="H672" s="3">
        <v>93.390153999999995</v>
      </c>
      <c r="I672" s="3">
        <v>91.571661000000006</v>
      </c>
      <c r="J672">
        <v>9.7040000000000006</v>
      </c>
      <c r="K672">
        <v>9.3640000000000008</v>
      </c>
      <c r="L672">
        <v>9.3140000000000001</v>
      </c>
    </row>
    <row r="673" spans="1:12" x14ac:dyDescent="0.35">
      <c r="A673" s="2">
        <v>45166</v>
      </c>
      <c r="B673" s="3">
        <v>13.84</v>
      </c>
      <c r="C673" s="3">
        <v>88.02</v>
      </c>
      <c r="D673" s="3">
        <v>145.83000000000001</v>
      </c>
      <c r="E673" s="3">
        <v>15.81</v>
      </c>
      <c r="F673" s="3">
        <v>58.82</v>
      </c>
      <c r="G673" s="3">
        <v>98.611221999999998</v>
      </c>
      <c r="H673" s="3">
        <v>93.413657999999998</v>
      </c>
      <c r="I673" s="3">
        <v>91.142309999999995</v>
      </c>
      <c r="J673">
        <v>9.68</v>
      </c>
      <c r="K673">
        <v>9.36</v>
      </c>
      <c r="L673">
        <v>9.33</v>
      </c>
    </row>
    <row r="674" spans="1:12" x14ac:dyDescent="0.35">
      <c r="A674" s="2">
        <v>45167</v>
      </c>
      <c r="B674" s="3">
        <v>14.01</v>
      </c>
      <c r="C674" s="3">
        <v>88.39</v>
      </c>
      <c r="D674" s="3">
        <v>148.15</v>
      </c>
      <c r="E674" s="3">
        <v>15.97</v>
      </c>
      <c r="F674" s="3">
        <v>60.42</v>
      </c>
      <c r="G674" s="3">
        <v>98.853322000000006</v>
      </c>
      <c r="H674" s="3">
        <v>93.437168</v>
      </c>
      <c r="I674" s="3">
        <v>92.138045000000005</v>
      </c>
      <c r="J674">
        <v>9.6039999999999992</v>
      </c>
      <c r="K674">
        <v>9.3040000000000003</v>
      </c>
      <c r="L674">
        <v>9.3040000000000003</v>
      </c>
    </row>
    <row r="675" spans="1:12" x14ac:dyDescent="0.35">
      <c r="A675" s="2">
        <v>45168</v>
      </c>
      <c r="B675" s="3">
        <v>13.96</v>
      </c>
      <c r="C675" s="3">
        <v>87.83</v>
      </c>
      <c r="D675" s="3">
        <v>148.44</v>
      </c>
      <c r="E675" s="3">
        <v>16.309999999999999</v>
      </c>
      <c r="F675" s="3">
        <v>60.68</v>
      </c>
      <c r="G675" s="3">
        <v>98.530697000000004</v>
      </c>
      <c r="H675" s="3">
        <v>93.668869999999998</v>
      </c>
      <c r="I675" s="3">
        <v>91.640381000000005</v>
      </c>
      <c r="J675">
        <v>9.7240000000000002</v>
      </c>
      <c r="K675">
        <v>9.41</v>
      </c>
      <c r="L675">
        <v>9.3759999999999994</v>
      </c>
    </row>
    <row r="676" spans="1:12" x14ac:dyDescent="0.35">
      <c r="A676" s="2">
        <v>45169</v>
      </c>
      <c r="B676" s="3">
        <v>13.45</v>
      </c>
      <c r="C676" s="3">
        <v>83.88</v>
      </c>
      <c r="D676" s="3">
        <v>144.41999999999999</v>
      </c>
      <c r="E676" s="3">
        <v>16.05</v>
      </c>
      <c r="F676" s="3">
        <v>60.06</v>
      </c>
      <c r="G676" s="3">
        <v>98.389128999999997</v>
      </c>
      <c r="H676" s="3">
        <v>93.323823000000004</v>
      </c>
      <c r="I676" s="3">
        <v>91.257182</v>
      </c>
      <c r="J676">
        <v>9.6940000000000008</v>
      </c>
      <c r="K676">
        <v>9.3740000000000006</v>
      </c>
      <c r="L676">
        <v>9.3439999999999994</v>
      </c>
    </row>
    <row r="677" spans="1:12" x14ac:dyDescent="0.35">
      <c r="A677" s="2">
        <v>45170</v>
      </c>
      <c r="B677" s="3">
        <v>13.76</v>
      </c>
      <c r="C677" s="3">
        <v>84.63</v>
      </c>
      <c r="D677" s="3">
        <v>145.53</v>
      </c>
      <c r="E677" s="3">
        <v>16.02</v>
      </c>
      <c r="F677" s="3">
        <v>59.75</v>
      </c>
      <c r="G677" s="3">
        <v>98.026795000000007</v>
      </c>
      <c r="H677" s="3">
        <v>93.088998000000004</v>
      </c>
      <c r="I677" s="3">
        <v>90.767443</v>
      </c>
      <c r="J677">
        <v>9.7240000000000002</v>
      </c>
      <c r="K677">
        <v>9.4039999999999999</v>
      </c>
      <c r="L677">
        <v>9.4039999999999999</v>
      </c>
    </row>
    <row r="678" spans="1:12" x14ac:dyDescent="0.35">
      <c r="A678" s="2">
        <v>45173</v>
      </c>
      <c r="B678" s="3">
        <v>13.76</v>
      </c>
      <c r="C678" s="3">
        <v>83.75</v>
      </c>
      <c r="D678" s="3">
        <v>145.18</v>
      </c>
      <c r="E678" s="3">
        <v>15.94</v>
      </c>
      <c r="F678" s="3">
        <v>60.03</v>
      </c>
      <c r="G678" s="3">
        <v>98.309719000000001</v>
      </c>
      <c r="H678" s="3">
        <v>93.164244999999994</v>
      </c>
      <c r="I678" s="3">
        <v>91.367535000000004</v>
      </c>
      <c r="J678">
        <v>9.7439999999999998</v>
      </c>
      <c r="K678">
        <v>9.4239999999999995</v>
      </c>
      <c r="L678">
        <v>9.4139999999999997</v>
      </c>
    </row>
    <row r="679" spans="1:12" x14ac:dyDescent="0.35">
      <c r="A679" s="2">
        <v>45174</v>
      </c>
      <c r="B679" s="3">
        <v>13.48</v>
      </c>
      <c r="C679" s="3">
        <v>83.7</v>
      </c>
      <c r="D679" s="3">
        <v>145.15</v>
      </c>
      <c r="E679" s="3">
        <v>15.97</v>
      </c>
      <c r="F679" s="3">
        <v>60.33</v>
      </c>
      <c r="G679" s="3">
        <v>98.291674</v>
      </c>
      <c r="H679" s="3">
        <v>93.136306000000005</v>
      </c>
      <c r="I679" s="3">
        <v>91.326175000000006</v>
      </c>
      <c r="J679">
        <v>9.8439999999999994</v>
      </c>
      <c r="K679">
        <v>9.5039999999999996</v>
      </c>
      <c r="L679">
        <v>9.4939999999999998</v>
      </c>
    </row>
    <row r="680" spans="1:12" x14ac:dyDescent="0.35">
      <c r="A680" s="2">
        <v>45175</v>
      </c>
      <c r="B680" s="3">
        <v>13.31</v>
      </c>
      <c r="C680" s="3">
        <v>84.22</v>
      </c>
      <c r="D680" s="3">
        <v>144.84</v>
      </c>
      <c r="E680" s="3">
        <v>16.04</v>
      </c>
      <c r="F680" s="3">
        <v>60.28</v>
      </c>
      <c r="G680" s="3">
        <v>98.016295999999997</v>
      </c>
      <c r="H680" s="3">
        <v>92.748715000000004</v>
      </c>
      <c r="I680" s="3">
        <v>90.772855000000007</v>
      </c>
      <c r="J680">
        <v>9.9339999999999993</v>
      </c>
      <c r="K680">
        <v>9.5839999999999996</v>
      </c>
      <c r="L680">
        <v>9.5839999999999996</v>
      </c>
    </row>
    <row r="681" spans="1:12" x14ac:dyDescent="0.35">
      <c r="A681" s="2">
        <v>45176</v>
      </c>
      <c r="B681" s="3">
        <v>13.02</v>
      </c>
      <c r="C681" s="3">
        <v>83.23</v>
      </c>
      <c r="D681" s="3">
        <v>142.82</v>
      </c>
      <c r="E681" s="3">
        <v>15.8</v>
      </c>
      <c r="F681" s="3">
        <v>60.37</v>
      </c>
      <c r="G681" s="3">
        <v>97.750151000000002</v>
      </c>
      <c r="H681" s="3">
        <v>92.411392000000006</v>
      </c>
      <c r="I681" s="3">
        <v>90.334226000000001</v>
      </c>
      <c r="J681">
        <v>9.93</v>
      </c>
      <c r="K681">
        <v>9.5739999999999998</v>
      </c>
      <c r="L681">
        <v>9.57</v>
      </c>
    </row>
    <row r="682" spans="1:12" x14ac:dyDescent="0.35">
      <c r="A682" s="2">
        <v>45177</v>
      </c>
      <c r="B682" s="3">
        <v>12.72</v>
      </c>
      <c r="C682" s="3">
        <v>83.69</v>
      </c>
      <c r="D682" s="3">
        <v>143.47</v>
      </c>
      <c r="E682" s="3">
        <v>15.86</v>
      </c>
      <c r="F682" s="3">
        <v>60.12</v>
      </c>
      <c r="G682" s="3">
        <v>97.860602</v>
      </c>
      <c r="H682" s="3">
        <v>92.537176000000002</v>
      </c>
      <c r="I682" s="3">
        <v>90.420659000000001</v>
      </c>
      <c r="J682">
        <v>9.98</v>
      </c>
      <c r="K682">
        <v>9.6270000000000007</v>
      </c>
      <c r="L682">
        <v>9.6229999999999993</v>
      </c>
    </row>
    <row r="683" spans="1:12" x14ac:dyDescent="0.35">
      <c r="A683" s="2">
        <v>45180</v>
      </c>
      <c r="B683" s="3">
        <v>12.22</v>
      </c>
      <c r="C683" s="3">
        <v>84.38</v>
      </c>
      <c r="D683" s="3">
        <v>143.25</v>
      </c>
      <c r="E683" s="3">
        <v>15.63</v>
      </c>
      <c r="F683" s="3">
        <v>60.63</v>
      </c>
      <c r="G683" s="3">
        <v>97.673077000000006</v>
      </c>
      <c r="H683" s="3">
        <v>92.306576000000007</v>
      </c>
      <c r="I683" s="3">
        <v>90.128144000000006</v>
      </c>
      <c r="J683">
        <v>10.103999999999999</v>
      </c>
      <c r="K683">
        <v>9.7940000000000005</v>
      </c>
      <c r="L683">
        <v>9.7940000000000005</v>
      </c>
    </row>
    <row r="684" spans="1:12" x14ac:dyDescent="0.35">
      <c r="A684" s="2">
        <v>45181</v>
      </c>
      <c r="B684" s="3">
        <v>11.96</v>
      </c>
      <c r="C684" s="3">
        <v>83.78</v>
      </c>
      <c r="D684" s="3">
        <v>143.09</v>
      </c>
      <c r="E684" s="3">
        <v>15.81</v>
      </c>
      <c r="F684" s="3">
        <v>59.99</v>
      </c>
      <c r="G684" s="3">
        <v>96.895572999999999</v>
      </c>
      <c r="H684" s="3">
        <v>91.372044000000002</v>
      </c>
      <c r="I684" s="3">
        <v>88.903908999999999</v>
      </c>
      <c r="J684">
        <v>10.023999999999999</v>
      </c>
      <c r="K684">
        <v>9.7240000000000002</v>
      </c>
      <c r="L684">
        <v>9.7439999999999998</v>
      </c>
    </row>
    <row r="685" spans="1:12" x14ac:dyDescent="0.35">
      <c r="A685" s="2">
        <v>45182</v>
      </c>
      <c r="B685" s="3">
        <v>11.85</v>
      </c>
      <c r="C685" s="3">
        <v>82.62</v>
      </c>
      <c r="D685" s="3">
        <v>142.99</v>
      </c>
      <c r="E685" s="3">
        <v>15.59</v>
      </c>
      <c r="F685" s="3">
        <v>60</v>
      </c>
      <c r="G685" s="3">
        <v>97.215851999999998</v>
      </c>
      <c r="H685" s="3">
        <v>91.747699999999995</v>
      </c>
      <c r="I685" s="3">
        <v>89.174813</v>
      </c>
      <c r="J685">
        <v>9.8840000000000003</v>
      </c>
      <c r="K685">
        <v>9.6039999999999992</v>
      </c>
      <c r="L685">
        <v>9.6039999999999992</v>
      </c>
    </row>
    <row r="686" spans="1:12" x14ac:dyDescent="0.35">
      <c r="A686" s="2">
        <v>45183</v>
      </c>
      <c r="B686" s="3">
        <v>11.74</v>
      </c>
      <c r="C686" s="3">
        <v>82.37</v>
      </c>
      <c r="D686" s="3">
        <v>146.05000000000001</v>
      </c>
      <c r="E686" s="3">
        <v>15.63</v>
      </c>
      <c r="F686" s="3">
        <v>60.26</v>
      </c>
      <c r="G686" s="3">
        <v>97.842108999999994</v>
      </c>
      <c r="H686" s="3">
        <v>92.426224000000005</v>
      </c>
      <c r="I686" s="3">
        <v>89.992954999999995</v>
      </c>
      <c r="J686">
        <v>9.8940000000000001</v>
      </c>
      <c r="K686">
        <v>9.69</v>
      </c>
      <c r="L686">
        <v>9.6140000000000008</v>
      </c>
    </row>
    <row r="687" spans="1:12" x14ac:dyDescent="0.35">
      <c r="A687" s="2">
        <v>45184</v>
      </c>
      <c r="B687" s="3">
        <v>11.7</v>
      </c>
      <c r="C687" s="3">
        <v>81.95</v>
      </c>
      <c r="D687" s="3">
        <v>147.4</v>
      </c>
      <c r="E687" s="3">
        <v>15.39</v>
      </c>
      <c r="F687" s="3">
        <v>60.16</v>
      </c>
      <c r="G687" s="3">
        <v>97.825021000000007</v>
      </c>
      <c r="H687" s="3">
        <v>92.399458999999993</v>
      </c>
      <c r="I687" s="3">
        <v>89.953559999999996</v>
      </c>
      <c r="J687">
        <v>9.9039999999999999</v>
      </c>
      <c r="K687">
        <v>9.69</v>
      </c>
      <c r="L687">
        <v>9.6240000000000006</v>
      </c>
    </row>
    <row r="688" spans="1:12" x14ac:dyDescent="0.35">
      <c r="A688" s="2">
        <v>45187</v>
      </c>
      <c r="B688" s="3">
        <v>11.92</v>
      </c>
      <c r="C688" s="3">
        <v>82.31</v>
      </c>
      <c r="D688" s="3">
        <v>147.19999999999999</v>
      </c>
      <c r="E688" s="3">
        <v>15.66</v>
      </c>
      <c r="F688" s="3">
        <v>60.43</v>
      </c>
      <c r="G688" s="3">
        <v>97.892767000000006</v>
      </c>
      <c r="H688" s="3">
        <v>92.524866000000003</v>
      </c>
      <c r="I688" s="3">
        <v>90.227835999999996</v>
      </c>
      <c r="J688">
        <v>9.9339999999999993</v>
      </c>
      <c r="K688">
        <v>9.6440000000000001</v>
      </c>
      <c r="L688">
        <v>9.6340000000000003</v>
      </c>
    </row>
    <row r="689" spans="1:12" x14ac:dyDescent="0.35">
      <c r="A689" s="2">
        <v>45188</v>
      </c>
      <c r="B689" s="3">
        <v>12.25</v>
      </c>
      <c r="C689" s="3">
        <v>82.91</v>
      </c>
      <c r="D689" s="3">
        <v>148.63</v>
      </c>
      <c r="E689" s="3">
        <v>15.68</v>
      </c>
      <c r="F689" s="3">
        <v>61.58</v>
      </c>
      <c r="G689" s="3">
        <v>97.368943000000002</v>
      </c>
      <c r="H689" s="3">
        <v>92.548815000000005</v>
      </c>
      <c r="I689" s="3">
        <v>89.687790000000007</v>
      </c>
      <c r="J689">
        <v>10.044</v>
      </c>
      <c r="K689">
        <v>9.7439999999999998</v>
      </c>
      <c r="L689">
        <v>9.734</v>
      </c>
    </row>
    <row r="690" spans="1:12" x14ac:dyDescent="0.35">
      <c r="A690" s="2">
        <v>45189</v>
      </c>
      <c r="B690" s="3">
        <v>12.21</v>
      </c>
      <c r="C690" s="3">
        <v>83.35</v>
      </c>
      <c r="D690" s="3">
        <v>151.44999999999999</v>
      </c>
      <c r="E690" s="3">
        <v>15.59</v>
      </c>
      <c r="F690" s="3">
        <v>62.54</v>
      </c>
      <c r="G690" s="3">
        <v>97.226360999999997</v>
      </c>
      <c r="H690" s="3">
        <v>91.866033999999999</v>
      </c>
      <c r="I690" s="3">
        <v>89.214551</v>
      </c>
      <c r="J690">
        <v>10.034000000000001</v>
      </c>
      <c r="K690">
        <v>9.7609999999999992</v>
      </c>
      <c r="L690">
        <v>9.74</v>
      </c>
    </row>
    <row r="691" spans="1:12" x14ac:dyDescent="0.35">
      <c r="A691" s="2">
        <v>45190</v>
      </c>
      <c r="B691" s="3">
        <v>11.76</v>
      </c>
      <c r="C691" s="3">
        <v>82.23</v>
      </c>
      <c r="D691" s="3">
        <v>148.56</v>
      </c>
      <c r="E691" s="3">
        <v>15.25</v>
      </c>
      <c r="F691" s="3">
        <v>62.01</v>
      </c>
      <c r="G691" s="3">
        <v>97.051973000000004</v>
      </c>
      <c r="H691" s="3">
        <v>91.938412</v>
      </c>
      <c r="I691" s="3">
        <v>88.914973000000003</v>
      </c>
      <c r="J691">
        <v>10.103999999999999</v>
      </c>
      <c r="K691">
        <v>9.8040000000000003</v>
      </c>
      <c r="L691">
        <v>9.7940000000000005</v>
      </c>
    </row>
    <row r="692" spans="1:12" x14ac:dyDescent="0.35">
      <c r="A692" s="2">
        <v>45191</v>
      </c>
      <c r="B692" s="3">
        <v>11.52</v>
      </c>
      <c r="C692" s="3">
        <v>82.6</v>
      </c>
      <c r="D692" s="3">
        <v>146.61000000000001</v>
      </c>
      <c r="E692" s="3">
        <v>15.16</v>
      </c>
      <c r="F692" s="3">
        <v>64.3</v>
      </c>
      <c r="G692" s="3">
        <v>96.994158999999996</v>
      </c>
      <c r="H692" s="3">
        <v>91.662085000000005</v>
      </c>
      <c r="I692" s="3">
        <v>89.184698999999995</v>
      </c>
      <c r="J692">
        <v>10.144</v>
      </c>
      <c r="K692">
        <v>9.8140000000000001</v>
      </c>
      <c r="L692">
        <v>9.8040000000000003</v>
      </c>
    </row>
    <row r="693" spans="1:12" x14ac:dyDescent="0.35">
      <c r="A693" s="2">
        <v>45194</v>
      </c>
      <c r="B693" s="3">
        <v>11.6</v>
      </c>
      <c r="C693" s="3">
        <v>83.01</v>
      </c>
      <c r="D693" s="3">
        <v>143.46</v>
      </c>
      <c r="E693" s="3">
        <v>14.86</v>
      </c>
      <c r="F693" s="3">
        <v>64.010000000000005</v>
      </c>
      <c r="G693" s="3">
        <v>96.686840000000004</v>
      </c>
      <c r="H693" s="3">
        <v>91.636354999999995</v>
      </c>
      <c r="I693" s="3">
        <v>88.533261999999993</v>
      </c>
      <c r="J693">
        <v>10.263999999999999</v>
      </c>
      <c r="K693">
        <v>9.9339999999999993</v>
      </c>
      <c r="L693">
        <v>9.9139999999999997</v>
      </c>
    </row>
    <row r="694" spans="1:12" x14ac:dyDescent="0.35">
      <c r="A694" s="2">
        <v>45195</v>
      </c>
      <c r="B694" s="3">
        <v>11.5</v>
      </c>
      <c r="C694" s="3">
        <v>85.06</v>
      </c>
      <c r="D694" s="3">
        <v>144.25</v>
      </c>
      <c r="E694" s="3">
        <v>14.71</v>
      </c>
      <c r="F694" s="3">
        <v>63.36</v>
      </c>
      <c r="G694" s="3">
        <v>96.381225999999998</v>
      </c>
      <c r="H694" s="3">
        <v>91.163228000000004</v>
      </c>
      <c r="I694" s="3">
        <v>87.828723999999994</v>
      </c>
      <c r="J694">
        <v>10.254</v>
      </c>
      <c r="K694">
        <v>10.007</v>
      </c>
      <c r="L694">
        <v>9.9930000000000003</v>
      </c>
    </row>
    <row r="695" spans="1:12" x14ac:dyDescent="0.35">
      <c r="A695" s="2">
        <v>45196</v>
      </c>
      <c r="B695" s="3">
        <v>11.61</v>
      </c>
      <c r="C695" s="3">
        <v>85.95</v>
      </c>
      <c r="D695" s="3">
        <v>147.24</v>
      </c>
      <c r="E695" s="3">
        <v>14.85</v>
      </c>
      <c r="F695" s="3">
        <v>63.39</v>
      </c>
      <c r="G695" s="3">
        <v>96.118465</v>
      </c>
      <c r="H695" s="3">
        <v>90.743065999999999</v>
      </c>
      <c r="I695" s="3">
        <v>86.835256000000001</v>
      </c>
      <c r="J695">
        <v>10.534000000000001</v>
      </c>
      <c r="K695">
        <v>10.154</v>
      </c>
      <c r="L695">
        <v>10.164</v>
      </c>
    </row>
    <row r="696" spans="1:12" x14ac:dyDescent="0.35">
      <c r="A696" s="2">
        <v>45197</v>
      </c>
      <c r="B696" s="3">
        <v>11.66</v>
      </c>
      <c r="C696" s="3">
        <v>84.95</v>
      </c>
      <c r="D696" s="3">
        <v>147.96</v>
      </c>
      <c r="E696" s="3">
        <v>15.1</v>
      </c>
      <c r="F696" s="3">
        <v>63.6</v>
      </c>
      <c r="G696" s="3">
        <v>96.609206999999998</v>
      </c>
      <c r="H696" s="3">
        <v>90.570870999999997</v>
      </c>
      <c r="I696" s="3">
        <v>88.164878000000002</v>
      </c>
      <c r="J696">
        <v>10.353999999999999</v>
      </c>
      <c r="K696">
        <v>9.9740000000000002</v>
      </c>
      <c r="L696">
        <v>9.9640000000000004</v>
      </c>
    </row>
    <row r="697" spans="1:12" x14ac:dyDescent="0.35">
      <c r="A697" s="2">
        <v>45198</v>
      </c>
      <c r="B697" s="3">
        <v>11.37</v>
      </c>
      <c r="C697" s="3">
        <v>84.02</v>
      </c>
      <c r="D697" s="3">
        <v>146.11000000000001</v>
      </c>
      <c r="E697" s="3">
        <v>15.09</v>
      </c>
      <c r="F697" s="3">
        <v>63.41</v>
      </c>
      <c r="G697" s="3">
        <v>96.759309999999999</v>
      </c>
      <c r="H697" s="3">
        <v>91.037937999999997</v>
      </c>
      <c r="I697" s="3">
        <v>88.188491999999997</v>
      </c>
      <c r="J697">
        <v>10.314</v>
      </c>
      <c r="K697">
        <v>9.9239999999999995</v>
      </c>
      <c r="L697">
        <v>9.9239999999999995</v>
      </c>
    </row>
    <row r="698" spans="1:12" x14ac:dyDescent="0.35">
      <c r="A698" s="2">
        <v>45201</v>
      </c>
      <c r="B698" s="3">
        <v>11.47</v>
      </c>
      <c r="C698" s="3">
        <v>82.96</v>
      </c>
      <c r="D698" s="3">
        <v>149.81</v>
      </c>
      <c r="E698" s="3">
        <v>15.06</v>
      </c>
      <c r="F698" s="3">
        <v>62.92</v>
      </c>
      <c r="G698" s="3">
        <v>96.290152000000006</v>
      </c>
      <c r="H698" s="3">
        <v>91.210481000000001</v>
      </c>
      <c r="I698" s="3">
        <v>88.212113000000002</v>
      </c>
      <c r="J698">
        <v>10.324</v>
      </c>
      <c r="K698">
        <v>9.9740000000000002</v>
      </c>
      <c r="L698">
        <v>9.9740000000000002</v>
      </c>
    </row>
    <row r="699" spans="1:12" x14ac:dyDescent="0.35">
      <c r="A699" s="2">
        <v>45202</v>
      </c>
      <c r="B699" s="3">
        <v>11.05</v>
      </c>
      <c r="C699" s="3">
        <v>81.849999999999994</v>
      </c>
      <c r="D699" s="3">
        <v>144.07</v>
      </c>
      <c r="E699" s="3">
        <v>14.73</v>
      </c>
      <c r="F699" s="3">
        <v>63.64</v>
      </c>
      <c r="G699" s="3">
        <v>96.439700000000002</v>
      </c>
      <c r="H699" s="3">
        <v>90.939044999999993</v>
      </c>
      <c r="I699" s="3">
        <v>87.753544000000005</v>
      </c>
      <c r="J699">
        <v>10.387</v>
      </c>
      <c r="K699">
        <v>10.032999999999999</v>
      </c>
      <c r="L699">
        <v>10.083</v>
      </c>
    </row>
    <row r="700" spans="1:12" x14ac:dyDescent="0.35">
      <c r="A700" s="2">
        <v>45203</v>
      </c>
      <c r="B700" s="3">
        <v>11.24</v>
      </c>
      <c r="C700" s="3">
        <v>81.48</v>
      </c>
      <c r="D700" s="3">
        <v>143.5</v>
      </c>
      <c r="E700" s="3">
        <v>15.19</v>
      </c>
      <c r="F700" s="3">
        <v>64.099999999999994</v>
      </c>
      <c r="G700" s="3">
        <v>96.795803000000006</v>
      </c>
      <c r="H700" s="3">
        <v>90.718001000000001</v>
      </c>
      <c r="I700" s="3">
        <v>88.441130000000001</v>
      </c>
      <c r="J700">
        <v>10.254</v>
      </c>
      <c r="K700">
        <v>9.8539999999999992</v>
      </c>
      <c r="L700">
        <v>9.8940000000000001</v>
      </c>
    </row>
    <row r="701" spans="1:12" x14ac:dyDescent="0.35">
      <c r="A701" s="2">
        <v>45204</v>
      </c>
      <c r="B701" s="3">
        <v>10.72</v>
      </c>
      <c r="C701" s="3">
        <v>82.62</v>
      </c>
      <c r="D701" s="3">
        <v>140.9</v>
      </c>
      <c r="E701" s="3">
        <v>15.3</v>
      </c>
      <c r="F701" s="3">
        <v>63.87</v>
      </c>
      <c r="G701" s="3">
        <v>97.039135999999999</v>
      </c>
      <c r="H701" s="3">
        <v>91.381963999999996</v>
      </c>
      <c r="I701" s="3">
        <v>88.694218000000006</v>
      </c>
      <c r="J701">
        <v>10.254</v>
      </c>
      <c r="K701">
        <v>9.9139999999999997</v>
      </c>
      <c r="L701">
        <v>9.9640000000000004</v>
      </c>
    </row>
    <row r="702" spans="1:12" x14ac:dyDescent="0.35">
      <c r="A702" s="2">
        <v>45205</v>
      </c>
      <c r="B702" s="3">
        <v>10.67</v>
      </c>
      <c r="C702" s="3">
        <v>82.15</v>
      </c>
      <c r="D702" s="3">
        <v>144.51</v>
      </c>
      <c r="E702" s="3">
        <v>15.06</v>
      </c>
      <c r="F702" s="3">
        <v>63.73</v>
      </c>
      <c r="G702" s="3">
        <v>96.982370000000003</v>
      </c>
      <c r="H702" s="3">
        <v>91.307676999999998</v>
      </c>
      <c r="I702" s="3">
        <v>88.778681000000006</v>
      </c>
      <c r="J702">
        <v>10.244</v>
      </c>
      <c r="K702">
        <v>9.8940000000000001</v>
      </c>
      <c r="L702">
        <v>9.8940000000000001</v>
      </c>
    </row>
    <row r="703" spans="1:12" x14ac:dyDescent="0.35">
      <c r="A703" s="2">
        <v>45208</v>
      </c>
      <c r="B703" s="3">
        <v>10.75</v>
      </c>
      <c r="C703" s="3">
        <v>81.61</v>
      </c>
      <c r="D703" s="3">
        <v>147.55000000000001</v>
      </c>
      <c r="E703" s="3">
        <v>15.18</v>
      </c>
      <c r="F703" s="3">
        <v>63.43</v>
      </c>
      <c r="G703" s="3">
        <v>96.843266</v>
      </c>
      <c r="H703" s="3">
        <v>91.430825999999996</v>
      </c>
      <c r="I703" s="3">
        <v>88.559285000000003</v>
      </c>
      <c r="J703">
        <v>10.204000000000001</v>
      </c>
      <c r="K703">
        <v>9.8439999999999994</v>
      </c>
      <c r="L703">
        <v>9.8439999999999994</v>
      </c>
    </row>
    <row r="704" spans="1:12" x14ac:dyDescent="0.35">
      <c r="A704" s="2">
        <v>45209</v>
      </c>
      <c r="B704" s="3">
        <v>10.97</v>
      </c>
      <c r="C704" s="3">
        <v>82.13</v>
      </c>
      <c r="D704" s="3">
        <v>151.09</v>
      </c>
      <c r="E704" s="3">
        <v>15.21</v>
      </c>
      <c r="F704" s="3">
        <v>64.86</v>
      </c>
      <c r="G704" s="3">
        <v>97.614766000000003</v>
      </c>
      <c r="H704" s="3">
        <v>91.851353000000003</v>
      </c>
      <c r="I704" s="3">
        <v>89.498930999999999</v>
      </c>
      <c r="J704">
        <v>10.134</v>
      </c>
      <c r="K704">
        <v>9.7439999999999998</v>
      </c>
      <c r="L704">
        <v>9.7639999999999993</v>
      </c>
    </row>
    <row r="705" spans="1:12" x14ac:dyDescent="0.35">
      <c r="A705" s="2">
        <v>45210</v>
      </c>
      <c r="B705" s="3">
        <v>11.45</v>
      </c>
      <c r="C705" s="3">
        <v>79.650000000000006</v>
      </c>
      <c r="D705" s="3">
        <v>152.94999999999999</v>
      </c>
      <c r="E705" s="3">
        <v>15.18</v>
      </c>
      <c r="F705" s="3">
        <v>63.96</v>
      </c>
      <c r="G705" s="3">
        <v>97.807149999999993</v>
      </c>
      <c r="H705" s="3">
        <v>92.174186000000006</v>
      </c>
      <c r="I705" s="3">
        <v>89.830706000000006</v>
      </c>
      <c r="J705">
        <v>10.164</v>
      </c>
      <c r="K705">
        <v>9.7439999999999998</v>
      </c>
      <c r="L705">
        <v>9.7739999999999991</v>
      </c>
    </row>
    <row r="706" spans="1:12" x14ac:dyDescent="0.35">
      <c r="A706" s="2">
        <v>45211</v>
      </c>
      <c r="B706" s="3">
        <v>11.14</v>
      </c>
      <c r="C706" s="3">
        <v>79.02</v>
      </c>
      <c r="D706" s="3">
        <v>148.88999999999999</v>
      </c>
      <c r="E706" s="3">
        <v>15.14</v>
      </c>
      <c r="F706" s="3">
        <v>62.32</v>
      </c>
      <c r="G706" s="3">
        <v>97.551886999999994</v>
      </c>
      <c r="H706" s="3">
        <v>92.197299999999998</v>
      </c>
      <c r="I706" s="3">
        <v>89.593148999999997</v>
      </c>
      <c r="J706">
        <v>10.294</v>
      </c>
      <c r="K706">
        <v>9.8740000000000006</v>
      </c>
      <c r="L706">
        <v>9.8740000000000006</v>
      </c>
    </row>
    <row r="707" spans="1:12" x14ac:dyDescent="0.35">
      <c r="A707" s="2">
        <v>45212</v>
      </c>
      <c r="B707" s="3">
        <v>11.15</v>
      </c>
      <c r="C707" s="3">
        <v>77.92</v>
      </c>
      <c r="D707" s="3">
        <v>150.68</v>
      </c>
      <c r="E707" s="3">
        <v>15.15</v>
      </c>
      <c r="F707" s="3">
        <v>60.95</v>
      </c>
      <c r="G707" s="3">
        <v>97.453497999999996</v>
      </c>
      <c r="H707" s="3">
        <v>91.775110999999995</v>
      </c>
      <c r="I707" s="3">
        <v>89.555280999999994</v>
      </c>
      <c r="J707">
        <v>10.284000000000001</v>
      </c>
      <c r="K707">
        <v>9.8439999999999994</v>
      </c>
      <c r="L707">
        <v>9.8439999999999994</v>
      </c>
    </row>
    <row r="708" spans="1:12" x14ac:dyDescent="0.35">
      <c r="A708" s="2">
        <v>45215</v>
      </c>
      <c r="B708" s="3">
        <v>11.58</v>
      </c>
      <c r="C708" s="3">
        <v>78.47</v>
      </c>
      <c r="D708" s="3">
        <v>149.78</v>
      </c>
      <c r="E708" s="3">
        <v>15.27</v>
      </c>
      <c r="F708" s="3">
        <v>61.96</v>
      </c>
      <c r="G708" s="3">
        <v>97.272846999999999</v>
      </c>
      <c r="H708" s="3">
        <v>91.948036999999999</v>
      </c>
      <c r="I708" s="3">
        <v>89.272588999999996</v>
      </c>
      <c r="J708">
        <v>10.334</v>
      </c>
      <c r="K708">
        <v>9.8940000000000001</v>
      </c>
      <c r="L708">
        <v>9.8940000000000001</v>
      </c>
    </row>
    <row r="709" spans="1:12" x14ac:dyDescent="0.35">
      <c r="A709" s="2">
        <v>45216</v>
      </c>
      <c r="B709" s="3">
        <v>11.52</v>
      </c>
      <c r="C709" s="3">
        <v>78.239999999999995</v>
      </c>
      <c r="D709" s="3">
        <v>148.37</v>
      </c>
      <c r="E709" s="3">
        <v>15.35</v>
      </c>
      <c r="F709" s="3">
        <v>62.1</v>
      </c>
      <c r="G709" s="3">
        <v>97.216408000000001</v>
      </c>
      <c r="H709" s="3">
        <v>91.725194000000002</v>
      </c>
      <c r="I709" s="3">
        <v>88.809269</v>
      </c>
      <c r="J709">
        <v>10.394</v>
      </c>
      <c r="K709">
        <v>9.984</v>
      </c>
      <c r="L709">
        <v>9.9740000000000002</v>
      </c>
    </row>
    <row r="710" spans="1:12" x14ac:dyDescent="0.35">
      <c r="A710" s="2">
        <v>45217</v>
      </c>
      <c r="B710" s="3">
        <v>11.17</v>
      </c>
      <c r="C710" s="3">
        <v>77.349999999999994</v>
      </c>
      <c r="D710" s="3">
        <v>148.82</v>
      </c>
      <c r="E710" s="3">
        <v>14.92</v>
      </c>
      <c r="F710" s="3">
        <v>61.52</v>
      </c>
      <c r="G710" s="3">
        <v>96.995750999999998</v>
      </c>
      <c r="H710" s="3">
        <v>91.257885999999999</v>
      </c>
      <c r="I710" s="3">
        <v>88.349779999999996</v>
      </c>
      <c r="J710">
        <v>10.414</v>
      </c>
      <c r="K710">
        <v>10.044</v>
      </c>
      <c r="L710">
        <v>10.074</v>
      </c>
    </row>
    <row r="711" spans="1:12" x14ac:dyDescent="0.35">
      <c r="A711" s="2">
        <v>45218</v>
      </c>
      <c r="B711" s="3">
        <v>11.06</v>
      </c>
      <c r="C711" s="3">
        <v>74.78</v>
      </c>
      <c r="D711" s="3">
        <v>147.85</v>
      </c>
      <c r="E711" s="3">
        <v>15.07</v>
      </c>
      <c r="F711" s="3">
        <v>61.43</v>
      </c>
      <c r="G711" s="3">
        <v>96.992208000000005</v>
      </c>
      <c r="H711" s="3">
        <v>90.941001</v>
      </c>
      <c r="I711" s="3">
        <v>88.541478999999995</v>
      </c>
      <c r="J711">
        <v>10.374000000000001</v>
      </c>
      <c r="K711">
        <v>10.034000000000001</v>
      </c>
      <c r="L711">
        <v>10.064</v>
      </c>
    </row>
    <row r="712" spans="1:12" x14ac:dyDescent="0.35">
      <c r="A712" s="2">
        <v>45219</v>
      </c>
      <c r="B712" s="3">
        <v>10.95</v>
      </c>
      <c r="C712" s="3">
        <v>73.180000000000007</v>
      </c>
      <c r="D712" s="3">
        <v>142.80000000000001</v>
      </c>
      <c r="E712" s="3">
        <v>15.33</v>
      </c>
      <c r="F712" s="3">
        <v>59.59</v>
      </c>
      <c r="G712" s="3">
        <v>97.100329000000002</v>
      </c>
      <c r="H712" s="3">
        <v>91.014398</v>
      </c>
      <c r="I712" s="3">
        <v>88.565241</v>
      </c>
      <c r="J712">
        <v>10.284000000000001</v>
      </c>
      <c r="K712">
        <v>9.984</v>
      </c>
      <c r="L712">
        <v>10.013999999999999</v>
      </c>
    </row>
    <row r="713" spans="1:12" x14ac:dyDescent="0.35">
      <c r="A713" s="2">
        <v>45222</v>
      </c>
      <c r="B713" s="3">
        <v>10.83</v>
      </c>
      <c r="C713" s="3">
        <v>75.09</v>
      </c>
      <c r="D713" s="3">
        <v>143.41</v>
      </c>
      <c r="E713" s="3">
        <v>15.21</v>
      </c>
      <c r="F713" s="3">
        <v>59.21</v>
      </c>
      <c r="G713" s="3">
        <v>97.208487000000005</v>
      </c>
      <c r="H713" s="3">
        <v>91.283062000000001</v>
      </c>
      <c r="I713" s="3">
        <v>88.770007000000007</v>
      </c>
      <c r="J713">
        <v>10.304</v>
      </c>
      <c r="K713">
        <v>10.013999999999999</v>
      </c>
      <c r="L713">
        <v>9.984</v>
      </c>
    </row>
    <row r="714" spans="1:12" x14ac:dyDescent="0.35">
      <c r="A714" s="2">
        <v>45223</v>
      </c>
      <c r="B714" s="3">
        <v>10.83</v>
      </c>
      <c r="C714" s="3">
        <v>73.989999999999995</v>
      </c>
      <c r="D714" s="3">
        <v>145.78</v>
      </c>
      <c r="E714" s="3">
        <v>15.37</v>
      </c>
      <c r="F714" s="3">
        <v>58.81</v>
      </c>
      <c r="G714" s="3">
        <v>96.948132999999999</v>
      </c>
      <c r="H714" s="3">
        <v>91.454469000000003</v>
      </c>
      <c r="I714" s="3">
        <v>88.252382999999995</v>
      </c>
      <c r="J714">
        <v>10.353999999999999</v>
      </c>
      <c r="K714">
        <v>10.064</v>
      </c>
      <c r="L714">
        <v>10.064</v>
      </c>
    </row>
    <row r="715" spans="1:12" x14ac:dyDescent="0.35">
      <c r="A715" s="2">
        <v>45224</v>
      </c>
      <c r="B715" s="3">
        <v>11.08</v>
      </c>
      <c r="C715" s="3">
        <v>75.13</v>
      </c>
      <c r="D715" s="3">
        <v>148.54</v>
      </c>
      <c r="E715" s="3">
        <v>15.21</v>
      </c>
      <c r="F715" s="3">
        <v>61.87</v>
      </c>
      <c r="G715" s="3">
        <v>96.567142000000004</v>
      </c>
      <c r="H715" s="3">
        <v>90.991185999999999</v>
      </c>
      <c r="I715" s="3">
        <v>87.561639</v>
      </c>
      <c r="J715">
        <v>10.474</v>
      </c>
      <c r="K715">
        <v>10.244</v>
      </c>
      <c r="L715">
        <v>10.254</v>
      </c>
    </row>
    <row r="716" spans="1:12" x14ac:dyDescent="0.35">
      <c r="A716" s="2">
        <v>45225</v>
      </c>
      <c r="B716" s="3">
        <v>11.31</v>
      </c>
      <c r="C716" s="3">
        <v>75.09</v>
      </c>
      <c r="D716" s="3">
        <v>145.81</v>
      </c>
      <c r="E716" s="3">
        <v>15.24</v>
      </c>
      <c r="F716" s="3">
        <v>62.69</v>
      </c>
      <c r="G716" s="3">
        <v>96.241769000000005</v>
      </c>
      <c r="H716" s="3">
        <v>90.196374000000006</v>
      </c>
      <c r="I716" s="3">
        <v>87.692622</v>
      </c>
      <c r="J716">
        <v>10.33</v>
      </c>
      <c r="K716">
        <v>10.084</v>
      </c>
      <c r="L716">
        <v>10.114000000000001</v>
      </c>
    </row>
    <row r="717" spans="1:12" x14ac:dyDescent="0.35">
      <c r="A717" s="2">
        <v>45226</v>
      </c>
      <c r="B717" s="3">
        <v>10.78</v>
      </c>
      <c r="C717" s="3">
        <v>72.27</v>
      </c>
      <c r="D717" s="3">
        <v>146.69</v>
      </c>
      <c r="E717" s="3">
        <v>15.14</v>
      </c>
      <c r="F717" s="3">
        <v>61.68</v>
      </c>
      <c r="G717" s="3">
        <v>96.916522000000001</v>
      </c>
      <c r="H717" s="3">
        <v>90.847708999999995</v>
      </c>
      <c r="I717" s="3">
        <v>88.013439000000005</v>
      </c>
      <c r="J717">
        <v>10.28</v>
      </c>
      <c r="K717">
        <v>10.064</v>
      </c>
      <c r="L717">
        <v>10.134</v>
      </c>
    </row>
    <row r="718" spans="1:12" x14ac:dyDescent="0.35">
      <c r="A718" s="2">
        <v>45229</v>
      </c>
      <c r="B718" s="3">
        <v>10.75</v>
      </c>
      <c r="C718" s="3">
        <v>70.069999999999993</v>
      </c>
      <c r="D718" s="3">
        <v>150.35</v>
      </c>
      <c r="E718" s="3">
        <v>15.03</v>
      </c>
      <c r="F718" s="3">
        <v>61.65</v>
      </c>
      <c r="G718" s="3">
        <v>97.024257000000006</v>
      </c>
      <c r="H718" s="3">
        <v>90.920933000000005</v>
      </c>
      <c r="I718" s="3">
        <v>87.977855000000005</v>
      </c>
      <c r="J718">
        <v>10.364000000000001</v>
      </c>
      <c r="K718">
        <v>10.164</v>
      </c>
      <c r="L718">
        <v>10.254</v>
      </c>
    </row>
    <row r="719" spans="1:12" x14ac:dyDescent="0.35">
      <c r="A719" s="2">
        <v>45230</v>
      </c>
      <c r="B719" s="3">
        <v>10.83</v>
      </c>
      <c r="C719" s="3">
        <v>73.38</v>
      </c>
      <c r="D719" s="3">
        <v>146.32</v>
      </c>
      <c r="E719" s="3">
        <v>14.89</v>
      </c>
      <c r="F719" s="3">
        <v>59.74</v>
      </c>
      <c r="G719" s="3">
        <v>96.590232</v>
      </c>
      <c r="H719" s="3">
        <v>90.440146999999996</v>
      </c>
      <c r="I719" s="3">
        <v>87.493002000000004</v>
      </c>
      <c r="J719">
        <v>10.364000000000001</v>
      </c>
      <c r="K719">
        <v>10.154</v>
      </c>
      <c r="L719">
        <v>10.214</v>
      </c>
    </row>
    <row r="720" spans="1:12" x14ac:dyDescent="0.35">
      <c r="A720" s="2">
        <v>45231</v>
      </c>
      <c r="B720" s="3">
        <v>10.95</v>
      </c>
      <c r="C720" s="3">
        <v>75.709999999999994</v>
      </c>
      <c r="D720" s="3">
        <v>151.65</v>
      </c>
      <c r="E720" s="3">
        <v>14.8</v>
      </c>
      <c r="F720" s="3">
        <v>60.07</v>
      </c>
      <c r="G720" s="3">
        <v>96.750590000000003</v>
      </c>
      <c r="H720" s="3">
        <v>90.611062000000004</v>
      </c>
      <c r="I720" s="3">
        <v>87.801096000000001</v>
      </c>
      <c r="J720">
        <v>10.28</v>
      </c>
      <c r="K720">
        <v>10.034000000000001</v>
      </c>
      <c r="L720">
        <v>10.124000000000001</v>
      </c>
    </row>
    <row r="721" spans="1:12" x14ac:dyDescent="0.35">
      <c r="A721" s="2">
        <v>45233</v>
      </c>
      <c r="B721" s="3">
        <v>11.7</v>
      </c>
      <c r="C721" s="3">
        <v>78.41</v>
      </c>
      <c r="D721" s="3">
        <v>157.55000000000001</v>
      </c>
      <c r="E721" s="3">
        <v>15.12</v>
      </c>
      <c r="F721" s="3">
        <v>62.2</v>
      </c>
      <c r="G721" s="3">
        <v>98.287368000000001</v>
      </c>
      <c r="H721" s="3">
        <v>91.069894000000005</v>
      </c>
      <c r="I721" s="3">
        <v>89.502965000000003</v>
      </c>
      <c r="J721">
        <v>10.004</v>
      </c>
      <c r="K721">
        <v>9.7539999999999996</v>
      </c>
      <c r="L721">
        <v>9.7940000000000005</v>
      </c>
    </row>
    <row r="722" spans="1:12" x14ac:dyDescent="0.35">
      <c r="A722" s="2">
        <v>45236</v>
      </c>
      <c r="B722" s="3">
        <v>11.85</v>
      </c>
      <c r="C722" s="3">
        <v>82.1</v>
      </c>
      <c r="D722" s="3">
        <v>153.58000000000001</v>
      </c>
      <c r="E722" s="3">
        <v>15.28</v>
      </c>
      <c r="F722" s="3">
        <v>62.01</v>
      </c>
      <c r="G722" s="3">
        <v>98.272126</v>
      </c>
      <c r="H722" s="3">
        <v>92.708980999999994</v>
      </c>
      <c r="I722" s="3">
        <v>89.892104000000003</v>
      </c>
      <c r="J722">
        <v>9.9939999999999998</v>
      </c>
      <c r="K722">
        <v>9.7639999999999993</v>
      </c>
      <c r="L722">
        <v>9.7940000000000005</v>
      </c>
    </row>
    <row r="723" spans="1:12" x14ac:dyDescent="0.35">
      <c r="A723" s="2">
        <v>45237</v>
      </c>
      <c r="B723" s="3">
        <v>11.97</v>
      </c>
      <c r="C723" s="3">
        <v>80.760000000000005</v>
      </c>
      <c r="D723" s="3">
        <v>153.09</v>
      </c>
      <c r="E723" s="3">
        <v>14.99</v>
      </c>
      <c r="F723" s="3">
        <v>61.26</v>
      </c>
      <c r="G723" s="3">
        <v>98.380508000000006</v>
      </c>
      <c r="H723" s="3">
        <v>92.535849999999996</v>
      </c>
      <c r="I723" s="3">
        <v>90.099287000000004</v>
      </c>
      <c r="J723">
        <v>10.034000000000001</v>
      </c>
      <c r="K723">
        <v>9.7840000000000007</v>
      </c>
      <c r="L723">
        <v>9.8339999999999996</v>
      </c>
    </row>
    <row r="724" spans="1:12" x14ac:dyDescent="0.35">
      <c r="A724" s="2">
        <v>45238</v>
      </c>
      <c r="B724" s="3">
        <v>12.17</v>
      </c>
      <c r="C724" s="3">
        <v>80.31</v>
      </c>
      <c r="D724" s="3">
        <v>153.38</v>
      </c>
      <c r="E724" s="3">
        <v>14.97</v>
      </c>
      <c r="F724" s="3">
        <v>60.91</v>
      </c>
      <c r="G724" s="3">
        <v>98.902557000000002</v>
      </c>
      <c r="H724" s="3">
        <v>92.807444000000004</v>
      </c>
      <c r="I724" s="3">
        <v>90.676418999999996</v>
      </c>
      <c r="J724">
        <v>9.9540000000000006</v>
      </c>
      <c r="K724">
        <v>9.6240000000000006</v>
      </c>
      <c r="L724">
        <v>9.6639999999999997</v>
      </c>
    </row>
    <row r="725" spans="1:12" x14ac:dyDescent="0.35">
      <c r="A725" s="2">
        <v>45239</v>
      </c>
      <c r="B725" s="3">
        <v>12.3</v>
      </c>
      <c r="C725" s="3">
        <v>80.55</v>
      </c>
      <c r="D725" s="3">
        <v>152.96</v>
      </c>
      <c r="E725" s="3">
        <v>15.13</v>
      </c>
      <c r="F725" s="3">
        <v>61.12</v>
      </c>
      <c r="G725" s="3">
        <v>99.228909000000002</v>
      </c>
      <c r="H725" s="3">
        <v>92.634050999999999</v>
      </c>
      <c r="I725" s="3">
        <v>90.255465000000001</v>
      </c>
      <c r="J725">
        <v>9.8740000000000006</v>
      </c>
      <c r="K725">
        <v>9.6039999999999992</v>
      </c>
      <c r="L725">
        <v>9.6539999999999999</v>
      </c>
    </row>
    <row r="726" spans="1:12" x14ac:dyDescent="0.35">
      <c r="A726" s="2">
        <v>45240</v>
      </c>
      <c r="B726" s="3">
        <v>12.26</v>
      </c>
      <c r="C726" s="3">
        <v>80.48</v>
      </c>
      <c r="D726" s="3">
        <v>157.47</v>
      </c>
      <c r="E726" s="3">
        <v>15.23</v>
      </c>
      <c r="F726" s="3">
        <v>61</v>
      </c>
      <c r="G726" s="3">
        <v>99.171566999999996</v>
      </c>
      <c r="H726" s="3">
        <v>93.501368999999997</v>
      </c>
      <c r="I726" s="3">
        <v>90.771107999999998</v>
      </c>
      <c r="J726">
        <v>9.7539999999999996</v>
      </c>
      <c r="K726">
        <v>9.5939999999999994</v>
      </c>
      <c r="L726">
        <v>9.6340000000000003</v>
      </c>
    </row>
    <row r="727" spans="1:12" x14ac:dyDescent="0.35">
      <c r="A727" s="2">
        <v>45243</v>
      </c>
      <c r="B727" s="3">
        <v>12.11</v>
      </c>
      <c r="C727" s="3">
        <v>80.05</v>
      </c>
      <c r="D727" s="3">
        <v>155.18</v>
      </c>
      <c r="E727" s="3">
        <v>15.24</v>
      </c>
      <c r="F727" s="3">
        <v>61.08</v>
      </c>
      <c r="G727" s="3">
        <v>99.114384000000001</v>
      </c>
      <c r="H727" s="3">
        <v>93.725459999999998</v>
      </c>
      <c r="I727" s="3">
        <v>90.302960999999996</v>
      </c>
      <c r="J727">
        <v>9.7840000000000007</v>
      </c>
      <c r="K727">
        <v>9.6240000000000006</v>
      </c>
      <c r="L727">
        <v>9.6440000000000001</v>
      </c>
    </row>
    <row r="728" spans="1:12" x14ac:dyDescent="0.35">
      <c r="A728" s="2">
        <v>45244</v>
      </c>
      <c r="B728" s="3">
        <v>12.35</v>
      </c>
      <c r="C728" s="3">
        <v>82.57</v>
      </c>
      <c r="D728" s="3">
        <v>159.80000000000001</v>
      </c>
      <c r="E728" s="3">
        <v>15.49</v>
      </c>
      <c r="F728" s="3">
        <v>60.99</v>
      </c>
      <c r="G728" s="3">
        <v>100.05703699999999</v>
      </c>
      <c r="H728" s="3">
        <v>93.550127000000003</v>
      </c>
      <c r="I728" s="3">
        <v>91.938785999999993</v>
      </c>
      <c r="J728">
        <v>9.5939999999999994</v>
      </c>
      <c r="K728">
        <v>9.4239999999999995</v>
      </c>
      <c r="L728">
        <v>9.4339999999999993</v>
      </c>
    </row>
    <row r="729" spans="1:12" x14ac:dyDescent="0.35">
      <c r="A729" s="2">
        <v>45245</v>
      </c>
      <c r="B729" s="3">
        <v>12.19</v>
      </c>
      <c r="C729" s="3">
        <v>83.62</v>
      </c>
      <c r="D729" s="3">
        <v>162.28</v>
      </c>
      <c r="E729" s="3">
        <v>15.31</v>
      </c>
      <c r="F729" s="3">
        <v>61.78</v>
      </c>
      <c r="G729" s="3">
        <v>100.040588</v>
      </c>
      <c r="H729" s="3">
        <v>94.780703000000003</v>
      </c>
      <c r="I729" s="3">
        <v>91.836927000000003</v>
      </c>
      <c r="J729">
        <v>9.6039999999999992</v>
      </c>
      <c r="K729">
        <v>9.4239999999999995</v>
      </c>
      <c r="L729">
        <v>9.4540000000000006</v>
      </c>
    </row>
    <row r="730" spans="1:12" x14ac:dyDescent="0.35">
      <c r="A730" s="2">
        <v>45246</v>
      </c>
      <c r="B730" s="3">
        <v>11.9</v>
      </c>
      <c r="C730" s="3">
        <v>83.58</v>
      </c>
      <c r="D730" s="3">
        <v>161.82</v>
      </c>
      <c r="E730" s="3">
        <v>15.28</v>
      </c>
      <c r="F730" s="3">
        <v>60.11</v>
      </c>
      <c r="G730" s="3">
        <v>100.60393000000001</v>
      </c>
      <c r="H730" s="3">
        <v>94.72542</v>
      </c>
      <c r="I730" s="3">
        <v>91.993911999999995</v>
      </c>
      <c r="J730">
        <v>9.5640000000000001</v>
      </c>
      <c r="K730">
        <v>9.3140000000000001</v>
      </c>
      <c r="L730">
        <v>9.3640000000000008</v>
      </c>
    </row>
    <row r="731" spans="1:12" x14ac:dyDescent="0.35">
      <c r="A731" s="2">
        <v>45247</v>
      </c>
      <c r="B731" s="3">
        <v>12.06</v>
      </c>
      <c r="C731" s="3">
        <v>83.56</v>
      </c>
      <c r="D731" s="3">
        <v>161</v>
      </c>
      <c r="E731" s="3">
        <v>15.23</v>
      </c>
      <c r="F731" s="3">
        <v>60.48</v>
      </c>
      <c r="G731" s="3">
        <v>100.37732</v>
      </c>
      <c r="H731" s="3">
        <v>95.205665999999994</v>
      </c>
      <c r="I731" s="3">
        <v>92.583917999999997</v>
      </c>
      <c r="J731">
        <v>9.6639999999999997</v>
      </c>
      <c r="K731">
        <v>9.3840000000000003</v>
      </c>
      <c r="L731">
        <v>9.4139999999999997</v>
      </c>
    </row>
    <row r="732" spans="1:12" x14ac:dyDescent="0.35">
      <c r="A732" s="2">
        <v>45251</v>
      </c>
      <c r="B732" s="3">
        <v>11.79</v>
      </c>
      <c r="C732" s="3">
        <v>84.85</v>
      </c>
      <c r="D732" s="3">
        <v>162.16999999999999</v>
      </c>
      <c r="E732" s="3">
        <v>15.18</v>
      </c>
      <c r="F732" s="3">
        <v>60.48</v>
      </c>
      <c r="G732" s="3">
        <v>100.068235</v>
      </c>
      <c r="H732" s="3">
        <v>94.824281999999997</v>
      </c>
      <c r="I732" s="3">
        <v>92.103790000000004</v>
      </c>
      <c r="J732">
        <v>9.76</v>
      </c>
      <c r="K732">
        <v>9.4640000000000004</v>
      </c>
      <c r="L732">
        <v>9.5139999999999993</v>
      </c>
    </row>
    <row r="733" spans="1:12" x14ac:dyDescent="0.35">
      <c r="A733" s="2">
        <v>45252</v>
      </c>
      <c r="B733" s="3">
        <v>11.66</v>
      </c>
      <c r="C733" s="3">
        <v>85</v>
      </c>
      <c r="D733" s="3">
        <v>162.05000000000001</v>
      </c>
      <c r="E733" s="3">
        <v>15.13</v>
      </c>
      <c r="F733" s="3">
        <v>60.53</v>
      </c>
      <c r="G733" s="3">
        <v>99.885537999999997</v>
      </c>
      <c r="H733" s="3">
        <v>94.495632999999998</v>
      </c>
      <c r="I733" s="3">
        <v>91.939530000000005</v>
      </c>
      <c r="J733">
        <v>9.84</v>
      </c>
      <c r="K733">
        <v>9.5139999999999993</v>
      </c>
      <c r="L733">
        <v>9.5540000000000003</v>
      </c>
    </row>
    <row r="734" spans="1:12" x14ac:dyDescent="0.35">
      <c r="A734" s="2">
        <v>45253</v>
      </c>
      <c r="B734" s="3">
        <v>11.84</v>
      </c>
      <c r="C734" s="3">
        <v>85.57</v>
      </c>
      <c r="D734" s="3">
        <v>163.92</v>
      </c>
      <c r="E734" s="3">
        <v>15.25</v>
      </c>
      <c r="F734" s="3">
        <v>60.19</v>
      </c>
      <c r="G734" s="3">
        <v>99.920948999999993</v>
      </c>
      <c r="H734" s="3">
        <v>94.367742000000007</v>
      </c>
      <c r="I734" s="3">
        <v>92.010429999999999</v>
      </c>
      <c r="J734">
        <v>9.9130000000000003</v>
      </c>
      <c r="K734">
        <v>9.5749999999999993</v>
      </c>
      <c r="L734">
        <v>9.5920000000000005</v>
      </c>
    </row>
    <row r="735" spans="1:12" x14ac:dyDescent="0.35">
      <c r="A735" s="2">
        <v>45254</v>
      </c>
      <c r="B735" s="3">
        <v>11.9</v>
      </c>
      <c r="C735" s="3">
        <v>85.51</v>
      </c>
      <c r="D735" s="3">
        <v>162.30000000000001</v>
      </c>
      <c r="E735" s="3">
        <v>15.32</v>
      </c>
      <c r="F735" s="3">
        <v>59.61</v>
      </c>
      <c r="G735" s="3">
        <v>99.285342</v>
      </c>
      <c r="H735" s="3">
        <v>94.392067999999995</v>
      </c>
      <c r="I735" s="3">
        <v>91.846856000000002</v>
      </c>
      <c r="J735">
        <v>9.8339999999999996</v>
      </c>
      <c r="K735">
        <v>9.5039999999999996</v>
      </c>
      <c r="L735">
        <v>9.5540000000000003</v>
      </c>
    </row>
    <row r="736" spans="1:12" x14ac:dyDescent="0.35">
      <c r="A736" s="2">
        <v>45257</v>
      </c>
      <c r="B736" s="3">
        <v>11.53</v>
      </c>
      <c r="C736" s="3">
        <v>85.72</v>
      </c>
      <c r="D736" s="3">
        <v>159.41</v>
      </c>
      <c r="E736" s="3">
        <v>15.19</v>
      </c>
      <c r="F736" s="3">
        <v>60.45</v>
      </c>
      <c r="G736" s="3">
        <v>99.972313</v>
      </c>
      <c r="H736" s="3">
        <v>94.316316999999998</v>
      </c>
      <c r="I736" s="3">
        <v>91.746032</v>
      </c>
      <c r="J736">
        <v>9.7639999999999993</v>
      </c>
      <c r="K736">
        <v>9.4640000000000004</v>
      </c>
      <c r="L736">
        <v>9.5239999999999991</v>
      </c>
    </row>
    <row r="737" spans="1:12" x14ac:dyDescent="0.35">
      <c r="A737" s="2">
        <v>45258</v>
      </c>
      <c r="B737" s="3">
        <v>11.65</v>
      </c>
      <c r="C737" s="3">
        <v>85.86</v>
      </c>
      <c r="D737" s="3">
        <v>159.81</v>
      </c>
      <c r="E737" s="3">
        <v>15.23</v>
      </c>
      <c r="F737" s="3">
        <v>60.47</v>
      </c>
      <c r="G737" s="3">
        <v>100.91593899999999</v>
      </c>
      <c r="H737" s="3">
        <v>94.591092000000003</v>
      </c>
      <c r="I737" s="3">
        <v>93.152175999999997</v>
      </c>
      <c r="J737">
        <v>9.5839999999999996</v>
      </c>
      <c r="K737">
        <v>9.3040000000000003</v>
      </c>
      <c r="L737">
        <v>9.3539999999999992</v>
      </c>
    </row>
    <row r="738" spans="1:12" x14ac:dyDescent="0.35">
      <c r="A738" s="2">
        <v>45259</v>
      </c>
      <c r="B738" s="3">
        <v>12.04</v>
      </c>
      <c r="C738" s="3">
        <v>86.31</v>
      </c>
      <c r="D738" s="3">
        <v>157.75</v>
      </c>
      <c r="E738" s="3">
        <v>15.46</v>
      </c>
      <c r="F738" s="3">
        <v>60.61</v>
      </c>
      <c r="G738" s="3">
        <v>101.277659</v>
      </c>
      <c r="H738" s="3">
        <v>95.473189000000005</v>
      </c>
      <c r="I738" s="3">
        <v>93.813642000000002</v>
      </c>
      <c r="J738">
        <v>9.484</v>
      </c>
      <c r="K738">
        <v>9.2240000000000002</v>
      </c>
      <c r="L738">
        <v>9.2539999999999996</v>
      </c>
    </row>
    <row r="739" spans="1:12" x14ac:dyDescent="0.35">
      <c r="A739" s="2">
        <v>45260</v>
      </c>
      <c r="B739" s="3">
        <v>12.07</v>
      </c>
      <c r="C739" s="3">
        <v>87.64</v>
      </c>
      <c r="D739" s="3">
        <v>161.51</v>
      </c>
      <c r="E739" s="3">
        <v>15.71</v>
      </c>
      <c r="F739" s="3">
        <v>60.66</v>
      </c>
      <c r="G739" s="3">
        <v>100.849908</v>
      </c>
      <c r="H739" s="3">
        <v>95.140882000000005</v>
      </c>
      <c r="I739" s="3">
        <v>93.119478000000001</v>
      </c>
      <c r="J739">
        <v>9.6539999999999999</v>
      </c>
      <c r="K739">
        <v>9.3040000000000003</v>
      </c>
      <c r="L739">
        <v>9.3840000000000003</v>
      </c>
    </row>
    <row r="740" spans="1:12" x14ac:dyDescent="0.35">
      <c r="A740" s="2">
        <v>45261</v>
      </c>
      <c r="B740" s="3">
        <v>12.33</v>
      </c>
      <c r="C740" s="3">
        <v>87</v>
      </c>
      <c r="D740" s="3">
        <v>159.61000000000001</v>
      </c>
      <c r="E740" s="3">
        <v>15.99</v>
      </c>
      <c r="F740" s="3">
        <v>59.9</v>
      </c>
      <c r="G740" s="3">
        <v>101.547049</v>
      </c>
      <c r="H740" s="3">
        <v>95.468297000000007</v>
      </c>
      <c r="I740" s="3">
        <v>93.843390999999997</v>
      </c>
      <c r="J740">
        <v>9.5340000000000007</v>
      </c>
      <c r="K740">
        <v>9.1839999999999993</v>
      </c>
      <c r="L740">
        <v>9.2639999999999993</v>
      </c>
    </row>
    <row r="741" spans="1:12" x14ac:dyDescent="0.35">
      <c r="A741" s="2">
        <v>45264</v>
      </c>
      <c r="B741" s="3">
        <v>12.32</v>
      </c>
      <c r="C741" s="3">
        <v>87.62</v>
      </c>
      <c r="D741" s="3">
        <v>159.88</v>
      </c>
      <c r="E741" s="3">
        <v>15.98</v>
      </c>
      <c r="F741" s="3">
        <v>60.26</v>
      </c>
      <c r="G741" s="3">
        <v>101.151899</v>
      </c>
      <c r="H741" s="3">
        <v>95.847701000000001</v>
      </c>
      <c r="I741" s="3">
        <v>93.356854999999996</v>
      </c>
      <c r="J741">
        <v>9.5640000000000001</v>
      </c>
      <c r="K741">
        <v>9.2840000000000007</v>
      </c>
      <c r="L741">
        <v>9.3640000000000008</v>
      </c>
    </row>
    <row r="742" spans="1:12" x14ac:dyDescent="0.35">
      <c r="A742" s="2">
        <v>45265</v>
      </c>
      <c r="B742" s="3">
        <v>12.14</v>
      </c>
      <c r="C742" s="3">
        <v>89.07</v>
      </c>
      <c r="D742" s="3">
        <v>159.88</v>
      </c>
      <c r="E742" s="3">
        <v>15.97</v>
      </c>
      <c r="F742" s="3">
        <v>60.52</v>
      </c>
      <c r="G742" s="3">
        <v>97.215979000000004</v>
      </c>
      <c r="H742" s="3">
        <v>91.649186</v>
      </c>
      <c r="I742" s="3">
        <v>89.462344999999999</v>
      </c>
      <c r="J742">
        <v>9.5239999999999991</v>
      </c>
      <c r="K742">
        <v>9.2040000000000006</v>
      </c>
      <c r="L742">
        <v>9.2639999999999993</v>
      </c>
    </row>
    <row r="743" spans="1:12" x14ac:dyDescent="0.35">
      <c r="A743" s="2">
        <v>45266</v>
      </c>
      <c r="B743" s="3">
        <v>12.14</v>
      </c>
      <c r="C743" s="3">
        <v>88.78</v>
      </c>
      <c r="D743" s="3">
        <v>160.38</v>
      </c>
      <c r="E743" s="3">
        <v>16.03</v>
      </c>
      <c r="F743" s="3">
        <v>61.44</v>
      </c>
      <c r="G743" s="3">
        <v>97.366445999999996</v>
      </c>
      <c r="H743" s="3">
        <v>92.180498</v>
      </c>
      <c r="I743" s="3">
        <v>90.444119999999998</v>
      </c>
      <c r="J743">
        <v>9.52</v>
      </c>
      <c r="K743">
        <v>9.1739999999999995</v>
      </c>
      <c r="L743">
        <v>9.2040000000000006</v>
      </c>
    </row>
    <row r="744" spans="1:12" x14ac:dyDescent="0.35">
      <c r="A744" s="2">
        <v>45267</v>
      </c>
      <c r="B744" s="3">
        <v>12.23</v>
      </c>
      <c r="C744" s="3">
        <v>89.13</v>
      </c>
      <c r="D744" s="3">
        <v>163.79</v>
      </c>
      <c r="E744" s="3">
        <v>16.03</v>
      </c>
      <c r="F744" s="3">
        <v>61.77</v>
      </c>
      <c r="G744" s="3">
        <v>97.438816000000003</v>
      </c>
      <c r="H744" s="3">
        <v>92.658480999999995</v>
      </c>
      <c r="I744" s="3">
        <v>90.447137999999995</v>
      </c>
      <c r="J744">
        <v>9.484</v>
      </c>
      <c r="K744">
        <v>9.1140000000000008</v>
      </c>
      <c r="L744">
        <v>9.1440000000000001</v>
      </c>
    </row>
    <row r="745" spans="1:12" x14ac:dyDescent="0.35">
      <c r="A745" s="2">
        <v>45268</v>
      </c>
      <c r="B745" s="3">
        <v>12.33</v>
      </c>
      <c r="C745" s="3">
        <v>87.27</v>
      </c>
      <c r="D745" s="3">
        <v>166.06</v>
      </c>
      <c r="E745" s="3">
        <v>15.89</v>
      </c>
      <c r="F745" s="3">
        <v>61.94</v>
      </c>
      <c r="G745" s="3">
        <v>97.487093000000002</v>
      </c>
      <c r="H745" s="3">
        <v>92.806950999999998</v>
      </c>
      <c r="I745" s="3">
        <v>90.171336999999994</v>
      </c>
      <c r="J745">
        <v>9.5540000000000003</v>
      </c>
      <c r="K745">
        <v>9.234</v>
      </c>
      <c r="L745">
        <v>9.2439999999999998</v>
      </c>
    </row>
    <row r="746" spans="1:12" x14ac:dyDescent="0.35">
      <c r="A746" s="2">
        <v>45271</v>
      </c>
      <c r="B746" s="3">
        <v>12.44</v>
      </c>
      <c r="C746" s="3">
        <v>87.32</v>
      </c>
      <c r="D746" s="3">
        <v>166.29</v>
      </c>
      <c r="E746" s="3">
        <v>15.9</v>
      </c>
      <c r="F746" s="3">
        <v>61.6</v>
      </c>
      <c r="G746" s="3">
        <v>96.716455999999994</v>
      </c>
      <c r="H746" s="3">
        <v>92.217129999999997</v>
      </c>
      <c r="I746" s="3">
        <v>89.303937000000005</v>
      </c>
      <c r="J746">
        <v>9.6539999999999999</v>
      </c>
      <c r="K746">
        <v>9.3339999999999996</v>
      </c>
      <c r="L746">
        <v>9.3539999999999992</v>
      </c>
    </row>
    <row r="747" spans="1:12" x14ac:dyDescent="0.35">
      <c r="A747" s="2">
        <v>45273</v>
      </c>
      <c r="B747" s="3">
        <v>12.89</v>
      </c>
      <c r="C747" s="3">
        <v>88.62</v>
      </c>
      <c r="D747" s="3">
        <v>169.2</v>
      </c>
      <c r="E747" s="3">
        <v>15.78</v>
      </c>
      <c r="F747" s="3">
        <v>61.73</v>
      </c>
      <c r="G747" s="3">
        <v>97.872349</v>
      </c>
      <c r="H747" s="3">
        <v>92.750418999999994</v>
      </c>
      <c r="I747" s="3">
        <v>89.770005999999995</v>
      </c>
      <c r="J747">
        <v>9.4640000000000004</v>
      </c>
      <c r="K747">
        <v>9.0939999999999994</v>
      </c>
      <c r="L747">
        <v>9.1039999999999992</v>
      </c>
    </row>
    <row r="748" spans="1:12" x14ac:dyDescent="0.35">
      <c r="A748" s="2">
        <v>45274</v>
      </c>
      <c r="B748" s="3">
        <v>13.54</v>
      </c>
      <c r="C748" s="3">
        <v>88.44</v>
      </c>
      <c r="D748" s="3">
        <v>172.19</v>
      </c>
      <c r="E748" s="3">
        <v>16.22</v>
      </c>
      <c r="F748" s="3">
        <v>61.94</v>
      </c>
      <c r="G748" s="3">
        <v>98.664523000000003</v>
      </c>
      <c r="H748" s="3">
        <v>93.953664000000003</v>
      </c>
      <c r="I748" s="3">
        <v>92.098979999999997</v>
      </c>
      <c r="J748">
        <v>9.2439999999999998</v>
      </c>
      <c r="K748">
        <v>8.9239999999999995</v>
      </c>
      <c r="L748">
        <v>8.9640000000000004</v>
      </c>
    </row>
    <row r="749" spans="1:12" x14ac:dyDescent="0.35">
      <c r="A749" s="2">
        <v>45275</v>
      </c>
      <c r="B749" s="3">
        <v>13.52</v>
      </c>
      <c r="C749" s="3">
        <v>88.19</v>
      </c>
      <c r="D749" s="3">
        <v>171.15</v>
      </c>
      <c r="E749" s="3">
        <v>16.12</v>
      </c>
      <c r="F749" s="3">
        <v>61.22</v>
      </c>
      <c r="G749" s="3">
        <v>98.306426999999999</v>
      </c>
      <c r="H749" s="3">
        <v>93.45881</v>
      </c>
      <c r="I749" s="3">
        <v>91.143109999999993</v>
      </c>
      <c r="J749">
        <v>9.4139999999999997</v>
      </c>
      <c r="K749">
        <v>9.0139999999999993</v>
      </c>
      <c r="L749">
        <v>9.0440000000000005</v>
      </c>
    </row>
    <row r="750" spans="1:12" x14ac:dyDescent="0.35">
      <c r="A750" s="2">
        <v>45278</v>
      </c>
      <c r="B750" s="3">
        <v>13.59</v>
      </c>
      <c r="C750" s="3">
        <v>89</v>
      </c>
      <c r="D750" s="3">
        <v>174.68</v>
      </c>
      <c r="E750" s="3">
        <v>16.28</v>
      </c>
      <c r="F750" s="3">
        <v>62</v>
      </c>
      <c r="G750" s="3">
        <v>97.740196999999995</v>
      </c>
      <c r="H750" s="3">
        <v>93.224300999999997</v>
      </c>
      <c r="I750" s="3">
        <v>90.778237000000004</v>
      </c>
      <c r="J750">
        <v>9.5630000000000006</v>
      </c>
      <c r="K750">
        <v>9.0540000000000003</v>
      </c>
      <c r="L750">
        <v>9.0540000000000003</v>
      </c>
    </row>
    <row r="751" spans="1:12" x14ac:dyDescent="0.35">
      <c r="A751" s="2">
        <v>45279</v>
      </c>
      <c r="B751" s="3">
        <v>13.6</v>
      </c>
      <c r="C751" s="3">
        <v>87.39</v>
      </c>
      <c r="D751" s="3">
        <v>174.03</v>
      </c>
      <c r="E751" s="3">
        <v>15.91</v>
      </c>
      <c r="F751" s="3">
        <v>63.27</v>
      </c>
      <c r="G751" s="3">
        <v>97.764354999999995</v>
      </c>
      <c r="H751" s="3">
        <v>93.195886999999999</v>
      </c>
      <c r="I751" s="3">
        <v>91.188024999999996</v>
      </c>
      <c r="J751">
        <v>9.484</v>
      </c>
      <c r="K751">
        <v>9.1539999999999999</v>
      </c>
      <c r="L751">
        <v>9.1440000000000001</v>
      </c>
    </row>
    <row r="752" spans="1:12" x14ac:dyDescent="0.35">
      <c r="A752" s="2">
        <v>45280</v>
      </c>
      <c r="B752" s="3">
        <v>13.45</v>
      </c>
      <c r="C752" s="3">
        <v>86.86</v>
      </c>
      <c r="D752" s="3">
        <v>170.57</v>
      </c>
      <c r="E752" s="3">
        <v>15.71</v>
      </c>
      <c r="F752" s="3">
        <v>63.12</v>
      </c>
      <c r="G752" s="3">
        <v>98.082826999999995</v>
      </c>
      <c r="H752" s="3">
        <v>93.116264999999999</v>
      </c>
      <c r="I752" s="3">
        <v>91.469875999999999</v>
      </c>
      <c r="J752">
        <v>9.4039999999999999</v>
      </c>
      <c r="K752">
        <v>9.0440000000000005</v>
      </c>
      <c r="L752">
        <v>9.0739999999999998</v>
      </c>
    </row>
    <row r="753" spans="1:12" x14ac:dyDescent="0.35">
      <c r="A753" s="2">
        <v>45281</v>
      </c>
      <c r="B753" s="3">
        <v>13.75</v>
      </c>
      <c r="C753" s="3">
        <v>88.29</v>
      </c>
      <c r="D753" s="3">
        <v>171.46</v>
      </c>
      <c r="E753" s="3">
        <v>15.89</v>
      </c>
      <c r="F753" s="3">
        <v>64.34</v>
      </c>
      <c r="G753" s="3">
        <v>98.179103999999995</v>
      </c>
      <c r="H753" s="3">
        <v>93.619062999999997</v>
      </c>
      <c r="I753" s="3">
        <v>91.494755999999995</v>
      </c>
      <c r="J753">
        <v>9.4440000000000008</v>
      </c>
      <c r="K753">
        <v>9.0839999999999996</v>
      </c>
      <c r="L753">
        <v>9.1039999999999992</v>
      </c>
    </row>
    <row r="754" spans="1:12" x14ac:dyDescent="0.35">
      <c r="A754" s="2">
        <v>45282</v>
      </c>
      <c r="B754" s="3">
        <v>13.92</v>
      </c>
      <c r="C754" s="3">
        <v>88.77</v>
      </c>
      <c r="D754" s="3">
        <v>167.29</v>
      </c>
      <c r="E754" s="3">
        <v>15.69</v>
      </c>
      <c r="F754" s="3">
        <v>64.84</v>
      </c>
      <c r="G754" s="3">
        <v>97.909429000000003</v>
      </c>
      <c r="H754" s="3">
        <v>93.385019999999997</v>
      </c>
      <c r="I754" s="3">
        <v>91.647081</v>
      </c>
      <c r="J754">
        <v>9.4540000000000006</v>
      </c>
      <c r="K754">
        <v>9.1039999999999992</v>
      </c>
      <c r="L754">
        <v>9.17</v>
      </c>
    </row>
    <row r="755" spans="1:12" x14ac:dyDescent="0.35">
      <c r="A755" s="2">
        <v>45286</v>
      </c>
      <c r="B755" s="3">
        <v>13.79</v>
      </c>
      <c r="C755" s="3">
        <v>87.99</v>
      </c>
      <c r="D755" s="3">
        <v>173.64</v>
      </c>
      <c r="E755" s="3">
        <v>15.79</v>
      </c>
      <c r="F755" s="3">
        <v>64.319999999999993</v>
      </c>
      <c r="G755" s="3">
        <v>98.101293999999996</v>
      </c>
      <c r="H755" s="3">
        <v>93.356729999999999</v>
      </c>
      <c r="I755" s="3">
        <v>91.474872000000005</v>
      </c>
      <c r="J755">
        <v>9.4640000000000004</v>
      </c>
      <c r="K755">
        <v>9.1140000000000008</v>
      </c>
      <c r="L755">
        <v>9.1240000000000006</v>
      </c>
    </row>
    <row r="756" spans="1:12" x14ac:dyDescent="0.35">
      <c r="A756" s="2">
        <v>45287</v>
      </c>
      <c r="B756" s="3">
        <v>13.76</v>
      </c>
      <c r="C756" s="3">
        <v>87.53</v>
      </c>
      <c r="D756" s="3">
        <v>168.25</v>
      </c>
      <c r="E756" s="3">
        <v>15.65</v>
      </c>
      <c r="F756" s="3">
        <v>64.23</v>
      </c>
      <c r="G756" s="3">
        <v>98.503853000000007</v>
      </c>
      <c r="H756" s="3">
        <v>93.379729999999995</v>
      </c>
      <c r="I756" s="3">
        <v>91.238702000000004</v>
      </c>
      <c r="J756">
        <v>9.3740000000000006</v>
      </c>
      <c r="K756">
        <v>9.0139999999999993</v>
      </c>
      <c r="L756">
        <v>9.0139999999999993</v>
      </c>
    </row>
    <row r="757" spans="1:12" x14ac:dyDescent="0.35">
      <c r="A757" s="2">
        <v>45288</v>
      </c>
      <c r="B757" s="3">
        <v>13.42</v>
      </c>
      <c r="C757" s="3">
        <v>87.48</v>
      </c>
      <c r="D757" s="3">
        <v>171.62</v>
      </c>
      <c r="E757" s="3">
        <v>15.61</v>
      </c>
      <c r="F757" s="3">
        <v>63.95</v>
      </c>
      <c r="G757" s="3">
        <v>98.389776999999995</v>
      </c>
      <c r="H757" s="3">
        <v>94.037075000000002</v>
      </c>
      <c r="I757" s="3">
        <v>91.846877000000006</v>
      </c>
      <c r="J757">
        <v>9.44</v>
      </c>
      <c r="K757">
        <v>9.07</v>
      </c>
      <c r="L757">
        <v>9.0749999999999993</v>
      </c>
    </row>
    <row r="758" spans="1:12" x14ac:dyDescent="0.35">
      <c r="A758" s="2">
        <v>45289</v>
      </c>
      <c r="B758" s="3">
        <v>13.22</v>
      </c>
      <c r="C758" s="3">
        <v>85.95</v>
      </c>
      <c r="D758" s="3">
        <v>170.76</v>
      </c>
      <c r="E758" s="3">
        <v>15.74</v>
      </c>
      <c r="F758" s="3">
        <v>64.16</v>
      </c>
      <c r="G758" s="3">
        <v>98.792394999999999</v>
      </c>
      <c r="H758" s="3">
        <v>94.111559999999997</v>
      </c>
      <c r="I758" s="3">
        <v>92.195094999999995</v>
      </c>
      <c r="J758">
        <v>9.4350000000000005</v>
      </c>
      <c r="K758">
        <v>8.98</v>
      </c>
      <c r="L758">
        <v>9.0150000000000006</v>
      </c>
    </row>
    <row r="759" spans="1:12" x14ac:dyDescent="0.35">
      <c r="A759" s="2">
        <v>45293</v>
      </c>
      <c r="B759" s="3">
        <v>13</v>
      </c>
      <c r="C759" s="3">
        <v>87.1</v>
      </c>
      <c r="D759" s="3">
        <v>168.08</v>
      </c>
      <c r="E759" s="3">
        <v>15.75</v>
      </c>
      <c r="F759" s="3">
        <v>63.21</v>
      </c>
      <c r="G759" s="3">
        <v>98.144969000000003</v>
      </c>
      <c r="H759" s="3">
        <v>94.444681000000003</v>
      </c>
      <c r="I759" s="3">
        <v>91.503051999999997</v>
      </c>
      <c r="J759">
        <v>9.4740000000000002</v>
      </c>
      <c r="K759">
        <v>9.0039999999999996</v>
      </c>
      <c r="L759">
        <v>9.0239999999999991</v>
      </c>
    </row>
    <row r="760" spans="1:12" x14ac:dyDescent="0.35">
      <c r="A760" s="2">
        <v>45294</v>
      </c>
      <c r="B760" s="3">
        <v>12.68</v>
      </c>
      <c r="C760" s="3">
        <v>84.85</v>
      </c>
      <c r="D760" s="3">
        <v>163.21</v>
      </c>
      <c r="E760" s="3">
        <v>15.51</v>
      </c>
      <c r="F760" s="3">
        <v>63.71</v>
      </c>
      <c r="G760" s="3">
        <v>98.546014999999997</v>
      </c>
      <c r="H760" s="3">
        <v>93.848471000000004</v>
      </c>
      <c r="I760" s="3">
        <v>91.849394000000004</v>
      </c>
      <c r="J760">
        <v>9.4600000000000009</v>
      </c>
      <c r="K760">
        <v>9.0540000000000003</v>
      </c>
      <c r="L760">
        <v>9.0640000000000001</v>
      </c>
    </row>
    <row r="761" spans="1:12" x14ac:dyDescent="0.35">
      <c r="A761" s="2">
        <v>45295</v>
      </c>
      <c r="B761" s="3">
        <v>12.67</v>
      </c>
      <c r="C761" s="3">
        <v>84.74</v>
      </c>
      <c r="D761" s="3">
        <v>164.62</v>
      </c>
      <c r="E761" s="3">
        <v>15.47</v>
      </c>
      <c r="F761" s="3">
        <v>62.57</v>
      </c>
      <c r="G761" s="3">
        <v>98.200222999999994</v>
      </c>
      <c r="H761" s="3">
        <v>93.763564000000002</v>
      </c>
      <c r="I761" s="3">
        <v>91.335425999999998</v>
      </c>
      <c r="J761">
        <v>9.5449999999999999</v>
      </c>
      <c r="K761">
        <v>9.15</v>
      </c>
      <c r="L761">
        <v>9.18</v>
      </c>
    </row>
    <row r="762" spans="1:12" x14ac:dyDescent="0.35">
      <c r="A762" s="2">
        <v>45296</v>
      </c>
      <c r="B762" s="3">
        <v>13</v>
      </c>
      <c r="C762" s="3">
        <v>88.62</v>
      </c>
      <c r="D762" s="3">
        <v>170.6</v>
      </c>
      <c r="E762" s="3">
        <v>15.41</v>
      </c>
      <c r="F762" s="3">
        <v>62.88</v>
      </c>
      <c r="G762" s="3">
        <v>98.307905000000005</v>
      </c>
      <c r="H762" s="3">
        <v>93.530963</v>
      </c>
      <c r="I762" s="3">
        <v>91.358025999999995</v>
      </c>
      <c r="J762">
        <v>9.5239999999999991</v>
      </c>
      <c r="K762">
        <v>9.1340000000000003</v>
      </c>
      <c r="L762">
        <v>9.1539999999999999</v>
      </c>
    </row>
    <row r="763" spans="1:12" x14ac:dyDescent="0.35">
      <c r="A763" s="2">
        <v>45299</v>
      </c>
      <c r="B763" s="3">
        <v>13.08</v>
      </c>
      <c r="C763" s="3">
        <v>86.27</v>
      </c>
      <c r="D763" s="3">
        <v>166.95</v>
      </c>
      <c r="E763" s="3">
        <v>15.4</v>
      </c>
      <c r="F763" s="3">
        <v>62.57</v>
      </c>
      <c r="G763" s="3">
        <v>98.540985000000006</v>
      </c>
      <c r="H763" s="3">
        <v>93.503049000000004</v>
      </c>
      <c r="I763" s="3">
        <v>91.444980000000001</v>
      </c>
      <c r="J763">
        <v>9.4540000000000006</v>
      </c>
      <c r="K763">
        <v>9.0739999999999998</v>
      </c>
      <c r="L763">
        <v>9.1039999999999992</v>
      </c>
    </row>
    <row r="764" spans="1:12" x14ac:dyDescent="0.35">
      <c r="A764" s="2">
        <v>45300</v>
      </c>
      <c r="B764" s="3">
        <v>13.21</v>
      </c>
      <c r="C764" s="3">
        <v>84.37</v>
      </c>
      <c r="D764" s="3">
        <v>164.96</v>
      </c>
      <c r="E764" s="3">
        <v>15.25</v>
      </c>
      <c r="F764" s="3">
        <v>61.76</v>
      </c>
      <c r="G764" s="3">
        <v>98.314718999999997</v>
      </c>
      <c r="H764" s="3">
        <v>93.781486000000001</v>
      </c>
      <c r="I764" s="3">
        <v>91.403240999999994</v>
      </c>
      <c r="J764">
        <v>9.5039999999999996</v>
      </c>
      <c r="K764">
        <v>9.1440000000000001</v>
      </c>
      <c r="L764">
        <v>9.1539999999999999</v>
      </c>
    </row>
    <row r="765" spans="1:12" x14ac:dyDescent="0.35">
      <c r="A765" s="2">
        <v>45301</v>
      </c>
      <c r="B765" s="3">
        <v>13.32</v>
      </c>
      <c r="C765" s="3">
        <v>83.91</v>
      </c>
      <c r="D765" s="3">
        <v>165.42</v>
      </c>
      <c r="E765" s="3">
        <v>15.29</v>
      </c>
      <c r="F765" s="3">
        <v>61.48</v>
      </c>
      <c r="G765" s="3">
        <v>98.547556999999998</v>
      </c>
      <c r="H765" s="3">
        <v>93.549276000000006</v>
      </c>
      <c r="I765" s="3">
        <v>91.490189999999998</v>
      </c>
      <c r="J765">
        <v>9.4640000000000004</v>
      </c>
      <c r="K765">
        <v>9.0939999999999994</v>
      </c>
      <c r="L765">
        <v>9.1240000000000006</v>
      </c>
    </row>
    <row r="766" spans="1:12" x14ac:dyDescent="0.35">
      <c r="A766" s="2">
        <v>45302</v>
      </c>
      <c r="B766" s="3">
        <v>13.22</v>
      </c>
      <c r="C766" s="3">
        <v>84.85</v>
      </c>
      <c r="D766" s="3">
        <v>165.24</v>
      </c>
      <c r="E766" s="3">
        <v>15.57</v>
      </c>
      <c r="F766" s="3">
        <v>61.48</v>
      </c>
      <c r="G766" s="3">
        <v>98.620176000000001</v>
      </c>
      <c r="H766" s="3">
        <v>93.771602000000001</v>
      </c>
      <c r="I766" s="3">
        <v>91.301180000000002</v>
      </c>
      <c r="J766">
        <v>9.3940000000000001</v>
      </c>
      <c r="K766">
        <v>9.0340000000000007</v>
      </c>
      <c r="L766">
        <v>9.0839999999999996</v>
      </c>
    </row>
    <row r="767" spans="1:12" x14ac:dyDescent="0.35">
      <c r="A767" s="2">
        <v>45303</v>
      </c>
      <c r="B767" s="3">
        <v>13.22</v>
      </c>
      <c r="C767" s="3">
        <v>85.39</v>
      </c>
      <c r="D767" s="3">
        <v>165.51</v>
      </c>
      <c r="E767" s="3">
        <v>15.76</v>
      </c>
      <c r="F767" s="3">
        <v>61.71</v>
      </c>
      <c r="G767" s="3">
        <v>99.482921000000005</v>
      </c>
      <c r="H767" s="3">
        <v>94.050253999999995</v>
      </c>
      <c r="I767" s="3">
        <v>92.227035999999998</v>
      </c>
      <c r="J767">
        <v>9.2639999999999993</v>
      </c>
      <c r="K767">
        <v>8.8940000000000001</v>
      </c>
      <c r="L767">
        <v>8.9540000000000006</v>
      </c>
    </row>
    <row r="768" spans="1:12" x14ac:dyDescent="0.35">
      <c r="A768" s="2">
        <v>45306</v>
      </c>
      <c r="B768" s="3">
        <v>13.06</v>
      </c>
      <c r="C768" s="3">
        <v>84.95</v>
      </c>
      <c r="D768" s="3">
        <v>164.9</v>
      </c>
      <c r="E768" s="3">
        <v>15.91</v>
      </c>
      <c r="F768" s="3">
        <v>61.28</v>
      </c>
      <c r="G768" s="3">
        <v>99.506822</v>
      </c>
      <c r="H768" s="3">
        <v>94.073300000000003</v>
      </c>
      <c r="I768" s="3">
        <v>92.249585999999994</v>
      </c>
      <c r="J768">
        <v>9.33</v>
      </c>
      <c r="K768">
        <v>8.9269999999999996</v>
      </c>
      <c r="L768">
        <v>8.9830000000000005</v>
      </c>
    </row>
    <row r="769" spans="1:12" x14ac:dyDescent="0.35">
      <c r="A769" s="2">
        <v>45307</v>
      </c>
      <c r="B769" s="3">
        <v>12.8</v>
      </c>
      <c r="C769" s="3">
        <v>87.01</v>
      </c>
      <c r="D769" s="3">
        <v>164.18</v>
      </c>
      <c r="E769" s="3">
        <v>15.69</v>
      </c>
      <c r="F769" s="3">
        <v>61.34</v>
      </c>
      <c r="G769" s="3">
        <v>99.152584000000004</v>
      </c>
      <c r="H769" s="3">
        <v>94.045196000000004</v>
      </c>
      <c r="I769" s="3">
        <v>91.561671000000004</v>
      </c>
      <c r="J769">
        <v>9.3569999999999993</v>
      </c>
      <c r="K769">
        <v>8.98</v>
      </c>
      <c r="L769">
        <v>9.06</v>
      </c>
    </row>
    <row r="770" spans="1:12" x14ac:dyDescent="0.35">
      <c r="A770" s="2">
        <v>45308</v>
      </c>
      <c r="B770" s="3">
        <v>12.85</v>
      </c>
      <c r="C770" s="3">
        <v>85.62</v>
      </c>
      <c r="D770" s="3">
        <v>164.69</v>
      </c>
      <c r="E770" s="3">
        <v>15.39</v>
      </c>
      <c r="F770" s="3">
        <v>62.06</v>
      </c>
      <c r="G770" s="3">
        <v>98.592214999999996</v>
      </c>
      <c r="H770" s="3">
        <v>94.221801999999997</v>
      </c>
      <c r="I770" s="3">
        <v>91.072316000000001</v>
      </c>
      <c r="J770">
        <v>9.4749999999999996</v>
      </c>
      <c r="K770">
        <v>9.1199999999999992</v>
      </c>
      <c r="L770">
        <v>9.1669999999999998</v>
      </c>
    </row>
    <row r="771" spans="1:12" x14ac:dyDescent="0.35">
      <c r="A771" s="2">
        <v>45309</v>
      </c>
      <c r="B771" s="3">
        <v>12.74</v>
      </c>
      <c r="C771" s="3">
        <v>84.74</v>
      </c>
      <c r="D771" s="3">
        <v>163.55000000000001</v>
      </c>
      <c r="E771" s="3">
        <v>15.44</v>
      </c>
      <c r="F771" s="3">
        <v>64.31</v>
      </c>
      <c r="G771" s="3">
        <v>98.582061999999993</v>
      </c>
      <c r="H771" s="3">
        <v>93.628388999999999</v>
      </c>
      <c r="I771" s="3">
        <v>90.886059000000003</v>
      </c>
      <c r="J771">
        <v>9.5350000000000001</v>
      </c>
      <c r="K771">
        <v>9.14</v>
      </c>
      <c r="L771">
        <v>9.2200000000000006</v>
      </c>
    </row>
    <row r="772" spans="1:12" x14ac:dyDescent="0.35">
      <c r="A772" s="2">
        <v>45310</v>
      </c>
      <c r="B772" s="3">
        <v>12.82</v>
      </c>
      <c r="C772" s="3">
        <v>84.42</v>
      </c>
      <c r="D772" s="3">
        <v>167.05</v>
      </c>
      <c r="E772" s="3">
        <v>15.78</v>
      </c>
      <c r="F772" s="3">
        <v>64.010000000000005</v>
      </c>
      <c r="G772" s="3">
        <v>98.606402000000003</v>
      </c>
      <c r="H772" s="3">
        <v>93.651605000000004</v>
      </c>
      <c r="I772" s="3">
        <v>90.908835999999994</v>
      </c>
      <c r="J772">
        <v>9.5</v>
      </c>
      <c r="K772">
        <v>9.17</v>
      </c>
      <c r="L772">
        <v>9.25</v>
      </c>
    </row>
    <row r="773" spans="1:12" x14ac:dyDescent="0.35">
      <c r="A773" s="2">
        <v>45313</v>
      </c>
      <c r="B773" s="3">
        <v>12.81</v>
      </c>
      <c r="C773" s="3">
        <v>78.61</v>
      </c>
      <c r="D773" s="3">
        <v>166.91</v>
      </c>
      <c r="E773" s="3">
        <v>15.7</v>
      </c>
      <c r="F773" s="3">
        <v>64.239999999999995</v>
      </c>
      <c r="G773" s="3">
        <v>98.630747999999997</v>
      </c>
      <c r="H773" s="3">
        <v>93.421706999999998</v>
      </c>
      <c r="I773" s="3">
        <v>90.931619999999995</v>
      </c>
      <c r="J773">
        <v>9.4749999999999996</v>
      </c>
      <c r="K773">
        <v>9.1370000000000005</v>
      </c>
      <c r="L773">
        <v>9.1999999999999993</v>
      </c>
    </row>
    <row r="774" spans="1:12" x14ac:dyDescent="0.35">
      <c r="A774" s="2">
        <v>45314</v>
      </c>
      <c r="B774" s="3">
        <v>13.06</v>
      </c>
      <c r="C774" s="3">
        <v>78.099999999999994</v>
      </c>
      <c r="D774" s="3">
        <v>167.86</v>
      </c>
      <c r="E774" s="3">
        <v>15.91</v>
      </c>
      <c r="F774" s="3">
        <v>63.96</v>
      </c>
      <c r="G774" s="3">
        <v>98.738045</v>
      </c>
      <c r="H774" s="3">
        <v>93.546115</v>
      </c>
      <c r="I774" s="3">
        <v>90.890968999999998</v>
      </c>
      <c r="J774">
        <v>9.5749999999999993</v>
      </c>
      <c r="K774">
        <v>9.2530000000000001</v>
      </c>
      <c r="L774">
        <v>9.2899999999999991</v>
      </c>
    </row>
    <row r="775" spans="1:12" x14ac:dyDescent="0.35">
      <c r="A775" s="2">
        <v>45315</v>
      </c>
      <c r="B775" s="3">
        <v>13.34</v>
      </c>
      <c r="C775" s="3">
        <v>77.55</v>
      </c>
      <c r="D775" s="3">
        <v>168.31</v>
      </c>
      <c r="E775" s="3">
        <v>15.49</v>
      </c>
      <c r="F775" s="3">
        <v>64.89</v>
      </c>
      <c r="G775" s="3">
        <v>98.638034000000005</v>
      </c>
      <c r="H775" s="3">
        <v>93.518821000000003</v>
      </c>
      <c r="I775" s="3">
        <v>90.913771999999994</v>
      </c>
      <c r="J775">
        <v>9.484</v>
      </c>
      <c r="K775">
        <v>9.1140000000000008</v>
      </c>
      <c r="L775">
        <v>9.1839999999999993</v>
      </c>
    </row>
    <row r="776" spans="1:12" x14ac:dyDescent="0.35">
      <c r="A776" s="2">
        <v>45316</v>
      </c>
      <c r="B776" s="3">
        <v>13.99</v>
      </c>
      <c r="C776" s="3">
        <v>77.099999999999994</v>
      </c>
      <c r="D776" s="3">
        <v>169.42</v>
      </c>
      <c r="E776" s="3">
        <v>15.31</v>
      </c>
      <c r="F776" s="3">
        <v>64.989999999999995</v>
      </c>
      <c r="G776" s="3">
        <v>98.711191999999997</v>
      </c>
      <c r="H776" s="3">
        <v>93.386939999999996</v>
      </c>
      <c r="I776" s="3">
        <v>90.918869000000001</v>
      </c>
      <c r="J776">
        <v>9.4440000000000008</v>
      </c>
      <c r="K776">
        <v>9.1539999999999999</v>
      </c>
      <c r="L776">
        <v>9.2539999999999996</v>
      </c>
    </row>
    <row r="777" spans="1:12" x14ac:dyDescent="0.35">
      <c r="A777" s="2">
        <v>45317</v>
      </c>
      <c r="B777" s="3">
        <v>14.15</v>
      </c>
      <c r="C777" s="3">
        <v>79.05</v>
      </c>
      <c r="D777" s="3">
        <v>170.56</v>
      </c>
      <c r="E777" s="3">
        <v>15.47</v>
      </c>
      <c r="F777" s="3">
        <v>66.69</v>
      </c>
      <c r="G777" s="3">
        <v>98.901161000000002</v>
      </c>
      <c r="H777" s="3">
        <v>93.561528999999993</v>
      </c>
      <c r="I777" s="3">
        <v>90.688946000000001</v>
      </c>
      <c r="J777">
        <v>9.4640000000000004</v>
      </c>
      <c r="K777">
        <v>9.1839999999999993</v>
      </c>
      <c r="L777">
        <v>9.2539999999999996</v>
      </c>
    </row>
    <row r="778" spans="1:12" x14ac:dyDescent="0.35">
      <c r="A778" s="2">
        <v>45320</v>
      </c>
      <c r="B778" s="3">
        <v>14.29</v>
      </c>
      <c r="C778" s="3">
        <v>79.33</v>
      </c>
      <c r="D778" s="3">
        <v>170.78</v>
      </c>
      <c r="E778" s="3">
        <v>15.49</v>
      </c>
      <c r="F778" s="3">
        <v>67.86</v>
      </c>
      <c r="G778" s="3">
        <v>98.801338000000001</v>
      </c>
      <c r="H778" s="3">
        <v>93.433655000000002</v>
      </c>
      <c r="I778" s="3">
        <v>90.838061999999994</v>
      </c>
      <c r="J778">
        <v>9.4640000000000004</v>
      </c>
      <c r="K778">
        <v>9.1639999999999997</v>
      </c>
      <c r="L778">
        <v>9.2539999999999996</v>
      </c>
    </row>
    <row r="779" spans="1:12" x14ac:dyDescent="0.35">
      <c r="A779" s="2">
        <v>45321</v>
      </c>
      <c r="B779" s="3">
        <v>14.38</v>
      </c>
      <c r="C779" s="3">
        <v>77.83</v>
      </c>
      <c r="D779" s="3">
        <v>176.52</v>
      </c>
      <c r="E779" s="3">
        <v>15.57</v>
      </c>
      <c r="F779" s="3">
        <v>67.31</v>
      </c>
      <c r="G779" s="3">
        <v>98.743098000000003</v>
      </c>
      <c r="H779" s="3">
        <v>93.457021999999995</v>
      </c>
      <c r="I779" s="3">
        <v>90.860923999999997</v>
      </c>
      <c r="J779">
        <v>9.5340000000000007</v>
      </c>
      <c r="K779">
        <v>9.2140000000000004</v>
      </c>
      <c r="L779">
        <v>9.2840000000000007</v>
      </c>
    </row>
    <row r="780" spans="1:12" x14ac:dyDescent="0.35">
      <c r="A780" s="2">
        <v>45322</v>
      </c>
      <c r="B780" s="3">
        <v>14.3</v>
      </c>
      <c r="C780" s="3">
        <v>78.52</v>
      </c>
      <c r="D780" s="3">
        <v>175.06</v>
      </c>
      <c r="E780" s="3">
        <v>15.55</v>
      </c>
      <c r="F780" s="3">
        <v>67.260000000000005</v>
      </c>
      <c r="G780" s="3">
        <v>98.850132000000002</v>
      </c>
      <c r="H780" s="3">
        <v>93.379818</v>
      </c>
      <c r="I780" s="3">
        <v>91.646072000000004</v>
      </c>
      <c r="J780">
        <v>9.4139999999999997</v>
      </c>
      <c r="K780">
        <v>9.0939999999999994</v>
      </c>
      <c r="L780">
        <v>9.1739999999999995</v>
      </c>
    </row>
    <row r="781" spans="1:12" x14ac:dyDescent="0.35">
      <c r="A781" s="2">
        <v>45323</v>
      </c>
      <c r="B781" s="3">
        <v>14.42</v>
      </c>
      <c r="C781" s="3">
        <v>78.53</v>
      </c>
      <c r="D781" s="3">
        <v>176.67</v>
      </c>
      <c r="E781" s="3">
        <v>15.49</v>
      </c>
      <c r="F781" s="3">
        <v>68.209999999999994</v>
      </c>
      <c r="G781" s="3">
        <v>99.485988000000006</v>
      </c>
      <c r="H781" s="3">
        <v>94.331950000000006</v>
      </c>
      <c r="I781" s="3">
        <v>92.637023999999997</v>
      </c>
      <c r="J781">
        <v>9.33</v>
      </c>
      <c r="K781">
        <v>9.0139999999999993</v>
      </c>
      <c r="L781">
        <v>9.0440000000000005</v>
      </c>
    </row>
    <row r="782" spans="1:12" x14ac:dyDescent="0.35">
      <c r="A782" s="2">
        <v>45324</v>
      </c>
      <c r="B782" s="3">
        <v>14.71</v>
      </c>
      <c r="C782" s="3">
        <v>77.900000000000006</v>
      </c>
      <c r="D782" s="3">
        <v>181.14</v>
      </c>
      <c r="E782" s="3">
        <v>15.51</v>
      </c>
      <c r="F782" s="3">
        <v>66.97</v>
      </c>
      <c r="G782" s="3">
        <v>98.930992000000003</v>
      </c>
      <c r="H782" s="3">
        <v>94.000542999999993</v>
      </c>
      <c r="I782" s="3">
        <v>91.124583000000001</v>
      </c>
      <c r="J782">
        <v>9.5440000000000005</v>
      </c>
      <c r="K782">
        <v>9.234</v>
      </c>
      <c r="L782">
        <v>9.2439999999999998</v>
      </c>
    </row>
    <row r="783" spans="1:12" x14ac:dyDescent="0.35">
      <c r="A783" s="2">
        <v>45328</v>
      </c>
      <c r="B783" s="3">
        <v>14.78</v>
      </c>
      <c r="C783" s="3">
        <v>81.599999999999994</v>
      </c>
      <c r="D783" s="3">
        <v>185.33</v>
      </c>
      <c r="E783" s="3">
        <v>15.37</v>
      </c>
      <c r="F783" s="3">
        <v>67.34</v>
      </c>
      <c r="G783" s="3">
        <v>98.544476000000003</v>
      </c>
      <c r="H783" s="3">
        <v>93.771653999999998</v>
      </c>
      <c r="I783" s="3">
        <v>90.958033999999998</v>
      </c>
      <c r="J783">
        <v>9.6440000000000001</v>
      </c>
      <c r="K783">
        <v>9.2639999999999993</v>
      </c>
      <c r="L783">
        <v>9.2739999999999991</v>
      </c>
    </row>
    <row r="784" spans="1:12" x14ac:dyDescent="0.35">
      <c r="A784" s="2">
        <v>45329</v>
      </c>
      <c r="B784" s="3">
        <v>14.86</v>
      </c>
      <c r="C784" s="3">
        <v>79.31</v>
      </c>
      <c r="D784" s="3">
        <v>189.85</v>
      </c>
      <c r="E784" s="3">
        <v>15.24</v>
      </c>
      <c r="F784" s="3">
        <v>67.400000000000006</v>
      </c>
      <c r="G784" s="3">
        <v>98.569095000000004</v>
      </c>
      <c r="H784" s="3">
        <v>93.593945000000005</v>
      </c>
      <c r="I784" s="3">
        <v>91.170361</v>
      </c>
      <c r="J784">
        <v>9.5640000000000001</v>
      </c>
      <c r="K784">
        <v>9.2439999999999998</v>
      </c>
      <c r="L784">
        <v>9.2739999999999991</v>
      </c>
    </row>
    <row r="785" spans="1:12" x14ac:dyDescent="0.35">
      <c r="A785" s="2">
        <v>45330</v>
      </c>
      <c r="B785" s="3">
        <v>13.63</v>
      </c>
      <c r="C785" s="3">
        <v>79.47</v>
      </c>
      <c r="D785" s="3">
        <v>184.33</v>
      </c>
      <c r="E785" s="3">
        <v>14.85</v>
      </c>
      <c r="F785" s="3">
        <v>66.08</v>
      </c>
      <c r="G785" s="3">
        <v>98.724880999999996</v>
      </c>
      <c r="H785" s="3">
        <v>93.714439999999996</v>
      </c>
      <c r="I785" s="3">
        <v>91.302301</v>
      </c>
      <c r="J785">
        <v>9.4740000000000002</v>
      </c>
      <c r="K785">
        <v>9.1940000000000008</v>
      </c>
      <c r="L785">
        <v>9.2240000000000002</v>
      </c>
    </row>
    <row r="786" spans="1:12" x14ac:dyDescent="0.35">
      <c r="A786" s="2">
        <v>45331</v>
      </c>
      <c r="B786" s="3">
        <v>13.13</v>
      </c>
      <c r="C786" s="3">
        <v>78.34</v>
      </c>
      <c r="D786" s="3">
        <v>184.12</v>
      </c>
      <c r="E786" s="3">
        <v>14.67</v>
      </c>
      <c r="F786" s="3">
        <v>66.760000000000005</v>
      </c>
      <c r="G786" s="3">
        <v>98.913472999999996</v>
      </c>
      <c r="H786" s="3">
        <v>94.039623000000006</v>
      </c>
      <c r="I786" s="3">
        <v>91.578692000000004</v>
      </c>
      <c r="J786">
        <v>9.4139999999999997</v>
      </c>
      <c r="K786">
        <v>9.1240000000000006</v>
      </c>
      <c r="L786">
        <v>9.1639999999999997</v>
      </c>
    </row>
    <row r="787" spans="1:12" x14ac:dyDescent="0.35">
      <c r="A787" s="2">
        <v>45334</v>
      </c>
      <c r="B787" s="3">
        <v>13.31</v>
      </c>
      <c r="C787" s="3">
        <v>78.959999999999994</v>
      </c>
      <c r="D787" s="3">
        <v>184.21</v>
      </c>
      <c r="E787" s="3">
        <v>14.69</v>
      </c>
      <c r="F787" s="3">
        <v>65.44</v>
      </c>
      <c r="G787" s="3">
        <v>99.184544000000002</v>
      </c>
      <c r="H787" s="3">
        <v>94.264797000000002</v>
      </c>
      <c r="I787" s="3">
        <v>91.919728000000006</v>
      </c>
      <c r="J787">
        <v>9.3940000000000001</v>
      </c>
      <c r="K787">
        <v>9.1240000000000006</v>
      </c>
      <c r="L787">
        <v>9.1539999999999999</v>
      </c>
    </row>
    <row r="788" spans="1:12" x14ac:dyDescent="0.35">
      <c r="A788" s="2">
        <v>45335</v>
      </c>
      <c r="B788" s="3">
        <v>13.13</v>
      </c>
      <c r="C788" s="3">
        <v>78.150000000000006</v>
      </c>
      <c r="D788" s="3">
        <v>182.36</v>
      </c>
      <c r="E788" s="3">
        <v>14.58</v>
      </c>
      <c r="F788" s="3">
        <v>64.94</v>
      </c>
      <c r="G788" s="3">
        <v>99.167883000000003</v>
      </c>
      <c r="H788" s="3">
        <v>94.237629999999996</v>
      </c>
      <c r="I788" s="3">
        <v>92.006372999999996</v>
      </c>
      <c r="J788">
        <v>9.5839999999999996</v>
      </c>
      <c r="K788">
        <v>9.3040000000000003</v>
      </c>
      <c r="L788">
        <v>9.3339999999999996</v>
      </c>
    </row>
    <row r="789" spans="1:12" x14ac:dyDescent="0.35">
      <c r="A789" s="2">
        <v>45336</v>
      </c>
      <c r="B789" s="3">
        <v>13.02</v>
      </c>
      <c r="C789" s="3">
        <v>77.540000000000006</v>
      </c>
      <c r="D789" s="3">
        <v>184.3</v>
      </c>
      <c r="E789" s="3">
        <v>15.01</v>
      </c>
      <c r="F789" s="3">
        <v>64.98</v>
      </c>
      <c r="G789" s="3">
        <v>98.537555999999995</v>
      </c>
      <c r="H789" s="3">
        <v>93.507936999999998</v>
      </c>
      <c r="I789" s="3">
        <v>91.204547000000005</v>
      </c>
      <c r="J789">
        <v>9.5039999999999996</v>
      </c>
      <c r="K789">
        <v>9.2539999999999996</v>
      </c>
      <c r="L789">
        <v>9.2539999999999996</v>
      </c>
    </row>
    <row r="790" spans="1:12" x14ac:dyDescent="0.35">
      <c r="A790" s="2">
        <v>45337</v>
      </c>
      <c r="B790" s="3">
        <v>13.19</v>
      </c>
      <c r="C790" s="3">
        <v>78.5</v>
      </c>
      <c r="D790" s="3">
        <v>184.21</v>
      </c>
      <c r="E790" s="3">
        <v>15.29</v>
      </c>
      <c r="F790" s="3">
        <v>66.55</v>
      </c>
      <c r="G790" s="3">
        <v>98.979043000000004</v>
      </c>
      <c r="H790" s="3">
        <v>93.878620999999995</v>
      </c>
      <c r="I790" s="3">
        <v>91.970284000000007</v>
      </c>
      <c r="J790">
        <v>9.4640000000000004</v>
      </c>
      <c r="K790">
        <v>9.2140000000000004</v>
      </c>
      <c r="L790">
        <v>9.2240000000000002</v>
      </c>
    </row>
    <row r="791" spans="1:12" x14ac:dyDescent="0.35">
      <c r="A791" s="2">
        <v>45338</v>
      </c>
      <c r="B791" s="3">
        <v>13.42</v>
      </c>
      <c r="C791" s="3">
        <v>77.77</v>
      </c>
      <c r="D791" s="3">
        <v>187.58</v>
      </c>
      <c r="E791" s="3">
        <v>15.59</v>
      </c>
      <c r="F791" s="3">
        <v>67.38</v>
      </c>
      <c r="G791" s="3">
        <v>98.636583999999999</v>
      </c>
      <c r="H791" s="3">
        <v>93.452574999999996</v>
      </c>
      <c r="I791" s="3">
        <v>91.548935</v>
      </c>
      <c r="J791">
        <v>9.5739999999999998</v>
      </c>
      <c r="K791">
        <v>9.2940000000000005</v>
      </c>
      <c r="L791">
        <v>9.3140000000000001</v>
      </c>
    </row>
    <row r="792" spans="1:12" x14ac:dyDescent="0.35">
      <c r="A792" s="2">
        <v>45341</v>
      </c>
      <c r="B792" s="3">
        <v>13.49</v>
      </c>
      <c r="C792" s="3">
        <v>79.09</v>
      </c>
      <c r="D792" s="3">
        <v>187.59</v>
      </c>
      <c r="E792" s="3">
        <v>15.85</v>
      </c>
      <c r="F792" s="3">
        <v>67.319999999999993</v>
      </c>
      <c r="G792" s="3">
        <v>98.702042000000006</v>
      </c>
      <c r="H792" s="3">
        <v>93.775470999999996</v>
      </c>
      <c r="I792" s="3">
        <v>91.635153000000003</v>
      </c>
      <c r="J792">
        <v>9.5739999999999998</v>
      </c>
      <c r="K792">
        <v>9.2940000000000005</v>
      </c>
      <c r="L792">
        <v>9.3140000000000001</v>
      </c>
    </row>
    <row r="793" spans="1:12" x14ac:dyDescent="0.35">
      <c r="A793" s="2">
        <v>45342</v>
      </c>
      <c r="B793" s="3">
        <v>13.44</v>
      </c>
      <c r="C793" s="3">
        <v>76.349999999999994</v>
      </c>
      <c r="D793" s="3">
        <v>186.97</v>
      </c>
      <c r="E793" s="3">
        <v>15.75</v>
      </c>
      <c r="F793" s="3">
        <v>68.12</v>
      </c>
      <c r="G793" s="3">
        <v>98.767495999999994</v>
      </c>
      <c r="H793" s="3">
        <v>93.749041000000005</v>
      </c>
      <c r="I793" s="3">
        <v>91.594828000000007</v>
      </c>
      <c r="J793">
        <v>9.5640000000000001</v>
      </c>
      <c r="K793">
        <v>9.2840000000000007</v>
      </c>
      <c r="L793">
        <v>9.2940000000000005</v>
      </c>
    </row>
    <row r="794" spans="1:12" x14ac:dyDescent="0.35">
      <c r="A794" s="2">
        <v>45343</v>
      </c>
      <c r="B794" s="3">
        <v>13.53</v>
      </c>
      <c r="C794" s="3">
        <v>74.81</v>
      </c>
      <c r="D794" s="3">
        <v>183.96</v>
      </c>
      <c r="E794" s="3">
        <v>15.99</v>
      </c>
      <c r="F794" s="3">
        <v>66.98</v>
      </c>
      <c r="G794" s="3">
        <v>99.118412000000006</v>
      </c>
      <c r="H794" s="3">
        <v>93.772586000000004</v>
      </c>
      <c r="I794" s="3">
        <v>91.934663</v>
      </c>
      <c r="J794">
        <v>9.59</v>
      </c>
      <c r="K794">
        <v>9.34</v>
      </c>
      <c r="L794">
        <v>9.3279999999999994</v>
      </c>
    </row>
    <row r="795" spans="1:12" x14ac:dyDescent="0.35">
      <c r="A795" s="2">
        <v>45344</v>
      </c>
      <c r="B795" s="3">
        <v>13.7</v>
      </c>
      <c r="C795" s="3">
        <v>72.98</v>
      </c>
      <c r="D795" s="3">
        <v>183.14</v>
      </c>
      <c r="E795" s="3">
        <v>16.25</v>
      </c>
      <c r="F795" s="3">
        <v>65.03</v>
      </c>
      <c r="G795" s="3">
        <v>99.110749999999996</v>
      </c>
      <c r="H795" s="3">
        <v>94.143209999999996</v>
      </c>
      <c r="I795" s="3">
        <v>92.003435999999994</v>
      </c>
      <c r="J795">
        <v>9.3940000000000001</v>
      </c>
      <c r="K795">
        <v>9.234</v>
      </c>
      <c r="L795">
        <v>9.2240000000000002</v>
      </c>
    </row>
    <row r="796" spans="1:12" x14ac:dyDescent="0.35">
      <c r="A796" s="2">
        <v>45345</v>
      </c>
      <c r="B796" s="3">
        <v>13.99</v>
      </c>
      <c r="C796" s="3">
        <v>73.63</v>
      </c>
      <c r="D796" s="3">
        <v>183.09</v>
      </c>
      <c r="E796" s="3">
        <v>16.54</v>
      </c>
      <c r="F796" s="3">
        <v>64.510000000000005</v>
      </c>
      <c r="G796" s="3">
        <v>99.094694000000004</v>
      </c>
      <c r="H796" s="3">
        <v>94.266936999999999</v>
      </c>
      <c r="I796" s="3">
        <v>92.089890999999994</v>
      </c>
      <c r="J796">
        <v>9.3840000000000003</v>
      </c>
      <c r="K796">
        <v>9.1839999999999993</v>
      </c>
      <c r="L796">
        <v>9.1839999999999993</v>
      </c>
    </row>
    <row r="797" spans="1:12" x14ac:dyDescent="0.35">
      <c r="A797" s="2">
        <v>45348</v>
      </c>
      <c r="B797" s="3">
        <v>13.89</v>
      </c>
      <c r="C797" s="3">
        <v>72.489999999999995</v>
      </c>
      <c r="D797" s="3">
        <v>178.77</v>
      </c>
      <c r="E797" s="3">
        <v>16.57</v>
      </c>
      <c r="F797" s="3">
        <v>65.25</v>
      </c>
      <c r="G797" s="3">
        <v>98.916105999999999</v>
      </c>
      <c r="H797" s="3">
        <v>94.290413000000001</v>
      </c>
      <c r="I797" s="3">
        <v>91.795861000000002</v>
      </c>
      <c r="J797">
        <v>9.3840000000000003</v>
      </c>
      <c r="K797">
        <v>9.1839999999999993</v>
      </c>
      <c r="L797">
        <v>9.1839999999999993</v>
      </c>
    </row>
    <row r="798" spans="1:12" x14ac:dyDescent="0.35">
      <c r="A798" s="2">
        <v>45349</v>
      </c>
      <c r="B798" s="3">
        <v>13.66</v>
      </c>
      <c r="C798" s="3">
        <v>73.47</v>
      </c>
      <c r="D798" s="3">
        <v>178.68</v>
      </c>
      <c r="E798" s="3">
        <v>16.54</v>
      </c>
      <c r="F798" s="3">
        <v>66.06</v>
      </c>
      <c r="G798" s="3">
        <v>99.144107000000005</v>
      </c>
      <c r="H798" s="3">
        <v>94.414213000000004</v>
      </c>
      <c r="I798" s="3">
        <v>92.008815999999996</v>
      </c>
      <c r="J798">
        <v>9.5039999999999996</v>
      </c>
      <c r="K798">
        <v>9.2840000000000007</v>
      </c>
      <c r="L798">
        <v>9.2539999999999996</v>
      </c>
    </row>
    <row r="799" spans="1:12" x14ac:dyDescent="0.35">
      <c r="A799" s="2">
        <v>45350</v>
      </c>
      <c r="B799" s="3">
        <v>13.2</v>
      </c>
      <c r="C799" s="3">
        <v>72.7</v>
      </c>
      <c r="D799" s="3">
        <v>176.86</v>
      </c>
      <c r="E799" s="3">
        <v>16.2</v>
      </c>
      <c r="F799" s="3">
        <v>64.64</v>
      </c>
      <c r="G799" s="3">
        <v>98.884589000000005</v>
      </c>
      <c r="H799" s="3">
        <v>94.087241000000006</v>
      </c>
      <c r="I799" s="3">
        <v>91.715494000000007</v>
      </c>
      <c r="J799">
        <v>9.484</v>
      </c>
      <c r="K799">
        <v>9.2240000000000002</v>
      </c>
      <c r="L799">
        <v>9.2040000000000006</v>
      </c>
    </row>
    <row r="800" spans="1:12" x14ac:dyDescent="0.35">
      <c r="A800" s="2">
        <v>45351</v>
      </c>
      <c r="B800" s="3">
        <v>13.03</v>
      </c>
      <c r="C800" s="3">
        <v>71.3</v>
      </c>
      <c r="D800" s="3">
        <v>176.22</v>
      </c>
      <c r="E800" s="3">
        <v>15.96</v>
      </c>
      <c r="F800" s="3">
        <v>65.319999999999993</v>
      </c>
      <c r="G800" s="3">
        <v>99.487166000000002</v>
      </c>
      <c r="H800" s="3">
        <v>94.457966999999996</v>
      </c>
      <c r="I800" s="3">
        <v>92.609635999999995</v>
      </c>
      <c r="J800">
        <v>9.4700000000000006</v>
      </c>
      <c r="K800">
        <v>9.1739999999999995</v>
      </c>
      <c r="L800">
        <v>9.1639999999999997</v>
      </c>
    </row>
    <row r="801" spans="1:12" x14ac:dyDescent="0.35">
      <c r="A801" s="2">
        <v>45352</v>
      </c>
      <c r="B801" s="3">
        <v>13.4</v>
      </c>
      <c r="C801" s="3">
        <v>71.680000000000007</v>
      </c>
      <c r="D801" s="3">
        <v>176.9</v>
      </c>
      <c r="E801" s="3">
        <v>15.93</v>
      </c>
      <c r="F801" s="3">
        <v>66.52</v>
      </c>
      <c r="G801" s="3">
        <v>99.349017000000003</v>
      </c>
      <c r="H801" s="3">
        <v>94.732377</v>
      </c>
      <c r="I801" s="3">
        <v>92.377638000000005</v>
      </c>
      <c r="J801">
        <v>9.484</v>
      </c>
      <c r="K801">
        <v>9.1639999999999997</v>
      </c>
      <c r="L801">
        <v>9.1539999999999999</v>
      </c>
    </row>
    <row r="802" spans="1:12" x14ac:dyDescent="0.35">
      <c r="A802" s="2">
        <v>45355</v>
      </c>
      <c r="B802" s="3">
        <v>13.23</v>
      </c>
      <c r="C802" s="3">
        <v>71.95</v>
      </c>
      <c r="D802" s="3">
        <v>179.06</v>
      </c>
      <c r="E802" s="3">
        <v>16.13</v>
      </c>
      <c r="F802" s="3">
        <v>66.709999999999994</v>
      </c>
      <c r="G802" s="3">
        <v>99.292492999999993</v>
      </c>
      <c r="H802" s="3">
        <v>94.655373999999995</v>
      </c>
      <c r="I802" s="3">
        <v>92.337024</v>
      </c>
      <c r="J802">
        <v>9.5139999999999993</v>
      </c>
      <c r="K802">
        <v>9.234</v>
      </c>
      <c r="L802">
        <v>9.2240000000000002</v>
      </c>
    </row>
    <row r="803" spans="1:12" x14ac:dyDescent="0.35">
      <c r="A803" s="2">
        <v>45356</v>
      </c>
      <c r="B803" s="3">
        <v>13.1</v>
      </c>
      <c r="C803" s="3">
        <v>72.510000000000005</v>
      </c>
      <c r="D803" s="3">
        <v>180.05</v>
      </c>
      <c r="E803" s="3">
        <v>16.13</v>
      </c>
      <c r="F803" s="3">
        <v>67.88</v>
      </c>
      <c r="G803" s="3">
        <v>98.912481</v>
      </c>
      <c r="H803" s="3">
        <v>94.428400999999994</v>
      </c>
      <c r="I803" s="3">
        <v>91.351065000000006</v>
      </c>
      <c r="J803">
        <v>9.4640000000000004</v>
      </c>
      <c r="K803">
        <v>9.1940000000000008</v>
      </c>
      <c r="L803">
        <v>9.2040000000000006</v>
      </c>
    </row>
    <row r="804" spans="1:12" x14ac:dyDescent="0.35">
      <c r="A804" s="2">
        <v>45357</v>
      </c>
      <c r="B804" s="3">
        <v>13.27</v>
      </c>
      <c r="C804" s="3">
        <v>72.05</v>
      </c>
      <c r="D804" s="3">
        <v>178.76</v>
      </c>
      <c r="E804" s="3">
        <v>16.22</v>
      </c>
      <c r="F804" s="3">
        <v>67.36</v>
      </c>
      <c r="G804" s="3">
        <v>99.504433000000006</v>
      </c>
      <c r="H804" s="3">
        <v>94.752500999999995</v>
      </c>
      <c r="I804" s="3">
        <v>92.765180000000001</v>
      </c>
      <c r="J804">
        <v>9.4039999999999999</v>
      </c>
      <c r="K804">
        <v>9.1539999999999999</v>
      </c>
      <c r="L804">
        <v>9.1340000000000003</v>
      </c>
    </row>
    <row r="805" spans="1:12" x14ac:dyDescent="0.35">
      <c r="A805" s="2">
        <v>45358</v>
      </c>
      <c r="B805" s="3">
        <v>13.38</v>
      </c>
      <c r="C805" s="3">
        <v>71.930000000000007</v>
      </c>
      <c r="D805" s="3">
        <v>176.09</v>
      </c>
      <c r="E805" s="3">
        <v>15.98</v>
      </c>
      <c r="F805" s="3">
        <v>67.59</v>
      </c>
      <c r="G805" s="3">
        <v>99.497393000000002</v>
      </c>
      <c r="H805" s="3">
        <v>95.124487999999999</v>
      </c>
      <c r="I805" s="3">
        <v>92.642686999999995</v>
      </c>
      <c r="J805">
        <v>9.5039999999999996</v>
      </c>
      <c r="K805">
        <v>9.1639999999999997</v>
      </c>
      <c r="L805">
        <v>9.1340000000000003</v>
      </c>
    </row>
    <row r="806" spans="1:12" x14ac:dyDescent="0.35">
      <c r="A806" s="2">
        <v>45359</v>
      </c>
      <c r="B806" s="3">
        <v>13.32</v>
      </c>
      <c r="C806" s="3">
        <v>71.86</v>
      </c>
      <c r="D806" s="3">
        <v>172.03</v>
      </c>
      <c r="E806" s="3">
        <v>16.07</v>
      </c>
      <c r="F806" s="3">
        <v>67.22</v>
      </c>
      <c r="G806" s="3">
        <v>99.725115000000002</v>
      </c>
      <c r="H806" s="3">
        <v>94.997003000000007</v>
      </c>
      <c r="I806" s="3">
        <v>92.538444999999996</v>
      </c>
      <c r="J806">
        <v>9.5549999999999997</v>
      </c>
      <c r="K806">
        <v>9.15</v>
      </c>
      <c r="L806">
        <v>9.1530000000000005</v>
      </c>
    </row>
    <row r="807" spans="1:12" x14ac:dyDescent="0.35">
      <c r="A807" s="2">
        <v>45362</v>
      </c>
      <c r="B807" s="3">
        <v>13.63</v>
      </c>
      <c r="C807" s="3">
        <v>71.989999999999995</v>
      </c>
      <c r="D807" s="3">
        <v>173.79</v>
      </c>
      <c r="E807" s="3">
        <v>15.94</v>
      </c>
      <c r="F807" s="3">
        <v>67.33</v>
      </c>
      <c r="G807" s="3">
        <v>99.384966000000006</v>
      </c>
      <c r="H807" s="3">
        <v>94.970241000000001</v>
      </c>
      <c r="I807" s="3">
        <v>92.181276999999994</v>
      </c>
      <c r="J807">
        <v>9.4640000000000004</v>
      </c>
      <c r="K807">
        <v>9.1639999999999997</v>
      </c>
      <c r="L807">
        <v>9.1539999999999999</v>
      </c>
    </row>
    <row r="808" spans="1:12" x14ac:dyDescent="0.35">
      <c r="A808" s="2">
        <v>45363</v>
      </c>
      <c r="B808" s="3">
        <v>13.53</v>
      </c>
      <c r="C808" s="3">
        <v>71.92</v>
      </c>
      <c r="D808" s="3">
        <v>170.22</v>
      </c>
      <c r="E808" s="3">
        <v>16.100000000000001</v>
      </c>
      <c r="F808" s="3">
        <v>68.27</v>
      </c>
      <c r="G808" s="3">
        <v>99.531165999999999</v>
      </c>
      <c r="H808" s="3">
        <v>94.943544000000003</v>
      </c>
      <c r="I808" s="3">
        <v>92.330797000000004</v>
      </c>
      <c r="J808">
        <v>9.5139999999999993</v>
      </c>
      <c r="K808">
        <v>9.1739999999999995</v>
      </c>
      <c r="L808">
        <v>9.1739999999999995</v>
      </c>
    </row>
    <row r="809" spans="1:12" x14ac:dyDescent="0.35">
      <c r="A809" s="2">
        <v>45364</v>
      </c>
      <c r="B809" s="3">
        <v>13.55</v>
      </c>
      <c r="C809" s="3">
        <v>70.89</v>
      </c>
      <c r="D809" s="3">
        <v>175.15</v>
      </c>
      <c r="E809" s="3">
        <v>16.27</v>
      </c>
      <c r="F809" s="3">
        <v>69.989999999999995</v>
      </c>
      <c r="G809" s="3">
        <v>99.555950999999993</v>
      </c>
      <c r="H809" s="3">
        <v>94.916912999999994</v>
      </c>
      <c r="I809" s="3">
        <v>92.670998999999995</v>
      </c>
      <c r="J809">
        <v>9.484</v>
      </c>
      <c r="K809">
        <v>9.1340000000000003</v>
      </c>
      <c r="L809">
        <v>9.1440000000000001</v>
      </c>
    </row>
    <row r="810" spans="1:12" x14ac:dyDescent="0.35">
      <c r="A810" s="2">
        <v>45365</v>
      </c>
      <c r="B810" s="3">
        <v>14.04</v>
      </c>
      <c r="C810" s="3">
        <v>71.62</v>
      </c>
      <c r="D810" s="3">
        <v>173.26</v>
      </c>
      <c r="E810" s="3">
        <v>16.2</v>
      </c>
      <c r="F810" s="3">
        <v>72.09</v>
      </c>
      <c r="G810" s="3">
        <v>99.857449000000003</v>
      </c>
      <c r="H810" s="3">
        <v>95.161309000000003</v>
      </c>
      <c r="I810" s="3">
        <v>92.446062999999995</v>
      </c>
      <c r="J810">
        <v>9.5440000000000005</v>
      </c>
      <c r="K810">
        <v>9.1739999999999995</v>
      </c>
      <c r="L810">
        <v>9.2140000000000004</v>
      </c>
    </row>
    <row r="811" spans="1:12" x14ac:dyDescent="0.35">
      <c r="A811" s="2">
        <v>45366</v>
      </c>
      <c r="B811" s="3">
        <v>14.19</v>
      </c>
      <c r="C811" s="3">
        <v>71.709999999999994</v>
      </c>
      <c r="D811" s="3">
        <v>169.87</v>
      </c>
      <c r="E811" s="3">
        <v>15.77</v>
      </c>
      <c r="F811" s="3">
        <v>74.290000000000006</v>
      </c>
      <c r="G811" s="3">
        <v>99.720372999999995</v>
      </c>
      <c r="H811" s="3">
        <v>94.784737000000007</v>
      </c>
      <c r="I811" s="3">
        <v>92.342771999999997</v>
      </c>
      <c r="J811">
        <v>9.6240000000000006</v>
      </c>
      <c r="K811">
        <v>9.2639999999999993</v>
      </c>
      <c r="L811">
        <v>9.2739999999999991</v>
      </c>
    </row>
    <row r="812" spans="1:12" x14ac:dyDescent="0.35">
      <c r="A812" s="2">
        <v>45370</v>
      </c>
      <c r="B812" s="3">
        <v>13.94</v>
      </c>
      <c r="C812" s="3">
        <v>73.819999999999993</v>
      </c>
      <c r="D812" s="3">
        <v>170.13</v>
      </c>
      <c r="E812" s="3">
        <v>15.65</v>
      </c>
      <c r="F812" s="3">
        <v>77.3</v>
      </c>
      <c r="G812" s="3">
        <v>99.503186999999997</v>
      </c>
      <c r="H812" s="3">
        <v>94.509788</v>
      </c>
      <c r="I812" s="3">
        <v>91.925512999999995</v>
      </c>
      <c r="J812">
        <v>9.6240000000000006</v>
      </c>
      <c r="K812">
        <v>9.2739999999999991</v>
      </c>
      <c r="L812">
        <v>9.2840000000000007</v>
      </c>
    </row>
    <row r="813" spans="1:12" x14ac:dyDescent="0.35">
      <c r="A813" s="2">
        <v>45371</v>
      </c>
      <c r="B813" s="3">
        <v>14.08</v>
      </c>
      <c r="C813" s="3">
        <v>77.45</v>
      </c>
      <c r="D813" s="3">
        <v>174.98</v>
      </c>
      <c r="E813" s="3">
        <v>16.04</v>
      </c>
      <c r="F813" s="3">
        <v>78.25</v>
      </c>
      <c r="G813" s="3">
        <v>99.528098</v>
      </c>
      <c r="H813" s="3">
        <v>94.533473999999998</v>
      </c>
      <c r="I813" s="3">
        <v>92.137017999999998</v>
      </c>
      <c r="J813">
        <v>9.6240000000000006</v>
      </c>
      <c r="K813">
        <v>9.2639999999999993</v>
      </c>
      <c r="L813">
        <v>9.2639999999999993</v>
      </c>
    </row>
    <row r="814" spans="1:12" x14ac:dyDescent="0.35">
      <c r="A814" s="2">
        <v>45372</v>
      </c>
      <c r="B814" s="3">
        <v>14.23</v>
      </c>
      <c r="C814" s="3">
        <v>76.099999999999994</v>
      </c>
      <c r="D814" s="3">
        <v>175.58</v>
      </c>
      <c r="E814" s="3">
        <v>15.7</v>
      </c>
      <c r="F814" s="3">
        <v>78.95</v>
      </c>
      <c r="G814" s="3">
        <v>99.925166000000004</v>
      </c>
      <c r="H814" s="3">
        <v>94.952640000000002</v>
      </c>
      <c r="I814" s="3">
        <v>92.711083000000002</v>
      </c>
      <c r="J814">
        <v>9.4039999999999999</v>
      </c>
      <c r="K814">
        <v>9.1539999999999999</v>
      </c>
      <c r="L814">
        <v>9.1539999999999999</v>
      </c>
    </row>
    <row r="815" spans="1:12" x14ac:dyDescent="0.35">
      <c r="A815" s="2">
        <v>45373</v>
      </c>
      <c r="B815" s="3">
        <v>14.4</v>
      </c>
      <c r="C815" s="3">
        <v>73.98</v>
      </c>
      <c r="D815" s="3">
        <v>172.59</v>
      </c>
      <c r="E815" s="3">
        <v>15.45</v>
      </c>
      <c r="F815" s="3">
        <v>79.08</v>
      </c>
      <c r="G815" s="3">
        <v>99.708222000000006</v>
      </c>
      <c r="H815" s="3">
        <v>94.976260999999994</v>
      </c>
      <c r="I815" s="3">
        <v>92.544520000000006</v>
      </c>
      <c r="J815">
        <v>9.5139999999999993</v>
      </c>
      <c r="K815">
        <v>9.2040000000000006</v>
      </c>
      <c r="L815">
        <v>9.2040000000000006</v>
      </c>
    </row>
    <row r="816" spans="1:12" x14ac:dyDescent="0.35">
      <c r="A816" s="2">
        <v>45376</v>
      </c>
      <c r="B816" s="3">
        <v>14.45</v>
      </c>
      <c r="C816" s="3">
        <v>77.64</v>
      </c>
      <c r="D816" s="3">
        <v>170.01</v>
      </c>
      <c r="E816" s="3">
        <v>15.37</v>
      </c>
      <c r="F816" s="3">
        <v>78.95</v>
      </c>
      <c r="G816" s="3">
        <v>99.452145000000002</v>
      </c>
      <c r="H816" s="3">
        <v>94.453935000000001</v>
      </c>
      <c r="I816" s="3">
        <v>91.939378000000005</v>
      </c>
      <c r="J816">
        <v>9.5440000000000005</v>
      </c>
      <c r="K816">
        <v>9.3140000000000001</v>
      </c>
      <c r="L816">
        <v>9.3239999999999998</v>
      </c>
    </row>
    <row r="817" spans="1:12" x14ac:dyDescent="0.35">
      <c r="A817" s="2">
        <v>45377</v>
      </c>
      <c r="B817" s="3">
        <v>14.66</v>
      </c>
      <c r="C817" s="3">
        <v>79.209999999999994</v>
      </c>
      <c r="D817" s="3">
        <v>177.3</v>
      </c>
      <c r="E817" s="3">
        <v>15.2</v>
      </c>
      <c r="F817" s="3">
        <v>82.42</v>
      </c>
      <c r="G817" s="3">
        <v>99.497426000000004</v>
      </c>
      <c r="H817" s="3">
        <v>94.572855000000004</v>
      </c>
      <c r="I817" s="3">
        <v>91.930633</v>
      </c>
      <c r="J817">
        <v>9.5039999999999996</v>
      </c>
      <c r="K817">
        <v>9.2739999999999991</v>
      </c>
      <c r="L817">
        <v>9.2840000000000007</v>
      </c>
    </row>
    <row r="818" spans="1:12" x14ac:dyDescent="0.35">
      <c r="A818" s="2">
        <v>45378</v>
      </c>
      <c r="B818" s="3">
        <v>14.67</v>
      </c>
      <c r="C818" s="3">
        <v>78.47</v>
      </c>
      <c r="D818" s="3">
        <v>176.37</v>
      </c>
      <c r="E818" s="3">
        <v>15.58</v>
      </c>
      <c r="F818" s="3">
        <v>81.98</v>
      </c>
      <c r="G818" s="3">
        <v>99.722425000000001</v>
      </c>
      <c r="H818" s="3">
        <v>94.744922000000003</v>
      </c>
      <c r="I818" s="3">
        <v>92.266448999999994</v>
      </c>
      <c r="J818">
        <v>9.4440000000000008</v>
      </c>
      <c r="K818">
        <v>9.234</v>
      </c>
      <c r="L818">
        <v>9.2639999999999993</v>
      </c>
    </row>
    <row r="819" spans="1:12" x14ac:dyDescent="0.35">
      <c r="A819" s="2">
        <v>45383</v>
      </c>
      <c r="B819" s="3">
        <v>15.04</v>
      </c>
      <c r="C819" s="3">
        <v>77.28</v>
      </c>
      <c r="D819" s="3">
        <v>176.4</v>
      </c>
      <c r="E819" s="3">
        <v>15.61</v>
      </c>
      <c r="F819" s="3">
        <v>83.09</v>
      </c>
      <c r="G819" s="3">
        <v>99.427971999999997</v>
      </c>
      <c r="H819" s="3">
        <v>94.226658</v>
      </c>
      <c r="I819" s="3">
        <v>91.790346</v>
      </c>
      <c r="J819">
        <v>9.5739999999999998</v>
      </c>
      <c r="K819">
        <v>9.3339999999999996</v>
      </c>
      <c r="L819">
        <v>9.3640000000000008</v>
      </c>
    </row>
    <row r="820" spans="1:12" x14ac:dyDescent="0.35">
      <c r="A820" s="2">
        <v>45384</v>
      </c>
      <c r="B820" s="3">
        <v>14.99</v>
      </c>
      <c r="C820" s="3">
        <v>76.599999999999994</v>
      </c>
      <c r="D820" s="3">
        <v>178.64</v>
      </c>
      <c r="E820" s="3">
        <v>15.51</v>
      </c>
      <c r="F820" s="3">
        <v>82.35</v>
      </c>
      <c r="G820" s="3">
        <v>99.174773999999999</v>
      </c>
      <c r="H820" s="3">
        <v>94.054514999999995</v>
      </c>
      <c r="I820" s="3">
        <v>91.503489999999999</v>
      </c>
      <c r="J820">
        <v>9.6440000000000001</v>
      </c>
      <c r="K820">
        <v>9.4139999999999997</v>
      </c>
      <c r="L820">
        <v>9.4339999999999993</v>
      </c>
    </row>
    <row r="821" spans="1:12" x14ac:dyDescent="0.35">
      <c r="A821" s="2">
        <v>45385</v>
      </c>
      <c r="B821" s="3">
        <v>15.15</v>
      </c>
      <c r="C821" s="3">
        <v>73.86</v>
      </c>
      <c r="D821" s="3">
        <v>177.57</v>
      </c>
      <c r="E821" s="3">
        <v>15.37</v>
      </c>
      <c r="F821" s="3">
        <v>81.28</v>
      </c>
      <c r="G821" s="3">
        <v>99.081108</v>
      </c>
      <c r="H821" s="3">
        <v>94.029566000000003</v>
      </c>
      <c r="I821" s="3">
        <v>91.403193000000002</v>
      </c>
      <c r="J821">
        <v>9.6839999999999993</v>
      </c>
      <c r="K821">
        <v>9.4540000000000006</v>
      </c>
      <c r="L821">
        <v>9.4540000000000006</v>
      </c>
    </row>
    <row r="822" spans="1:12" x14ac:dyDescent="0.35">
      <c r="A822" s="2">
        <v>45386</v>
      </c>
      <c r="B822" s="3">
        <v>14.76</v>
      </c>
      <c r="C822" s="3">
        <v>71.86</v>
      </c>
      <c r="D822" s="3">
        <v>181.86</v>
      </c>
      <c r="E822" s="3">
        <v>15.51</v>
      </c>
      <c r="F822" s="3">
        <v>79.16</v>
      </c>
      <c r="G822" s="3">
        <v>99.038505999999998</v>
      </c>
      <c r="H822" s="3">
        <v>94.101553999999993</v>
      </c>
      <c r="I822" s="3">
        <v>91.473315999999997</v>
      </c>
      <c r="J822">
        <v>9.7040000000000006</v>
      </c>
      <c r="K822">
        <v>9.4339999999999993</v>
      </c>
      <c r="L822">
        <v>9.4540000000000006</v>
      </c>
    </row>
    <row r="823" spans="1:12" x14ac:dyDescent="0.35">
      <c r="A823" s="2">
        <v>45387</v>
      </c>
      <c r="B823" s="3">
        <v>14.56</v>
      </c>
      <c r="C823" s="3">
        <v>73.430000000000007</v>
      </c>
      <c r="D823" s="3">
        <v>181.87</v>
      </c>
      <c r="E823" s="3">
        <v>15.39</v>
      </c>
      <c r="F823" s="3">
        <v>79.27</v>
      </c>
      <c r="G823" s="3">
        <v>98.787954999999997</v>
      </c>
      <c r="H823" s="3">
        <v>93.687212000000002</v>
      </c>
      <c r="I823" s="3">
        <v>90.943449000000001</v>
      </c>
      <c r="J823">
        <v>9.8439999999999994</v>
      </c>
      <c r="K823">
        <v>9.5640000000000001</v>
      </c>
      <c r="L823">
        <v>9.5739999999999998</v>
      </c>
    </row>
    <row r="824" spans="1:12" x14ac:dyDescent="0.35">
      <c r="A824" s="2">
        <v>45390</v>
      </c>
      <c r="B824" s="3">
        <v>14.54</v>
      </c>
      <c r="C824" s="3">
        <v>72.27</v>
      </c>
      <c r="D824" s="3">
        <v>178.46</v>
      </c>
      <c r="E824" s="3">
        <v>15.62</v>
      </c>
      <c r="F824" s="3">
        <v>79.180000000000007</v>
      </c>
      <c r="G824" s="3">
        <v>98.460266000000004</v>
      </c>
      <c r="H824" s="3">
        <v>93.565848000000003</v>
      </c>
      <c r="I824" s="3">
        <v>90.600688000000005</v>
      </c>
      <c r="J824">
        <v>9.9039999999999999</v>
      </c>
      <c r="K824">
        <v>9.5640000000000001</v>
      </c>
      <c r="L824">
        <v>9.5739999999999998</v>
      </c>
    </row>
    <row r="825" spans="1:12" x14ac:dyDescent="0.35">
      <c r="A825" s="2">
        <v>45391</v>
      </c>
      <c r="B825" s="3">
        <v>14.38</v>
      </c>
      <c r="C825" s="3">
        <v>70.53</v>
      </c>
      <c r="D825" s="3">
        <v>173.91</v>
      </c>
      <c r="E825" s="3">
        <v>15.51</v>
      </c>
      <c r="F825" s="3">
        <v>75.83</v>
      </c>
      <c r="G825" s="3">
        <v>98.760400000000004</v>
      </c>
      <c r="H825" s="3">
        <v>93.251761999999999</v>
      </c>
      <c r="I825" s="3">
        <v>90.868105</v>
      </c>
      <c r="J825">
        <v>9.8339999999999996</v>
      </c>
      <c r="K825">
        <v>9.6240000000000006</v>
      </c>
      <c r="L825">
        <v>9.6039999999999992</v>
      </c>
    </row>
    <row r="826" spans="1:12" x14ac:dyDescent="0.35">
      <c r="A826" s="2">
        <v>45392</v>
      </c>
      <c r="B826" s="3">
        <v>14.15</v>
      </c>
      <c r="C826" s="3">
        <v>69.08</v>
      </c>
      <c r="D826" s="3">
        <v>173.38</v>
      </c>
      <c r="E826" s="3">
        <v>15.2</v>
      </c>
      <c r="F826" s="3">
        <v>75.680000000000007</v>
      </c>
      <c r="G826" s="3">
        <v>98.903841999999997</v>
      </c>
      <c r="H826" s="3">
        <v>92.509007999999994</v>
      </c>
      <c r="I826" s="3">
        <v>89.861401999999998</v>
      </c>
      <c r="J826">
        <v>10.134</v>
      </c>
      <c r="K826">
        <v>9.8239999999999998</v>
      </c>
      <c r="L826">
        <v>9.8539999999999992</v>
      </c>
    </row>
    <row r="827" spans="1:12" x14ac:dyDescent="0.35">
      <c r="A827" s="2">
        <v>45393</v>
      </c>
      <c r="B827" s="3">
        <v>14.35</v>
      </c>
      <c r="C827" s="3">
        <v>69.260000000000005</v>
      </c>
      <c r="D827" s="3">
        <v>174.81</v>
      </c>
      <c r="E827" s="3">
        <v>15.3</v>
      </c>
      <c r="F827" s="3">
        <v>76.16</v>
      </c>
      <c r="G827" s="3">
        <v>97.579373000000004</v>
      </c>
      <c r="H827" s="3">
        <v>91.965699000000001</v>
      </c>
      <c r="I827" s="3">
        <v>88.918610000000001</v>
      </c>
      <c r="J827">
        <v>10.064</v>
      </c>
      <c r="K827">
        <v>9.8040000000000003</v>
      </c>
      <c r="L827">
        <v>9.8040000000000003</v>
      </c>
    </row>
    <row r="828" spans="1:12" x14ac:dyDescent="0.35">
      <c r="A828" s="2">
        <v>45394</v>
      </c>
      <c r="B828" s="3">
        <v>14.22</v>
      </c>
      <c r="C828" s="3">
        <v>68.62</v>
      </c>
      <c r="D828" s="3">
        <v>175.55</v>
      </c>
      <c r="E828" s="3">
        <v>15.08</v>
      </c>
      <c r="F828" s="3">
        <v>73.45</v>
      </c>
      <c r="G828" s="3">
        <v>98.069474</v>
      </c>
      <c r="H828" s="3">
        <v>92.606886000000003</v>
      </c>
      <c r="I828" s="3">
        <v>89.716076000000001</v>
      </c>
      <c r="J828">
        <v>10.034000000000001</v>
      </c>
      <c r="K828">
        <v>9.7739999999999991</v>
      </c>
      <c r="L828">
        <v>9.7840000000000007</v>
      </c>
    </row>
    <row r="829" spans="1:12" x14ac:dyDescent="0.35">
      <c r="A829" s="2">
        <v>45397</v>
      </c>
      <c r="B829" s="3">
        <v>14.02</v>
      </c>
      <c r="C829" s="3">
        <v>66.760000000000005</v>
      </c>
      <c r="D829" s="3">
        <v>173.24</v>
      </c>
      <c r="E829" s="3">
        <v>15.03</v>
      </c>
      <c r="F829" s="3">
        <v>74.41</v>
      </c>
      <c r="G829" s="3">
        <v>97.477625000000003</v>
      </c>
      <c r="H829" s="3">
        <v>91.826385000000002</v>
      </c>
      <c r="I829" s="3">
        <v>88.730040000000002</v>
      </c>
      <c r="J829">
        <v>10.164</v>
      </c>
      <c r="K829">
        <v>9.9239999999999995</v>
      </c>
      <c r="L829">
        <v>9.9540000000000006</v>
      </c>
    </row>
    <row r="830" spans="1:12" x14ac:dyDescent="0.35">
      <c r="A830" s="2">
        <v>45398</v>
      </c>
      <c r="B830" s="3">
        <v>14.34</v>
      </c>
      <c r="C830" s="3">
        <v>67.8</v>
      </c>
      <c r="D830" s="3">
        <v>170.1</v>
      </c>
      <c r="E830" s="3">
        <v>15.07</v>
      </c>
      <c r="F830" s="3">
        <v>75.040000000000006</v>
      </c>
      <c r="G830" s="3">
        <v>97.120386999999994</v>
      </c>
      <c r="H830" s="3">
        <v>91.475506999999993</v>
      </c>
      <c r="I830" s="3">
        <v>88.050678000000005</v>
      </c>
      <c r="J830">
        <v>10.334</v>
      </c>
      <c r="K830">
        <v>10.064</v>
      </c>
      <c r="L830">
        <v>10.074</v>
      </c>
    </row>
    <row r="831" spans="1:12" x14ac:dyDescent="0.35">
      <c r="A831" s="2">
        <v>45399</v>
      </c>
      <c r="B831" s="3">
        <v>13.92</v>
      </c>
      <c r="C831" s="3">
        <v>66.16</v>
      </c>
      <c r="D831" s="3">
        <v>171.46</v>
      </c>
      <c r="E831" s="3">
        <v>15.3</v>
      </c>
      <c r="F831" s="3">
        <v>75.36</v>
      </c>
      <c r="G831" s="3">
        <v>97.299808999999996</v>
      </c>
      <c r="H831" s="3">
        <v>91.734736999999996</v>
      </c>
      <c r="I831" s="3">
        <v>88.542485999999997</v>
      </c>
      <c r="J831">
        <v>10.224</v>
      </c>
      <c r="K831">
        <v>9.9239999999999995</v>
      </c>
      <c r="L831">
        <v>9.9239999999999995</v>
      </c>
    </row>
    <row r="832" spans="1:12" x14ac:dyDescent="0.35">
      <c r="A832" s="2">
        <v>45400</v>
      </c>
      <c r="B832" s="3">
        <v>13.75</v>
      </c>
      <c r="C832" s="3">
        <v>66.930000000000007</v>
      </c>
      <c r="D832" s="3">
        <v>174.57</v>
      </c>
      <c r="E832" s="3">
        <v>15.11</v>
      </c>
      <c r="F832" s="3">
        <v>74.209999999999994</v>
      </c>
      <c r="G832" s="3">
        <v>97.264013000000006</v>
      </c>
      <c r="H832" s="3">
        <v>91.715180000000004</v>
      </c>
      <c r="I832" s="3">
        <v>88.614144999999994</v>
      </c>
      <c r="J832">
        <v>10.273999999999999</v>
      </c>
      <c r="K832">
        <v>10.004</v>
      </c>
      <c r="L832">
        <v>10.004</v>
      </c>
    </row>
    <row r="833" spans="1:12" x14ac:dyDescent="0.35">
      <c r="A833" s="2">
        <v>45401</v>
      </c>
      <c r="B833" s="3">
        <v>13.68</v>
      </c>
      <c r="C833" s="3">
        <v>69.08</v>
      </c>
      <c r="D833" s="3">
        <v>173.36</v>
      </c>
      <c r="E833" s="3">
        <v>15.61</v>
      </c>
      <c r="F833" s="3">
        <v>73.69</v>
      </c>
      <c r="G833" s="3">
        <v>97.214035999999993</v>
      </c>
      <c r="H833" s="3">
        <v>91.974638999999996</v>
      </c>
      <c r="I833" s="3">
        <v>88.520813000000004</v>
      </c>
      <c r="J833">
        <v>9.9939999999999998</v>
      </c>
      <c r="K833">
        <v>9.8640000000000008</v>
      </c>
      <c r="L833">
        <v>9.9540000000000006</v>
      </c>
    </row>
    <row r="834" spans="1:12" x14ac:dyDescent="0.35">
      <c r="A834" s="2">
        <v>45404</v>
      </c>
      <c r="B834" s="3">
        <v>14.04</v>
      </c>
      <c r="C834" s="3">
        <v>70.989999999999995</v>
      </c>
      <c r="D834" s="3">
        <v>181.08</v>
      </c>
      <c r="E834" s="3">
        <v>15.83</v>
      </c>
      <c r="F834" s="3">
        <v>74.23</v>
      </c>
      <c r="G834" s="3">
        <v>97.661077000000006</v>
      </c>
      <c r="H834" s="3">
        <v>92.565657999999999</v>
      </c>
      <c r="I834" s="3">
        <v>89.369793000000001</v>
      </c>
      <c r="J834">
        <v>9.9339999999999993</v>
      </c>
      <c r="K834">
        <v>9.9239999999999995</v>
      </c>
      <c r="L834">
        <v>9.8940000000000001</v>
      </c>
    </row>
    <row r="835" spans="1:12" x14ac:dyDescent="0.35">
      <c r="A835" s="2">
        <v>45405</v>
      </c>
      <c r="B835" s="3">
        <v>14.04</v>
      </c>
      <c r="C835" s="3">
        <v>69.290000000000006</v>
      </c>
      <c r="D835" s="3">
        <v>178</v>
      </c>
      <c r="E835" s="3">
        <v>15.85</v>
      </c>
      <c r="F835" s="3">
        <v>77.099999999999994</v>
      </c>
      <c r="G835" s="3">
        <v>97.648992000000007</v>
      </c>
      <c r="H835" s="3">
        <v>92.259454000000005</v>
      </c>
      <c r="I835" s="3">
        <v>89.275109999999998</v>
      </c>
      <c r="J835">
        <v>9.9139999999999997</v>
      </c>
      <c r="K835">
        <v>9.9139999999999997</v>
      </c>
      <c r="L835">
        <v>9.8740000000000006</v>
      </c>
    </row>
    <row r="836" spans="1:12" x14ac:dyDescent="0.35">
      <c r="A836" s="2">
        <v>45406</v>
      </c>
      <c r="B836" s="3">
        <v>13.79</v>
      </c>
      <c r="C836" s="3">
        <v>69.540000000000006</v>
      </c>
      <c r="D836" s="3">
        <v>174.73</v>
      </c>
      <c r="E836" s="3">
        <v>15.65</v>
      </c>
      <c r="F836" s="3">
        <v>74.59</v>
      </c>
      <c r="G836" s="3">
        <v>97.484009999999998</v>
      </c>
      <c r="H836" s="3">
        <v>92.331292000000005</v>
      </c>
      <c r="I836" s="3">
        <v>89.003687999999997</v>
      </c>
      <c r="J836">
        <v>10.004</v>
      </c>
      <c r="K836">
        <v>9.984</v>
      </c>
      <c r="L836">
        <v>9.9499999999999993</v>
      </c>
    </row>
    <row r="837" spans="1:12" x14ac:dyDescent="0.35">
      <c r="A837" s="2">
        <v>45407</v>
      </c>
      <c r="B837" s="3">
        <v>14.1</v>
      </c>
      <c r="C837" s="3">
        <v>70.5</v>
      </c>
      <c r="D837" s="3">
        <v>175.09</v>
      </c>
      <c r="E837" s="3">
        <v>15.74</v>
      </c>
      <c r="F837" s="3">
        <v>74.27</v>
      </c>
      <c r="G837" s="3">
        <v>97.372534000000002</v>
      </c>
      <c r="H837" s="3">
        <v>92.076205999999999</v>
      </c>
      <c r="I837" s="3">
        <v>88.957687000000007</v>
      </c>
      <c r="J837">
        <v>10.004</v>
      </c>
      <c r="K837">
        <v>9.984</v>
      </c>
      <c r="L837">
        <v>9.9440000000000008</v>
      </c>
    </row>
    <row r="838" spans="1:12" x14ac:dyDescent="0.35">
      <c r="A838" s="2">
        <v>45408</v>
      </c>
      <c r="B838" s="3">
        <v>14.14</v>
      </c>
      <c r="C838" s="3">
        <v>68.92</v>
      </c>
      <c r="D838" s="3">
        <v>173.2</v>
      </c>
      <c r="E838" s="3">
        <v>16.18</v>
      </c>
      <c r="F838" s="3">
        <v>73.5</v>
      </c>
      <c r="G838" s="3">
        <v>97.133150000000001</v>
      </c>
      <c r="H838" s="3">
        <v>91.913639000000003</v>
      </c>
      <c r="I838" s="3">
        <v>88.629912000000004</v>
      </c>
      <c r="J838">
        <v>10.074</v>
      </c>
      <c r="K838">
        <v>9.984</v>
      </c>
      <c r="L838">
        <v>9.9440000000000008</v>
      </c>
    </row>
    <row r="839" spans="1:12" x14ac:dyDescent="0.35">
      <c r="A839" s="2">
        <v>45411</v>
      </c>
      <c r="B839" s="3">
        <v>13.82</v>
      </c>
      <c r="C839" s="3">
        <v>70.53</v>
      </c>
      <c r="D839" s="3">
        <v>169.22</v>
      </c>
      <c r="E839" s="3">
        <v>16.55</v>
      </c>
      <c r="F839" s="3">
        <v>73.19</v>
      </c>
      <c r="G839" s="3">
        <v>97.337931999999995</v>
      </c>
      <c r="H839" s="3">
        <v>92.150577999999996</v>
      </c>
      <c r="I839" s="3">
        <v>88.912053999999998</v>
      </c>
      <c r="J839">
        <v>10.074</v>
      </c>
      <c r="K839">
        <v>9.984</v>
      </c>
      <c r="L839">
        <v>9.9939999999999998</v>
      </c>
    </row>
    <row r="840" spans="1:12" x14ac:dyDescent="0.35">
      <c r="A840" s="2">
        <v>45412</v>
      </c>
      <c r="B840" s="3">
        <v>13.57</v>
      </c>
      <c r="C840" s="3">
        <v>71.78</v>
      </c>
      <c r="D840" s="3">
        <v>169.55</v>
      </c>
      <c r="E840" s="3">
        <v>16.309999999999999</v>
      </c>
      <c r="F840" s="3">
        <v>71.760000000000005</v>
      </c>
      <c r="G840" s="3">
        <v>97.516347999999994</v>
      </c>
      <c r="H840" s="3">
        <v>92.175381999999999</v>
      </c>
      <c r="I840" s="3">
        <v>89.171028000000007</v>
      </c>
      <c r="J840">
        <v>10.074</v>
      </c>
      <c r="K840">
        <v>10.013999999999999</v>
      </c>
      <c r="L840">
        <v>9.9540000000000006</v>
      </c>
    </row>
    <row r="841" spans="1:12" x14ac:dyDescent="0.35">
      <c r="A841" s="2">
        <v>45414</v>
      </c>
      <c r="B841" s="3">
        <v>13.31</v>
      </c>
      <c r="C841" s="3">
        <v>72.5</v>
      </c>
      <c r="D841" s="3">
        <v>172.6</v>
      </c>
      <c r="E841" s="3">
        <v>16.059999999999999</v>
      </c>
      <c r="F841" s="3">
        <v>72.05</v>
      </c>
      <c r="G841" s="3">
        <v>98.052728000000002</v>
      </c>
      <c r="H841" s="3">
        <v>92.766848999999993</v>
      </c>
      <c r="I841" s="3">
        <v>90.012333999999996</v>
      </c>
      <c r="J841">
        <v>9.8439999999999994</v>
      </c>
      <c r="K841">
        <v>9.7739999999999991</v>
      </c>
      <c r="L841">
        <v>9.734</v>
      </c>
    </row>
    <row r="842" spans="1:12" x14ac:dyDescent="0.35">
      <c r="A842" s="2">
        <v>45415</v>
      </c>
      <c r="B842" s="3">
        <v>13.63</v>
      </c>
      <c r="C842" s="3">
        <v>70.069999999999993</v>
      </c>
      <c r="D842" s="3">
        <v>173.33</v>
      </c>
      <c r="E842" s="3">
        <v>16.45</v>
      </c>
      <c r="F842" s="3">
        <v>73.08</v>
      </c>
      <c r="G842" s="3">
        <v>99.078255999999996</v>
      </c>
      <c r="H842" s="3">
        <v>93.312226999999993</v>
      </c>
      <c r="I842" s="3">
        <v>90.875103999999993</v>
      </c>
      <c r="J842">
        <v>9.6839999999999993</v>
      </c>
      <c r="K842">
        <v>9.6039999999999992</v>
      </c>
      <c r="L842">
        <v>9.5640000000000001</v>
      </c>
    </row>
    <row r="843" spans="1:12" x14ac:dyDescent="0.35">
      <c r="A843" s="2">
        <v>45418</v>
      </c>
      <c r="B843" s="3">
        <v>13.4</v>
      </c>
      <c r="C843" s="3">
        <v>69.77</v>
      </c>
      <c r="D843" s="3">
        <v>173.07</v>
      </c>
      <c r="E843" s="3">
        <v>16.690000000000001</v>
      </c>
      <c r="F843" s="3">
        <v>73.72</v>
      </c>
      <c r="G843" s="3">
        <v>99.142814999999999</v>
      </c>
      <c r="H843" s="3">
        <v>94.100791000000001</v>
      </c>
      <c r="I843" s="3">
        <v>91.626474000000002</v>
      </c>
      <c r="J843">
        <v>9.7040000000000006</v>
      </c>
      <c r="K843">
        <v>9.6140000000000008</v>
      </c>
      <c r="L843">
        <v>9.5839999999999996</v>
      </c>
    </row>
    <row r="844" spans="1:12" x14ac:dyDescent="0.35">
      <c r="A844" s="2">
        <v>45419</v>
      </c>
      <c r="B844" s="3">
        <v>13.19</v>
      </c>
      <c r="C844" s="3">
        <v>71.14</v>
      </c>
      <c r="D844" s="3">
        <v>173.27</v>
      </c>
      <c r="E844" s="3">
        <v>16.600000000000001</v>
      </c>
      <c r="F844" s="3">
        <v>72.739999999999995</v>
      </c>
      <c r="G844" s="3">
        <v>99.091385000000002</v>
      </c>
      <c r="H844" s="3">
        <v>94.029252999999997</v>
      </c>
      <c r="I844" s="3">
        <v>91.528304000000006</v>
      </c>
      <c r="J844">
        <v>9.7240000000000002</v>
      </c>
      <c r="K844">
        <v>9.6539999999999999</v>
      </c>
      <c r="L844">
        <v>9.6140000000000008</v>
      </c>
    </row>
    <row r="845" spans="1:12" x14ac:dyDescent="0.35">
      <c r="A845" s="2">
        <v>45420</v>
      </c>
      <c r="B845" s="3">
        <v>13.11</v>
      </c>
      <c r="C845" s="3">
        <v>70.95</v>
      </c>
      <c r="D845" s="3">
        <v>175.11</v>
      </c>
      <c r="E845" s="3">
        <v>16.66</v>
      </c>
      <c r="F845" s="3">
        <v>73.599999999999994</v>
      </c>
      <c r="G845" s="3">
        <v>98.962986999999998</v>
      </c>
      <c r="H845" s="3">
        <v>93.957899999999995</v>
      </c>
      <c r="I845" s="3">
        <v>91.369696000000005</v>
      </c>
      <c r="J845">
        <v>9.734</v>
      </c>
      <c r="K845">
        <v>9.6739999999999995</v>
      </c>
      <c r="L845">
        <v>9.6340000000000003</v>
      </c>
    </row>
    <row r="846" spans="1:12" x14ac:dyDescent="0.35">
      <c r="A846" s="2">
        <v>45421</v>
      </c>
      <c r="B846" s="3">
        <v>13.23</v>
      </c>
      <c r="C846" s="3">
        <v>72.59</v>
      </c>
      <c r="D846" s="3">
        <v>175.25</v>
      </c>
      <c r="E846" s="3">
        <v>17.02</v>
      </c>
      <c r="F846" s="3">
        <v>73.180000000000007</v>
      </c>
      <c r="G846" s="3">
        <v>99.040955999999994</v>
      </c>
      <c r="H846" s="3">
        <v>93.935687999999999</v>
      </c>
      <c r="I846" s="3">
        <v>91.380189000000001</v>
      </c>
      <c r="J846">
        <v>9.7140000000000004</v>
      </c>
      <c r="K846">
        <v>9.6639999999999997</v>
      </c>
      <c r="L846">
        <v>9.6340000000000003</v>
      </c>
    </row>
    <row r="847" spans="1:12" x14ac:dyDescent="0.35">
      <c r="A847" s="2">
        <v>45422</v>
      </c>
      <c r="B847" s="3">
        <v>13.29</v>
      </c>
      <c r="C847" s="3">
        <v>69.95</v>
      </c>
      <c r="D847" s="3">
        <v>175.73</v>
      </c>
      <c r="E847" s="3">
        <v>16.989999999999998</v>
      </c>
      <c r="F847" s="3">
        <v>70.95</v>
      </c>
      <c r="G847" s="3">
        <v>98.759782999999999</v>
      </c>
      <c r="H847" s="3">
        <v>93.531813999999997</v>
      </c>
      <c r="I847" s="3">
        <v>90.621001000000007</v>
      </c>
      <c r="J847">
        <v>9.8640000000000008</v>
      </c>
      <c r="K847">
        <v>9.7940000000000005</v>
      </c>
      <c r="L847">
        <v>9.7439999999999998</v>
      </c>
    </row>
    <row r="848" spans="1:12" x14ac:dyDescent="0.35">
      <c r="A848" s="2">
        <v>45425</v>
      </c>
      <c r="B848" s="3">
        <v>13.36</v>
      </c>
      <c r="C848" s="3">
        <v>70.41</v>
      </c>
      <c r="D848" s="3">
        <v>178.23</v>
      </c>
      <c r="E848" s="3">
        <v>16.77</v>
      </c>
      <c r="F848" s="3">
        <v>71.39</v>
      </c>
      <c r="G848" s="3">
        <v>98.594639999999998</v>
      </c>
      <c r="H848" s="3">
        <v>93.414237999999997</v>
      </c>
      <c r="I848" s="3">
        <v>90.944813999999994</v>
      </c>
      <c r="J848">
        <v>9.8640000000000008</v>
      </c>
      <c r="K848">
        <v>9.7840000000000007</v>
      </c>
      <c r="L848">
        <v>9.734</v>
      </c>
    </row>
    <row r="849" spans="1:12" x14ac:dyDescent="0.35">
      <c r="A849" s="2">
        <v>45426</v>
      </c>
      <c r="B849" s="3">
        <v>13.24</v>
      </c>
      <c r="C849" s="3">
        <v>69.8</v>
      </c>
      <c r="D849" s="3">
        <v>173.96</v>
      </c>
      <c r="E849" s="3">
        <v>16.8</v>
      </c>
      <c r="F849" s="3">
        <v>70.52</v>
      </c>
      <c r="G849" s="3">
        <v>98.582682000000005</v>
      </c>
      <c r="H849" s="3">
        <v>93.391569000000004</v>
      </c>
      <c r="I849" s="3">
        <v>90.728565000000003</v>
      </c>
      <c r="J849">
        <v>9.8040000000000003</v>
      </c>
      <c r="K849">
        <v>9.7439999999999998</v>
      </c>
      <c r="L849">
        <v>9.7040000000000006</v>
      </c>
    </row>
    <row r="850" spans="1:12" x14ac:dyDescent="0.35">
      <c r="A850" s="2">
        <v>45427</v>
      </c>
      <c r="B850" s="3">
        <v>13.18</v>
      </c>
      <c r="C850" s="3">
        <v>70.66</v>
      </c>
      <c r="D850" s="3">
        <v>175.31</v>
      </c>
      <c r="E850" s="3">
        <v>16.66</v>
      </c>
      <c r="F850" s="3">
        <v>70.59</v>
      </c>
      <c r="G850" s="3">
        <v>99.260373999999999</v>
      </c>
      <c r="H850" s="3">
        <v>93.605653000000004</v>
      </c>
      <c r="I850" s="3">
        <v>91.535714999999996</v>
      </c>
      <c r="J850">
        <v>9.6940000000000008</v>
      </c>
      <c r="K850">
        <v>9.6539999999999999</v>
      </c>
      <c r="L850">
        <v>9.6140000000000008</v>
      </c>
    </row>
    <row r="851" spans="1:12" x14ac:dyDescent="0.35">
      <c r="A851" s="2">
        <v>45428</v>
      </c>
      <c r="B851" s="3">
        <v>13.05</v>
      </c>
      <c r="C851" s="3">
        <v>71.28</v>
      </c>
      <c r="D851" s="3">
        <v>175.25</v>
      </c>
      <c r="E851" s="3">
        <v>16.489999999999998</v>
      </c>
      <c r="F851" s="3">
        <v>70.72</v>
      </c>
      <c r="G851" s="3">
        <v>99.376784999999998</v>
      </c>
      <c r="H851" s="3">
        <v>94.202633000000006</v>
      </c>
      <c r="I851" s="3">
        <v>91.606959000000003</v>
      </c>
      <c r="J851">
        <v>9.7439999999999998</v>
      </c>
      <c r="K851">
        <v>9.6940000000000008</v>
      </c>
      <c r="L851">
        <v>9.6440000000000001</v>
      </c>
    </row>
    <row r="852" spans="1:12" x14ac:dyDescent="0.35">
      <c r="A852" s="2">
        <v>45429</v>
      </c>
      <c r="B852" s="3">
        <v>12.91</v>
      </c>
      <c r="C852" s="3">
        <v>70.010000000000005</v>
      </c>
      <c r="D852" s="3">
        <v>174.67</v>
      </c>
      <c r="E852" s="3">
        <v>16.399999999999999</v>
      </c>
      <c r="F852" s="3">
        <v>70.45</v>
      </c>
      <c r="G852" s="3">
        <v>99.095883999999998</v>
      </c>
      <c r="H852" s="3">
        <v>93.751577999999995</v>
      </c>
      <c r="I852" s="3">
        <v>91.268235000000004</v>
      </c>
      <c r="J852">
        <v>9.77</v>
      </c>
      <c r="K852">
        <v>9.7140000000000004</v>
      </c>
      <c r="L852">
        <v>9.6739999999999995</v>
      </c>
    </row>
    <row r="853" spans="1:12" x14ac:dyDescent="0.35">
      <c r="A853" s="2">
        <v>45432</v>
      </c>
      <c r="B853" s="3">
        <v>13</v>
      </c>
      <c r="C853" s="3">
        <v>69.900000000000006</v>
      </c>
      <c r="D853" s="3">
        <v>169.66</v>
      </c>
      <c r="E853" s="3">
        <v>16.420000000000002</v>
      </c>
      <c r="F853" s="3">
        <v>70.12</v>
      </c>
      <c r="G853" s="3">
        <v>98.969086000000004</v>
      </c>
      <c r="H853" s="3">
        <v>93.918519000000003</v>
      </c>
      <c r="I853" s="3">
        <v>91.171683999999999</v>
      </c>
      <c r="J853">
        <v>9.7739999999999991</v>
      </c>
      <c r="K853">
        <v>9.734</v>
      </c>
      <c r="L853">
        <v>9.6839999999999993</v>
      </c>
    </row>
    <row r="854" spans="1:12" x14ac:dyDescent="0.35">
      <c r="A854" s="2">
        <v>45433</v>
      </c>
      <c r="B854" s="3">
        <v>12.9</v>
      </c>
      <c r="C854" s="3">
        <v>70.08</v>
      </c>
      <c r="D854" s="3">
        <v>167.47</v>
      </c>
      <c r="E854" s="3">
        <v>16.36</v>
      </c>
      <c r="F854" s="3">
        <v>69.16</v>
      </c>
      <c r="G854" s="3">
        <v>98.918966999999995</v>
      </c>
      <c r="H854" s="3">
        <v>93.848253</v>
      </c>
      <c r="I854" s="3">
        <v>91.315876000000003</v>
      </c>
      <c r="J854">
        <v>9.7940000000000005</v>
      </c>
      <c r="K854">
        <v>9.7439999999999998</v>
      </c>
      <c r="L854">
        <v>9.6440000000000001</v>
      </c>
    </row>
    <row r="855" spans="1:12" x14ac:dyDescent="0.35">
      <c r="A855" s="2">
        <v>45434</v>
      </c>
      <c r="B855" s="3">
        <v>12.66</v>
      </c>
      <c r="C855" s="3">
        <v>70.319999999999993</v>
      </c>
      <c r="D855" s="3">
        <v>165.83</v>
      </c>
      <c r="E855" s="3">
        <v>16.45</v>
      </c>
      <c r="F855" s="3">
        <v>70.03</v>
      </c>
      <c r="G855" s="3">
        <v>99.021482000000006</v>
      </c>
      <c r="H855" s="3">
        <v>93.825515999999993</v>
      </c>
      <c r="I855" s="3">
        <v>91.219370999999995</v>
      </c>
      <c r="J855">
        <v>9.8239999999999998</v>
      </c>
      <c r="K855">
        <v>9.7539999999999996</v>
      </c>
      <c r="L855">
        <v>9.7140000000000004</v>
      </c>
    </row>
    <row r="856" spans="1:12" x14ac:dyDescent="0.35">
      <c r="A856" s="2">
        <v>45435</v>
      </c>
      <c r="B856" s="3">
        <v>12.73</v>
      </c>
      <c r="C856" s="3">
        <v>67.97</v>
      </c>
      <c r="D856" s="3">
        <v>160.21</v>
      </c>
      <c r="E856" s="3">
        <v>16.39</v>
      </c>
      <c r="F856" s="3">
        <v>68.91</v>
      </c>
      <c r="G856" s="3">
        <v>98.947833000000003</v>
      </c>
      <c r="H856" s="3">
        <v>93.616128000000003</v>
      </c>
      <c r="I856" s="3">
        <v>90.931419000000005</v>
      </c>
      <c r="J856">
        <v>9.8640000000000008</v>
      </c>
      <c r="K856">
        <v>9.7840000000000007</v>
      </c>
      <c r="L856">
        <v>9.7439999999999998</v>
      </c>
    </row>
    <row r="857" spans="1:12" x14ac:dyDescent="0.35">
      <c r="A857" s="2">
        <v>45436</v>
      </c>
      <c r="B857" s="3">
        <v>12.72</v>
      </c>
      <c r="C857" s="3">
        <v>66.510000000000005</v>
      </c>
      <c r="D857" s="3">
        <v>164.44</v>
      </c>
      <c r="E857" s="3">
        <v>16.22</v>
      </c>
      <c r="F857" s="3">
        <v>68.47</v>
      </c>
      <c r="G857" s="3">
        <v>98.974125999999998</v>
      </c>
      <c r="H857" s="3">
        <v>93.735191999999998</v>
      </c>
      <c r="I857" s="3">
        <v>91.015118000000001</v>
      </c>
      <c r="J857">
        <v>9.8339999999999996</v>
      </c>
      <c r="K857">
        <v>9.7739999999999991</v>
      </c>
      <c r="L857">
        <v>9.734</v>
      </c>
    </row>
    <row r="858" spans="1:12" x14ac:dyDescent="0.35">
      <c r="A858" s="2">
        <v>45439</v>
      </c>
      <c r="B858" s="3">
        <v>12.72</v>
      </c>
      <c r="C858" s="3">
        <v>65.959999999999994</v>
      </c>
      <c r="D858" s="3">
        <v>166.92</v>
      </c>
      <c r="E858" s="3">
        <v>16.11</v>
      </c>
      <c r="F858" s="3">
        <v>68.25</v>
      </c>
      <c r="G858" s="3">
        <v>99.000427000000002</v>
      </c>
      <c r="H858" s="3">
        <v>93.759925999999993</v>
      </c>
      <c r="I858" s="3">
        <v>91.039038000000005</v>
      </c>
      <c r="J858">
        <v>9.8339999999999996</v>
      </c>
      <c r="K858">
        <v>9.7840000000000007</v>
      </c>
      <c r="L858">
        <v>9.7439999999999998</v>
      </c>
    </row>
    <row r="859" spans="1:12" x14ac:dyDescent="0.35">
      <c r="A859" s="2">
        <v>45440</v>
      </c>
      <c r="B859" s="3">
        <v>12.74</v>
      </c>
      <c r="C859" s="3">
        <v>66.459999999999994</v>
      </c>
      <c r="D859" s="3">
        <v>163.22</v>
      </c>
      <c r="E859" s="3">
        <v>16.16</v>
      </c>
      <c r="F859" s="3">
        <v>67.72</v>
      </c>
      <c r="G859" s="3">
        <v>98.799150999999995</v>
      </c>
      <c r="H859" s="3">
        <v>93.596266999999997</v>
      </c>
      <c r="I859" s="3">
        <v>90.824254999999994</v>
      </c>
      <c r="J859">
        <v>9.8840000000000003</v>
      </c>
      <c r="K859">
        <v>9.8339999999999996</v>
      </c>
      <c r="L859">
        <v>9.7840000000000007</v>
      </c>
    </row>
    <row r="860" spans="1:12" x14ac:dyDescent="0.35">
      <c r="A860" s="2">
        <v>45441</v>
      </c>
      <c r="B860" s="3">
        <v>12.75</v>
      </c>
      <c r="C860" s="3">
        <v>65.5</v>
      </c>
      <c r="D860" s="3">
        <v>160.76</v>
      </c>
      <c r="E860" s="3">
        <v>15.94</v>
      </c>
      <c r="F860" s="3">
        <v>68</v>
      </c>
      <c r="G860" s="3">
        <v>98.939220000000006</v>
      </c>
      <c r="H860" s="3">
        <v>93.574054000000004</v>
      </c>
      <c r="I860" s="3">
        <v>90.848220999999995</v>
      </c>
      <c r="J860">
        <v>9.9339999999999993</v>
      </c>
      <c r="K860">
        <v>9.8740000000000006</v>
      </c>
      <c r="L860">
        <v>9.8239999999999998</v>
      </c>
    </row>
    <row r="861" spans="1:12" x14ac:dyDescent="0.35">
      <c r="A861" s="2">
        <v>45442</v>
      </c>
      <c r="B861" s="3">
        <v>13.01</v>
      </c>
      <c r="C861" s="3">
        <v>65.569999999999993</v>
      </c>
      <c r="D861" s="3">
        <v>155.62</v>
      </c>
      <c r="E861" s="3">
        <v>16.05</v>
      </c>
      <c r="F861" s="3">
        <v>68.12</v>
      </c>
      <c r="G861" s="3">
        <v>98.867035000000001</v>
      </c>
      <c r="H861" s="3">
        <v>93.460937999999999</v>
      </c>
      <c r="I861" s="3">
        <v>90.801197999999999</v>
      </c>
      <c r="J861">
        <v>9.9239999999999995</v>
      </c>
      <c r="K861">
        <v>9.8740000000000006</v>
      </c>
      <c r="L861">
        <v>9.8140000000000001</v>
      </c>
    </row>
    <row r="862" spans="1:12" x14ac:dyDescent="0.35">
      <c r="A862" s="2">
        <v>45443</v>
      </c>
      <c r="B862" s="3">
        <v>12.77</v>
      </c>
      <c r="C862" s="3">
        <v>63.89</v>
      </c>
      <c r="D862" s="3">
        <v>161.37</v>
      </c>
      <c r="E862" s="3">
        <v>15.72</v>
      </c>
      <c r="F862" s="3">
        <v>67.52</v>
      </c>
      <c r="G862" s="3">
        <v>99.006900000000002</v>
      </c>
      <c r="H862" s="3">
        <v>93.485822999999996</v>
      </c>
      <c r="I862" s="3">
        <v>90.647198000000003</v>
      </c>
      <c r="J862">
        <v>9.8740000000000006</v>
      </c>
      <c r="K862">
        <v>9.8339999999999996</v>
      </c>
      <c r="L862">
        <v>9.7739999999999991</v>
      </c>
    </row>
    <row r="863" spans="1:12" x14ac:dyDescent="0.35">
      <c r="A863" s="2">
        <v>45446</v>
      </c>
      <c r="B863" s="3">
        <v>12.11</v>
      </c>
      <c r="C863" s="3">
        <v>63.82</v>
      </c>
      <c r="D863" s="3">
        <v>143.4</v>
      </c>
      <c r="E863" s="3">
        <v>15.21</v>
      </c>
      <c r="F863" s="3">
        <v>62.55</v>
      </c>
      <c r="G863" s="3">
        <v>98.393154999999993</v>
      </c>
      <c r="H863" s="3">
        <v>92.997674000000004</v>
      </c>
      <c r="I863" s="3">
        <v>90.081469999999996</v>
      </c>
      <c r="J863">
        <v>10.013999999999999</v>
      </c>
      <c r="K863">
        <v>10.013999999999999</v>
      </c>
      <c r="L863">
        <v>9.9339999999999993</v>
      </c>
    </row>
    <row r="864" spans="1:12" x14ac:dyDescent="0.35">
      <c r="A864" s="2">
        <v>45447</v>
      </c>
      <c r="B864" s="3">
        <v>12.34</v>
      </c>
      <c r="C864" s="3">
        <v>68.53</v>
      </c>
      <c r="D864" s="3">
        <v>149.12</v>
      </c>
      <c r="E864" s="3">
        <v>15.93</v>
      </c>
      <c r="F864" s="3">
        <v>64.349999999999994</v>
      </c>
      <c r="G864" s="3">
        <v>94.197626999999997</v>
      </c>
      <c r="H864" s="3">
        <v>89.011792999999997</v>
      </c>
      <c r="I864" s="3">
        <v>86.246268999999998</v>
      </c>
      <c r="J864">
        <v>10.044</v>
      </c>
      <c r="K864">
        <v>10.004</v>
      </c>
      <c r="L864">
        <v>9.9239999999999995</v>
      </c>
    </row>
    <row r="865" spans="1:12" x14ac:dyDescent="0.35">
      <c r="A865" s="2">
        <v>45448</v>
      </c>
      <c r="B865" s="3">
        <v>12.43</v>
      </c>
      <c r="C865" s="3">
        <v>70.98</v>
      </c>
      <c r="D865" s="3">
        <v>155</v>
      </c>
      <c r="E865" s="3">
        <v>15.68</v>
      </c>
      <c r="F865" s="3">
        <v>68.53</v>
      </c>
      <c r="G865" s="3">
        <v>94.561425999999997</v>
      </c>
      <c r="H865" s="3">
        <v>89.035799999999995</v>
      </c>
      <c r="I865" s="3">
        <v>86.563749000000001</v>
      </c>
      <c r="J865">
        <v>9.9239999999999995</v>
      </c>
      <c r="K865">
        <v>9.8840000000000003</v>
      </c>
      <c r="L865">
        <v>9.8040000000000003</v>
      </c>
    </row>
    <row r="866" spans="1:12" x14ac:dyDescent="0.35">
      <c r="A866" s="2">
        <v>45449</v>
      </c>
      <c r="B866" s="3">
        <v>12.41</v>
      </c>
      <c r="C866" s="3">
        <v>69.56</v>
      </c>
      <c r="D866" s="3">
        <v>149.03</v>
      </c>
      <c r="E866" s="3">
        <v>15.89</v>
      </c>
      <c r="F866" s="3">
        <v>67.290000000000006</v>
      </c>
      <c r="G866" s="3">
        <v>94.750545000000002</v>
      </c>
      <c r="H866" s="3">
        <v>89.666303999999997</v>
      </c>
      <c r="I866" s="3">
        <v>87.047188000000006</v>
      </c>
      <c r="J866">
        <v>9.8439999999999994</v>
      </c>
      <c r="K866">
        <v>9.8140000000000001</v>
      </c>
      <c r="L866">
        <v>9.7539999999999996</v>
      </c>
    </row>
    <row r="867" spans="1:12" x14ac:dyDescent="0.35">
      <c r="A867" s="2">
        <v>45450</v>
      </c>
      <c r="B867" s="3">
        <v>12.1</v>
      </c>
      <c r="C867" s="3">
        <v>67.63</v>
      </c>
      <c r="D867" s="3">
        <v>139.31</v>
      </c>
      <c r="E867" s="3">
        <v>15.86</v>
      </c>
      <c r="F867" s="3">
        <v>63.26</v>
      </c>
      <c r="G867" s="3">
        <v>95.077839999999995</v>
      </c>
      <c r="H867" s="3">
        <v>90.017925000000005</v>
      </c>
      <c r="I867" s="3">
        <v>87.367703000000006</v>
      </c>
      <c r="J867">
        <v>10.254</v>
      </c>
      <c r="K867">
        <v>9.8160000000000007</v>
      </c>
      <c r="L867">
        <v>9.7539999999999996</v>
      </c>
    </row>
    <row r="868" spans="1:12" x14ac:dyDescent="0.35">
      <c r="A868" s="2">
        <v>45453</v>
      </c>
      <c r="B868" s="3">
        <v>12.18</v>
      </c>
      <c r="C868" s="3">
        <v>70.7</v>
      </c>
      <c r="D868" s="3">
        <v>138.61000000000001</v>
      </c>
      <c r="E868" s="3">
        <v>15.53</v>
      </c>
      <c r="F868" s="3">
        <v>62.28</v>
      </c>
      <c r="G868" s="3">
        <v>93.642899</v>
      </c>
      <c r="H868" s="3">
        <v>88.189638000000002</v>
      </c>
      <c r="I868" s="3">
        <v>84.761716000000007</v>
      </c>
      <c r="J868">
        <v>10.263999999999999</v>
      </c>
      <c r="K868">
        <v>10.224</v>
      </c>
      <c r="L868">
        <v>10.204000000000001</v>
      </c>
    </row>
    <row r="869" spans="1:12" x14ac:dyDescent="0.35">
      <c r="A869" s="2">
        <v>45454</v>
      </c>
      <c r="B869" s="3">
        <v>11.94</v>
      </c>
      <c r="C869" s="3">
        <v>69.260000000000005</v>
      </c>
      <c r="D869" s="3">
        <v>136.9</v>
      </c>
      <c r="E869" s="3">
        <v>15.7</v>
      </c>
      <c r="F869" s="3">
        <v>61.55</v>
      </c>
      <c r="G869" s="3">
        <v>93.188394000000002</v>
      </c>
      <c r="H869" s="3">
        <v>88.213911999999993</v>
      </c>
      <c r="I869" s="3">
        <v>84.556533000000002</v>
      </c>
      <c r="J869">
        <v>10.474</v>
      </c>
      <c r="K869">
        <v>10.423999999999999</v>
      </c>
      <c r="L869">
        <v>10.404</v>
      </c>
    </row>
    <row r="870" spans="1:12" x14ac:dyDescent="0.35">
      <c r="A870" s="2">
        <v>45455</v>
      </c>
      <c r="B870" s="3">
        <v>12.4</v>
      </c>
      <c r="C870" s="3">
        <v>69.45</v>
      </c>
      <c r="D870" s="3">
        <v>136.19</v>
      </c>
      <c r="E870" s="3">
        <v>15.8</v>
      </c>
      <c r="F870" s="3">
        <v>61.41</v>
      </c>
      <c r="G870" s="3">
        <v>92.810530999999997</v>
      </c>
      <c r="H870" s="3">
        <v>87.285561000000001</v>
      </c>
      <c r="I870" s="3">
        <v>84.012330000000006</v>
      </c>
      <c r="J870">
        <v>10.474</v>
      </c>
      <c r="K870">
        <v>10.384</v>
      </c>
      <c r="L870">
        <v>10.343999999999999</v>
      </c>
    </row>
    <row r="871" spans="1:12" x14ac:dyDescent="0.35">
      <c r="A871" s="2">
        <v>45456</v>
      </c>
      <c r="B871" s="3">
        <v>12.19</v>
      </c>
      <c r="C871" s="3">
        <v>67.62</v>
      </c>
      <c r="D871" s="3">
        <v>132.68</v>
      </c>
      <c r="E871" s="3">
        <v>15.55</v>
      </c>
      <c r="F871" s="3">
        <v>61.32</v>
      </c>
      <c r="G871" s="3">
        <v>93.587277999999998</v>
      </c>
      <c r="H871" s="3">
        <v>88.219847999999999</v>
      </c>
      <c r="I871" s="3">
        <v>85.164970999999994</v>
      </c>
      <c r="J871">
        <v>10.353999999999999</v>
      </c>
      <c r="K871">
        <v>10.263999999999999</v>
      </c>
      <c r="L871">
        <v>10.103999999999999</v>
      </c>
    </row>
    <row r="872" spans="1:12" x14ac:dyDescent="0.35">
      <c r="A872" s="2">
        <v>45457</v>
      </c>
      <c r="B872" s="3">
        <v>11.89</v>
      </c>
      <c r="C872" s="3">
        <v>67.02</v>
      </c>
      <c r="D872" s="3">
        <v>137.43</v>
      </c>
      <c r="E872" s="3">
        <v>15.66</v>
      </c>
      <c r="F872" s="3">
        <v>60.96</v>
      </c>
      <c r="G872" s="3">
        <v>93.613211000000007</v>
      </c>
      <c r="H872" s="3">
        <v>88.655547999999996</v>
      </c>
      <c r="I872" s="3">
        <v>85.130849999999995</v>
      </c>
      <c r="J872">
        <v>10.275</v>
      </c>
      <c r="K872">
        <v>10.220000000000001</v>
      </c>
      <c r="L872">
        <v>10.157</v>
      </c>
    </row>
    <row r="873" spans="1:12" x14ac:dyDescent="0.35">
      <c r="A873" s="2">
        <v>45460</v>
      </c>
      <c r="B873" s="3">
        <v>12.05</v>
      </c>
      <c r="C873" s="3">
        <v>66.52</v>
      </c>
      <c r="D873" s="3">
        <v>140.09</v>
      </c>
      <c r="E873" s="3">
        <v>15.66</v>
      </c>
      <c r="F873" s="3">
        <v>59.98</v>
      </c>
      <c r="G873" s="3">
        <v>93.381372999999996</v>
      </c>
      <c r="H873" s="3">
        <v>88.222965000000002</v>
      </c>
      <c r="I873" s="3">
        <v>84.867847999999995</v>
      </c>
      <c r="J873">
        <v>10.353999999999999</v>
      </c>
      <c r="K873">
        <v>10.314</v>
      </c>
      <c r="L873">
        <v>10.224</v>
      </c>
    </row>
    <row r="874" spans="1:12" x14ac:dyDescent="0.35">
      <c r="A874" s="2">
        <v>45461</v>
      </c>
      <c r="B874" s="3">
        <v>11.95</v>
      </c>
      <c r="C874" s="3">
        <v>69.63</v>
      </c>
      <c r="D874" s="3">
        <v>144.61000000000001</v>
      </c>
      <c r="E874" s="3">
        <v>15.63</v>
      </c>
      <c r="F874" s="3">
        <v>60.6</v>
      </c>
      <c r="G874" s="3">
        <v>93.738883999999999</v>
      </c>
      <c r="H874" s="3">
        <v>87.929392000000007</v>
      </c>
      <c r="I874" s="3">
        <v>85.580488000000003</v>
      </c>
      <c r="J874">
        <v>10.183999999999999</v>
      </c>
      <c r="K874">
        <v>10.093999999999999</v>
      </c>
      <c r="L874">
        <v>10.013999999999999</v>
      </c>
    </row>
    <row r="875" spans="1:12" x14ac:dyDescent="0.35">
      <c r="A875" s="2">
        <v>45462</v>
      </c>
      <c r="B875" s="3">
        <v>11.99</v>
      </c>
      <c r="C875" s="3">
        <v>70.569999999999993</v>
      </c>
      <c r="D875" s="3">
        <v>146.59</v>
      </c>
      <c r="E875" s="3">
        <v>15.69</v>
      </c>
      <c r="F875" s="3">
        <v>59.99</v>
      </c>
      <c r="G875" s="3">
        <v>93.764809</v>
      </c>
      <c r="H875" s="3">
        <v>87.953827000000004</v>
      </c>
      <c r="I875" s="3">
        <v>85.603773000000004</v>
      </c>
      <c r="J875">
        <v>10.183999999999999</v>
      </c>
      <c r="K875">
        <v>10.084</v>
      </c>
      <c r="L875">
        <v>10.013999999999999</v>
      </c>
    </row>
    <row r="876" spans="1:12" x14ac:dyDescent="0.35">
      <c r="A876" s="2">
        <v>45463</v>
      </c>
      <c r="B876" s="3">
        <v>11.76</v>
      </c>
      <c r="C876" s="3">
        <v>70.430000000000007</v>
      </c>
      <c r="D876" s="3">
        <v>146.91999999999999</v>
      </c>
      <c r="E876" s="3">
        <v>15.45</v>
      </c>
      <c r="F876" s="3">
        <v>59.57</v>
      </c>
      <c r="G876" s="3">
        <v>93.916370000000001</v>
      </c>
      <c r="H876" s="3">
        <v>89.030338</v>
      </c>
      <c r="I876" s="3">
        <v>86.195324999999997</v>
      </c>
      <c r="J876">
        <v>10.103999999999999</v>
      </c>
      <c r="K876">
        <v>10.004</v>
      </c>
      <c r="L876">
        <v>9.9039999999999999</v>
      </c>
    </row>
    <row r="877" spans="1:12" x14ac:dyDescent="0.35">
      <c r="A877" s="2">
        <v>45464</v>
      </c>
      <c r="B877" s="3">
        <v>11.44</v>
      </c>
      <c r="C877" s="3">
        <v>68.099999999999994</v>
      </c>
      <c r="D877" s="3">
        <v>151.81</v>
      </c>
      <c r="E877" s="3">
        <v>15.29</v>
      </c>
      <c r="F877" s="3">
        <v>62.41</v>
      </c>
      <c r="G877" s="3">
        <v>94.311937999999998</v>
      </c>
      <c r="H877" s="3">
        <v>89.192443999999995</v>
      </c>
      <c r="I877" s="3">
        <v>86.335061999999994</v>
      </c>
      <c r="J877">
        <v>10.124000000000001</v>
      </c>
      <c r="K877">
        <v>10.034000000000001</v>
      </c>
      <c r="L877">
        <v>9.984</v>
      </c>
    </row>
    <row r="878" spans="1:12" x14ac:dyDescent="0.35">
      <c r="A878" s="2">
        <v>45467</v>
      </c>
      <c r="B878" s="3">
        <v>11.48</v>
      </c>
      <c r="C878" s="3">
        <v>65.84</v>
      </c>
      <c r="D878" s="3">
        <v>150.04</v>
      </c>
      <c r="E878" s="3">
        <v>15.16</v>
      </c>
      <c r="F878" s="3">
        <v>62.93</v>
      </c>
      <c r="G878" s="3">
        <v>94.597448999999997</v>
      </c>
      <c r="H878" s="3">
        <v>89.354760999999996</v>
      </c>
      <c r="I878" s="3">
        <v>86.767639000000003</v>
      </c>
      <c r="J878">
        <v>10.044</v>
      </c>
      <c r="K878">
        <v>9.9540000000000006</v>
      </c>
      <c r="L878">
        <v>9.8840000000000003</v>
      </c>
    </row>
    <row r="879" spans="1:12" x14ac:dyDescent="0.35">
      <c r="A879" s="2">
        <v>45468</v>
      </c>
      <c r="B879" s="3">
        <v>11.55</v>
      </c>
      <c r="C879" s="3">
        <v>64.67</v>
      </c>
      <c r="D879" s="3">
        <v>152.16</v>
      </c>
      <c r="E879" s="3">
        <v>15.28</v>
      </c>
      <c r="F879" s="3">
        <v>62.76</v>
      </c>
      <c r="G879" s="3">
        <v>94.363515000000007</v>
      </c>
      <c r="H879" s="3">
        <v>89.748487999999995</v>
      </c>
      <c r="I879" s="3">
        <v>86.673627999999994</v>
      </c>
      <c r="J879">
        <v>10.044</v>
      </c>
      <c r="K879">
        <v>9.9540000000000006</v>
      </c>
      <c r="L879">
        <v>9.9039999999999999</v>
      </c>
    </row>
    <row r="880" spans="1:12" x14ac:dyDescent="0.35">
      <c r="A880" s="2">
        <v>45469</v>
      </c>
      <c r="B880" s="3">
        <v>11.62</v>
      </c>
      <c r="C880" s="3">
        <v>65.48</v>
      </c>
      <c r="D880" s="3">
        <v>149.28</v>
      </c>
      <c r="E880" s="3">
        <v>15.49</v>
      </c>
      <c r="F880" s="3">
        <v>62.4</v>
      </c>
      <c r="G880" s="3">
        <v>94.760327000000004</v>
      </c>
      <c r="H880" s="3">
        <v>89.865243000000007</v>
      </c>
      <c r="I880" s="3">
        <v>86.931437000000003</v>
      </c>
      <c r="J880">
        <v>10.074</v>
      </c>
      <c r="K880">
        <v>9.984</v>
      </c>
      <c r="L880">
        <v>9.9440000000000008</v>
      </c>
    </row>
    <row r="881" spans="1:12" x14ac:dyDescent="0.35">
      <c r="A881" s="2">
        <v>45470</v>
      </c>
      <c r="B881" s="3">
        <v>11.73</v>
      </c>
      <c r="C881" s="3">
        <v>65.2</v>
      </c>
      <c r="D881" s="3">
        <v>142.78</v>
      </c>
      <c r="E881" s="3">
        <v>15.47</v>
      </c>
      <c r="F881" s="3">
        <v>63.62</v>
      </c>
      <c r="G881" s="3">
        <v>94.392858000000004</v>
      </c>
      <c r="H881" s="3">
        <v>89.706197000000003</v>
      </c>
      <c r="I881" s="3">
        <v>86.241990000000001</v>
      </c>
      <c r="J881">
        <v>10.162000000000001</v>
      </c>
      <c r="K881">
        <v>10.093</v>
      </c>
      <c r="L881">
        <v>10.022</v>
      </c>
    </row>
    <row r="882" spans="1:12" x14ac:dyDescent="0.35">
      <c r="A882" s="2">
        <v>45471</v>
      </c>
      <c r="B882" s="3">
        <v>11.71</v>
      </c>
      <c r="C882" s="3">
        <v>64.61</v>
      </c>
      <c r="D882" s="3">
        <v>142.56</v>
      </c>
      <c r="E882" s="3">
        <v>15.57</v>
      </c>
      <c r="F882" s="3">
        <v>63.6</v>
      </c>
      <c r="G882" s="3">
        <v>94.974474000000001</v>
      </c>
      <c r="H882" s="3">
        <v>90.054260999999997</v>
      </c>
      <c r="I882" s="3">
        <v>86.965543999999994</v>
      </c>
      <c r="J882">
        <v>9.98</v>
      </c>
      <c r="K882">
        <v>9.8450000000000006</v>
      </c>
      <c r="L882">
        <v>9.8330000000000002</v>
      </c>
    </row>
    <row r="883" spans="1:12" x14ac:dyDescent="0.35">
      <c r="A883" s="2">
        <v>45474</v>
      </c>
      <c r="B883" s="3">
        <v>11.58</v>
      </c>
      <c r="C883" s="3">
        <v>66.819999999999993</v>
      </c>
      <c r="D883" s="3">
        <v>146.51</v>
      </c>
      <c r="E883" s="3">
        <v>15.73</v>
      </c>
      <c r="F883" s="3">
        <v>65</v>
      </c>
      <c r="G883" s="3">
        <v>95.186199000000002</v>
      </c>
      <c r="H883" s="3">
        <v>90.264049999999997</v>
      </c>
      <c r="I883" s="3">
        <v>87.282760999999994</v>
      </c>
      <c r="J883">
        <v>10.1</v>
      </c>
      <c r="K883">
        <v>10</v>
      </c>
      <c r="L883">
        <v>9.9600000000000009</v>
      </c>
    </row>
    <row r="884" spans="1:12" x14ac:dyDescent="0.35">
      <c r="A884" s="2">
        <v>45475</v>
      </c>
      <c r="B884" s="3">
        <v>11.19</v>
      </c>
      <c r="C884" s="3">
        <v>63.32</v>
      </c>
      <c r="D884" s="3">
        <v>146.41999999999999</v>
      </c>
      <c r="E884" s="3">
        <v>15.48</v>
      </c>
      <c r="F884" s="3">
        <v>63.46</v>
      </c>
      <c r="G884" s="3">
        <v>94.618134999999995</v>
      </c>
      <c r="H884" s="3">
        <v>89.778655000000001</v>
      </c>
      <c r="I884" s="3">
        <v>86.544436000000005</v>
      </c>
      <c r="J884">
        <v>10.1</v>
      </c>
      <c r="K884">
        <v>10</v>
      </c>
      <c r="L884">
        <v>9.9499999999999993</v>
      </c>
    </row>
    <row r="885" spans="1:12" x14ac:dyDescent="0.35">
      <c r="A885" s="2">
        <v>45476</v>
      </c>
      <c r="B885" s="3">
        <v>11.14</v>
      </c>
      <c r="C885" s="3">
        <v>63.48</v>
      </c>
      <c r="D885" s="3">
        <v>147.31</v>
      </c>
      <c r="E885" s="3">
        <v>15.88</v>
      </c>
      <c r="F885" s="3">
        <v>64.209999999999994</v>
      </c>
      <c r="G885" s="3">
        <v>94.643953999999994</v>
      </c>
      <c r="H885" s="3">
        <v>89.664552999999998</v>
      </c>
      <c r="I885" s="3">
        <v>86.742648000000003</v>
      </c>
      <c r="J885">
        <v>10.073</v>
      </c>
      <c r="K885">
        <v>9.9789999999999992</v>
      </c>
      <c r="L885">
        <v>9.9469999999999992</v>
      </c>
    </row>
    <row r="886" spans="1:12" x14ac:dyDescent="0.35">
      <c r="A886" s="2">
        <v>45477</v>
      </c>
      <c r="B886" s="3">
        <v>11.13</v>
      </c>
      <c r="C886" s="3">
        <v>63.28</v>
      </c>
      <c r="D886" s="3">
        <v>147.56</v>
      </c>
      <c r="E886" s="3">
        <v>15.94</v>
      </c>
      <c r="F886" s="3">
        <v>63.07</v>
      </c>
      <c r="G886" s="3">
        <v>94.980176</v>
      </c>
      <c r="H886" s="3">
        <v>89.967617000000004</v>
      </c>
      <c r="I886" s="3">
        <v>86.929338000000001</v>
      </c>
      <c r="J886">
        <v>10.147</v>
      </c>
      <c r="K886">
        <v>10.057</v>
      </c>
      <c r="L886">
        <v>9.9830000000000005</v>
      </c>
    </row>
    <row r="887" spans="1:12" x14ac:dyDescent="0.35">
      <c r="A887" s="2">
        <v>45478</v>
      </c>
      <c r="B887" s="3">
        <v>11.11</v>
      </c>
      <c r="C887" s="3">
        <v>62.88</v>
      </c>
      <c r="D887" s="3">
        <v>148.22</v>
      </c>
      <c r="E887" s="3">
        <v>15.74</v>
      </c>
      <c r="F887" s="3">
        <v>61.82</v>
      </c>
      <c r="G887" s="3">
        <v>94.968918000000002</v>
      </c>
      <c r="H887" s="3">
        <v>89.761415999999997</v>
      </c>
      <c r="I887" s="3">
        <v>86.894186000000005</v>
      </c>
      <c r="J887">
        <v>10.06</v>
      </c>
      <c r="K887">
        <v>9.9649999999999999</v>
      </c>
      <c r="L887">
        <v>9.9429999999999996</v>
      </c>
    </row>
    <row r="888" spans="1:12" x14ac:dyDescent="0.35">
      <c r="A888" s="2">
        <v>45481</v>
      </c>
      <c r="B888" s="3">
        <v>11.32</v>
      </c>
      <c r="C888" s="3">
        <v>63.51</v>
      </c>
      <c r="D888" s="3">
        <v>147.35</v>
      </c>
      <c r="E888" s="3">
        <v>15.84</v>
      </c>
      <c r="F888" s="3">
        <v>61.99</v>
      </c>
      <c r="G888" s="3">
        <v>94.883836000000002</v>
      </c>
      <c r="H888" s="3">
        <v>89.969838999999993</v>
      </c>
      <c r="I888" s="3">
        <v>86.800787</v>
      </c>
      <c r="J888">
        <v>10.09</v>
      </c>
      <c r="K888">
        <v>9.9960000000000004</v>
      </c>
      <c r="L888">
        <v>9.9529999999999994</v>
      </c>
    </row>
    <row r="889" spans="1:12" x14ac:dyDescent="0.35">
      <c r="A889" s="2">
        <v>45482</v>
      </c>
      <c r="B889" s="3">
        <v>11.19</v>
      </c>
      <c r="C889" s="3">
        <v>63.92</v>
      </c>
      <c r="D889" s="3">
        <v>147.02000000000001</v>
      </c>
      <c r="E889" s="3">
        <v>16.170000000000002</v>
      </c>
      <c r="F889" s="3">
        <v>61.36</v>
      </c>
      <c r="G889" s="3">
        <v>94.946567999999999</v>
      </c>
      <c r="H889" s="3">
        <v>89.994033000000002</v>
      </c>
      <c r="I889" s="3">
        <v>86.940787</v>
      </c>
      <c r="J889">
        <v>10.157</v>
      </c>
      <c r="K889">
        <v>10.02</v>
      </c>
      <c r="L889">
        <v>9.9809999999999999</v>
      </c>
    </row>
    <row r="890" spans="1:12" x14ac:dyDescent="0.35">
      <c r="A890" s="2">
        <v>45483</v>
      </c>
      <c r="B890" s="3">
        <v>11.92</v>
      </c>
      <c r="C890" s="3">
        <v>64.17</v>
      </c>
      <c r="D890" s="3">
        <v>149.79</v>
      </c>
      <c r="E890" s="3">
        <v>16.32</v>
      </c>
      <c r="F890" s="3">
        <v>61.8</v>
      </c>
      <c r="G890" s="3">
        <v>95.305289000000002</v>
      </c>
      <c r="H890" s="3">
        <v>89.926123000000004</v>
      </c>
      <c r="I890" s="3">
        <v>87.080976000000007</v>
      </c>
      <c r="J890">
        <v>9.99</v>
      </c>
      <c r="K890">
        <v>9.9320000000000004</v>
      </c>
      <c r="L890">
        <v>9.92</v>
      </c>
    </row>
    <row r="891" spans="1:12" x14ac:dyDescent="0.35">
      <c r="A891" s="2">
        <v>45484</v>
      </c>
      <c r="B891" s="3">
        <v>12.18</v>
      </c>
      <c r="C891" s="3">
        <v>64.05</v>
      </c>
      <c r="D891" s="3">
        <v>149.06</v>
      </c>
      <c r="E891" s="3">
        <v>16.510000000000002</v>
      </c>
      <c r="F891" s="3">
        <v>62.25</v>
      </c>
      <c r="G891" s="3">
        <v>95.530591999999999</v>
      </c>
      <c r="H891" s="3">
        <v>90.460234</v>
      </c>
      <c r="I891" s="3">
        <v>87.385204000000002</v>
      </c>
      <c r="J891">
        <v>9.8699999999999992</v>
      </c>
      <c r="K891">
        <v>9.8049999999999997</v>
      </c>
      <c r="L891">
        <v>9.8049999999999997</v>
      </c>
    </row>
    <row r="892" spans="1:12" x14ac:dyDescent="0.35">
      <c r="A892" s="2">
        <v>45485</v>
      </c>
      <c r="B892" s="3">
        <v>12.16</v>
      </c>
      <c r="C892" s="3">
        <v>64.95</v>
      </c>
      <c r="D892" s="3">
        <v>149.52000000000001</v>
      </c>
      <c r="E892" s="3">
        <v>16.239999999999998</v>
      </c>
      <c r="F892" s="3">
        <v>63.52</v>
      </c>
      <c r="G892" s="3">
        <v>96.039828</v>
      </c>
      <c r="H892" s="3">
        <v>91.088543999999999</v>
      </c>
      <c r="I892" s="3">
        <v>88.235174999999998</v>
      </c>
      <c r="J892">
        <v>9.82</v>
      </c>
      <c r="K892">
        <v>9.7439999999999998</v>
      </c>
      <c r="L892">
        <v>9.7330000000000005</v>
      </c>
    </row>
    <row r="893" spans="1:12" x14ac:dyDescent="0.35">
      <c r="A893" s="2">
        <v>45488</v>
      </c>
      <c r="B893" s="3">
        <v>11.93</v>
      </c>
      <c r="C893" s="3">
        <v>64.89</v>
      </c>
      <c r="D893" s="3">
        <v>147.87</v>
      </c>
      <c r="E893" s="3">
        <v>16.100000000000001</v>
      </c>
      <c r="F893" s="3">
        <v>61.78</v>
      </c>
      <c r="G893" s="3">
        <v>96.139913000000007</v>
      </c>
      <c r="H893" s="3">
        <v>91.019272000000001</v>
      </c>
      <c r="I893" s="3">
        <v>87.961955000000003</v>
      </c>
      <c r="J893">
        <v>9.7949999999999999</v>
      </c>
      <c r="K893">
        <v>9.7799999999999994</v>
      </c>
      <c r="L893">
        <v>9.7899999999999991</v>
      </c>
    </row>
    <row r="894" spans="1:12" x14ac:dyDescent="0.35">
      <c r="A894" s="2">
        <v>45489</v>
      </c>
      <c r="B894" s="3">
        <v>12.1</v>
      </c>
      <c r="C894" s="3">
        <v>64.92</v>
      </c>
      <c r="D894" s="3">
        <v>148.46</v>
      </c>
      <c r="E894" s="3">
        <v>16.190000000000001</v>
      </c>
      <c r="F894" s="3">
        <v>61.62</v>
      </c>
      <c r="G894" s="3">
        <v>96.314768999999998</v>
      </c>
      <c r="H894" s="3">
        <v>91.276606999999998</v>
      </c>
      <c r="I894" s="3">
        <v>88.222178999999997</v>
      </c>
      <c r="J894">
        <v>9.7970000000000006</v>
      </c>
      <c r="K894">
        <v>9.74</v>
      </c>
      <c r="L894">
        <v>9.7270000000000003</v>
      </c>
    </row>
    <row r="895" spans="1:12" x14ac:dyDescent="0.35">
      <c r="A895" s="2">
        <v>45490</v>
      </c>
      <c r="B895" s="3">
        <v>11.52</v>
      </c>
      <c r="C895" s="3">
        <v>64.510000000000005</v>
      </c>
      <c r="D895" s="3">
        <v>147.24</v>
      </c>
      <c r="E895" s="3">
        <v>15.98</v>
      </c>
      <c r="F895" s="3">
        <v>61.63</v>
      </c>
      <c r="G895" s="3">
        <v>96.414929000000001</v>
      </c>
      <c r="H895" s="3">
        <v>91.487724</v>
      </c>
      <c r="I895" s="3">
        <v>88.542796999999993</v>
      </c>
      <c r="J895">
        <v>9.8149999999999995</v>
      </c>
      <c r="K895">
        <v>9.7449999999999992</v>
      </c>
      <c r="L895">
        <v>9.73</v>
      </c>
    </row>
    <row r="896" spans="1:12" x14ac:dyDescent="0.35">
      <c r="A896" s="2">
        <v>45491</v>
      </c>
      <c r="B896" s="3">
        <v>11.37</v>
      </c>
      <c r="C896" s="3">
        <v>63.4</v>
      </c>
      <c r="D896" s="3">
        <v>147.36000000000001</v>
      </c>
      <c r="E896" s="3">
        <v>15.63</v>
      </c>
      <c r="F896" s="3">
        <v>60.57</v>
      </c>
      <c r="G896" s="3">
        <v>96.155379999999994</v>
      </c>
      <c r="H896" s="3">
        <v>91.279180999999994</v>
      </c>
      <c r="I896" s="3">
        <v>88.315054000000003</v>
      </c>
      <c r="J896">
        <v>9.9700000000000006</v>
      </c>
      <c r="K896">
        <v>9.89</v>
      </c>
      <c r="L896">
        <v>9.8800000000000008</v>
      </c>
    </row>
    <row r="897" spans="1:12" x14ac:dyDescent="0.35">
      <c r="A897" s="2">
        <v>45492</v>
      </c>
      <c r="B897" s="3">
        <v>11.21</v>
      </c>
      <c r="C897" s="3">
        <v>65.069999999999993</v>
      </c>
      <c r="D897" s="3">
        <v>149.81</v>
      </c>
      <c r="E897" s="3">
        <v>15.93</v>
      </c>
      <c r="F897" s="3">
        <v>62.34</v>
      </c>
      <c r="G897" s="3">
        <v>95.330247</v>
      </c>
      <c r="H897" s="3">
        <v>90.653484000000006</v>
      </c>
      <c r="I897" s="3">
        <v>87.104411999999996</v>
      </c>
      <c r="J897">
        <v>10.06</v>
      </c>
      <c r="K897">
        <v>9.9830000000000005</v>
      </c>
      <c r="L897">
        <v>9.9600000000000009</v>
      </c>
    </row>
    <row r="898" spans="1:12" x14ac:dyDescent="0.35">
      <c r="A898" s="2">
        <v>45495</v>
      </c>
      <c r="B898" s="3">
        <v>11.55</v>
      </c>
      <c r="C898" s="3">
        <v>64.959999999999994</v>
      </c>
      <c r="D898" s="3">
        <v>150.49</v>
      </c>
      <c r="E898" s="3">
        <v>15.78</v>
      </c>
      <c r="F898" s="3">
        <v>62.01</v>
      </c>
      <c r="G898" s="3">
        <v>95.429670000000002</v>
      </c>
      <c r="H898" s="3">
        <v>90.263205999999997</v>
      </c>
      <c r="I898" s="3">
        <v>87.069646000000006</v>
      </c>
      <c r="J898">
        <v>10.045</v>
      </c>
      <c r="K898">
        <v>10</v>
      </c>
      <c r="L898">
        <v>9.9760000000000009</v>
      </c>
    </row>
    <row r="899" spans="1:12" x14ac:dyDescent="0.35">
      <c r="A899" s="2">
        <v>45496</v>
      </c>
      <c r="B899" s="3">
        <v>11.79</v>
      </c>
      <c r="C899" s="3">
        <v>65.03</v>
      </c>
      <c r="D899" s="3">
        <v>149.21</v>
      </c>
      <c r="E899" s="3">
        <v>15.75</v>
      </c>
      <c r="F899" s="3">
        <v>61.26</v>
      </c>
      <c r="G899" s="3">
        <v>95.418734000000001</v>
      </c>
      <c r="H899" s="3">
        <v>90.287502000000003</v>
      </c>
      <c r="I899" s="3">
        <v>86.918897000000001</v>
      </c>
      <c r="J899">
        <v>10.055</v>
      </c>
      <c r="K899">
        <v>10.003</v>
      </c>
      <c r="L899">
        <v>10.002000000000001</v>
      </c>
    </row>
    <row r="900" spans="1:12" x14ac:dyDescent="0.35">
      <c r="A900" s="2">
        <v>45497</v>
      </c>
      <c r="B900" s="3">
        <v>11.38</v>
      </c>
      <c r="C900" s="3">
        <v>65.400000000000006</v>
      </c>
      <c r="D900" s="3">
        <v>144.85</v>
      </c>
      <c r="E900" s="3">
        <v>15.75</v>
      </c>
      <c r="F900" s="3">
        <v>58.26</v>
      </c>
      <c r="G900" s="3">
        <v>95.371128999999996</v>
      </c>
      <c r="H900" s="3">
        <v>90.128465000000006</v>
      </c>
      <c r="I900" s="3">
        <v>86.884397000000007</v>
      </c>
      <c r="J900">
        <v>10.042999999999999</v>
      </c>
      <c r="K900">
        <v>10.035</v>
      </c>
      <c r="L900">
        <v>10</v>
      </c>
    </row>
    <row r="901" spans="1:12" x14ac:dyDescent="0.35">
      <c r="A901" s="2">
        <v>45498</v>
      </c>
      <c r="B901" s="3">
        <v>11.7</v>
      </c>
      <c r="C901" s="3">
        <v>69.16</v>
      </c>
      <c r="D901" s="3">
        <v>143.30000000000001</v>
      </c>
      <c r="E901" s="3">
        <v>15.82</v>
      </c>
      <c r="F901" s="3">
        <v>55.39</v>
      </c>
      <c r="G901" s="3">
        <v>95.632412000000002</v>
      </c>
      <c r="H901" s="3">
        <v>90.338907000000006</v>
      </c>
      <c r="I901" s="3">
        <v>87.070673999999997</v>
      </c>
      <c r="J901">
        <v>9.99</v>
      </c>
      <c r="K901">
        <v>9.9849999999999994</v>
      </c>
      <c r="L901">
        <v>9.9749999999999996</v>
      </c>
    </row>
    <row r="902" spans="1:12" x14ac:dyDescent="0.35">
      <c r="A902" s="2">
        <v>45499</v>
      </c>
      <c r="B902" s="3">
        <v>11.88</v>
      </c>
      <c r="C902" s="3">
        <v>67.58</v>
      </c>
      <c r="D902" s="3">
        <v>142.33000000000001</v>
      </c>
      <c r="E902" s="3">
        <v>15.63</v>
      </c>
      <c r="F902" s="3">
        <v>55.31</v>
      </c>
      <c r="G902" s="3">
        <v>95.879028000000005</v>
      </c>
      <c r="H902" s="3">
        <v>90.500836000000007</v>
      </c>
      <c r="I902" s="3">
        <v>87.326515999999998</v>
      </c>
      <c r="J902">
        <v>9.9239999999999995</v>
      </c>
      <c r="K902">
        <v>9.9220000000000006</v>
      </c>
      <c r="L902">
        <v>9.8870000000000005</v>
      </c>
    </row>
    <row r="903" spans="1:12" x14ac:dyDescent="0.35">
      <c r="A903" s="2">
        <v>45502</v>
      </c>
      <c r="B903" s="3">
        <v>11.92</v>
      </c>
      <c r="C903" s="3">
        <v>68.34</v>
      </c>
      <c r="D903" s="3">
        <v>139.86000000000001</v>
      </c>
      <c r="E903" s="3">
        <v>15.57</v>
      </c>
      <c r="F903" s="3">
        <v>54.39</v>
      </c>
      <c r="G903" s="3">
        <v>96.200023000000002</v>
      </c>
      <c r="H903" s="3">
        <v>90.939413999999999</v>
      </c>
      <c r="I903" s="3">
        <v>87.875821000000002</v>
      </c>
      <c r="J903">
        <v>9.9130000000000003</v>
      </c>
      <c r="K903">
        <v>9.9</v>
      </c>
      <c r="L903">
        <v>9.89</v>
      </c>
    </row>
    <row r="904" spans="1:12" x14ac:dyDescent="0.35">
      <c r="A904" s="2">
        <v>45503</v>
      </c>
      <c r="B904" s="3">
        <v>11.79</v>
      </c>
      <c r="C904" s="3">
        <v>64.75</v>
      </c>
      <c r="D904" s="3">
        <v>140.1</v>
      </c>
      <c r="E904" s="3">
        <v>15.49</v>
      </c>
      <c r="F904" s="3">
        <v>55.12</v>
      </c>
      <c r="G904" s="3">
        <v>96.373647000000005</v>
      </c>
      <c r="H904" s="3">
        <v>91.148472999999996</v>
      </c>
      <c r="I904" s="3">
        <v>88.075413999999995</v>
      </c>
      <c r="J904">
        <v>9.8770000000000007</v>
      </c>
      <c r="K904">
        <v>9.86</v>
      </c>
      <c r="L904">
        <v>9.8770000000000007</v>
      </c>
    </row>
    <row r="905" spans="1:12" x14ac:dyDescent="0.35">
      <c r="A905" s="2">
        <v>45504</v>
      </c>
      <c r="B905" s="3">
        <v>12.04</v>
      </c>
      <c r="C905" s="3">
        <v>65.17</v>
      </c>
      <c r="D905" s="3">
        <v>139.61000000000001</v>
      </c>
      <c r="E905" s="3">
        <v>15.56</v>
      </c>
      <c r="F905" s="3">
        <v>56.25</v>
      </c>
      <c r="G905" s="3">
        <v>96.436256</v>
      </c>
      <c r="H905" s="3">
        <v>91.265225000000001</v>
      </c>
      <c r="I905" s="3">
        <v>88.157608999999994</v>
      </c>
      <c r="J905">
        <v>9.8369999999999997</v>
      </c>
      <c r="K905">
        <v>9.8230000000000004</v>
      </c>
      <c r="L905">
        <v>9.84</v>
      </c>
    </row>
    <row r="906" spans="1:12" x14ac:dyDescent="0.35">
      <c r="A906" s="2">
        <v>45505</v>
      </c>
      <c r="B906" s="3">
        <v>11.77</v>
      </c>
      <c r="C906" s="3">
        <v>65.66</v>
      </c>
      <c r="D906" s="3">
        <v>139.49</v>
      </c>
      <c r="E906" s="3">
        <v>15.49</v>
      </c>
      <c r="F906" s="3">
        <v>55.1</v>
      </c>
      <c r="G906" s="3">
        <v>96.772345000000001</v>
      </c>
      <c r="H906" s="3">
        <v>91.615949999999998</v>
      </c>
      <c r="I906" s="3">
        <v>88.522565</v>
      </c>
      <c r="J906">
        <v>9.83</v>
      </c>
      <c r="K906">
        <v>9.82</v>
      </c>
      <c r="L906">
        <v>9.7739999999999991</v>
      </c>
    </row>
    <row r="907" spans="1:12" x14ac:dyDescent="0.35">
      <c r="A907" s="2">
        <v>45506</v>
      </c>
      <c r="B907" s="3">
        <v>11.6</v>
      </c>
      <c r="C907" s="3">
        <v>67.040000000000006</v>
      </c>
      <c r="D907" s="3">
        <v>135.91</v>
      </c>
      <c r="E907" s="3">
        <v>15.68</v>
      </c>
      <c r="F907" s="3">
        <v>55.32</v>
      </c>
      <c r="G907" s="3">
        <v>96.612573999999995</v>
      </c>
      <c r="H907" s="3">
        <v>91.454487</v>
      </c>
      <c r="I907" s="3">
        <v>88.251069999999999</v>
      </c>
      <c r="J907">
        <v>9.6270000000000007</v>
      </c>
      <c r="K907">
        <v>9.6080000000000005</v>
      </c>
      <c r="L907">
        <v>9.6449999999999996</v>
      </c>
    </row>
    <row r="908" spans="1:12" x14ac:dyDescent="0.35">
      <c r="A908" s="2">
        <v>45509</v>
      </c>
      <c r="B908" s="3">
        <v>11.62</v>
      </c>
      <c r="C908" s="3">
        <v>64.86</v>
      </c>
      <c r="D908" s="3">
        <v>132.91</v>
      </c>
      <c r="E908" s="3">
        <v>15.64</v>
      </c>
      <c r="F908" s="3">
        <v>54.31</v>
      </c>
      <c r="G908" s="3">
        <v>97.306875000000005</v>
      </c>
      <c r="H908" s="3">
        <v>92.457980000000006</v>
      </c>
      <c r="I908" s="3">
        <v>89.222487000000001</v>
      </c>
      <c r="J908">
        <v>9.74</v>
      </c>
      <c r="K908">
        <v>9.6950000000000003</v>
      </c>
      <c r="L908">
        <v>9.7349999999999994</v>
      </c>
    </row>
    <row r="909" spans="1:12" x14ac:dyDescent="0.35">
      <c r="A909" s="2">
        <v>45510</v>
      </c>
      <c r="B909" s="3">
        <v>11.97</v>
      </c>
      <c r="C909" s="3">
        <v>67.33</v>
      </c>
      <c r="D909" s="3">
        <v>134.06</v>
      </c>
      <c r="E909" s="3">
        <v>15.89</v>
      </c>
      <c r="F909" s="3">
        <v>55.01</v>
      </c>
      <c r="G909" s="3">
        <v>97.108705999999998</v>
      </c>
      <c r="H909" s="3">
        <v>92.200794000000002</v>
      </c>
      <c r="I909" s="3">
        <v>89.007485000000003</v>
      </c>
      <c r="J909">
        <v>9.82</v>
      </c>
      <c r="K909">
        <v>9.8049999999999997</v>
      </c>
      <c r="L909">
        <v>9.7899999999999991</v>
      </c>
    </row>
    <row r="910" spans="1:12" x14ac:dyDescent="0.35">
      <c r="A910" s="2">
        <v>45511</v>
      </c>
      <c r="B910" s="3">
        <v>11.97</v>
      </c>
      <c r="C910" s="3">
        <v>67.53</v>
      </c>
      <c r="D910" s="3">
        <v>137.31</v>
      </c>
      <c r="E910" s="3">
        <v>16.13</v>
      </c>
      <c r="F910" s="3">
        <v>55.1</v>
      </c>
      <c r="G910" s="3">
        <v>96.874324000000001</v>
      </c>
      <c r="H910" s="3">
        <v>91.898297999999997</v>
      </c>
      <c r="I910" s="3">
        <v>88.734201999999996</v>
      </c>
      <c r="J910">
        <v>9.68</v>
      </c>
      <c r="K910">
        <v>9.7080000000000002</v>
      </c>
      <c r="L910">
        <v>9.6980000000000004</v>
      </c>
    </row>
    <row r="911" spans="1:12" x14ac:dyDescent="0.35">
      <c r="A911" s="2">
        <v>45512</v>
      </c>
      <c r="B911" s="3">
        <v>12.03</v>
      </c>
      <c r="C911" s="3">
        <v>68.33</v>
      </c>
      <c r="D911" s="3">
        <v>135.35</v>
      </c>
      <c r="E911" s="3">
        <v>16.02</v>
      </c>
      <c r="F911" s="3">
        <v>55</v>
      </c>
      <c r="G911" s="3">
        <v>97.470633000000007</v>
      </c>
      <c r="H911" s="3">
        <v>92.530704</v>
      </c>
      <c r="I911" s="3">
        <v>89.458236999999997</v>
      </c>
      <c r="J911">
        <v>9.6850000000000005</v>
      </c>
      <c r="K911">
        <v>9.6530000000000005</v>
      </c>
      <c r="L911">
        <v>9.67</v>
      </c>
    </row>
    <row r="912" spans="1:12" x14ac:dyDescent="0.35">
      <c r="A912" s="2">
        <v>45513</v>
      </c>
      <c r="B912" s="3">
        <v>11.99</v>
      </c>
      <c r="C912" s="3">
        <v>68.97</v>
      </c>
      <c r="D912" s="3">
        <v>137.01</v>
      </c>
      <c r="E912" s="3">
        <v>16.170000000000002</v>
      </c>
      <c r="F912" s="3">
        <v>54.95</v>
      </c>
      <c r="G912" s="3">
        <v>98.056471000000002</v>
      </c>
      <c r="H912" s="3">
        <v>93.213494999999995</v>
      </c>
      <c r="I912" s="3">
        <v>90.021366</v>
      </c>
      <c r="J912">
        <v>9.375</v>
      </c>
      <c r="K912">
        <v>9.39</v>
      </c>
      <c r="L912">
        <v>9.67</v>
      </c>
    </row>
    <row r="913" spans="1:12" x14ac:dyDescent="0.35">
      <c r="A913" s="2">
        <v>45516</v>
      </c>
      <c r="B913" s="3">
        <v>11.9</v>
      </c>
      <c r="C913" s="3">
        <v>68.39</v>
      </c>
      <c r="D913" s="3">
        <v>137.81</v>
      </c>
      <c r="E913" s="3">
        <v>16.190000000000001</v>
      </c>
      <c r="F913" s="3">
        <v>55.21</v>
      </c>
      <c r="G913" s="3">
        <v>98.382014999999996</v>
      </c>
      <c r="H913" s="3">
        <v>93.711410999999998</v>
      </c>
      <c r="I913" s="3">
        <v>90.954016999999993</v>
      </c>
      <c r="J913">
        <v>9.4499999999999993</v>
      </c>
      <c r="K913">
        <v>9.4329999999999998</v>
      </c>
      <c r="L913">
        <v>9.4529999999999994</v>
      </c>
    </row>
    <row r="914" spans="1:12" x14ac:dyDescent="0.35">
      <c r="A914" s="2">
        <v>45517</v>
      </c>
      <c r="B914" s="3">
        <v>12.04</v>
      </c>
      <c r="C914" s="3">
        <v>69.98</v>
      </c>
      <c r="D914" s="3">
        <v>139.97999999999999</v>
      </c>
      <c r="E914" s="3">
        <v>16.03</v>
      </c>
      <c r="F914" s="3">
        <v>55.53</v>
      </c>
      <c r="G914" s="3">
        <v>98.256642999999997</v>
      </c>
      <c r="H914" s="3">
        <v>93.497685000000004</v>
      </c>
      <c r="I914" s="3">
        <v>90.794250000000005</v>
      </c>
      <c r="J914">
        <v>9.5150000000000006</v>
      </c>
      <c r="K914">
        <v>9.4499999999999993</v>
      </c>
      <c r="L914">
        <v>9.4320000000000004</v>
      </c>
    </row>
    <row r="915" spans="1:12" x14ac:dyDescent="0.35">
      <c r="A915" s="2">
        <v>45518</v>
      </c>
      <c r="B915" s="3">
        <v>12</v>
      </c>
      <c r="C915" s="3">
        <v>70.2</v>
      </c>
      <c r="D915" s="3">
        <v>141.5</v>
      </c>
      <c r="E915" s="3">
        <v>16.12</v>
      </c>
      <c r="F915" s="3">
        <v>56.28</v>
      </c>
      <c r="G915" s="3">
        <v>98.281659000000005</v>
      </c>
      <c r="H915" s="3">
        <v>93.426700999999994</v>
      </c>
      <c r="I915" s="3">
        <v>90.878253000000001</v>
      </c>
      <c r="J915">
        <v>9.5</v>
      </c>
      <c r="K915">
        <v>9.43</v>
      </c>
      <c r="L915">
        <v>9.49</v>
      </c>
    </row>
    <row r="916" spans="1:12" x14ac:dyDescent="0.35">
      <c r="A916" s="2">
        <v>45519</v>
      </c>
      <c r="B916" s="3">
        <v>12.75</v>
      </c>
      <c r="C916" s="3">
        <v>69.53</v>
      </c>
      <c r="D916" s="3">
        <v>143.59</v>
      </c>
      <c r="E916" s="3">
        <v>16.059999999999999</v>
      </c>
      <c r="F916" s="3">
        <v>56.35</v>
      </c>
      <c r="G916" s="3">
        <v>98.206980999999999</v>
      </c>
      <c r="H916" s="3">
        <v>93.498002999999997</v>
      </c>
      <c r="I916" s="3">
        <v>90.825944000000007</v>
      </c>
      <c r="J916">
        <v>9.58</v>
      </c>
      <c r="K916">
        <v>9.5220000000000002</v>
      </c>
      <c r="L916">
        <v>9.5150000000000006</v>
      </c>
    </row>
    <row r="917" spans="1:12" x14ac:dyDescent="0.35">
      <c r="A917" s="2">
        <v>45520</v>
      </c>
      <c r="B917" s="3">
        <v>12.41</v>
      </c>
      <c r="C917" s="3">
        <v>69.72</v>
      </c>
      <c r="D917" s="3">
        <v>143.6</v>
      </c>
      <c r="E917" s="3">
        <v>16.04</v>
      </c>
      <c r="F917" s="3">
        <v>56.34</v>
      </c>
      <c r="G917" s="3">
        <v>98.008080000000007</v>
      </c>
      <c r="H917" s="3">
        <v>93.191598999999997</v>
      </c>
      <c r="I917" s="3">
        <v>90.545927000000006</v>
      </c>
      <c r="J917">
        <v>9.5500000000000007</v>
      </c>
      <c r="K917">
        <v>9.5449999999999999</v>
      </c>
      <c r="L917">
        <v>9.5079999999999991</v>
      </c>
    </row>
    <row r="918" spans="1:12" x14ac:dyDescent="0.35">
      <c r="A918" s="2">
        <v>45523</v>
      </c>
      <c r="B918" s="3">
        <v>12.4</v>
      </c>
      <c r="C918" s="3">
        <v>70.2</v>
      </c>
      <c r="D918" s="3">
        <v>141.77000000000001</v>
      </c>
      <c r="E918" s="3">
        <v>16.23</v>
      </c>
      <c r="F918" s="3">
        <v>57.18</v>
      </c>
      <c r="G918" s="3">
        <v>98.444287000000003</v>
      </c>
      <c r="H918" s="3">
        <v>93.687494000000001</v>
      </c>
      <c r="I918" s="3">
        <v>91.054777000000001</v>
      </c>
      <c r="J918">
        <v>9.4369999999999994</v>
      </c>
      <c r="K918">
        <v>9.4269999999999996</v>
      </c>
      <c r="L918">
        <v>9.4030000000000005</v>
      </c>
    </row>
    <row r="919" spans="1:12" x14ac:dyDescent="0.35">
      <c r="A919" s="2">
        <v>45524</v>
      </c>
      <c r="B919" s="3">
        <v>12.48</v>
      </c>
      <c r="C919" s="3">
        <v>70.02</v>
      </c>
      <c r="D919" s="3">
        <v>143.58000000000001</v>
      </c>
      <c r="E919" s="3">
        <v>16.29</v>
      </c>
      <c r="F919" s="3">
        <v>58.01</v>
      </c>
      <c r="G919" s="3">
        <v>98.394469999999998</v>
      </c>
      <c r="H919" s="3">
        <v>93.616625999999997</v>
      </c>
      <c r="I919" s="3">
        <v>90.956186000000002</v>
      </c>
      <c r="J919">
        <v>9.6</v>
      </c>
      <c r="K919">
        <v>9.5399999999999991</v>
      </c>
      <c r="L919">
        <v>9.5329999999999995</v>
      </c>
    </row>
    <row r="920" spans="1:12" x14ac:dyDescent="0.35">
      <c r="A920" s="2">
        <v>45525</v>
      </c>
      <c r="B920" s="3">
        <v>12.41</v>
      </c>
      <c r="C920" s="3">
        <v>68.97</v>
      </c>
      <c r="D920" s="3">
        <v>141.68</v>
      </c>
      <c r="E920" s="3">
        <v>16.48</v>
      </c>
      <c r="F920" s="3">
        <v>56.34</v>
      </c>
      <c r="G920" s="3">
        <v>98.195514000000003</v>
      </c>
      <c r="H920" s="3">
        <v>93.404453000000004</v>
      </c>
      <c r="I920" s="3">
        <v>90.615536000000006</v>
      </c>
      <c r="J920">
        <v>9.58</v>
      </c>
      <c r="K920">
        <v>9.5329999999999995</v>
      </c>
      <c r="L920">
        <v>9.5730000000000004</v>
      </c>
    </row>
    <row r="921" spans="1:12" x14ac:dyDescent="0.35">
      <c r="A921" s="2">
        <v>45526</v>
      </c>
      <c r="B921" s="3">
        <v>12.41</v>
      </c>
      <c r="C921" s="3">
        <v>68.58</v>
      </c>
      <c r="D921" s="3">
        <v>135.93</v>
      </c>
      <c r="E921" s="3">
        <v>16.440000000000001</v>
      </c>
      <c r="F921" s="3">
        <v>56.01</v>
      </c>
      <c r="G921" s="3">
        <v>98.308325999999994</v>
      </c>
      <c r="H921" s="3">
        <v>93.428972999999999</v>
      </c>
      <c r="I921" s="3">
        <v>90.504109</v>
      </c>
      <c r="J921">
        <v>9.66</v>
      </c>
      <c r="K921">
        <v>9.6150000000000002</v>
      </c>
      <c r="L921">
        <v>9.68</v>
      </c>
    </row>
    <row r="922" spans="1:12" x14ac:dyDescent="0.35">
      <c r="A922" s="2">
        <v>45527</v>
      </c>
      <c r="B922" s="3">
        <v>12.51</v>
      </c>
      <c r="C922" s="3">
        <v>68.510000000000005</v>
      </c>
      <c r="D922" s="3">
        <v>136.71</v>
      </c>
      <c r="E922" s="3">
        <v>16.53</v>
      </c>
      <c r="F922" s="3">
        <v>56.68</v>
      </c>
      <c r="G922" s="3">
        <v>97.887943000000007</v>
      </c>
      <c r="H922" s="3">
        <v>92.750732999999997</v>
      </c>
      <c r="I922" s="3">
        <v>89.332694000000004</v>
      </c>
      <c r="J922">
        <v>9.6199999999999992</v>
      </c>
      <c r="K922">
        <v>9.5730000000000004</v>
      </c>
      <c r="L922">
        <v>9.65</v>
      </c>
    </row>
    <row r="923" spans="1:12" x14ac:dyDescent="0.35">
      <c r="A923" s="2">
        <v>45530</v>
      </c>
      <c r="B923" s="3">
        <v>12.16</v>
      </c>
      <c r="C923" s="3">
        <v>69.959999999999994</v>
      </c>
      <c r="D923" s="3">
        <v>134.16999999999999</v>
      </c>
      <c r="E923" s="3">
        <v>16.579999999999998</v>
      </c>
      <c r="F923" s="3">
        <v>55.43</v>
      </c>
      <c r="G923" s="3">
        <v>98.582347999999996</v>
      </c>
      <c r="H923" s="3">
        <v>93.570856000000006</v>
      </c>
      <c r="I923" s="3">
        <v>90.550630999999996</v>
      </c>
      <c r="J923">
        <v>9.48</v>
      </c>
      <c r="K923">
        <v>9.52</v>
      </c>
      <c r="L923">
        <v>9.56</v>
      </c>
    </row>
    <row r="924" spans="1:12" x14ac:dyDescent="0.35">
      <c r="A924" s="2">
        <v>45531</v>
      </c>
      <c r="B924" s="3">
        <v>11.81</v>
      </c>
      <c r="C924" s="3">
        <v>67.81</v>
      </c>
      <c r="D924" s="3">
        <v>132.19</v>
      </c>
      <c r="E924" s="3">
        <v>16.47</v>
      </c>
      <c r="F924" s="3">
        <v>55.22</v>
      </c>
      <c r="G924" s="3">
        <v>97.790902000000003</v>
      </c>
      <c r="H924" s="3">
        <v>93.453655999999995</v>
      </c>
      <c r="I924" s="3">
        <v>89.557345999999995</v>
      </c>
      <c r="J924">
        <v>9.657</v>
      </c>
      <c r="K924">
        <v>9.69</v>
      </c>
      <c r="L924">
        <v>9.6869999999999994</v>
      </c>
    </row>
    <row r="925" spans="1:12" x14ac:dyDescent="0.35">
      <c r="A925" s="2">
        <v>45532</v>
      </c>
      <c r="B925" s="3">
        <v>11.66</v>
      </c>
      <c r="C925" s="3">
        <v>68.239999999999995</v>
      </c>
      <c r="D925" s="3">
        <v>132.53</v>
      </c>
      <c r="E925" s="3">
        <v>16.350000000000001</v>
      </c>
      <c r="F925" s="3">
        <v>56.7</v>
      </c>
      <c r="G925" s="3">
        <v>98.001114999999999</v>
      </c>
      <c r="H925" s="3">
        <v>92.962767999999997</v>
      </c>
      <c r="I925" s="3">
        <v>89.818523999999996</v>
      </c>
      <c r="J925">
        <v>9.6150000000000002</v>
      </c>
      <c r="K925">
        <v>9.7270000000000003</v>
      </c>
      <c r="L925">
        <v>9.68</v>
      </c>
    </row>
    <row r="926" spans="1:12" x14ac:dyDescent="0.35">
      <c r="A926" s="2">
        <v>45533</v>
      </c>
      <c r="B926" s="3">
        <v>11.95</v>
      </c>
      <c r="C926" s="3">
        <v>68.91</v>
      </c>
      <c r="D926" s="3">
        <v>136.28</v>
      </c>
      <c r="E926" s="3">
        <v>16.36</v>
      </c>
      <c r="F926" s="3">
        <v>56.04</v>
      </c>
      <c r="G926" s="3">
        <v>98.077313000000004</v>
      </c>
      <c r="H926" s="3">
        <v>93.034974000000005</v>
      </c>
      <c r="I926" s="3">
        <v>89.829221000000004</v>
      </c>
      <c r="J926">
        <v>9.6880000000000006</v>
      </c>
      <c r="K926">
        <v>9.7629999999999999</v>
      </c>
      <c r="L926">
        <v>9.7070000000000007</v>
      </c>
    </row>
    <row r="927" spans="1:12" x14ac:dyDescent="0.35">
      <c r="A927" s="2">
        <v>45534</v>
      </c>
      <c r="B927" s="3">
        <v>11.97</v>
      </c>
      <c r="C927" s="3">
        <v>70.47</v>
      </c>
      <c r="D927" s="3">
        <v>136.21</v>
      </c>
      <c r="E927" s="3">
        <v>16.3</v>
      </c>
      <c r="F927" s="3">
        <v>53.91</v>
      </c>
      <c r="G927" s="3">
        <v>97.734328000000005</v>
      </c>
      <c r="H927" s="3">
        <v>92.687327999999994</v>
      </c>
      <c r="I927" s="3">
        <v>89.556004999999999</v>
      </c>
      <c r="J927">
        <v>9.6440000000000001</v>
      </c>
      <c r="K927">
        <v>9.5939999999999994</v>
      </c>
      <c r="L927">
        <v>9.6440000000000001</v>
      </c>
    </row>
    <row r="928" spans="1:12" x14ac:dyDescent="0.35">
      <c r="A928" s="2">
        <v>45537</v>
      </c>
      <c r="B928" s="3">
        <v>11.97</v>
      </c>
      <c r="C928" s="3">
        <v>69.95</v>
      </c>
      <c r="D928" s="3">
        <v>138.08000000000001</v>
      </c>
      <c r="E928" s="3">
        <v>16.579999999999998</v>
      </c>
      <c r="F928" s="3">
        <v>55.78</v>
      </c>
      <c r="G928" s="3">
        <v>97.980641000000006</v>
      </c>
      <c r="H928" s="3">
        <v>93.083143000000007</v>
      </c>
      <c r="I928" s="3">
        <v>89.995074000000002</v>
      </c>
      <c r="J928">
        <v>9.75</v>
      </c>
      <c r="K928">
        <v>9.6969999999999992</v>
      </c>
      <c r="L928">
        <v>9.7230000000000008</v>
      </c>
    </row>
    <row r="929" spans="1:12" x14ac:dyDescent="0.35">
      <c r="A929" s="2">
        <v>45538</v>
      </c>
      <c r="B929" s="3">
        <v>11.84</v>
      </c>
      <c r="C929" s="3">
        <v>68.86</v>
      </c>
      <c r="D929" s="3">
        <v>138.22</v>
      </c>
      <c r="E929" s="3">
        <v>16.09</v>
      </c>
      <c r="F929" s="3">
        <v>54.48</v>
      </c>
      <c r="G929" s="3">
        <v>98.006131999999994</v>
      </c>
      <c r="H929" s="3">
        <v>93.107236999999998</v>
      </c>
      <c r="I929" s="3">
        <v>90.018488000000005</v>
      </c>
      <c r="J929">
        <v>9.6940000000000008</v>
      </c>
      <c r="K929">
        <v>9.6440000000000001</v>
      </c>
      <c r="L929">
        <v>9.6839999999999993</v>
      </c>
    </row>
    <row r="930" spans="1:12" x14ac:dyDescent="0.35">
      <c r="A930" s="2">
        <v>45539</v>
      </c>
      <c r="B930" s="3">
        <v>11.54</v>
      </c>
      <c r="C930" s="3">
        <v>70.88</v>
      </c>
      <c r="D930" s="3">
        <v>139.57</v>
      </c>
      <c r="E930" s="3">
        <v>16.09</v>
      </c>
      <c r="F930" s="3">
        <v>53.72</v>
      </c>
      <c r="G930" s="3">
        <v>98.031630000000007</v>
      </c>
      <c r="H930" s="3">
        <v>93.131337000000002</v>
      </c>
      <c r="I930" s="3">
        <v>90.041908000000006</v>
      </c>
      <c r="J930">
        <v>9.5540000000000003</v>
      </c>
      <c r="K930">
        <v>9.5340000000000007</v>
      </c>
      <c r="L930">
        <v>9.6289999999999996</v>
      </c>
    </row>
    <row r="931" spans="1:12" x14ac:dyDescent="0.35">
      <c r="A931" s="2">
        <v>45540</v>
      </c>
      <c r="B931" s="3">
        <v>11.64</v>
      </c>
      <c r="C931" s="3">
        <v>70.02</v>
      </c>
      <c r="D931" s="3">
        <v>139.05000000000001</v>
      </c>
      <c r="E931" s="3">
        <v>16.309999999999999</v>
      </c>
      <c r="F931" s="3">
        <v>52.99</v>
      </c>
      <c r="G931" s="3">
        <v>98.108164000000002</v>
      </c>
      <c r="H931" s="3">
        <v>93.203674000000007</v>
      </c>
      <c r="I931" s="3">
        <v>90.112204000000006</v>
      </c>
      <c r="J931">
        <v>9.484</v>
      </c>
      <c r="K931">
        <v>9.4740000000000002</v>
      </c>
      <c r="L931">
        <v>9.5039999999999996</v>
      </c>
    </row>
    <row r="932" spans="1:12" x14ac:dyDescent="0.35">
      <c r="A932" s="2">
        <v>45541</v>
      </c>
      <c r="B932" s="3">
        <v>11.36</v>
      </c>
      <c r="C932" s="3">
        <v>69.239999999999995</v>
      </c>
      <c r="D932" s="3">
        <v>136.69</v>
      </c>
      <c r="E932" s="3">
        <v>16.18</v>
      </c>
      <c r="F932" s="3">
        <v>52.04</v>
      </c>
      <c r="G932" s="3">
        <v>98.133688000000006</v>
      </c>
      <c r="H932" s="3">
        <v>93.227799000000005</v>
      </c>
      <c r="I932" s="3">
        <v>90.135648000000003</v>
      </c>
      <c r="J932">
        <v>9.4239999999999995</v>
      </c>
      <c r="K932">
        <v>9.4139999999999997</v>
      </c>
      <c r="L932">
        <v>9.4740000000000002</v>
      </c>
    </row>
    <row r="933" spans="1:12" x14ac:dyDescent="0.35">
      <c r="A933" s="2">
        <v>45544</v>
      </c>
      <c r="B933" s="3">
        <v>11.29</v>
      </c>
      <c r="C933" s="3">
        <v>69.08</v>
      </c>
      <c r="D933" s="3">
        <v>135.02000000000001</v>
      </c>
      <c r="E933" s="3">
        <v>16.23</v>
      </c>
      <c r="F933" s="3">
        <v>53.17</v>
      </c>
      <c r="G933" s="3">
        <v>98.971418</v>
      </c>
      <c r="H933" s="3">
        <v>94.093474999999998</v>
      </c>
      <c r="I933" s="3">
        <v>91.178358000000003</v>
      </c>
      <c r="J933">
        <v>9.3949999999999996</v>
      </c>
      <c r="K933">
        <v>9.41</v>
      </c>
      <c r="L933">
        <v>9.4350000000000005</v>
      </c>
    </row>
    <row r="934" spans="1:12" x14ac:dyDescent="0.35">
      <c r="A934" s="2">
        <v>45545</v>
      </c>
      <c r="B934" s="3">
        <v>11.28</v>
      </c>
      <c r="C934" s="3">
        <v>68.41</v>
      </c>
      <c r="D934" s="3">
        <v>134.08000000000001</v>
      </c>
      <c r="E934" s="3">
        <v>15.73</v>
      </c>
      <c r="F934" s="3">
        <v>51.38</v>
      </c>
      <c r="G934" s="3">
        <v>99.145106999999996</v>
      </c>
      <c r="H934" s="3">
        <v>94.352804000000006</v>
      </c>
      <c r="I934" s="3">
        <v>91.565088000000003</v>
      </c>
      <c r="J934">
        <v>9.4540000000000006</v>
      </c>
      <c r="K934">
        <v>9.4440000000000008</v>
      </c>
      <c r="L934">
        <v>9.5039999999999996</v>
      </c>
    </row>
    <row r="935" spans="1:12" x14ac:dyDescent="0.35">
      <c r="A935" s="2">
        <v>45546</v>
      </c>
      <c r="B935" s="3">
        <v>11.32</v>
      </c>
      <c r="C935" s="3">
        <v>67.83</v>
      </c>
      <c r="D935" s="3">
        <v>134.08000000000001</v>
      </c>
      <c r="E935" s="3">
        <v>15.96</v>
      </c>
      <c r="F935" s="3">
        <v>51.59</v>
      </c>
      <c r="G935" s="3">
        <v>98.910613999999995</v>
      </c>
      <c r="H935" s="3">
        <v>94.000440999999995</v>
      </c>
      <c r="I935" s="3">
        <v>91.104298</v>
      </c>
      <c r="J935">
        <v>9.3740000000000006</v>
      </c>
      <c r="K935">
        <v>9.3539999999999992</v>
      </c>
      <c r="L935">
        <v>9.4039999999999999</v>
      </c>
    </row>
    <row r="936" spans="1:12" x14ac:dyDescent="0.35">
      <c r="A936" s="2">
        <v>45547</v>
      </c>
      <c r="B936" s="3">
        <v>11.65</v>
      </c>
      <c r="C936" s="3">
        <v>69.459999999999994</v>
      </c>
      <c r="D936" s="3">
        <v>138.93</v>
      </c>
      <c r="E936" s="3">
        <v>16.2</v>
      </c>
      <c r="F936" s="3">
        <v>52.7</v>
      </c>
      <c r="G936" s="3">
        <v>99.344919000000004</v>
      </c>
      <c r="H936" s="3">
        <v>94.519206999999994</v>
      </c>
      <c r="I936" s="3">
        <v>91.742182</v>
      </c>
      <c r="J936">
        <v>9.3740000000000006</v>
      </c>
      <c r="K936">
        <v>9.3539999999999992</v>
      </c>
      <c r="L936">
        <v>9.4039999999999999</v>
      </c>
    </row>
    <row r="937" spans="1:12" x14ac:dyDescent="0.35">
      <c r="A937" s="2">
        <v>45548</v>
      </c>
      <c r="B937" s="3">
        <v>11.59</v>
      </c>
      <c r="C937" s="3">
        <v>68.94</v>
      </c>
      <c r="D937" s="3">
        <v>142.08000000000001</v>
      </c>
      <c r="E937" s="3">
        <v>16.25</v>
      </c>
      <c r="F937" s="3">
        <v>53.06</v>
      </c>
      <c r="G937" s="3">
        <v>99.407134999999997</v>
      </c>
      <c r="H937" s="3">
        <v>94.684539999999998</v>
      </c>
      <c r="I937" s="3">
        <v>91.947916000000006</v>
      </c>
      <c r="J937">
        <v>9.2040000000000006</v>
      </c>
      <c r="K937">
        <v>9.1940000000000008</v>
      </c>
      <c r="L937">
        <v>9.2439999999999998</v>
      </c>
    </row>
    <row r="938" spans="1:12" x14ac:dyDescent="0.35">
      <c r="A938" s="2">
        <v>45552</v>
      </c>
      <c r="B938" s="3">
        <v>11.74</v>
      </c>
      <c r="C938" s="3">
        <v>68.05</v>
      </c>
      <c r="D938" s="3">
        <v>140.74</v>
      </c>
      <c r="E938" s="3">
        <v>16</v>
      </c>
      <c r="F938" s="3">
        <v>52.57</v>
      </c>
      <c r="G938" s="3">
        <v>99.990692999999993</v>
      </c>
      <c r="H938" s="3">
        <v>95.276803000000001</v>
      </c>
      <c r="I938" s="3">
        <v>92.767384000000007</v>
      </c>
      <c r="J938">
        <v>9.1440000000000001</v>
      </c>
      <c r="K938">
        <v>9.1140000000000008</v>
      </c>
      <c r="L938">
        <v>9.1639999999999997</v>
      </c>
    </row>
    <row r="939" spans="1:12" x14ac:dyDescent="0.35">
      <c r="A939" s="2">
        <v>45553</v>
      </c>
      <c r="B939" s="3">
        <v>11.94</v>
      </c>
      <c r="C939" s="3">
        <v>68.45</v>
      </c>
      <c r="D939" s="3">
        <v>140.81</v>
      </c>
      <c r="E939" s="3">
        <v>16.28</v>
      </c>
      <c r="F939" s="3">
        <v>52.77</v>
      </c>
      <c r="G939" s="3">
        <v>100.277393</v>
      </c>
      <c r="H939" s="3">
        <v>95.729551000000001</v>
      </c>
      <c r="I939" s="3">
        <v>93.285078999999996</v>
      </c>
      <c r="J939">
        <v>9.0939999999999994</v>
      </c>
      <c r="K939">
        <v>9.0739999999999998</v>
      </c>
      <c r="L939">
        <v>9.1440000000000001</v>
      </c>
    </row>
    <row r="940" spans="1:12" x14ac:dyDescent="0.35">
      <c r="A940" s="2">
        <v>45554</v>
      </c>
      <c r="B940" s="3">
        <v>12.33</v>
      </c>
      <c r="C940" s="3">
        <v>70.11</v>
      </c>
      <c r="D940" s="3">
        <v>139.56</v>
      </c>
      <c r="E940" s="3">
        <v>16.16</v>
      </c>
      <c r="F940" s="3">
        <v>53.2</v>
      </c>
      <c r="G940" s="3">
        <v>100.501418</v>
      </c>
      <c r="H940" s="3">
        <v>95.991574999999997</v>
      </c>
      <c r="I940" s="3">
        <v>93.478477999999996</v>
      </c>
      <c r="J940">
        <v>9.0950000000000006</v>
      </c>
      <c r="K940">
        <v>9.09</v>
      </c>
      <c r="L940">
        <v>9.1430000000000007</v>
      </c>
    </row>
    <row r="941" spans="1:12" x14ac:dyDescent="0.35">
      <c r="A941" s="2">
        <v>45555</v>
      </c>
      <c r="B941" s="3">
        <v>12.48</v>
      </c>
      <c r="C941" s="3">
        <v>67.040000000000006</v>
      </c>
      <c r="D941" s="3">
        <v>136.6</v>
      </c>
      <c r="E941" s="3">
        <v>15.54</v>
      </c>
      <c r="F941" s="3">
        <v>52.52</v>
      </c>
      <c r="G941" s="3">
        <v>100.788828</v>
      </c>
      <c r="H941" s="3">
        <v>96.254876999999993</v>
      </c>
      <c r="I941" s="3">
        <v>93.750465000000005</v>
      </c>
      <c r="J941">
        <v>9.0739999999999998</v>
      </c>
      <c r="K941">
        <v>9.0640000000000001</v>
      </c>
      <c r="L941">
        <v>9.1940000000000008</v>
      </c>
    </row>
    <row r="942" spans="1:12" x14ac:dyDescent="0.35">
      <c r="A942" s="2">
        <v>45558</v>
      </c>
      <c r="B942" s="3">
        <v>12.49</v>
      </c>
      <c r="C942" s="3">
        <v>68.349999999999994</v>
      </c>
      <c r="D942" s="3">
        <v>137.76</v>
      </c>
      <c r="E942" s="3">
        <v>15.53</v>
      </c>
      <c r="F942" s="3">
        <v>52.03</v>
      </c>
      <c r="G942" s="3">
        <v>100.625727</v>
      </c>
      <c r="H942" s="3">
        <v>96.086505000000002</v>
      </c>
      <c r="I942" s="3">
        <v>93.214814000000004</v>
      </c>
      <c r="J942">
        <v>9.0540000000000003</v>
      </c>
      <c r="K942">
        <v>9.0640000000000001</v>
      </c>
      <c r="L942">
        <v>9.2040000000000006</v>
      </c>
    </row>
    <row r="943" spans="1:12" x14ac:dyDescent="0.35">
      <c r="A943" s="2">
        <v>45559</v>
      </c>
      <c r="B943" s="3">
        <v>12.62</v>
      </c>
      <c r="C943" s="3">
        <v>70.09</v>
      </c>
      <c r="D943" s="3">
        <v>144.22</v>
      </c>
      <c r="E943" s="3">
        <v>15.83</v>
      </c>
      <c r="F943" s="3">
        <v>52.94</v>
      </c>
      <c r="G943" s="3">
        <v>100.725362</v>
      </c>
      <c r="H943" s="3">
        <v>96.110024999999993</v>
      </c>
      <c r="I943" s="3">
        <v>93.176164</v>
      </c>
      <c r="J943">
        <v>9.06</v>
      </c>
      <c r="K943">
        <v>9.1199999999999992</v>
      </c>
      <c r="L943">
        <v>9.32</v>
      </c>
    </row>
    <row r="944" spans="1:12" x14ac:dyDescent="0.35">
      <c r="A944" s="2">
        <v>45560</v>
      </c>
      <c r="B944" s="3">
        <v>12.54</v>
      </c>
      <c r="C944" s="3">
        <v>68.510000000000005</v>
      </c>
      <c r="D944" s="3">
        <v>143.51</v>
      </c>
      <c r="E944" s="3">
        <v>15.91</v>
      </c>
      <c r="F944" s="3">
        <v>53.67</v>
      </c>
      <c r="G944" s="3">
        <v>100.74999</v>
      </c>
      <c r="H944" s="3">
        <v>96.13355</v>
      </c>
      <c r="I944" s="3">
        <v>93.137592999999995</v>
      </c>
      <c r="J944">
        <v>9.1</v>
      </c>
      <c r="K944">
        <v>9.1300000000000008</v>
      </c>
      <c r="L944">
        <v>9.2720000000000002</v>
      </c>
    </row>
    <row r="945" spans="1:12" x14ac:dyDescent="0.35">
      <c r="A945" s="2">
        <v>45561</v>
      </c>
      <c r="B945" s="3">
        <v>12.6</v>
      </c>
      <c r="C945" s="3">
        <v>69.23</v>
      </c>
      <c r="D945" s="3">
        <v>144.6</v>
      </c>
      <c r="E945" s="3">
        <v>16</v>
      </c>
      <c r="F945" s="3">
        <v>52.97</v>
      </c>
      <c r="G945" s="3">
        <v>100.711682</v>
      </c>
      <c r="H945" s="3">
        <v>96.108568000000005</v>
      </c>
      <c r="I945" s="3">
        <v>92.960883999999993</v>
      </c>
      <c r="J945">
        <v>9.1140000000000008</v>
      </c>
      <c r="K945">
        <v>9.1140000000000008</v>
      </c>
      <c r="L945">
        <v>9.2639999999999993</v>
      </c>
    </row>
    <row r="946" spans="1:12" x14ac:dyDescent="0.35">
      <c r="A946" s="2">
        <v>45562</v>
      </c>
      <c r="B946" s="3">
        <v>12.26</v>
      </c>
      <c r="C946" s="3">
        <v>68.209999999999994</v>
      </c>
      <c r="D946" s="3">
        <v>140.61000000000001</v>
      </c>
      <c r="E946" s="3">
        <v>16.149999999999999</v>
      </c>
      <c r="F946" s="3">
        <v>54.33</v>
      </c>
      <c r="G946" s="3">
        <v>100.649134</v>
      </c>
      <c r="H946" s="3">
        <v>96.012647000000001</v>
      </c>
      <c r="I946" s="3">
        <v>92.945936000000003</v>
      </c>
      <c r="J946">
        <v>9.2149999999999999</v>
      </c>
      <c r="K946">
        <v>9.19</v>
      </c>
      <c r="L946">
        <v>9.32</v>
      </c>
    </row>
    <row r="947" spans="1:12" x14ac:dyDescent="0.35">
      <c r="A947" s="2">
        <v>45565</v>
      </c>
      <c r="B947" s="3">
        <v>12.06</v>
      </c>
      <c r="C947" s="3">
        <v>67.760000000000005</v>
      </c>
      <c r="D947" s="3">
        <v>139.5</v>
      </c>
      <c r="E947" s="3">
        <v>16.149999999999999</v>
      </c>
      <c r="F947" s="3">
        <v>54.14</v>
      </c>
      <c r="G947" s="3">
        <v>100.524934</v>
      </c>
      <c r="H947" s="3">
        <v>95.751018999999999</v>
      </c>
      <c r="I947" s="3">
        <v>92.663043999999999</v>
      </c>
      <c r="J947">
        <v>9.1549999999999994</v>
      </c>
      <c r="K947">
        <v>9.18</v>
      </c>
      <c r="L947">
        <v>9.3450000000000006</v>
      </c>
    </row>
    <row r="948" spans="1:12" x14ac:dyDescent="0.35">
      <c r="A948" s="2">
        <v>45567</v>
      </c>
      <c r="B948" s="3">
        <v>11.51</v>
      </c>
      <c r="C948" s="3">
        <v>66.84</v>
      </c>
      <c r="D948" s="3">
        <v>149.85</v>
      </c>
      <c r="E948" s="3">
        <v>15.74</v>
      </c>
      <c r="F948" s="3">
        <v>53.43</v>
      </c>
      <c r="G948" s="3">
        <v>100.549781</v>
      </c>
      <c r="H948" s="3">
        <v>95.822190000000006</v>
      </c>
      <c r="I948" s="3">
        <v>92.564288000000005</v>
      </c>
      <c r="J948">
        <v>9.1940000000000008</v>
      </c>
      <c r="K948">
        <v>9.2140000000000004</v>
      </c>
      <c r="L948">
        <v>9.3640000000000008</v>
      </c>
    </row>
    <row r="949" spans="1:12" x14ac:dyDescent="0.35">
      <c r="A949" s="2">
        <v>45568</v>
      </c>
      <c r="B949" s="3">
        <v>11.63</v>
      </c>
      <c r="C949" s="3">
        <v>65.77</v>
      </c>
      <c r="D949" s="3">
        <v>149.91</v>
      </c>
      <c r="E949" s="3">
        <v>15.75</v>
      </c>
      <c r="F949" s="3">
        <v>52.51</v>
      </c>
      <c r="G949" s="3">
        <v>100.47594599999999</v>
      </c>
      <c r="H949" s="3">
        <v>95.656575000000004</v>
      </c>
      <c r="I949" s="3">
        <v>92.451682000000005</v>
      </c>
      <c r="J949">
        <v>9.26</v>
      </c>
      <c r="K949">
        <v>9.2759999999999998</v>
      </c>
      <c r="L949">
        <v>9.4</v>
      </c>
    </row>
    <row r="950" spans="1:12" x14ac:dyDescent="0.35">
      <c r="A950" s="2">
        <v>45569</v>
      </c>
      <c r="B950" s="3">
        <v>11.42</v>
      </c>
      <c r="C950" s="3">
        <v>67.33</v>
      </c>
      <c r="D950" s="3">
        <v>156.28</v>
      </c>
      <c r="E950" s="3">
        <v>16.03</v>
      </c>
      <c r="F950" s="3">
        <v>53.47</v>
      </c>
      <c r="G950" s="3">
        <v>100.205039</v>
      </c>
      <c r="H950" s="3">
        <v>95.350261000000003</v>
      </c>
      <c r="I950" s="3">
        <v>92.232398000000003</v>
      </c>
      <c r="J950">
        <v>9.4139999999999997</v>
      </c>
      <c r="K950">
        <v>9.3940000000000001</v>
      </c>
      <c r="L950">
        <v>9.4740000000000002</v>
      </c>
    </row>
    <row r="951" spans="1:12" x14ac:dyDescent="0.35">
      <c r="A951" s="2">
        <v>45572</v>
      </c>
      <c r="B951" s="3">
        <v>11.43</v>
      </c>
      <c r="C951" s="3">
        <v>66.2</v>
      </c>
      <c r="D951" s="3">
        <v>152.63</v>
      </c>
      <c r="E951" s="3">
        <v>15.56</v>
      </c>
      <c r="F951" s="3">
        <v>53.87</v>
      </c>
      <c r="G951" s="3">
        <v>99.715295999999995</v>
      </c>
      <c r="H951" s="3">
        <v>94.858515999999995</v>
      </c>
      <c r="I951" s="3">
        <v>91.833313000000004</v>
      </c>
      <c r="J951">
        <v>9.5039999999999996</v>
      </c>
      <c r="K951">
        <v>9.484</v>
      </c>
      <c r="L951">
        <v>9.5540000000000003</v>
      </c>
    </row>
    <row r="952" spans="1:12" x14ac:dyDescent="0.35">
      <c r="A952" s="2">
        <v>45573</v>
      </c>
      <c r="B952" s="3">
        <v>11.8</v>
      </c>
      <c r="C952" s="3">
        <v>65.8</v>
      </c>
      <c r="D952" s="3">
        <v>150.71</v>
      </c>
      <c r="E952" s="3">
        <v>15.57</v>
      </c>
      <c r="F952" s="3">
        <v>54.53</v>
      </c>
      <c r="G952" s="3">
        <v>99.411598999999995</v>
      </c>
      <c r="H952" s="3">
        <v>94.463463000000004</v>
      </c>
      <c r="I952" s="3">
        <v>91.377238000000006</v>
      </c>
      <c r="J952">
        <v>9.48</v>
      </c>
      <c r="K952">
        <v>9.5250000000000004</v>
      </c>
      <c r="L952">
        <v>9.56</v>
      </c>
    </row>
    <row r="953" spans="1:12" x14ac:dyDescent="0.35">
      <c r="A953" s="2">
        <v>45574</v>
      </c>
      <c r="B953" s="3">
        <v>11.82</v>
      </c>
      <c r="C953" s="3">
        <v>64.64</v>
      </c>
      <c r="D953" s="3">
        <v>150.54</v>
      </c>
      <c r="E953" s="3">
        <v>15.77</v>
      </c>
      <c r="F953" s="3">
        <v>53.18</v>
      </c>
      <c r="G953" s="3">
        <v>99.619632999999993</v>
      </c>
      <c r="H953" s="3">
        <v>94.720112</v>
      </c>
      <c r="I953" s="3">
        <v>91.460541000000006</v>
      </c>
      <c r="J953">
        <v>9.5239999999999991</v>
      </c>
      <c r="K953">
        <v>9.4939999999999998</v>
      </c>
      <c r="L953">
        <v>9.6039999999999992</v>
      </c>
    </row>
    <row r="954" spans="1:12" x14ac:dyDescent="0.35">
      <c r="A954" s="2">
        <v>45575</v>
      </c>
      <c r="B954" s="3">
        <v>12.01</v>
      </c>
      <c r="C954" s="3">
        <v>64.56</v>
      </c>
      <c r="D954" s="3">
        <v>150.66</v>
      </c>
      <c r="E954" s="3">
        <v>15.74</v>
      </c>
      <c r="F954" s="3">
        <v>53.68</v>
      </c>
      <c r="G954" s="3">
        <v>99.440822999999995</v>
      </c>
      <c r="H954" s="3">
        <v>94.513835</v>
      </c>
      <c r="I954" s="3">
        <v>91.173685000000006</v>
      </c>
      <c r="J954">
        <v>9.6039999999999992</v>
      </c>
      <c r="K954">
        <v>9.6039999999999992</v>
      </c>
      <c r="L954">
        <v>9.7140000000000004</v>
      </c>
    </row>
    <row r="955" spans="1:12" x14ac:dyDescent="0.35">
      <c r="A955" s="2">
        <v>45576</v>
      </c>
      <c r="B955" s="3">
        <v>11.97</v>
      </c>
      <c r="C955" s="3">
        <v>65.900000000000006</v>
      </c>
      <c r="D955" s="3">
        <v>149.52000000000001</v>
      </c>
      <c r="E955" s="3">
        <v>15.63</v>
      </c>
      <c r="F955" s="3">
        <v>53.17</v>
      </c>
      <c r="G955" s="3">
        <v>99.176016000000004</v>
      </c>
      <c r="H955" s="3">
        <v>94.076119000000006</v>
      </c>
      <c r="I955" s="3">
        <v>90.546871999999993</v>
      </c>
      <c r="J955">
        <v>9.5340000000000007</v>
      </c>
      <c r="K955">
        <v>9.5239999999999991</v>
      </c>
      <c r="L955">
        <v>9.6440000000000001</v>
      </c>
    </row>
    <row r="956" spans="1:12" x14ac:dyDescent="0.35">
      <c r="A956" s="2">
        <v>45579</v>
      </c>
      <c r="B956" s="3">
        <v>11.68</v>
      </c>
      <c r="C956" s="3">
        <v>64.260000000000005</v>
      </c>
      <c r="D956" s="3">
        <v>145.59</v>
      </c>
      <c r="E956" s="3">
        <v>15.93</v>
      </c>
      <c r="F956" s="3">
        <v>53.09</v>
      </c>
      <c r="G956" s="3">
        <v>99.455601999999999</v>
      </c>
      <c r="H956" s="3">
        <v>94.423422000000002</v>
      </c>
      <c r="I956" s="3">
        <v>90.983712999999995</v>
      </c>
      <c r="J956">
        <v>9.5340000000000007</v>
      </c>
      <c r="K956">
        <v>9.5239999999999991</v>
      </c>
      <c r="L956">
        <v>9.6440000000000001</v>
      </c>
    </row>
    <row r="957" spans="1:12" x14ac:dyDescent="0.35">
      <c r="A957" s="2">
        <v>45580</v>
      </c>
      <c r="B957" s="3">
        <v>11.72</v>
      </c>
      <c r="C957" s="3">
        <v>64.48</v>
      </c>
      <c r="D957" s="3">
        <v>149</v>
      </c>
      <c r="E957" s="3">
        <v>16.260000000000002</v>
      </c>
      <c r="F957" s="3">
        <v>54.98</v>
      </c>
      <c r="G957" s="3">
        <v>99.444883000000004</v>
      </c>
      <c r="H957" s="3">
        <v>94.447687999999999</v>
      </c>
      <c r="I957" s="3">
        <v>91.007384000000002</v>
      </c>
      <c r="J957">
        <v>9.6039999999999992</v>
      </c>
      <c r="K957">
        <v>9.5839999999999996</v>
      </c>
      <c r="L957">
        <v>9.6940000000000008</v>
      </c>
    </row>
    <row r="958" spans="1:12" x14ac:dyDescent="0.35">
      <c r="A958" s="2">
        <v>45581</v>
      </c>
      <c r="B958" s="3">
        <v>11.81</v>
      </c>
      <c r="C958" s="3">
        <v>65.09</v>
      </c>
      <c r="D958" s="3">
        <v>144.83000000000001</v>
      </c>
      <c r="E958" s="3">
        <v>16.73</v>
      </c>
      <c r="F958" s="3">
        <v>54.05</v>
      </c>
      <c r="G958" s="3">
        <v>99.253127000000006</v>
      </c>
      <c r="H958" s="3">
        <v>94.241264000000001</v>
      </c>
      <c r="I958" s="3">
        <v>90.735802000000007</v>
      </c>
      <c r="J958">
        <v>9.7029999999999994</v>
      </c>
      <c r="K958">
        <v>9.673</v>
      </c>
      <c r="L958">
        <v>9.7799999999999994</v>
      </c>
    </row>
    <row r="959" spans="1:12" x14ac:dyDescent="0.35">
      <c r="A959" s="2">
        <v>45582</v>
      </c>
      <c r="B959" s="3">
        <v>11.78</v>
      </c>
      <c r="C959" s="3">
        <v>65.41</v>
      </c>
      <c r="D959" s="3">
        <v>144.81</v>
      </c>
      <c r="E959" s="3">
        <v>16.920000000000002</v>
      </c>
      <c r="F959" s="3">
        <v>54.41</v>
      </c>
      <c r="G959" s="3">
        <v>98.897992000000002</v>
      </c>
      <c r="H959" s="3">
        <v>93.672770999999997</v>
      </c>
      <c r="I959" s="3">
        <v>89.929444000000004</v>
      </c>
      <c r="J959">
        <v>9.77</v>
      </c>
      <c r="K959">
        <v>9.7729999999999997</v>
      </c>
      <c r="L959">
        <v>9.8800000000000008</v>
      </c>
    </row>
    <row r="960" spans="1:12" x14ac:dyDescent="0.35">
      <c r="A960" s="2">
        <v>45583</v>
      </c>
      <c r="B960" s="3">
        <v>11.95</v>
      </c>
      <c r="C960" s="3">
        <v>65.52</v>
      </c>
      <c r="D960" s="3">
        <v>146.28</v>
      </c>
      <c r="E960" s="3">
        <v>17.05</v>
      </c>
      <c r="F960" s="3">
        <v>55.13</v>
      </c>
      <c r="G960" s="3">
        <v>98.995782000000005</v>
      </c>
      <c r="H960" s="3">
        <v>93.742940000000004</v>
      </c>
      <c r="I960" s="3">
        <v>90.186155999999997</v>
      </c>
      <c r="J960">
        <v>9.7739999999999991</v>
      </c>
      <c r="K960">
        <v>9.7639999999999993</v>
      </c>
      <c r="L960">
        <v>9.8840000000000003</v>
      </c>
    </row>
    <row r="961" spans="1:12" x14ac:dyDescent="0.35">
      <c r="A961" s="2">
        <v>45586</v>
      </c>
      <c r="B961" s="3">
        <v>11.78</v>
      </c>
      <c r="C961" s="3">
        <v>64.540000000000006</v>
      </c>
      <c r="D961" s="3">
        <v>144.28</v>
      </c>
      <c r="E961" s="3">
        <v>16.91</v>
      </c>
      <c r="F961" s="3">
        <v>54.94</v>
      </c>
      <c r="G961" s="3">
        <v>98.770628000000002</v>
      </c>
      <c r="H961" s="3">
        <v>93.494240000000005</v>
      </c>
      <c r="I961" s="3">
        <v>89.745215000000002</v>
      </c>
      <c r="J961">
        <v>9.94</v>
      </c>
      <c r="K961">
        <v>9.92</v>
      </c>
      <c r="L961">
        <v>10.055</v>
      </c>
    </row>
    <row r="962" spans="1:12" x14ac:dyDescent="0.35">
      <c r="A962" s="2">
        <v>45587</v>
      </c>
      <c r="B962" s="3">
        <v>11.67</v>
      </c>
      <c r="C962" s="3">
        <v>64.569999999999993</v>
      </c>
      <c r="D962" s="3">
        <v>142.08000000000001</v>
      </c>
      <c r="E962" s="3">
        <v>16.75</v>
      </c>
      <c r="F962" s="3">
        <v>53.64</v>
      </c>
      <c r="G962" s="3">
        <v>98.119607000000002</v>
      </c>
      <c r="H962" s="3">
        <v>92.750479999999996</v>
      </c>
      <c r="I962" s="3">
        <v>88.678543000000005</v>
      </c>
      <c r="J962">
        <v>9.9550000000000001</v>
      </c>
      <c r="K962">
        <v>9.9700000000000006</v>
      </c>
      <c r="L962">
        <v>10.09</v>
      </c>
    </row>
    <row r="963" spans="1:12" x14ac:dyDescent="0.35">
      <c r="A963" s="2">
        <v>45588</v>
      </c>
      <c r="B963" s="3">
        <v>11.7</v>
      </c>
      <c r="C963" s="3">
        <v>64.260000000000005</v>
      </c>
      <c r="D963" s="3">
        <v>144.44</v>
      </c>
      <c r="E963" s="3">
        <v>16.53</v>
      </c>
      <c r="F963" s="3">
        <v>50.84</v>
      </c>
      <c r="G963" s="3">
        <v>97.898137000000006</v>
      </c>
      <c r="H963" s="3">
        <v>92.327276999999995</v>
      </c>
      <c r="I963" s="3">
        <v>88.248951000000005</v>
      </c>
      <c r="J963">
        <v>9.984</v>
      </c>
      <c r="K963">
        <v>9.9740000000000002</v>
      </c>
      <c r="L963">
        <v>10.084</v>
      </c>
    </row>
    <row r="964" spans="1:12" x14ac:dyDescent="0.35">
      <c r="A964" s="2">
        <v>45589</v>
      </c>
      <c r="B964" s="3">
        <v>11.95</v>
      </c>
      <c r="C964" s="3">
        <v>63.91</v>
      </c>
      <c r="D964" s="3">
        <v>142.1</v>
      </c>
      <c r="E964" s="3">
        <v>16.46</v>
      </c>
      <c r="F964" s="3">
        <v>51.56</v>
      </c>
      <c r="G964" s="3">
        <v>98.260506000000007</v>
      </c>
      <c r="H964" s="3">
        <v>92.804997</v>
      </c>
      <c r="I964" s="3">
        <v>88.888778000000002</v>
      </c>
      <c r="J964">
        <v>9.9239999999999995</v>
      </c>
      <c r="K964">
        <v>9.8840000000000003</v>
      </c>
      <c r="L964">
        <v>10.044</v>
      </c>
    </row>
    <row r="965" spans="1:12" x14ac:dyDescent="0.35">
      <c r="A965" s="2">
        <v>45590</v>
      </c>
      <c r="B965" s="3">
        <v>11.94</v>
      </c>
      <c r="C965" s="3">
        <v>63.08</v>
      </c>
      <c r="D965" s="3">
        <v>140.62</v>
      </c>
      <c r="E965" s="3">
        <v>16.64</v>
      </c>
      <c r="F965" s="3">
        <v>49.98</v>
      </c>
      <c r="G965" s="3">
        <v>98.251472000000007</v>
      </c>
      <c r="H965" s="3">
        <v>92.919669999999996</v>
      </c>
      <c r="I965" s="3">
        <v>88.742159000000001</v>
      </c>
      <c r="J965">
        <v>9.9740000000000002</v>
      </c>
      <c r="K965">
        <v>9.9440000000000008</v>
      </c>
      <c r="L965">
        <v>10.093999999999999</v>
      </c>
    </row>
    <row r="966" spans="1:12" x14ac:dyDescent="0.35">
      <c r="A966" s="2">
        <v>45593</v>
      </c>
      <c r="B966" s="3">
        <v>11.01</v>
      </c>
      <c r="C966" s="3">
        <v>64.86</v>
      </c>
      <c r="D966" s="3">
        <v>140.99</v>
      </c>
      <c r="E966" s="3">
        <v>16.8</v>
      </c>
      <c r="F966" s="3">
        <v>50.93</v>
      </c>
      <c r="G966" s="3">
        <v>98.242496000000003</v>
      </c>
      <c r="H966" s="3">
        <v>92.854768000000007</v>
      </c>
      <c r="I966" s="3">
        <v>88.709485999999998</v>
      </c>
      <c r="J966">
        <v>9.9740000000000002</v>
      </c>
      <c r="K966">
        <v>9.9540000000000006</v>
      </c>
      <c r="L966">
        <v>10.114000000000001</v>
      </c>
    </row>
    <row r="967" spans="1:12" x14ac:dyDescent="0.35">
      <c r="A967" s="2">
        <v>45594</v>
      </c>
      <c r="B967" s="3">
        <v>10.59</v>
      </c>
      <c r="C967" s="3">
        <v>62.18</v>
      </c>
      <c r="D967" s="3">
        <v>139.09</v>
      </c>
      <c r="E967" s="3">
        <v>16.260000000000002</v>
      </c>
      <c r="F967" s="3">
        <v>49.5</v>
      </c>
      <c r="G967" s="3">
        <v>98.268913999999995</v>
      </c>
      <c r="H967" s="3">
        <v>92.834834999999998</v>
      </c>
      <c r="I967" s="3">
        <v>88.620199</v>
      </c>
      <c r="J967">
        <v>9.9930000000000003</v>
      </c>
      <c r="K967">
        <v>10.013</v>
      </c>
      <c r="L967">
        <v>10.102</v>
      </c>
    </row>
    <row r="968" spans="1:12" x14ac:dyDescent="0.35">
      <c r="A968" s="2">
        <v>45595</v>
      </c>
      <c r="B968" s="3">
        <v>10.62</v>
      </c>
      <c r="C968" s="3">
        <v>61.9</v>
      </c>
      <c r="D968" s="3">
        <v>137.94999999999999</v>
      </c>
      <c r="E968" s="3">
        <v>16.010000000000002</v>
      </c>
      <c r="F968" s="3">
        <v>48.81</v>
      </c>
      <c r="G968" s="3">
        <v>98.720472999999998</v>
      </c>
      <c r="H968" s="3">
        <v>93.264101999999994</v>
      </c>
      <c r="I968" s="3">
        <v>89.099188999999996</v>
      </c>
      <c r="J968">
        <v>9.9049999999999994</v>
      </c>
      <c r="K968">
        <v>9.8710000000000004</v>
      </c>
      <c r="L968">
        <v>10.039999999999999</v>
      </c>
    </row>
    <row r="969" spans="1:12" x14ac:dyDescent="0.35">
      <c r="A969" s="2">
        <v>45596</v>
      </c>
      <c r="B969" s="3">
        <v>10.54</v>
      </c>
      <c r="C969" s="3">
        <v>62.16</v>
      </c>
      <c r="D969" s="3">
        <v>139.33000000000001</v>
      </c>
      <c r="E969" s="3">
        <v>15.81</v>
      </c>
      <c r="F969" s="3">
        <v>48.38</v>
      </c>
      <c r="G969" s="3">
        <v>98.799193000000002</v>
      </c>
      <c r="H969" s="3">
        <v>93.428634000000002</v>
      </c>
      <c r="I969" s="3">
        <v>89.228566999999998</v>
      </c>
      <c r="J969">
        <v>9.91</v>
      </c>
      <c r="K969">
        <v>9.93</v>
      </c>
      <c r="L969">
        <v>10.039999999999999</v>
      </c>
    </row>
    <row r="970" spans="1:12" x14ac:dyDescent="0.35">
      <c r="A970" s="2">
        <v>45597</v>
      </c>
      <c r="B970" s="3">
        <v>10.57</v>
      </c>
      <c r="C970" s="3">
        <v>61.47</v>
      </c>
      <c r="D970" s="3">
        <v>141.78</v>
      </c>
      <c r="E970" s="3">
        <v>15.91</v>
      </c>
      <c r="F970" s="3">
        <v>49.13</v>
      </c>
      <c r="G970" s="3">
        <v>98.154660000000007</v>
      </c>
      <c r="H970" s="3">
        <v>92.468902</v>
      </c>
      <c r="I970" s="3">
        <v>88.233483000000007</v>
      </c>
      <c r="J970">
        <v>10.039999999999999</v>
      </c>
      <c r="K970">
        <v>10.06</v>
      </c>
      <c r="L970">
        <v>10.199999999999999</v>
      </c>
    </row>
    <row r="971" spans="1:12" x14ac:dyDescent="0.35">
      <c r="A971" s="2">
        <v>45600</v>
      </c>
      <c r="B971" s="3">
        <v>10.47</v>
      </c>
      <c r="C971" s="3">
        <v>63.12</v>
      </c>
      <c r="D971" s="3">
        <v>143.22</v>
      </c>
      <c r="E971" s="3">
        <v>16.190000000000001</v>
      </c>
      <c r="F971" s="3">
        <v>50.31</v>
      </c>
      <c r="G971" s="3">
        <v>98.075907000000001</v>
      </c>
      <c r="H971" s="3">
        <v>92.538433999999995</v>
      </c>
      <c r="I971" s="3">
        <v>88.145512999999994</v>
      </c>
      <c r="J971">
        <v>9.9640000000000004</v>
      </c>
      <c r="K971">
        <v>9.9540000000000006</v>
      </c>
      <c r="L971">
        <v>10.153</v>
      </c>
    </row>
    <row r="972" spans="1:12" x14ac:dyDescent="0.35">
      <c r="A972" s="2">
        <v>45601</v>
      </c>
      <c r="B972" s="3">
        <v>10.66</v>
      </c>
      <c r="C972" s="3">
        <v>62.58</v>
      </c>
      <c r="D972" s="3">
        <v>142.55000000000001</v>
      </c>
      <c r="E972" s="3">
        <v>15.97</v>
      </c>
      <c r="F972" s="3">
        <v>49.22</v>
      </c>
      <c r="G972" s="3">
        <v>98.489276000000004</v>
      </c>
      <c r="H972" s="3">
        <v>93.009377999999998</v>
      </c>
      <c r="I972" s="3">
        <v>88.902758000000006</v>
      </c>
      <c r="J972">
        <v>9.9640000000000004</v>
      </c>
      <c r="K972">
        <v>9.9540000000000006</v>
      </c>
      <c r="L972">
        <v>9.984</v>
      </c>
    </row>
    <row r="973" spans="1:12" x14ac:dyDescent="0.35">
      <c r="A973" s="2">
        <v>45602</v>
      </c>
      <c r="B973" s="3">
        <v>11.58</v>
      </c>
      <c r="C973" s="3">
        <v>63.56</v>
      </c>
      <c r="D973" s="3">
        <v>149.16</v>
      </c>
      <c r="E973" s="3">
        <v>16.23</v>
      </c>
      <c r="F973" s="3">
        <v>50.29</v>
      </c>
      <c r="G973" s="3">
        <v>98.798096000000001</v>
      </c>
      <c r="H973" s="3">
        <v>93.572917000000004</v>
      </c>
      <c r="I973" s="3">
        <v>89.553650000000005</v>
      </c>
      <c r="J973">
        <v>9.8140000000000001</v>
      </c>
      <c r="K973">
        <v>9.7840000000000007</v>
      </c>
      <c r="L973">
        <v>9.9440000000000008</v>
      </c>
    </row>
    <row r="974" spans="1:12" x14ac:dyDescent="0.35">
      <c r="A974" s="2">
        <v>45603</v>
      </c>
      <c r="B974" s="3">
        <v>12.09</v>
      </c>
      <c r="C974" s="3">
        <v>66.14</v>
      </c>
      <c r="D974" s="3">
        <v>149.43</v>
      </c>
      <c r="E974" s="3">
        <v>15.82</v>
      </c>
      <c r="F974" s="3">
        <v>50.21</v>
      </c>
      <c r="G974" s="3">
        <v>99.124680999999995</v>
      </c>
      <c r="H974" s="3">
        <v>93.872793000000001</v>
      </c>
      <c r="I974" s="3">
        <v>89.855290999999994</v>
      </c>
      <c r="J974">
        <v>9.8209999999999997</v>
      </c>
      <c r="K974">
        <v>9.7970000000000006</v>
      </c>
      <c r="L974">
        <v>9.9629999999999992</v>
      </c>
    </row>
    <row r="975" spans="1:12" x14ac:dyDescent="0.35">
      <c r="A975" s="2">
        <v>45604</v>
      </c>
      <c r="B975" s="3">
        <v>11.93</v>
      </c>
      <c r="C975" s="3">
        <v>66.53</v>
      </c>
      <c r="D975" s="3">
        <v>146.33000000000001</v>
      </c>
      <c r="E975" s="3">
        <v>15.4</v>
      </c>
      <c r="F975" s="3">
        <v>49.53</v>
      </c>
      <c r="G975" s="3">
        <v>99.434691999999998</v>
      </c>
      <c r="H975" s="3">
        <v>94.350373000000005</v>
      </c>
      <c r="I975" s="3">
        <v>90.282561000000001</v>
      </c>
      <c r="J975">
        <v>9.9</v>
      </c>
      <c r="K975">
        <v>9.9</v>
      </c>
      <c r="L975">
        <v>9.8849999999999998</v>
      </c>
    </row>
    <row r="976" spans="1:12" x14ac:dyDescent="0.35">
      <c r="A976" s="2">
        <v>45607</v>
      </c>
      <c r="B976" s="3">
        <v>11.55</v>
      </c>
      <c r="C976" s="3">
        <v>64.97</v>
      </c>
      <c r="D976" s="3">
        <v>145.33000000000001</v>
      </c>
      <c r="E976" s="3">
        <v>15.65</v>
      </c>
      <c r="F976" s="3">
        <v>48.56</v>
      </c>
      <c r="G976" s="3">
        <v>99.035728000000006</v>
      </c>
      <c r="H976" s="3">
        <v>93.877229</v>
      </c>
      <c r="I976" s="3">
        <v>89.674240999999995</v>
      </c>
      <c r="J976">
        <v>9.8940000000000001</v>
      </c>
      <c r="K976">
        <v>9.8339999999999996</v>
      </c>
      <c r="L976">
        <v>10.034000000000001</v>
      </c>
    </row>
    <row r="977" spans="1:12" x14ac:dyDescent="0.35">
      <c r="A977" s="2">
        <v>45608</v>
      </c>
      <c r="B977" s="3">
        <v>11.28</v>
      </c>
      <c r="C977" s="3">
        <v>62.88</v>
      </c>
      <c r="D977" s="3">
        <v>145.93</v>
      </c>
      <c r="E977" s="3">
        <v>15.73</v>
      </c>
      <c r="F977" s="3">
        <v>47.66</v>
      </c>
      <c r="G977" s="3">
        <v>98.920941999999997</v>
      </c>
      <c r="H977" s="3">
        <v>93.721908999999997</v>
      </c>
      <c r="I977" s="3">
        <v>89.413005999999996</v>
      </c>
      <c r="J977">
        <v>9.9600000000000009</v>
      </c>
      <c r="K977">
        <v>9.9269999999999996</v>
      </c>
      <c r="L977">
        <v>10.11</v>
      </c>
    </row>
    <row r="978" spans="1:12" x14ac:dyDescent="0.35">
      <c r="A978" s="2">
        <v>45609</v>
      </c>
      <c r="B978" s="3">
        <v>10.94</v>
      </c>
      <c r="C978" s="3">
        <v>62.78</v>
      </c>
      <c r="D978" s="3">
        <v>144</v>
      </c>
      <c r="E978" s="3">
        <v>15.7</v>
      </c>
      <c r="F978" s="3">
        <v>47.69</v>
      </c>
      <c r="G978" s="3">
        <v>98.841724999999997</v>
      </c>
      <c r="H978" s="3">
        <v>93.477508</v>
      </c>
      <c r="I978" s="3">
        <v>89.266596000000007</v>
      </c>
      <c r="J978">
        <v>9.9049999999999994</v>
      </c>
      <c r="K978">
        <v>9.875</v>
      </c>
      <c r="L978">
        <v>10.039999999999999</v>
      </c>
    </row>
    <row r="979" spans="1:12" x14ac:dyDescent="0.35">
      <c r="A979" s="2">
        <v>45610</v>
      </c>
      <c r="B979" s="3">
        <v>10.96</v>
      </c>
      <c r="C979" s="3">
        <v>62.49</v>
      </c>
      <c r="D979" s="3">
        <v>143.78</v>
      </c>
      <c r="E979" s="3">
        <v>15.42</v>
      </c>
      <c r="F979" s="3">
        <v>47.34</v>
      </c>
      <c r="G979" s="3">
        <v>99.123317999999998</v>
      </c>
      <c r="H979" s="3">
        <v>93.801355000000001</v>
      </c>
      <c r="I979" s="3">
        <v>89.647914</v>
      </c>
      <c r="J979">
        <v>9.86</v>
      </c>
      <c r="K979">
        <v>9.75</v>
      </c>
      <c r="L979">
        <v>9.9580000000000002</v>
      </c>
    </row>
    <row r="980" spans="1:12" x14ac:dyDescent="0.35">
      <c r="A980" s="2">
        <v>45611</v>
      </c>
      <c r="B980" s="3">
        <v>11.2</v>
      </c>
      <c r="C980" s="3">
        <v>63</v>
      </c>
      <c r="D980" s="3">
        <v>140.22999999999999</v>
      </c>
      <c r="E980" s="3">
        <v>15.45</v>
      </c>
      <c r="F980" s="3">
        <v>47.85</v>
      </c>
      <c r="G980" s="3">
        <v>99.396327999999997</v>
      </c>
      <c r="H980" s="3">
        <v>94.141014999999996</v>
      </c>
      <c r="I980" s="3">
        <v>90.015017</v>
      </c>
      <c r="J980">
        <v>9.7739999999999991</v>
      </c>
      <c r="K980">
        <v>9.7739999999999991</v>
      </c>
      <c r="L980">
        <v>9.9540000000000006</v>
      </c>
    </row>
    <row r="981" spans="1:12" x14ac:dyDescent="0.35">
      <c r="A981" s="2">
        <v>45615</v>
      </c>
      <c r="B981" s="3">
        <v>10.93</v>
      </c>
      <c r="C981" s="3">
        <v>61.29</v>
      </c>
      <c r="D981" s="3">
        <v>141.41</v>
      </c>
      <c r="E981" s="3">
        <v>15.14</v>
      </c>
      <c r="F981" s="3">
        <v>47.53</v>
      </c>
      <c r="G981" s="3">
        <v>99.528492999999997</v>
      </c>
      <c r="H981" s="3">
        <v>94.165830999999997</v>
      </c>
      <c r="I981" s="3">
        <v>90.039175</v>
      </c>
      <c r="J981">
        <v>9.67</v>
      </c>
      <c r="K981">
        <v>9.6999999999999993</v>
      </c>
      <c r="L981">
        <v>9.8520000000000003</v>
      </c>
    </row>
    <row r="982" spans="1:12" x14ac:dyDescent="0.35">
      <c r="A982" s="2">
        <v>45616</v>
      </c>
      <c r="B982" s="3">
        <v>11.02</v>
      </c>
      <c r="C982" s="3">
        <v>61.47</v>
      </c>
      <c r="D982" s="3">
        <v>142.06</v>
      </c>
      <c r="E982" s="3">
        <v>15.29</v>
      </c>
      <c r="F982" s="3">
        <v>47.3</v>
      </c>
      <c r="G982" s="3">
        <v>100.050543</v>
      </c>
      <c r="H982" s="3">
        <v>94.687769000000003</v>
      </c>
      <c r="I982" s="3">
        <v>90.696532000000005</v>
      </c>
      <c r="J982">
        <v>9.67</v>
      </c>
      <c r="K982">
        <v>9.6530000000000005</v>
      </c>
      <c r="L982">
        <v>9.8130000000000006</v>
      </c>
    </row>
    <row r="983" spans="1:12" x14ac:dyDescent="0.35">
      <c r="A983" s="2">
        <v>45617</v>
      </c>
      <c r="B983" s="3">
        <v>11.12</v>
      </c>
      <c r="C983" s="3">
        <v>60.95</v>
      </c>
      <c r="D983" s="3">
        <v>143.15</v>
      </c>
      <c r="E983" s="3">
        <v>15.54</v>
      </c>
      <c r="F983" s="3">
        <v>47.38</v>
      </c>
      <c r="G983" s="3">
        <v>99.986795000000001</v>
      </c>
      <c r="H983" s="3">
        <v>94.807164</v>
      </c>
      <c r="I983" s="3">
        <v>90.710991000000007</v>
      </c>
      <c r="J983">
        <v>9.76</v>
      </c>
      <c r="K983">
        <v>9.74</v>
      </c>
      <c r="L983">
        <v>9.9329999999999998</v>
      </c>
    </row>
    <row r="984" spans="1:12" x14ac:dyDescent="0.35">
      <c r="A984" s="2">
        <v>45618</v>
      </c>
      <c r="B984" s="3">
        <v>11.33</v>
      </c>
      <c r="C984" s="3">
        <v>60.93</v>
      </c>
      <c r="D984" s="3">
        <v>140.43</v>
      </c>
      <c r="E984" s="3">
        <v>15.4</v>
      </c>
      <c r="F984" s="3">
        <v>47.04</v>
      </c>
      <c r="G984" s="3">
        <v>99.694987999999995</v>
      </c>
      <c r="H984" s="3">
        <v>94.380038999999996</v>
      </c>
      <c r="I984" s="3">
        <v>90.160061999999996</v>
      </c>
      <c r="J984">
        <v>9.7739999999999991</v>
      </c>
      <c r="K984">
        <v>9.7840000000000007</v>
      </c>
      <c r="L984">
        <v>9.9939999999999998</v>
      </c>
    </row>
    <row r="985" spans="1:12" x14ac:dyDescent="0.35">
      <c r="A985" s="2">
        <v>45621</v>
      </c>
      <c r="B985" s="3">
        <v>11.73</v>
      </c>
      <c r="C985" s="3">
        <v>60.24</v>
      </c>
      <c r="D985" s="3">
        <v>138.63</v>
      </c>
      <c r="E985" s="3">
        <v>15.04</v>
      </c>
      <c r="F985" s="3">
        <v>45.77</v>
      </c>
      <c r="G985" s="3">
        <v>99.686018000000004</v>
      </c>
      <c r="H985" s="3">
        <v>94.269909999999996</v>
      </c>
      <c r="I985" s="3">
        <v>89.955691999999999</v>
      </c>
      <c r="J985">
        <v>9.7200000000000006</v>
      </c>
      <c r="K985">
        <v>9.74</v>
      </c>
      <c r="L985">
        <v>9.9429999999999996</v>
      </c>
    </row>
    <row r="986" spans="1:12" x14ac:dyDescent="0.35">
      <c r="A986" s="2">
        <v>45622</v>
      </c>
      <c r="B986" s="3">
        <v>11.22</v>
      </c>
      <c r="C986" s="3">
        <v>59.49</v>
      </c>
      <c r="D986" s="3">
        <v>134.05000000000001</v>
      </c>
      <c r="E986" s="3">
        <v>15.36</v>
      </c>
      <c r="F986" s="3">
        <v>46.29</v>
      </c>
      <c r="G986" s="3">
        <v>99.466291999999996</v>
      </c>
      <c r="H986" s="3">
        <v>93.980952000000002</v>
      </c>
      <c r="I986" s="3">
        <v>89.638633999999996</v>
      </c>
      <c r="J986">
        <v>9.84</v>
      </c>
      <c r="K986">
        <v>9.8529999999999998</v>
      </c>
      <c r="L986">
        <v>10.038</v>
      </c>
    </row>
    <row r="987" spans="1:12" x14ac:dyDescent="0.35">
      <c r="A987" s="2">
        <v>45623</v>
      </c>
      <c r="B987" s="3">
        <v>11.18</v>
      </c>
      <c r="C987" s="3">
        <v>59.71</v>
      </c>
      <c r="D987" s="3">
        <v>133.56</v>
      </c>
      <c r="E987" s="3">
        <v>15.2</v>
      </c>
      <c r="F987" s="3">
        <v>45.19</v>
      </c>
      <c r="G987" s="3">
        <v>99.527775000000005</v>
      </c>
      <c r="H987" s="3">
        <v>94.050662000000003</v>
      </c>
      <c r="I987" s="3">
        <v>89.776476000000002</v>
      </c>
      <c r="J987">
        <v>9.76</v>
      </c>
      <c r="K987">
        <v>9.8019999999999996</v>
      </c>
      <c r="L987">
        <v>9.9619999999999997</v>
      </c>
    </row>
    <row r="988" spans="1:12" x14ac:dyDescent="0.35">
      <c r="A988" s="2">
        <v>45624</v>
      </c>
      <c r="B988" s="3">
        <v>11.23</v>
      </c>
      <c r="C988" s="3">
        <v>60.49</v>
      </c>
      <c r="D988" s="3">
        <v>135.75</v>
      </c>
      <c r="E988" s="3">
        <v>15.19</v>
      </c>
      <c r="F988" s="3">
        <v>45.03</v>
      </c>
      <c r="G988" s="3">
        <v>99.677081999999999</v>
      </c>
      <c r="H988" s="3">
        <v>94.304652000000004</v>
      </c>
      <c r="I988" s="3">
        <v>90.019969000000003</v>
      </c>
      <c r="J988">
        <v>9.7899999999999991</v>
      </c>
      <c r="K988">
        <v>9.82</v>
      </c>
      <c r="L988">
        <v>9.9429999999999996</v>
      </c>
    </row>
    <row r="989" spans="1:12" x14ac:dyDescent="0.35">
      <c r="A989" s="2">
        <v>45625</v>
      </c>
      <c r="B989" s="3">
        <v>11.14</v>
      </c>
      <c r="C989" s="3">
        <v>59.77</v>
      </c>
      <c r="D989" s="3">
        <v>135.33000000000001</v>
      </c>
      <c r="E989" s="3">
        <v>15.21</v>
      </c>
      <c r="F989" s="3">
        <v>45.06</v>
      </c>
      <c r="G989" s="3">
        <v>100.089979</v>
      </c>
      <c r="H989" s="3">
        <v>94.553983000000002</v>
      </c>
      <c r="I989" s="3">
        <v>90.501374999999996</v>
      </c>
      <c r="J989">
        <v>9.6839999999999993</v>
      </c>
      <c r="K989">
        <v>9.7539999999999996</v>
      </c>
      <c r="L989">
        <v>9.9039999999999999</v>
      </c>
    </row>
    <row r="990" spans="1:12" x14ac:dyDescent="0.35">
      <c r="A990" s="2">
        <v>45628</v>
      </c>
      <c r="B990" s="3">
        <v>11.62</v>
      </c>
      <c r="C990" s="3">
        <v>60.77</v>
      </c>
      <c r="D990" s="3">
        <v>137.25</v>
      </c>
      <c r="E990" s="3">
        <v>15.2</v>
      </c>
      <c r="F990" s="3">
        <v>44.17</v>
      </c>
      <c r="G990" s="3">
        <v>99.905214999999998</v>
      </c>
      <c r="H990" s="3">
        <v>94.130892000000003</v>
      </c>
      <c r="I990" s="3">
        <v>90.239553000000001</v>
      </c>
      <c r="J990">
        <v>9.76</v>
      </c>
      <c r="K990">
        <v>9.82</v>
      </c>
      <c r="L990">
        <v>9.968</v>
      </c>
    </row>
    <row r="991" spans="1:12" x14ac:dyDescent="0.35">
      <c r="A991" s="2">
        <v>45629</v>
      </c>
      <c r="B991" s="3">
        <v>11.62</v>
      </c>
      <c r="C991" s="3">
        <v>59.48</v>
      </c>
      <c r="D991" s="3">
        <v>141.78</v>
      </c>
      <c r="E991" s="3">
        <v>15.28</v>
      </c>
      <c r="F991" s="3">
        <v>45.86</v>
      </c>
      <c r="G991" s="3">
        <v>95.774811</v>
      </c>
      <c r="H991" s="3">
        <v>90.461420000000004</v>
      </c>
      <c r="I991" s="3">
        <v>86.460010999999994</v>
      </c>
      <c r="J991">
        <v>9.7040000000000006</v>
      </c>
      <c r="K991">
        <v>9.8230000000000004</v>
      </c>
      <c r="L991">
        <v>9.9440000000000008</v>
      </c>
    </row>
    <row r="992" spans="1:12" x14ac:dyDescent="0.35">
      <c r="A992" s="2">
        <v>45630</v>
      </c>
      <c r="B992" s="3">
        <v>11.71</v>
      </c>
      <c r="C992" s="3">
        <v>58.92</v>
      </c>
      <c r="D992" s="3">
        <v>142.5</v>
      </c>
      <c r="E992" s="3">
        <v>15.33</v>
      </c>
      <c r="F992" s="3">
        <v>45</v>
      </c>
      <c r="G992" s="3">
        <v>95.799931999999998</v>
      </c>
      <c r="H992" s="3">
        <v>90.574937000000006</v>
      </c>
      <c r="I992" s="3">
        <v>86.540406000000004</v>
      </c>
      <c r="J992">
        <v>9.7949999999999999</v>
      </c>
      <c r="K992">
        <v>9.8420000000000005</v>
      </c>
      <c r="L992">
        <v>9.9939999999999998</v>
      </c>
    </row>
    <row r="993" spans="1:12" x14ac:dyDescent="0.35">
      <c r="A993" s="2">
        <v>45631</v>
      </c>
      <c r="B993" s="3">
        <v>11.79</v>
      </c>
      <c r="C993" s="3">
        <v>58.9</v>
      </c>
      <c r="D993" s="3">
        <v>140.35</v>
      </c>
      <c r="E993" s="3">
        <v>15.3</v>
      </c>
      <c r="F993" s="3">
        <v>45.73</v>
      </c>
      <c r="G993" s="3">
        <v>95.735082000000006</v>
      </c>
      <c r="H993" s="3">
        <v>90.601881000000006</v>
      </c>
      <c r="I993" s="3">
        <v>86.381657000000004</v>
      </c>
      <c r="J993">
        <v>9.7639999999999993</v>
      </c>
      <c r="K993">
        <v>9.8040000000000003</v>
      </c>
      <c r="L993">
        <v>10.023999999999999</v>
      </c>
    </row>
    <row r="994" spans="1:12" x14ac:dyDescent="0.35">
      <c r="A994" s="2">
        <v>45632</v>
      </c>
      <c r="B994" s="3">
        <v>11.72</v>
      </c>
      <c r="C994" s="3">
        <v>59.01</v>
      </c>
      <c r="D994" s="3">
        <v>142.25</v>
      </c>
      <c r="E994" s="3">
        <v>15.08</v>
      </c>
      <c r="F994" s="3">
        <v>46.12</v>
      </c>
      <c r="G994" s="3">
        <v>95.795316</v>
      </c>
      <c r="H994" s="3">
        <v>90.581075999999996</v>
      </c>
      <c r="I994" s="3">
        <v>86.063890999999998</v>
      </c>
      <c r="J994">
        <v>9.81</v>
      </c>
      <c r="K994">
        <v>9.8529999999999998</v>
      </c>
      <c r="L994">
        <v>10.042999999999999</v>
      </c>
    </row>
    <row r="995" spans="1:12" x14ac:dyDescent="0.35">
      <c r="A995" s="2">
        <v>45635</v>
      </c>
      <c r="B995" s="3">
        <v>11.87</v>
      </c>
      <c r="C995" s="3">
        <v>58.6</v>
      </c>
      <c r="D995" s="3">
        <v>142.53</v>
      </c>
      <c r="E995" s="3">
        <v>15.28</v>
      </c>
      <c r="F995" s="3">
        <v>46.59</v>
      </c>
      <c r="G995" s="3">
        <v>95.645644000000004</v>
      </c>
      <c r="H995" s="3">
        <v>90.381817999999996</v>
      </c>
      <c r="I995" s="3">
        <v>86.087192999999999</v>
      </c>
      <c r="J995">
        <v>9.86</v>
      </c>
      <c r="K995">
        <v>9.89</v>
      </c>
      <c r="L995">
        <v>10.1</v>
      </c>
    </row>
    <row r="996" spans="1:12" x14ac:dyDescent="0.35">
      <c r="A996" s="2">
        <v>45636</v>
      </c>
      <c r="B996" s="3">
        <v>11.52</v>
      </c>
      <c r="C996" s="3">
        <v>57.84</v>
      </c>
      <c r="D996" s="3">
        <v>139.05000000000001</v>
      </c>
      <c r="E996" s="3">
        <v>15.19</v>
      </c>
      <c r="F996" s="3">
        <v>46.97</v>
      </c>
      <c r="G996" s="3">
        <v>96.046049999999994</v>
      </c>
      <c r="H996" s="3">
        <v>90.921559999999999</v>
      </c>
      <c r="I996" s="3">
        <v>86.417760999999999</v>
      </c>
      <c r="J996">
        <v>9.6440000000000001</v>
      </c>
      <c r="K996">
        <v>9.7040000000000006</v>
      </c>
      <c r="L996">
        <v>9.9640000000000004</v>
      </c>
    </row>
    <row r="997" spans="1:12" x14ac:dyDescent="0.35">
      <c r="A997" s="2">
        <v>45637</v>
      </c>
      <c r="B997" s="3">
        <v>11.12</v>
      </c>
      <c r="C997" s="3">
        <v>58.43</v>
      </c>
      <c r="D997" s="3">
        <v>139.91999999999999</v>
      </c>
      <c r="E997" s="3">
        <v>15.32</v>
      </c>
      <c r="F997" s="3">
        <v>46.07</v>
      </c>
      <c r="G997" s="3">
        <v>96.331851999999998</v>
      </c>
      <c r="H997" s="3">
        <v>91.172748999999996</v>
      </c>
      <c r="I997" s="3">
        <v>86.658529000000001</v>
      </c>
      <c r="J997">
        <v>9.69</v>
      </c>
      <c r="K997">
        <v>9.7270000000000003</v>
      </c>
      <c r="L997">
        <v>9.9659999999999993</v>
      </c>
    </row>
    <row r="998" spans="1:12" x14ac:dyDescent="0.35">
      <c r="A998" s="2">
        <v>45639</v>
      </c>
      <c r="B998" s="3">
        <v>11.25</v>
      </c>
      <c r="C998" s="3">
        <v>57.74</v>
      </c>
      <c r="D998" s="3">
        <v>143.30000000000001</v>
      </c>
      <c r="E998" s="3">
        <v>15.14</v>
      </c>
      <c r="F998" s="3">
        <v>44.64</v>
      </c>
      <c r="G998" s="3">
        <v>96.286762999999993</v>
      </c>
      <c r="H998" s="3">
        <v>91.151713999999998</v>
      </c>
      <c r="I998" s="3">
        <v>86.454076000000001</v>
      </c>
      <c r="J998">
        <v>9.7940000000000005</v>
      </c>
      <c r="K998">
        <v>9.7940000000000005</v>
      </c>
      <c r="L998">
        <v>10.103999999999999</v>
      </c>
    </row>
    <row r="999" spans="1:12" x14ac:dyDescent="0.35">
      <c r="A999" s="2">
        <v>45642</v>
      </c>
      <c r="B999" s="3">
        <v>11.19</v>
      </c>
      <c r="C999" s="3">
        <v>56.75</v>
      </c>
      <c r="D999" s="3">
        <v>141.13</v>
      </c>
      <c r="E999" s="3">
        <v>14.76</v>
      </c>
      <c r="F999" s="3">
        <v>44.28</v>
      </c>
      <c r="G999" s="3">
        <v>95.857639000000006</v>
      </c>
      <c r="H999" s="3">
        <v>90.817492000000001</v>
      </c>
      <c r="I999" s="3">
        <v>85.911612000000005</v>
      </c>
      <c r="J999">
        <v>9.82</v>
      </c>
      <c r="K999">
        <v>9.85</v>
      </c>
      <c r="L999">
        <v>10.119999999999999</v>
      </c>
    </row>
    <row r="1000" spans="1:12" x14ac:dyDescent="0.35">
      <c r="A1000" s="2">
        <v>45643</v>
      </c>
      <c r="B1000" s="3">
        <v>11.29</v>
      </c>
      <c r="C1000" s="3">
        <v>55.86</v>
      </c>
      <c r="D1000" s="3">
        <v>135.13</v>
      </c>
      <c r="E1000" s="3">
        <v>15.12</v>
      </c>
      <c r="F1000" s="3">
        <v>44.99</v>
      </c>
      <c r="G1000" s="3">
        <v>95.917788999999999</v>
      </c>
      <c r="H1000" s="3">
        <v>90.752255000000005</v>
      </c>
      <c r="I1000" s="3">
        <v>85.766260000000003</v>
      </c>
      <c r="J1000">
        <v>9.7539999999999996</v>
      </c>
      <c r="K1000">
        <v>9.8140000000000001</v>
      </c>
      <c r="L1000">
        <v>10.164</v>
      </c>
    </row>
    <row r="1001" spans="1:12" x14ac:dyDescent="0.35">
      <c r="A1001" s="2">
        <v>45644</v>
      </c>
      <c r="B1001" s="3">
        <v>11.33</v>
      </c>
      <c r="C1001" s="3">
        <v>55.89</v>
      </c>
      <c r="D1001" s="3">
        <v>135.41</v>
      </c>
      <c r="E1001" s="3">
        <v>14.67</v>
      </c>
      <c r="F1001" s="3">
        <v>44.24</v>
      </c>
      <c r="G1001" s="3">
        <v>96.047634000000002</v>
      </c>
      <c r="H1001" s="3">
        <v>90.776274000000001</v>
      </c>
      <c r="I1001" s="3">
        <v>85.621399999999994</v>
      </c>
      <c r="J1001">
        <v>9.77</v>
      </c>
      <c r="K1001">
        <v>9.8469999999999995</v>
      </c>
      <c r="L1001">
        <v>10.19</v>
      </c>
    </row>
    <row r="1002" spans="1:12" x14ac:dyDescent="0.35">
      <c r="A1002" s="2">
        <v>45645</v>
      </c>
      <c r="B1002" s="3">
        <v>11.34</v>
      </c>
      <c r="C1002" s="3">
        <v>55.64</v>
      </c>
      <c r="D1002" s="3">
        <v>132</v>
      </c>
      <c r="E1002" s="3">
        <v>14.54</v>
      </c>
      <c r="F1002" s="3">
        <v>43.16</v>
      </c>
      <c r="G1002" s="3">
        <v>96.158286000000004</v>
      </c>
      <c r="H1002" s="3">
        <v>90.848371</v>
      </c>
      <c r="I1002" s="3">
        <v>85.524000999999998</v>
      </c>
      <c r="J1002">
        <v>9.8840000000000003</v>
      </c>
      <c r="K1002">
        <v>9.9039999999999999</v>
      </c>
      <c r="L1002">
        <v>10.294</v>
      </c>
    </row>
    <row r="1003" spans="1:12" x14ac:dyDescent="0.35">
      <c r="A1003" s="2">
        <v>45646</v>
      </c>
      <c r="B1003" s="3">
        <v>11.3</v>
      </c>
      <c r="C1003" s="3">
        <v>55.47</v>
      </c>
      <c r="D1003" s="3">
        <v>137.29</v>
      </c>
      <c r="E1003" s="3">
        <v>14.35</v>
      </c>
      <c r="F1003" s="3">
        <v>45.04</v>
      </c>
      <c r="G1003" s="3">
        <v>95.697622999999993</v>
      </c>
      <c r="H1003" s="3">
        <v>90.472804999999994</v>
      </c>
      <c r="I1003" s="3">
        <v>84.991461999999999</v>
      </c>
      <c r="J1003">
        <v>9.9640000000000004</v>
      </c>
      <c r="K1003">
        <v>9.984</v>
      </c>
      <c r="L1003">
        <v>10.374000000000001</v>
      </c>
    </row>
    <row r="1004" spans="1:12" x14ac:dyDescent="0.35">
      <c r="A1004" s="2">
        <v>45649</v>
      </c>
      <c r="B1004" s="3">
        <v>11.2</v>
      </c>
      <c r="C1004" s="3">
        <v>55.86</v>
      </c>
      <c r="D1004" s="3">
        <v>137.81</v>
      </c>
      <c r="E1004" s="3">
        <v>14.21</v>
      </c>
      <c r="F1004" s="3">
        <v>44.88</v>
      </c>
      <c r="G1004" s="3">
        <v>95.472590999999994</v>
      </c>
      <c r="H1004" s="3">
        <v>90.167969999999997</v>
      </c>
      <c r="I1004" s="3">
        <v>84.597376999999994</v>
      </c>
      <c r="J1004">
        <v>10.054</v>
      </c>
      <c r="K1004">
        <v>10.084</v>
      </c>
      <c r="L1004">
        <v>10.433999999999999</v>
      </c>
    </row>
    <row r="1005" spans="1:12" x14ac:dyDescent="0.35">
      <c r="A1005" s="2">
        <v>45650</v>
      </c>
      <c r="B1005" s="3">
        <v>11.33</v>
      </c>
      <c r="C1005" s="3">
        <v>55.47</v>
      </c>
      <c r="D1005" s="3">
        <v>135.68</v>
      </c>
      <c r="E1005" s="3">
        <v>14.33</v>
      </c>
      <c r="F1005" s="3">
        <v>43.51</v>
      </c>
      <c r="G1005" s="3">
        <v>95.189007000000004</v>
      </c>
      <c r="H1005" s="3">
        <v>89.753339999999994</v>
      </c>
      <c r="I1005" s="3">
        <v>84.292141999999998</v>
      </c>
      <c r="J1005">
        <v>10.004</v>
      </c>
      <c r="K1005">
        <v>10.044</v>
      </c>
      <c r="L1005">
        <v>10.394</v>
      </c>
    </row>
    <row r="1006" spans="1:12" x14ac:dyDescent="0.35">
      <c r="A1006" s="2">
        <v>45652</v>
      </c>
      <c r="B1006" s="3">
        <v>11.46</v>
      </c>
      <c r="C1006" s="3">
        <v>55.07</v>
      </c>
      <c r="D1006" s="3">
        <v>136.85</v>
      </c>
      <c r="E1006" s="3">
        <v>14.66</v>
      </c>
      <c r="F1006" s="3">
        <v>43.54</v>
      </c>
      <c r="G1006" s="3">
        <v>95.300673000000003</v>
      </c>
      <c r="H1006" s="3">
        <v>89.870282000000003</v>
      </c>
      <c r="I1006" s="3">
        <v>84.308610000000002</v>
      </c>
      <c r="J1006">
        <v>10.038</v>
      </c>
      <c r="K1006">
        <v>10.1</v>
      </c>
      <c r="L1006">
        <v>10.44</v>
      </c>
    </row>
    <row r="1007" spans="1:12" x14ac:dyDescent="0.35">
      <c r="A1007" s="2">
        <v>45653</v>
      </c>
      <c r="B1007" s="3">
        <v>11.48</v>
      </c>
      <c r="C1007" s="3">
        <v>54.75</v>
      </c>
      <c r="D1007" s="3">
        <v>134.69</v>
      </c>
      <c r="E1007" s="3">
        <v>14.78</v>
      </c>
      <c r="F1007" s="3">
        <v>42.92</v>
      </c>
      <c r="G1007" s="3">
        <v>95.429269000000005</v>
      </c>
      <c r="H1007" s="3">
        <v>90.026011999999994</v>
      </c>
      <c r="I1007" s="3">
        <v>84.496326999999994</v>
      </c>
      <c r="J1007">
        <v>10.044</v>
      </c>
      <c r="K1007">
        <v>10.064</v>
      </c>
      <c r="L1007">
        <v>10.454000000000001</v>
      </c>
    </row>
    <row r="1008" spans="1:12" x14ac:dyDescent="0.35">
      <c r="A1008" s="2">
        <v>45656</v>
      </c>
      <c r="B1008" s="3">
        <v>11.37</v>
      </c>
      <c r="C1008" s="3">
        <v>54.22</v>
      </c>
      <c r="D1008" s="3">
        <v>133.44999999999999</v>
      </c>
      <c r="E1008" s="3">
        <v>14.63</v>
      </c>
      <c r="F1008" s="3">
        <v>43.22</v>
      </c>
      <c r="G1008" s="3">
        <v>95.412321000000006</v>
      </c>
      <c r="H1008" s="3">
        <v>89.943515000000005</v>
      </c>
      <c r="I1008" s="3">
        <v>84.325226999999998</v>
      </c>
      <c r="J1008">
        <v>10.013999999999999</v>
      </c>
      <c r="K1008">
        <v>10.074</v>
      </c>
      <c r="L1008">
        <v>10.454000000000001</v>
      </c>
    </row>
    <row r="1009" spans="1:12" x14ac:dyDescent="0.35">
      <c r="A1009" s="2">
        <v>45657</v>
      </c>
      <c r="B1009" s="3">
        <v>11.68</v>
      </c>
      <c r="C1009" s="3">
        <v>55.24</v>
      </c>
      <c r="D1009" s="3">
        <v>133.97</v>
      </c>
      <c r="E1009" s="3">
        <v>14.95</v>
      </c>
      <c r="F1009" s="3">
        <v>43.49</v>
      </c>
      <c r="G1009" s="3">
        <v>95.506576999999993</v>
      </c>
      <c r="H1009" s="3">
        <v>89.967939000000001</v>
      </c>
      <c r="I1009" s="3">
        <v>84.348973000000001</v>
      </c>
      <c r="J1009">
        <v>9.9740000000000002</v>
      </c>
      <c r="K1009">
        <v>10.044</v>
      </c>
      <c r="L1009">
        <v>10.423999999999999</v>
      </c>
    </row>
  </sheetData>
  <hyperlinks>
    <hyperlink ref="P1" r:id="rId1" xr:uid="{A927DEF7-C02A-4EE9-84B8-76E300EC33E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DDF0-8F03-455B-B963-ADC31C0D299F}">
  <dimension ref="A1:F1008"/>
  <sheetViews>
    <sheetView workbookViewId="0">
      <selection activeCell="F6" sqref="F6"/>
    </sheetView>
  </sheetViews>
  <sheetFormatPr defaultRowHeight="14.5" x14ac:dyDescent="0.35"/>
  <sheetData>
    <row r="1" spans="1:6" x14ac:dyDescent="0.35">
      <c r="A1" t="s">
        <v>71</v>
      </c>
      <c r="B1" t="s">
        <v>72</v>
      </c>
    </row>
    <row r="2" spans="1:6" x14ac:dyDescent="0.35">
      <c r="A2" s="22">
        <v>1.12900441432473E-2</v>
      </c>
      <c r="B2">
        <f>A2^2</f>
        <v>1.2746509675647265E-4</v>
      </c>
      <c r="D2">
        <f>SUM(B2:B1008)</f>
        <v>0.53958544553826215</v>
      </c>
    </row>
    <row r="3" spans="1:6" x14ac:dyDescent="0.35">
      <c r="A3" s="22">
        <v>2.5592051634908776E-2</v>
      </c>
      <c r="B3">
        <f t="shared" ref="B3:B66" si="0">A3^2</f>
        <v>6.5495310688383696E-4</v>
      </c>
    </row>
    <row r="4" spans="1:6" x14ac:dyDescent="0.35">
      <c r="A4" s="22">
        <v>8.3095207180271982E-2</v>
      </c>
      <c r="B4">
        <f t="shared" si="0"/>
        <v>6.9048134563323245E-3</v>
      </c>
      <c r="D4" s="32">
        <f>D2/(COUNT(B2:B1008)-1)</f>
        <v>5.3636724208574766E-4</v>
      </c>
      <c r="E4" t="s">
        <v>54</v>
      </c>
      <c r="F4" t="s">
        <v>73</v>
      </c>
    </row>
    <row r="5" spans="1:6" x14ac:dyDescent="0.35">
      <c r="A5" s="22">
        <v>8.2635347876238927E-3</v>
      </c>
      <c r="B5">
        <f t="shared" si="0"/>
        <v>6.8286007186270259E-5</v>
      </c>
      <c r="D5">
        <f>SQRT(D4)</f>
        <v>2.3159603668580938E-2</v>
      </c>
      <c r="E5" t="s">
        <v>55</v>
      </c>
      <c r="F5" t="s">
        <v>74</v>
      </c>
    </row>
    <row r="6" spans="1:6" x14ac:dyDescent="0.35">
      <c r="A6" s="22">
        <v>-7.2614266600843098E-3</v>
      </c>
      <c r="B6">
        <f t="shared" si="0"/>
        <v>5.2728317139783172E-5</v>
      </c>
    </row>
    <row r="7" spans="1:6" x14ac:dyDescent="0.35">
      <c r="A7" s="22">
        <v>-1.8544862807290598E-2</v>
      </c>
      <c r="B7">
        <f t="shared" si="0"/>
        <v>3.4391193654123011E-4</v>
      </c>
    </row>
    <row r="8" spans="1:6" x14ac:dyDescent="0.35">
      <c r="A8" s="22">
        <v>1.5450596552150453E-2</v>
      </c>
      <c r="B8">
        <f t="shared" si="0"/>
        <v>2.3872093381732345E-4</v>
      </c>
    </row>
    <row r="9" spans="1:6" x14ac:dyDescent="0.35">
      <c r="A9" s="22">
        <v>-1.1659638515098688E-2</v>
      </c>
      <c r="B9">
        <f t="shared" si="0"/>
        <v>1.3594717030277273E-4</v>
      </c>
    </row>
    <row r="10" spans="1:6" x14ac:dyDescent="0.35">
      <c r="A10" s="22">
        <v>6.6213764516994747E-2</v>
      </c>
      <c r="B10">
        <f t="shared" si="0"/>
        <v>4.3842626115120327E-3</v>
      </c>
    </row>
    <row r="11" spans="1:6" x14ac:dyDescent="0.35">
      <c r="A11" s="22">
        <v>3.9868467789434509E-2</v>
      </c>
      <c r="B11">
        <f t="shared" si="0"/>
        <v>1.5894947238771768E-3</v>
      </c>
    </row>
    <row r="12" spans="1:6" x14ac:dyDescent="0.35">
      <c r="A12" s="22">
        <v>3.9541554509708242E-4</v>
      </c>
      <c r="B12">
        <f t="shared" si="0"/>
        <v>1.5635345330442282E-7</v>
      </c>
    </row>
    <row r="13" spans="1:6" x14ac:dyDescent="0.35">
      <c r="A13" s="22">
        <v>3.1176165435061232E-2</v>
      </c>
      <c r="B13">
        <f t="shared" si="0"/>
        <v>9.7195329123430675E-4</v>
      </c>
    </row>
    <row r="14" spans="1:6" x14ac:dyDescent="0.35">
      <c r="A14" s="22">
        <v>-2.6898066936441927E-3</v>
      </c>
      <c r="B14">
        <f t="shared" si="0"/>
        <v>7.2350600491731045E-6</v>
      </c>
    </row>
    <row r="15" spans="1:6" x14ac:dyDescent="0.35">
      <c r="A15" s="22">
        <v>-2.5701222336642272E-2</v>
      </c>
      <c r="B15">
        <f t="shared" si="0"/>
        <v>6.6055282959751971E-4</v>
      </c>
    </row>
    <row r="16" spans="1:6" x14ac:dyDescent="0.35">
      <c r="A16" s="22">
        <v>-2.9505410141037837E-2</v>
      </c>
      <c r="B16">
        <f t="shared" si="0"/>
        <v>8.7056922759085845E-4</v>
      </c>
    </row>
    <row r="17" spans="1:2" x14ac:dyDescent="0.35">
      <c r="A17" s="22">
        <v>6.8988810728891617E-3</v>
      </c>
      <c r="B17">
        <f t="shared" si="0"/>
        <v>4.7594560057868312E-5</v>
      </c>
    </row>
    <row r="18" spans="1:2" x14ac:dyDescent="0.35">
      <c r="A18" s="22">
        <v>-4.4170000168045993E-3</v>
      </c>
      <c r="B18">
        <f t="shared" si="0"/>
        <v>1.9509889148451832E-5</v>
      </c>
    </row>
    <row r="19" spans="1:2" x14ac:dyDescent="0.35">
      <c r="A19" s="22">
        <v>-4.4013213773454275E-2</v>
      </c>
      <c r="B19">
        <f t="shared" si="0"/>
        <v>1.9371629866677851E-3</v>
      </c>
    </row>
    <row r="20" spans="1:2" x14ac:dyDescent="0.35">
      <c r="A20" s="22">
        <v>2.7477147751236896E-2</v>
      </c>
      <c r="B20">
        <f t="shared" si="0"/>
        <v>7.5499364854330286E-4</v>
      </c>
    </row>
    <row r="21" spans="1:2" x14ac:dyDescent="0.35">
      <c r="A21" s="22">
        <v>-3.4083874034723287E-2</v>
      </c>
      <c r="B21">
        <f t="shared" si="0"/>
        <v>1.1617104692148842E-3</v>
      </c>
    </row>
    <row r="22" spans="1:2" x14ac:dyDescent="0.35">
      <c r="A22" s="22">
        <v>6.4231376469751314E-2</v>
      </c>
      <c r="B22">
        <f t="shared" si="0"/>
        <v>4.1256697231989228E-3</v>
      </c>
    </row>
    <row r="23" spans="1:2" x14ac:dyDescent="0.35">
      <c r="A23" s="22">
        <v>2.9158241784567426E-2</v>
      </c>
      <c r="B23">
        <f t="shared" si="0"/>
        <v>8.5020306396729381E-4</v>
      </c>
    </row>
    <row r="24" spans="1:2" x14ac:dyDescent="0.35">
      <c r="A24" s="22">
        <v>8.9150684104530638E-3</v>
      </c>
      <c r="B24">
        <f t="shared" si="0"/>
        <v>7.9478444763058116E-5</v>
      </c>
    </row>
    <row r="25" spans="1:2" x14ac:dyDescent="0.35">
      <c r="A25" s="22">
        <v>-8.0808689510918543E-3</v>
      </c>
      <c r="B25">
        <f t="shared" si="0"/>
        <v>6.5300443004720366E-5</v>
      </c>
    </row>
    <row r="26" spans="1:2" x14ac:dyDescent="0.35">
      <c r="A26" s="22">
        <v>-3.4928472243739603E-3</v>
      </c>
      <c r="B26">
        <f t="shared" si="0"/>
        <v>1.2199981732816878E-5</v>
      </c>
    </row>
    <row r="27" spans="1:2" x14ac:dyDescent="0.35">
      <c r="A27" s="22">
        <v>-5.8334793093900569E-3</v>
      </c>
      <c r="B27">
        <f t="shared" si="0"/>
        <v>3.4029480853081896E-5</v>
      </c>
    </row>
    <row r="28" spans="1:2" x14ac:dyDescent="0.35">
      <c r="A28" s="22">
        <v>-5.0819738703847721E-3</v>
      </c>
      <c r="B28">
        <f t="shared" si="0"/>
        <v>2.582645841927358E-5</v>
      </c>
    </row>
    <row r="29" spans="1:2" x14ac:dyDescent="0.35">
      <c r="A29" s="22">
        <v>4.1206782016585383E-2</v>
      </c>
      <c r="B29">
        <f t="shared" si="0"/>
        <v>1.6979988841623846E-3</v>
      </c>
    </row>
    <row r="30" spans="1:2" x14ac:dyDescent="0.35">
      <c r="A30" s="22">
        <v>-3.9447387038473331E-4</v>
      </c>
      <c r="B30">
        <f t="shared" si="0"/>
        <v>1.5560963441631137E-7</v>
      </c>
    </row>
    <row r="31" spans="1:2" x14ac:dyDescent="0.35">
      <c r="A31" s="22">
        <v>-1.3205325415222709E-2</v>
      </c>
      <c r="B31">
        <f t="shared" si="0"/>
        <v>1.7438061932192683E-4</v>
      </c>
    </row>
    <row r="32" spans="1:2" x14ac:dyDescent="0.35">
      <c r="A32" s="22">
        <v>-3.9447387038473331E-4</v>
      </c>
      <c r="B32">
        <f t="shared" si="0"/>
        <v>1.5560963441631137E-7</v>
      </c>
    </row>
    <row r="33" spans="1:2" x14ac:dyDescent="0.35">
      <c r="A33" s="22">
        <v>-1.337157310702595E-2</v>
      </c>
      <c r="B33">
        <f t="shared" si="0"/>
        <v>1.7879896735653963E-4</v>
      </c>
    </row>
    <row r="34" spans="1:2" x14ac:dyDescent="0.35">
      <c r="A34" s="22">
        <v>-4.0611024527770628E-2</v>
      </c>
      <c r="B34">
        <f t="shared" si="0"/>
        <v>1.6492553131951875E-3</v>
      </c>
    </row>
    <row r="35" spans="1:2" x14ac:dyDescent="0.35">
      <c r="A35" s="22">
        <v>4.1507218313338035E-2</v>
      </c>
      <c r="B35">
        <f t="shared" si="0"/>
        <v>1.7228491721111043E-3</v>
      </c>
    </row>
    <row r="36" spans="1:2" x14ac:dyDescent="0.35">
      <c r="A36" s="22">
        <v>1.1979849408810946E-2</v>
      </c>
      <c r="B36">
        <f t="shared" si="0"/>
        <v>1.4351679185778797E-4</v>
      </c>
    </row>
    <row r="37" spans="1:2" x14ac:dyDescent="0.35">
      <c r="A37" s="22">
        <v>1.4884364937865784E-2</v>
      </c>
      <c r="B37">
        <f t="shared" si="0"/>
        <v>2.2154431960356831E-4</v>
      </c>
    </row>
    <row r="38" spans="1:2" x14ac:dyDescent="0.35">
      <c r="A38" s="22">
        <v>5.3781598364378298E-2</v>
      </c>
      <c r="B38">
        <f t="shared" si="0"/>
        <v>2.8924603226272985E-3</v>
      </c>
    </row>
    <row r="39" spans="1:2" x14ac:dyDescent="0.35">
      <c r="A39" s="22">
        <v>-2.5376629473525321E-2</v>
      </c>
      <c r="B39">
        <f t="shared" si="0"/>
        <v>6.4397332343659396E-4</v>
      </c>
    </row>
    <row r="40" spans="1:2" x14ac:dyDescent="0.35">
      <c r="A40" s="22">
        <v>2.0103329936350212E-2</v>
      </c>
      <c r="B40">
        <f t="shared" si="0"/>
        <v>4.0414387452975464E-4</v>
      </c>
    </row>
    <row r="41" spans="1:2" x14ac:dyDescent="0.35">
      <c r="A41" s="22">
        <v>8.9312076217243613E-3</v>
      </c>
      <c r="B41">
        <f t="shared" si="0"/>
        <v>7.9766469582347326E-5</v>
      </c>
    </row>
    <row r="42" spans="1:2" x14ac:dyDescent="0.35">
      <c r="A42" s="22">
        <v>2.0927487750084274E-2</v>
      </c>
      <c r="B42">
        <f t="shared" si="0"/>
        <v>4.3795974352992732E-4</v>
      </c>
    </row>
    <row r="43" spans="1:2" x14ac:dyDescent="0.35">
      <c r="A43" s="22">
        <v>5.5972958279928452E-2</v>
      </c>
      <c r="B43">
        <f t="shared" si="0"/>
        <v>3.1329720586066108E-3</v>
      </c>
    </row>
    <row r="44" spans="1:2" x14ac:dyDescent="0.35">
      <c r="A44" s="22">
        <v>-5.5730442249831369E-2</v>
      </c>
      <c r="B44">
        <f t="shared" si="0"/>
        <v>3.1058821933617892E-3</v>
      </c>
    </row>
    <row r="45" spans="1:2" x14ac:dyDescent="0.35">
      <c r="A45" s="22">
        <v>1.9828678151930533E-2</v>
      </c>
      <c r="B45">
        <f t="shared" si="0"/>
        <v>3.9317647725284723E-4</v>
      </c>
    </row>
    <row r="46" spans="1:2" x14ac:dyDescent="0.35">
      <c r="A46" s="22">
        <v>1.8744282110476466E-2</v>
      </c>
      <c r="B46">
        <f t="shared" si="0"/>
        <v>3.5134811183712807E-4</v>
      </c>
    </row>
    <row r="47" spans="1:2" x14ac:dyDescent="0.35">
      <c r="A47" s="22">
        <v>-3.9447387038473331E-4</v>
      </c>
      <c r="B47">
        <f t="shared" si="0"/>
        <v>1.5560963441631137E-7</v>
      </c>
    </row>
    <row r="48" spans="1:2" x14ac:dyDescent="0.35">
      <c r="A48" s="22">
        <v>-2.051519821646124E-2</v>
      </c>
      <c r="B48">
        <f t="shared" si="0"/>
        <v>4.2087335786069441E-4</v>
      </c>
    </row>
    <row r="49" spans="1:2" x14ac:dyDescent="0.35">
      <c r="A49" s="22">
        <v>3.9988825239813751E-2</v>
      </c>
      <c r="B49">
        <f t="shared" si="0"/>
        <v>1.5991061440603653E-3</v>
      </c>
    </row>
    <row r="50" spans="1:2" x14ac:dyDescent="0.35">
      <c r="A50" s="22">
        <v>-6.973421238805763E-3</v>
      </c>
      <c r="B50">
        <f t="shared" si="0"/>
        <v>4.8628603773827304E-5</v>
      </c>
    </row>
    <row r="51" spans="1:2" x14ac:dyDescent="0.35">
      <c r="A51" s="22">
        <v>-2.8209043406808569E-2</v>
      </c>
      <c r="B51">
        <f t="shared" si="0"/>
        <v>7.9575012992720996E-4</v>
      </c>
    </row>
    <row r="52" spans="1:2" x14ac:dyDescent="0.35">
      <c r="A52" s="22">
        <v>-8.5688607913656078E-3</v>
      </c>
      <c r="B52">
        <f t="shared" si="0"/>
        <v>7.3425375261802829E-5</v>
      </c>
    </row>
    <row r="53" spans="1:2" x14ac:dyDescent="0.35">
      <c r="A53" s="22">
        <v>-2.6493374969285884E-2</v>
      </c>
      <c r="B53">
        <f t="shared" si="0"/>
        <v>7.0189891726318387E-4</v>
      </c>
    </row>
    <row r="54" spans="1:2" x14ac:dyDescent="0.35">
      <c r="A54" s="22">
        <v>-2.0845813785758439E-2</v>
      </c>
      <c r="B54">
        <f t="shared" si="0"/>
        <v>4.3454795239051657E-4</v>
      </c>
    </row>
    <row r="55" spans="1:2" x14ac:dyDescent="0.35">
      <c r="A55" s="22">
        <v>-5.4340707026381734E-3</v>
      </c>
      <c r="B55">
        <f t="shared" si="0"/>
        <v>2.9529124401270533E-5</v>
      </c>
    </row>
    <row r="56" spans="1:2" x14ac:dyDescent="0.35">
      <c r="A56" s="22">
        <v>-4.0915457951426738E-2</v>
      </c>
      <c r="B56">
        <f t="shared" si="0"/>
        <v>1.6740746993749694E-3</v>
      </c>
    </row>
    <row r="57" spans="1:2" x14ac:dyDescent="0.35">
      <c r="A57" s="22">
        <v>1.3180186763099408E-2</v>
      </c>
      <c r="B57">
        <f t="shared" si="0"/>
        <v>1.7371732311018085E-4</v>
      </c>
    </row>
    <row r="58" spans="1:2" x14ac:dyDescent="0.35">
      <c r="A58" s="22">
        <v>9.2781451772343728E-3</v>
      </c>
      <c r="B58">
        <f t="shared" si="0"/>
        <v>8.6083977929837446E-5</v>
      </c>
    </row>
    <row r="59" spans="1:2" x14ac:dyDescent="0.35">
      <c r="A59" s="22">
        <v>1.8765437699254161E-2</v>
      </c>
      <c r="B59">
        <f t="shared" si="0"/>
        <v>3.5214165204458932E-4</v>
      </c>
    </row>
    <row r="60" spans="1:2" x14ac:dyDescent="0.35">
      <c r="A60" s="22">
        <v>6.83618411949232E-3</v>
      </c>
      <c r="B60">
        <f t="shared" si="0"/>
        <v>4.6733413315598985E-5</v>
      </c>
    </row>
    <row r="61" spans="1:2" x14ac:dyDescent="0.35">
      <c r="A61" s="22">
        <v>6.9239409833850782E-2</v>
      </c>
      <c r="B61">
        <f t="shared" si="0"/>
        <v>4.7940958741399522E-3</v>
      </c>
    </row>
    <row r="62" spans="1:2" x14ac:dyDescent="0.35">
      <c r="A62" s="22">
        <v>-3.2609238971055908E-2</v>
      </c>
      <c r="B62">
        <f t="shared" si="0"/>
        <v>1.0633624662714314E-3</v>
      </c>
    </row>
    <row r="63" spans="1:2" x14ac:dyDescent="0.35">
      <c r="A63" s="22">
        <v>1.6249076753748429E-2</v>
      </c>
      <c r="B63">
        <f t="shared" si="0"/>
        <v>2.640324953492076E-4</v>
      </c>
    </row>
    <row r="64" spans="1:2" x14ac:dyDescent="0.35">
      <c r="A64" s="22">
        <v>-3.3818757635732638E-2</v>
      </c>
      <c r="B64">
        <f t="shared" si="0"/>
        <v>1.1437083680244245E-3</v>
      </c>
    </row>
    <row r="65" spans="1:2" x14ac:dyDescent="0.35">
      <c r="A65" s="22">
        <v>1.8659866284872824E-2</v>
      </c>
      <c r="B65">
        <f t="shared" si="0"/>
        <v>3.4819060976933351E-4</v>
      </c>
    </row>
    <row r="66" spans="1:2" x14ac:dyDescent="0.35">
      <c r="A66" s="22">
        <v>-4.5495985241242572E-3</v>
      </c>
      <c r="B66">
        <f t="shared" si="0"/>
        <v>2.0698846730713621E-5</v>
      </c>
    </row>
    <row r="67" spans="1:2" x14ac:dyDescent="0.35">
      <c r="A67" s="22">
        <v>2.3871672979044979E-3</v>
      </c>
      <c r="B67">
        <f t="shared" ref="B67:B130" si="1">A67^2</f>
        <v>5.6985677081846618E-6</v>
      </c>
    </row>
    <row r="68" spans="1:2" x14ac:dyDescent="0.35">
      <c r="A68" s="22">
        <v>-1.565106194250683E-2</v>
      </c>
      <c r="B68">
        <f t="shared" si="1"/>
        <v>2.4495573992818566E-4</v>
      </c>
    </row>
    <row r="69" spans="1:2" x14ac:dyDescent="0.35">
      <c r="A69" s="22">
        <v>-1.7295882321088848E-2</v>
      </c>
      <c r="B69">
        <f t="shared" si="1"/>
        <v>2.9914754526495378E-4</v>
      </c>
    </row>
    <row r="70" spans="1:2" x14ac:dyDescent="0.35">
      <c r="A70" s="22">
        <v>5.1897789739930353E-2</v>
      </c>
      <c r="B70">
        <f t="shared" si="1"/>
        <v>2.6933805798900201E-3</v>
      </c>
    </row>
    <row r="71" spans="1:2" x14ac:dyDescent="0.35">
      <c r="A71" s="22">
        <v>1.8666111561882193E-2</v>
      </c>
      <c r="B71">
        <f t="shared" si="1"/>
        <v>3.4842372084063208E-4</v>
      </c>
    </row>
    <row r="72" spans="1:2" x14ac:dyDescent="0.35">
      <c r="A72" s="22">
        <v>4.2815448336899833E-3</v>
      </c>
      <c r="B72">
        <f t="shared" si="1"/>
        <v>1.8331626162897385E-5</v>
      </c>
    </row>
    <row r="73" spans="1:2" x14ac:dyDescent="0.35">
      <c r="A73" s="22">
        <v>-3.2309367487405927E-2</v>
      </c>
      <c r="B73">
        <f t="shared" si="1"/>
        <v>1.0438952274362432E-3</v>
      </c>
    </row>
    <row r="74" spans="1:2" x14ac:dyDescent="0.35">
      <c r="A74" s="22">
        <v>9.9077239318130922E-3</v>
      </c>
      <c r="B74">
        <f t="shared" si="1"/>
        <v>9.8162993509021877E-5</v>
      </c>
    </row>
    <row r="75" spans="1:2" x14ac:dyDescent="0.35">
      <c r="A75" s="22">
        <v>9.1228612757742588E-3</v>
      </c>
      <c r="B75">
        <f t="shared" si="1"/>
        <v>8.3226597857021531E-5</v>
      </c>
    </row>
    <row r="76" spans="1:2" x14ac:dyDescent="0.35">
      <c r="A76" s="22">
        <v>-1.0495483971394859E-2</v>
      </c>
      <c r="B76">
        <f t="shared" si="1"/>
        <v>1.1015518379380639E-4</v>
      </c>
    </row>
    <row r="77" spans="1:2" x14ac:dyDescent="0.35">
      <c r="A77" s="22">
        <v>2.477559415682622E-2</v>
      </c>
      <c r="B77">
        <f t="shared" si="1"/>
        <v>6.1383006582376159E-4</v>
      </c>
    </row>
    <row r="78" spans="1:2" x14ac:dyDescent="0.35">
      <c r="A78" s="22">
        <v>8.231936215879301E-3</v>
      </c>
      <c r="B78">
        <f t="shared" si="1"/>
        <v>6.7764773862305221E-5</v>
      </c>
    </row>
    <row r="79" spans="1:2" x14ac:dyDescent="0.35">
      <c r="A79" s="22">
        <v>1.2763420866457442E-2</v>
      </c>
      <c r="B79">
        <f t="shared" si="1"/>
        <v>1.6290491221432124E-4</v>
      </c>
    </row>
    <row r="80" spans="1:2" x14ac:dyDescent="0.35">
      <c r="A80" s="22">
        <v>-1.0134733610644497E-2</v>
      </c>
      <c r="B80">
        <f t="shared" si="1"/>
        <v>1.0271282535872723E-4</v>
      </c>
    </row>
    <row r="81" spans="1:2" x14ac:dyDescent="0.35">
      <c r="A81" s="22">
        <v>5.7966181867320221E-2</v>
      </c>
      <c r="B81">
        <f t="shared" si="1"/>
        <v>3.3600782402752436E-3</v>
      </c>
    </row>
    <row r="82" spans="1:2" x14ac:dyDescent="0.35">
      <c r="A82" s="22">
        <v>-3.4923673028507004E-3</v>
      </c>
      <c r="B82">
        <f t="shared" si="1"/>
        <v>1.2196629378020676E-5</v>
      </c>
    </row>
    <row r="83" spans="1:2" x14ac:dyDescent="0.35">
      <c r="A83" s="22">
        <v>2.0115159442231915E-2</v>
      </c>
      <c r="B83">
        <f t="shared" si="1"/>
        <v>4.0461963938641176E-4</v>
      </c>
    </row>
    <row r="84" spans="1:2" x14ac:dyDescent="0.35">
      <c r="A84" s="22">
        <v>1.0567767298920972E-2</v>
      </c>
      <c r="B84">
        <f t="shared" si="1"/>
        <v>1.1167770568414345E-4</v>
      </c>
    </row>
    <row r="85" spans="1:2" x14ac:dyDescent="0.35">
      <c r="A85" s="22">
        <v>1.5268176732024784E-2</v>
      </c>
      <c r="B85">
        <f t="shared" si="1"/>
        <v>2.3311722072034301E-4</v>
      </c>
    </row>
    <row r="86" spans="1:2" x14ac:dyDescent="0.35">
      <c r="A86" s="22">
        <v>2.2144078917278317E-2</v>
      </c>
      <c r="B86">
        <f t="shared" si="1"/>
        <v>4.9036023109465005E-4</v>
      </c>
    </row>
    <row r="87" spans="1:2" x14ac:dyDescent="0.35">
      <c r="A87" s="22">
        <v>-6.7749843112199677E-3</v>
      </c>
      <c r="B87">
        <f t="shared" si="1"/>
        <v>4.5900412417276698E-5</v>
      </c>
    </row>
    <row r="88" spans="1:2" x14ac:dyDescent="0.35">
      <c r="A88" s="22">
        <v>-1.4988752913000029E-2</v>
      </c>
      <c r="B88">
        <f t="shared" si="1"/>
        <v>2.2466271388696686E-4</v>
      </c>
    </row>
    <row r="89" spans="1:2" x14ac:dyDescent="0.35">
      <c r="A89" s="22">
        <v>1.2638701485065646E-2</v>
      </c>
      <c r="B89">
        <f t="shared" si="1"/>
        <v>1.5973677522860056E-4</v>
      </c>
    </row>
    <row r="90" spans="1:2" x14ac:dyDescent="0.35">
      <c r="A90" s="22">
        <v>-6.8815526501963764E-2</v>
      </c>
      <c r="B90">
        <f t="shared" si="1"/>
        <v>4.7355766877424776E-3</v>
      </c>
    </row>
    <row r="91" spans="1:2" x14ac:dyDescent="0.35">
      <c r="A91" s="22">
        <v>1.2788200329238672E-2</v>
      </c>
      <c r="B91">
        <f t="shared" si="1"/>
        <v>1.6353806766074009E-4</v>
      </c>
    </row>
    <row r="92" spans="1:2" x14ac:dyDescent="0.35">
      <c r="A92" s="22">
        <v>2.9345303081288156E-2</v>
      </c>
      <c r="B92">
        <f t="shared" si="1"/>
        <v>8.6114681293266012E-4</v>
      </c>
    </row>
    <row r="93" spans="1:2" x14ac:dyDescent="0.35">
      <c r="A93" s="22">
        <v>1.4647644059819838E-2</v>
      </c>
      <c r="B93">
        <f t="shared" si="1"/>
        <v>2.1455347650317538E-4</v>
      </c>
    </row>
    <row r="94" spans="1:2" x14ac:dyDescent="0.35">
      <c r="A94" s="22">
        <v>-1.5806447788582808E-2</v>
      </c>
      <c r="B94">
        <f t="shared" si="1"/>
        <v>2.4984379169319432E-4</v>
      </c>
    </row>
    <row r="95" spans="1:2" x14ac:dyDescent="0.35">
      <c r="A95" s="22">
        <v>-2.086407049892175E-2</v>
      </c>
      <c r="B95">
        <f t="shared" si="1"/>
        <v>4.3530943778397686E-4</v>
      </c>
    </row>
    <row r="96" spans="1:2" x14ac:dyDescent="0.35">
      <c r="A96" s="22">
        <v>2.1732139528508901E-2</v>
      </c>
      <c r="B96">
        <f t="shared" si="1"/>
        <v>4.7228588848657909E-4</v>
      </c>
    </row>
    <row r="97" spans="1:2" x14ac:dyDescent="0.35">
      <c r="A97" s="22">
        <v>-5.806380064010702E-3</v>
      </c>
      <c r="B97">
        <f t="shared" si="1"/>
        <v>3.3714049447740921E-5</v>
      </c>
    </row>
    <row r="98" spans="1:2" x14ac:dyDescent="0.35">
      <c r="A98" s="22">
        <v>2.6285007366286107E-3</v>
      </c>
      <c r="B98">
        <f t="shared" si="1"/>
        <v>6.9090161224571488E-6</v>
      </c>
    </row>
    <row r="99" spans="1:2" x14ac:dyDescent="0.35">
      <c r="A99" s="22">
        <v>-4.1985793942717439E-2</v>
      </c>
      <c r="B99">
        <f t="shared" si="1"/>
        <v>1.7628068930003284E-3</v>
      </c>
    </row>
    <row r="100" spans="1:2" x14ac:dyDescent="0.35">
      <c r="A100" s="22">
        <v>4.0080418528857251E-3</v>
      </c>
      <c r="B100">
        <f t="shared" si="1"/>
        <v>1.6064399494483637E-5</v>
      </c>
    </row>
    <row r="101" spans="1:2" x14ac:dyDescent="0.35">
      <c r="A101" s="22">
        <v>1.4633703963052974E-2</v>
      </c>
      <c r="B101">
        <f t="shared" si="1"/>
        <v>2.141452916782723E-4</v>
      </c>
    </row>
    <row r="102" spans="1:2" x14ac:dyDescent="0.35">
      <c r="A102" s="22">
        <v>1.5645007930972329E-2</v>
      </c>
      <c r="B102">
        <f t="shared" si="1"/>
        <v>2.4476627316018706E-4</v>
      </c>
    </row>
    <row r="103" spans="1:2" x14ac:dyDescent="0.35">
      <c r="A103" s="22">
        <v>2.0249120543701479E-2</v>
      </c>
      <c r="B103">
        <f t="shared" si="1"/>
        <v>4.1002688279335325E-4</v>
      </c>
    </row>
    <row r="104" spans="1:2" x14ac:dyDescent="0.35">
      <c r="A104" s="22">
        <v>4.8980897932113888E-2</v>
      </c>
      <c r="B104">
        <f t="shared" si="1"/>
        <v>2.3991283622361585E-3</v>
      </c>
    </row>
    <row r="105" spans="1:2" x14ac:dyDescent="0.35">
      <c r="A105" s="22">
        <v>-5.1981775457686327E-2</v>
      </c>
      <c r="B105">
        <f t="shared" si="1"/>
        <v>2.7021049797333204E-3</v>
      </c>
    </row>
    <row r="106" spans="1:2" x14ac:dyDescent="0.35">
      <c r="A106" s="22">
        <v>-1.0555860600809224E-2</v>
      </c>
      <c r="B106">
        <f t="shared" si="1"/>
        <v>1.1142619302371646E-4</v>
      </c>
    </row>
    <row r="107" spans="1:2" x14ac:dyDescent="0.35">
      <c r="A107" s="22">
        <v>-1.1867903822075419E-2</v>
      </c>
      <c r="B107">
        <f t="shared" si="1"/>
        <v>1.4084714113003235E-4</v>
      </c>
    </row>
    <row r="108" spans="1:2" x14ac:dyDescent="0.35">
      <c r="A108" s="22">
        <v>2.8927456490030687E-2</v>
      </c>
      <c r="B108">
        <f t="shared" si="1"/>
        <v>8.367977389826185E-4</v>
      </c>
    </row>
    <row r="109" spans="1:2" x14ac:dyDescent="0.35">
      <c r="A109" s="22">
        <v>1.3859415598821854E-3</v>
      </c>
      <c r="B109">
        <f t="shared" si="1"/>
        <v>1.9208340074086656E-6</v>
      </c>
    </row>
    <row r="110" spans="1:2" x14ac:dyDescent="0.35">
      <c r="A110" s="22">
        <v>-1.5204900410669095E-2</v>
      </c>
      <c r="B110">
        <f t="shared" si="1"/>
        <v>2.311889964983652E-4</v>
      </c>
    </row>
    <row r="111" spans="1:2" x14ac:dyDescent="0.35">
      <c r="A111" s="22">
        <v>-1.3022254988845185E-2</v>
      </c>
      <c r="B111">
        <f t="shared" si="1"/>
        <v>1.695791249945033E-4</v>
      </c>
    </row>
    <row r="112" spans="1:2" x14ac:dyDescent="0.35">
      <c r="A112" s="22">
        <v>1.1785794095510472E-2</v>
      </c>
      <c r="B112">
        <f t="shared" si="1"/>
        <v>1.3890494246176948E-4</v>
      </c>
    </row>
    <row r="113" spans="1:2" x14ac:dyDescent="0.35">
      <c r="A113" s="22">
        <v>-3.1682079165210222E-2</v>
      </c>
      <c r="B113">
        <f t="shared" si="1"/>
        <v>1.0037541402306476E-3</v>
      </c>
    </row>
    <row r="114" spans="1:2" x14ac:dyDescent="0.35">
      <c r="A114" s="22">
        <v>2.7111161917268913E-3</v>
      </c>
      <c r="B114">
        <f t="shared" si="1"/>
        <v>7.3501510050437217E-6</v>
      </c>
    </row>
    <row r="115" spans="1:2" x14ac:dyDescent="0.35">
      <c r="A115" s="22">
        <v>3.3206964082531788E-3</v>
      </c>
      <c r="B115">
        <f t="shared" si="1"/>
        <v>1.1027024635785563E-5</v>
      </c>
    </row>
    <row r="116" spans="1:2" x14ac:dyDescent="0.35">
      <c r="A116" s="22">
        <v>-3.494105005792332E-2</v>
      </c>
      <c r="B116">
        <f t="shared" si="1"/>
        <v>1.2208769791503032E-3</v>
      </c>
    </row>
    <row r="117" spans="1:2" x14ac:dyDescent="0.35">
      <c r="A117" s="22">
        <v>-7.4232278639950336E-3</v>
      </c>
      <c r="B117">
        <f t="shared" si="1"/>
        <v>5.5104311920792268E-5</v>
      </c>
    </row>
    <row r="118" spans="1:2" x14ac:dyDescent="0.35">
      <c r="A118" s="22">
        <v>2.4702051226140401E-2</v>
      </c>
      <c r="B118">
        <f t="shared" si="1"/>
        <v>6.1019133477886451E-4</v>
      </c>
    </row>
    <row r="119" spans="1:2" x14ac:dyDescent="0.35">
      <c r="A119" s="22">
        <v>2.3327252007350816E-4</v>
      </c>
      <c r="B119">
        <f t="shared" si="1"/>
        <v>5.4416068621445267E-8</v>
      </c>
    </row>
    <row r="120" spans="1:2" x14ac:dyDescent="0.35">
      <c r="A120" s="22">
        <v>1.215257757252625E-2</v>
      </c>
      <c r="B120">
        <f t="shared" si="1"/>
        <v>1.4768514165626801E-4</v>
      </c>
    </row>
    <row r="121" spans="1:2" x14ac:dyDescent="0.35">
      <c r="A121" s="22">
        <v>6.4041709524906412E-2</v>
      </c>
      <c r="B121">
        <f t="shared" si="1"/>
        <v>4.1013405588724884E-3</v>
      </c>
    </row>
    <row r="122" spans="1:2" x14ac:dyDescent="0.35">
      <c r="A122" s="22">
        <v>4.2621035452149085E-3</v>
      </c>
      <c r="B122">
        <f t="shared" si="1"/>
        <v>1.8165526630133493E-5</v>
      </c>
    </row>
    <row r="123" spans="1:2" x14ac:dyDescent="0.35">
      <c r="A123" s="22">
        <v>-1.4299456489156575E-2</v>
      </c>
      <c r="B123">
        <f t="shared" si="1"/>
        <v>2.0447445588528209E-4</v>
      </c>
    </row>
    <row r="124" spans="1:2" x14ac:dyDescent="0.35">
      <c r="A124" s="22">
        <v>-1.6845707712922989E-2</v>
      </c>
      <c r="B124">
        <f t="shared" si="1"/>
        <v>2.837778683492331E-4</v>
      </c>
    </row>
    <row r="125" spans="1:2" x14ac:dyDescent="0.35">
      <c r="A125" s="22">
        <v>4.3844986505233823E-3</v>
      </c>
      <c r="B125">
        <f t="shared" si="1"/>
        <v>1.922382841644136E-5</v>
      </c>
    </row>
    <row r="126" spans="1:2" x14ac:dyDescent="0.35">
      <c r="A126" s="22">
        <v>-4.5561861177093634E-3</v>
      </c>
      <c r="B126">
        <f t="shared" si="1"/>
        <v>2.075883193920752E-5</v>
      </c>
    </row>
    <row r="127" spans="1:2" x14ac:dyDescent="0.35">
      <c r="A127" s="22">
        <v>-1.7110891780832561E-2</v>
      </c>
      <c r="B127">
        <f t="shared" si="1"/>
        <v>2.9278261753536329E-4</v>
      </c>
    </row>
    <row r="128" spans="1:2" x14ac:dyDescent="0.35">
      <c r="A128" s="22">
        <v>2.1269067120613269E-4</v>
      </c>
      <c r="B128">
        <f t="shared" si="1"/>
        <v>4.5237321618115242E-8</v>
      </c>
    </row>
    <row r="129" spans="1:2" x14ac:dyDescent="0.35">
      <c r="A129" s="22">
        <v>-8.8896195014527297E-3</v>
      </c>
      <c r="B129">
        <f t="shared" si="1"/>
        <v>7.9025334880608673E-5</v>
      </c>
    </row>
    <row r="130" spans="1:2" x14ac:dyDescent="0.35">
      <c r="A130" s="22">
        <v>1.4293408626555195E-2</v>
      </c>
      <c r="B130">
        <f t="shared" si="1"/>
        <v>2.0430153016568248E-4</v>
      </c>
    </row>
    <row r="131" spans="1:2" x14ac:dyDescent="0.35">
      <c r="A131" s="22">
        <v>-1.8488563134558267E-2</v>
      </c>
      <c r="B131">
        <f t="shared" ref="B131:B194" si="2">A131^2</f>
        <v>3.4182696678054699E-4</v>
      </c>
    </row>
    <row r="132" spans="1:2" x14ac:dyDescent="0.35">
      <c r="A132" s="22">
        <v>2.6018302542391659E-2</v>
      </c>
      <c r="B132">
        <f t="shared" si="2"/>
        <v>6.7695206718742433E-4</v>
      </c>
    </row>
    <row r="133" spans="1:2" x14ac:dyDescent="0.35">
      <c r="A133" s="22">
        <v>-8.1742464616476034E-3</v>
      </c>
      <c r="B133">
        <f t="shared" si="2"/>
        <v>6.6818305215758371E-5</v>
      </c>
    </row>
    <row r="134" spans="1:2" x14ac:dyDescent="0.35">
      <c r="A134" s="22">
        <v>-3.9598333942761015E-2</v>
      </c>
      <c r="B134">
        <f t="shared" si="2"/>
        <v>1.5680280510424192E-3</v>
      </c>
    </row>
    <row r="135" spans="1:2" x14ac:dyDescent="0.35">
      <c r="A135" s="22">
        <v>-1.7343626412757586E-2</v>
      </c>
      <c r="B135">
        <f t="shared" si="2"/>
        <v>3.0080137714530257E-4</v>
      </c>
    </row>
    <row r="136" spans="1:2" x14ac:dyDescent="0.35">
      <c r="A136" s="22">
        <v>2.0039753460394341E-2</v>
      </c>
      <c r="B136">
        <f t="shared" si="2"/>
        <v>4.0159171875338697E-4</v>
      </c>
    </row>
    <row r="137" spans="1:2" x14ac:dyDescent="0.35">
      <c r="A137" s="22">
        <v>-1.7290594020572439E-2</v>
      </c>
      <c r="B137">
        <f t="shared" si="2"/>
        <v>2.9896464158425537E-4</v>
      </c>
    </row>
    <row r="138" spans="1:2" x14ac:dyDescent="0.35">
      <c r="A138" s="22">
        <v>-2.2036739942950079E-2</v>
      </c>
      <c r="B138">
        <f t="shared" si="2"/>
        <v>4.8561790731321142E-4</v>
      </c>
    </row>
    <row r="139" spans="1:2" x14ac:dyDescent="0.35">
      <c r="A139" s="22">
        <v>3.2787048575939379E-2</v>
      </c>
      <c r="B139">
        <f t="shared" si="2"/>
        <v>1.0749905543210084E-3</v>
      </c>
    </row>
    <row r="140" spans="1:2" x14ac:dyDescent="0.35">
      <c r="A140" s="22">
        <v>4.1796961897877224E-2</v>
      </c>
      <c r="B140">
        <f t="shared" si="2"/>
        <v>1.7469860238926004E-3</v>
      </c>
    </row>
    <row r="141" spans="1:2" x14ac:dyDescent="0.35">
      <c r="A141" s="22">
        <v>-1.4291754837152131E-2</v>
      </c>
      <c r="B141">
        <f t="shared" si="2"/>
        <v>2.0425425632526132E-4</v>
      </c>
    </row>
    <row r="142" spans="1:2" x14ac:dyDescent="0.35">
      <c r="A142" s="22">
        <v>-1.6199640664631386E-3</v>
      </c>
      <c r="B142">
        <f t="shared" si="2"/>
        <v>2.6242835766317881E-6</v>
      </c>
    </row>
    <row r="143" spans="1:2" x14ac:dyDescent="0.35">
      <c r="A143" s="22">
        <v>1.0034973982375888E-2</v>
      </c>
      <c r="B143">
        <f t="shared" si="2"/>
        <v>1.0070070282696099E-4</v>
      </c>
    </row>
    <row r="144" spans="1:2" x14ac:dyDescent="0.35">
      <c r="A144" s="22">
        <v>-2.4073890992424841E-2</v>
      </c>
      <c r="B144">
        <f t="shared" si="2"/>
        <v>5.7955222751515385E-4</v>
      </c>
    </row>
    <row r="145" spans="1:2" x14ac:dyDescent="0.35">
      <c r="A145" s="22">
        <v>4.1894083343545822E-2</v>
      </c>
      <c r="B145">
        <f t="shared" si="2"/>
        <v>1.7551142191959636E-3</v>
      </c>
    </row>
    <row r="146" spans="1:2" x14ac:dyDescent="0.35">
      <c r="A146" s="22">
        <v>1.2135359065175964E-2</v>
      </c>
      <c r="B146">
        <f t="shared" si="2"/>
        <v>1.4726693964074844E-4</v>
      </c>
    </row>
    <row r="147" spans="1:2" x14ac:dyDescent="0.35">
      <c r="A147" s="22">
        <v>-4.3411562850938681E-2</v>
      </c>
      <c r="B147">
        <f t="shared" si="2"/>
        <v>1.8845637891609995E-3</v>
      </c>
    </row>
    <row r="148" spans="1:2" x14ac:dyDescent="0.35">
      <c r="A148" s="22">
        <v>-9.0151635255569657E-3</v>
      </c>
      <c r="B148">
        <f t="shared" si="2"/>
        <v>8.1273173392532692E-5</v>
      </c>
    </row>
    <row r="149" spans="1:2" x14ac:dyDescent="0.35">
      <c r="A149" s="22">
        <v>2.4450246626509586E-2</v>
      </c>
      <c r="B149">
        <f t="shared" si="2"/>
        <v>5.9781456009714337E-4</v>
      </c>
    </row>
    <row r="150" spans="1:2" x14ac:dyDescent="0.35">
      <c r="A150" s="22">
        <v>-1.1303564779475627E-2</v>
      </c>
      <c r="B150">
        <f t="shared" si="2"/>
        <v>1.2777057672380189E-4</v>
      </c>
    </row>
    <row r="151" spans="1:2" x14ac:dyDescent="0.35">
      <c r="A151" s="22">
        <v>-1.5100356223326032E-2</v>
      </c>
      <c r="B151">
        <f t="shared" si="2"/>
        <v>2.2802075807134122E-4</v>
      </c>
    </row>
    <row r="152" spans="1:2" x14ac:dyDescent="0.35">
      <c r="A152" s="22">
        <v>-4.1258171539667442E-3</v>
      </c>
      <c r="B152">
        <f t="shared" si="2"/>
        <v>1.7022367187966245E-5</v>
      </c>
    </row>
    <row r="153" spans="1:2" x14ac:dyDescent="0.35">
      <c r="A153" s="22">
        <v>-2.2671330464146561E-3</v>
      </c>
      <c r="B153">
        <f t="shared" si="2"/>
        <v>5.1398922501453993E-6</v>
      </c>
    </row>
    <row r="154" spans="1:2" x14ac:dyDescent="0.35">
      <c r="A154" s="22">
        <v>2.7324804760817415E-3</v>
      </c>
      <c r="B154">
        <f t="shared" si="2"/>
        <v>7.466449552167901E-6</v>
      </c>
    </row>
    <row r="155" spans="1:2" x14ac:dyDescent="0.35">
      <c r="A155" s="22">
        <v>1.3944678249316042E-2</v>
      </c>
      <c r="B155">
        <f t="shared" si="2"/>
        <v>1.9445405147694791E-4</v>
      </c>
    </row>
    <row r="156" spans="1:2" x14ac:dyDescent="0.35">
      <c r="A156" s="22">
        <v>-1.5760177619616449E-2</v>
      </c>
      <c r="B156">
        <f t="shared" si="2"/>
        <v>2.4838319860185921E-4</v>
      </c>
    </row>
    <row r="157" spans="1:2" x14ac:dyDescent="0.35">
      <c r="A157" s="22">
        <v>4.5992839323619489E-3</v>
      </c>
      <c r="B157">
        <f t="shared" si="2"/>
        <v>2.1153412690482793E-5</v>
      </c>
    </row>
    <row r="158" spans="1:2" x14ac:dyDescent="0.35">
      <c r="A158" s="22">
        <v>-6.6056539946084238E-3</v>
      </c>
      <c r="B158">
        <f t="shared" si="2"/>
        <v>4.3634664696486223E-5</v>
      </c>
    </row>
    <row r="159" spans="1:2" x14ac:dyDescent="0.35">
      <c r="A159" s="22">
        <v>-1.2269473870384703E-2</v>
      </c>
      <c r="B159">
        <f t="shared" si="2"/>
        <v>1.5053998905605298E-4</v>
      </c>
    </row>
    <row r="160" spans="1:2" x14ac:dyDescent="0.35">
      <c r="A160" s="22">
        <v>4.03310361222123E-3</v>
      </c>
      <c r="B160">
        <f t="shared" si="2"/>
        <v>1.6265924746911934E-5</v>
      </c>
    </row>
    <row r="161" spans="1:2" x14ac:dyDescent="0.35">
      <c r="A161" s="22">
        <v>-2.1805053215472995E-2</v>
      </c>
      <c r="B161">
        <f t="shared" si="2"/>
        <v>4.754603457296092E-4</v>
      </c>
    </row>
    <row r="162" spans="1:2" x14ac:dyDescent="0.35">
      <c r="A162" s="22">
        <v>1.5693042217131355E-2</v>
      </c>
      <c r="B162">
        <f t="shared" si="2"/>
        <v>2.4627157402866699E-4</v>
      </c>
    </row>
    <row r="163" spans="1:2" x14ac:dyDescent="0.35">
      <c r="A163" s="22">
        <v>2.620463949250328E-2</v>
      </c>
      <c r="B163">
        <f t="shared" si="2"/>
        <v>6.866831309320625E-4</v>
      </c>
    </row>
    <row r="164" spans="1:2" x14ac:dyDescent="0.35">
      <c r="A164" s="22">
        <v>1.1943589053736135E-2</v>
      </c>
      <c r="B164">
        <f t="shared" si="2"/>
        <v>1.4264931948452562E-4</v>
      </c>
    </row>
    <row r="165" spans="1:2" x14ac:dyDescent="0.35">
      <c r="A165" s="22">
        <v>1.7887061778609825E-2</v>
      </c>
      <c r="B165">
        <f t="shared" si="2"/>
        <v>3.1994697907180447E-4</v>
      </c>
    </row>
    <row r="166" spans="1:2" x14ac:dyDescent="0.35">
      <c r="A166" s="22">
        <v>-1.8946239280319039E-2</v>
      </c>
      <c r="B166">
        <f t="shared" si="2"/>
        <v>3.5895998286710411E-4</v>
      </c>
    </row>
    <row r="167" spans="1:2" x14ac:dyDescent="0.35">
      <c r="A167" s="22">
        <v>1.8507965154005653E-2</v>
      </c>
      <c r="B167">
        <f t="shared" si="2"/>
        <v>3.4254477414188749E-4</v>
      </c>
    </row>
    <row r="168" spans="1:2" x14ac:dyDescent="0.35">
      <c r="A168" s="22">
        <v>-1.5954019052910259E-2</v>
      </c>
      <c r="B168">
        <f t="shared" si="2"/>
        <v>2.5453072394062358E-4</v>
      </c>
    </row>
    <row r="169" spans="1:2" x14ac:dyDescent="0.35">
      <c r="A169" s="22">
        <v>2.6450398074268603E-3</v>
      </c>
      <c r="B169">
        <f t="shared" si="2"/>
        <v>6.9962355828727223E-6</v>
      </c>
    </row>
    <row r="170" spans="1:2" x14ac:dyDescent="0.35">
      <c r="A170" s="22">
        <v>-1.7970231446142255E-2</v>
      </c>
      <c r="B170">
        <f t="shared" si="2"/>
        <v>3.2292921822791996E-4</v>
      </c>
    </row>
    <row r="171" spans="1:2" x14ac:dyDescent="0.35">
      <c r="A171" s="22">
        <v>-3.4789896014150051E-3</v>
      </c>
      <c r="B171">
        <f t="shared" si="2"/>
        <v>1.2103368646753736E-5</v>
      </c>
    </row>
    <row r="172" spans="1:2" x14ac:dyDescent="0.35">
      <c r="A172" s="22">
        <v>-3.4885332763253713E-3</v>
      </c>
      <c r="B172">
        <f t="shared" si="2"/>
        <v>1.2169864420029429E-5</v>
      </c>
    </row>
    <row r="173" spans="1:2" x14ac:dyDescent="0.35">
      <c r="A173" s="22">
        <v>3.3299209154627079E-3</v>
      </c>
      <c r="B173">
        <f t="shared" si="2"/>
        <v>1.1088373303235999E-5</v>
      </c>
    </row>
    <row r="174" spans="1:2" x14ac:dyDescent="0.35">
      <c r="A174" s="22">
        <v>-2.4513212274837565E-2</v>
      </c>
      <c r="B174">
        <f t="shared" si="2"/>
        <v>6.0089757603124709E-4</v>
      </c>
    </row>
    <row r="175" spans="1:2" x14ac:dyDescent="0.35">
      <c r="A175" s="22">
        <v>-2.257444852184225E-2</v>
      </c>
      <c r="B175">
        <f t="shared" si="2"/>
        <v>5.0960572606530575E-4</v>
      </c>
    </row>
    <row r="176" spans="1:2" x14ac:dyDescent="0.35">
      <c r="A176" s="22">
        <v>-1.0115795970190331E-2</v>
      </c>
      <c r="B176">
        <f t="shared" si="2"/>
        <v>1.0232932811051894E-4</v>
      </c>
    </row>
    <row r="177" spans="1:2" x14ac:dyDescent="0.35">
      <c r="A177" s="22">
        <v>4.1866779620760184E-3</v>
      </c>
      <c r="B177">
        <f t="shared" si="2"/>
        <v>1.7528272358133004E-5</v>
      </c>
    </row>
    <row r="178" spans="1:2" x14ac:dyDescent="0.35">
      <c r="A178" s="22">
        <v>-8.8635292449775038E-3</v>
      </c>
      <c r="B178">
        <f t="shared" si="2"/>
        <v>7.8562150676571478E-5</v>
      </c>
    </row>
    <row r="179" spans="1:2" x14ac:dyDescent="0.35">
      <c r="A179" s="22">
        <v>3.547707469956838E-3</v>
      </c>
      <c r="B179">
        <f t="shared" si="2"/>
        <v>1.2586228292387549E-5</v>
      </c>
    </row>
    <row r="180" spans="1:2" x14ac:dyDescent="0.35">
      <c r="A180" s="22">
        <v>-8.24787701174594E-3</v>
      </c>
      <c r="B180">
        <f t="shared" si="2"/>
        <v>6.8027475200887135E-5</v>
      </c>
    </row>
    <row r="181" spans="1:2" x14ac:dyDescent="0.35">
      <c r="A181" s="22">
        <v>-3.7333787854553636E-2</v>
      </c>
      <c r="B181">
        <f t="shared" si="2"/>
        <v>1.3938117155688167E-3</v>
      </c>
    </row>
    <row r="182" spans="1:2" x14ac:dyDescent="0.35">
      <c r="A182" s="22">
        <v>-2.847666565120666E-2</v>
      </c>
      <c r="B182">
        <f t="shared" si="2"/>
        <v>8.1092048661061326E-4</v>
      </c>
    </row>
    <row r="183" spans="1:2" x14ac:dyDescent="0.35">
      <c r="A183" s="22">
        <v>1.1585793923836544E-2</v>
      </c>
      <c r="B183">
        <f t="shared" si="2"/>
        <v>1.342306208456078E-4</v>
      </c>
    </row>
    <row r="184" spans="1:2" x14ac:dyDescent="0.35">
      <c r="A184" s="22">
        <v>2.2586027522372935E-2</v>
      </c>
      <c r="B184">
        <f t="shared" si="2"/>
        <v>5.1012863924138768E-4</v>
      </c>
    </row>
    <row r="185" spans="1:2" x14ac:dyDescent="0.35">
      <c r="A185" s="22">
        <v>2.8196404278015536E-2</v>
      </c>
      <c r="B185">
        <f t="shared" si="2"/>
        <v>7.9503721420929284E-4</v>
      </c>
    </row>
    <row r="186" spans="1:2" x14ac:dyDescent="0.35">
      <c r="A186" s="22">
        <v>-2.1572501666546236E-2</v>
      </c>
      <c r="B186">
        <f t="shared" si="2"/>
        <v>4.6537282815314012E-4</v>
      </c>
    </row>
    <row r="187" spans="1:2" x14ac:dyDescent="0.35">
      <c r="A187" s="22">
        <v>2.597469448661328E-2</v>
      </c>
      <c r="B187">
        <f t="shared" si="2"/>
        <v>6.7468475367289834E-4</v>
      </c>
    </row>
    <row r="188" spans="1:2" x14ac:dyDescent="0.35">
      <c r="A188" s="22">
        <v>-1.8839796663533571E-2</v>
      </c>
      <c r="B188">
        <f t="shared" si="2"/>
        <v>3.5493793832329064E-4</v>
      </c>
    </row>
    <row r="189" spans="1:2" x14ac:dyDescent="0.35">
      <c r="A189" s="22">
        <v>-1.6501856420720318E-2</v>
      </c>
      <c r="B189">
        <f t="shared" si="2"/>
        <v>2.7231126533006842E-4</v>
      </c>
    </row>
    <row r="190" spans="1:2" x14ac:dyDescent="0.35">
      <c r="A190" s="22">
        <v>1.5294475652125527E-2</v>
      </c>
      <c r="B190">
        <f t="shared" si="2"/>
        <v>2.3392098547346058E-4</v>
      </c>
    </row>
    <row r="191" spans="1:2" x14ac:dyDescent="0.35">
      <c r="A191" s="22">
        <v>-1.5169490660176583E-2</v>
      </c>
      <c r="B191">
        <f t="shared" si="2"/>
        <v>2.3011344688918456E-4</v>
      </c>
    </row>
    <row r="192" spans="1:2" x14ac:dyDescent="0.35">
      <c r="A192" s="22">
        <v>-1.4709402295742545E-2</v>
      </c>
      <c r="B192">
        <f t="shared" si="2"/>
        <v>2.1636651589799604E-4</v>
      </c>
    </row>
    <row r="193" spans="1:2" x14ac:dyDescent="0.35">
      <c r="A193" s="22">
        <v>-2.6673865295004425E-2</v>
      </c>
      <c r="B193">
        <f t="shared" si="2"/>
        <v>7.1149508977604156E-4</v>
      </c>
    </row>
    <row r="194" spans="1:2" x14ac:dyDescent="0.35">
      <c r="A194" s="22">
        <v>-1.4599019324930138E-2</v>
      </c>
      <c r="B194">
        <f t="shared" si="2"/>
        <v>2.1313136524968361E-4</v>
      </c>
    </row>
    <row r="195" spans="1:2" x14ac:dyDescent="0.35">
      <c r="A195" s="22">
        <v>-7.5990848213934809E-3</v>
      </c>
      <c r="B195">
        <f t="shared" ref="B195:B258" si="3">A195^2</f>
        <v>5.7746090122732789E-5</v>
      </c>
    </row>
    <row r="196" spans="1:2" x14ac:dyDescent="0.35">
      <c r="A196" s="22">
        <v>-1.2731193754274424E-2</v>
      </c>
      <c r="B196">
        <f t="shared" si="3"/>
        <v>1.6208329440887612E-4</v>
      </c>
    </row>
    <row r="197" spans="1:2" x14ac:dyDescent="0.35">
      <c r="A197" s="22">
        <v>2.3852403425721078E-2</v>
      </c>
      <c r="B197">
        <f t="shared" si="3"/>
        <v>5.6893714918335061E-4</v>
      </c>
    </row>
    <row r="198" spans="1:2" x14ac:dyDescent="0.35">
      <c r="A198" s="22">
        <v>2.9017290835497631E-2</v>
      </c>
      <c r="B198">
        <f t="shared" si="3"/>
        <v>8.4200316743185475E-4</v>
      </c>
    </row>
    <row r="199" spans="1:2" x14ac:dyDescent="0.35">
      <c r="A199" s="22">
        <v>-1.9906668992335907E-2</v>
      </c>
      <c r="B199">
        <f t="shared" si="3"/>
        <v>3.9627547037042785E-4</v>
      </c>
    </row>
    <row r="200" spans="1:2" x14ac:dyDescent="0.35">
      <c r="A200" s="22">
        <v>4.0117253208506544E-2</v>
      </c>
      <c r="B200">
        <f t="shared" si="3"/>
        <v>1.6093940049954287E-3</v>
      </c>
    </row>
    <row r="201" spans="1:2" x14ac:dyDescent="0.35">
      <c r="A201" s="22">
        <v>5.070007003932211E-3</v>
      </c>
      <c r="B201">
        <f t="shared" si="3"/>
        <v>2.5704971019921676E-5</v>
      </c>
    </row>
    <row r="202" spans="1:2" x14ac:dyDescent="0.35">
      <c r="A202" s="22">
        <v>-3.9447387038473331E-4</v>
      </c>
      <c r="B202">
        <f t="shared" si="3"/>
        <v>1.5560963441631137E-7</v>
      </c>
    </row>
    <row r="203" spans="1:2" x14ac:dyDescent="0.35">
      <c r="A203" s="22">
        <v>-2.3492299957341242E-2</v>
      </c>
      <c r="B203">
        <f t="shared" si="3"/>
        <v>5.5188815728569537E-4</v>
      </c>
    </row>
    <row r="204" spans="1:2" x14ac:dyDescent="0.35">
      <c r="A204" s="22">
        <v>5.8642187582661608E-3</v>
      </c>
      <c r="B204">
        <f t="shared" si="3"/>
        <v>3.4389061644800713E-5</v>
      </c>
    </row>
    <row r="205" spans="1:2" x14ac:dyDescent="0.35">
      <c r="A205" s="22">
        <v>-2.6655704001690934E-2</v>
      </c>
      <c r="B205">
        <f t="shared" si="3"/>
        <v>7.1052655582576211E-4</v>
      </c>
    </row>
    <row r="206" spans="1:2" x14ac:dyDescent="0.35">
      <c r="A206" s="22">
        <v>-3.3751464643983077E-2</v>
      </c>
      <c r="B206">
        <f t="shared" si="3"/>
        <v>1.1391613656140398E-3</v>
      </c>
    </row>
    <row r="207" spans="1:2" x14ac:dyDescent="0.35">
      <c r="A207" s="22">
        <v>1.2087170769850209E-2</v>
      </c>
      <c r="B207">
        <f t="shared" si="3"/>
        <v>1.4609969721952131E-4</v>
      </c>
    </row>
    <row r="208" spans="1:2" x14ac:dyDescent="0.35">
      <c r="A208" s="22">
        <v>5.4068314233063526E-3</v>
      </c>
      <c r="B208">
        <f t="shared" si="3"/>
        <v>2.9233826040052999E-5</v>
      </c>
    </row>
    <row r="209" spans="1:2" x14ac:dyDescent="0.35">
      <c r="A209" s="22">
        <v>-1.1154544039103128E-3</v>
      </c>
      <c r="B209">
        <f t="shared" si="3"/>
        <v>1.2442385272029114E-6</v>
      </c>
    </row>
    <row r="210" spans="1:2" x14ac:dyDescent="0.35">
      <c r="A210" s="22">
        <v>-2.564699912290996E-2</v>
      </c>
      <c r="B210">
        <f t="shared" si="3"/>
        <v>6.577685640105443E-4</v>
      </c>
    </row>
    <row r="211" spans="1:2" x14ac:dyDescent="0.35">
      <c r="A211" s="22">
        <v>-2.037967002138396E-2</v>
      </c>
      <c r="B211">
        <f t="shared" si="3"/>
        <v>4.1533095018049608E-4</v>
      </c>
    </row>
    <row r="212" spans="1:2" x14ac:dyDescent="0.35">
      <c r="A212" s="22">
        <v>-4.9261959247654356E-3</v>
      </c>
      <c r="B212">
        <f t="shared" si="3"/>
        <v>2.4267406289175585E-5</v>
      </c>
    </row>
    <row r="213" spans="1:2" x14ac:dyDescent="0.35">
      <c r="A213" s="22">
        <v>-1.0257903308927906E-2</v>
      </c>
      <c r="B213">
        <f t="shared" si="3"/>
        <v>1.0522458029531409E-4</v>
      </c>
    </row>
    <row r="214" spans="1:2" x14ac:dyDescent="0.35">
      <c r="A214" s="22">
        <v>-2.6448113717128015E-2</v>
      </c>
      <c r="B214">
        <f t="shared" si="3"/>
        <v>6.9950271919413508E-4</v>
      </c>
    </row>
    <row r="215" spans="1:2" x14ac:dyDescent="0.35">
      <c r="A215" s="22">
        <v>1.7701513541102179E-2</v>
      </c>
      <c r="B215">
        <f t="shared" si="3"/>
        <v>3.1334358164582379E-4</v>
      </c>
    </row>
    <row r="216" spans="1:2" x14ac:dyDescent="0.35">
      <c r="A216" s="22">
        <v>0.10161479969993988</v>
      </c>
      <c r="B216">
        <f t="shared" si="3"/>
        <v>1.03255675180589E-2</v>
      </c>
    </row>
    <row r="217" spans="1:2" x14ac:dyDescent="0.35">
      <c r="A217" s="22">
        <v>-4.4573997012039644E-2</v>
      </c>
      <c r="B217">
        <f t="shared" si="3"/>
        <v>1.9868412096293192E-3</v>
      </c>
    </row>
    <row r="218" spans="1:2" x14ac:dyDescent="0.35">
      <c r="A218" s="22">
        <v>-1.1399609600392097E-2</v>
      </c>
      <c r="B218">
        <f t="shared" si="3"/>
        <v>1.2995109904135167E-4</v>
      </c>
    </row>
    <row r="219" spans="1:2" x14ac:dyDescent="0.35">
      <c r="A219" s="22">
        <v>1.5926000907063254E-2</v>
      </c>
      <c r="B219">
        <f t="shared" si="3"/>
        <v>2.5363750489177956E-4</v>
      </c>
    </row>
    <row r="220" spans="1:2" x14ac:dyDescent="0.35">
      <c r="A220" s="22">
        <v>-6.9638169360781536E-3</v>
      </c>
      <c r="B220">
        <f t="shared" si="3"/>
        <v>4.8494746319208921E-5</v>
      </c>
    </row>
    <row r="221" spans="1:2" x14ac:dyDescent="0.35">
      <c r="A221" s="22">
        <v>-1.2885289447166508E-2</v>
      </c>
      <c r="B221">
        <f t="shared" si="3"/>
        <v>1.6603068413726058E-4</v>
      </c>
    </row>
    <row r="222" spans="1:2" x14ac:dyDescent="0.35">
      <c r="A222" s="22">
        <v>-2.4948045298956167E-2</v>
      </c>
      <c r="B222">
        <f t="shared" si="3"/>
        <v>6.2240496423876892E-4</v>
      </c>
    </row>
    <row r="223" spans="1:2" x14ac:dyDescent="0.35">
      <c r="A223" s="22">
        <v>-8.0222389352207091E-3</v>
      </c>
      <c r="B223">
        <f t="shared" si="3"/>
        <v>6.4356317533771092E-5</v>
      </c>
    </row>
    <row r="224" spans="1:2" x14ac:dyDescent="0.35">
      <c r="A224" s="22">
        <v>-7.3122294430211562E-3</v>
      </c>
      <c r="B224">
        <f t="shared" si="3"/>
        <v>5.3468699427385485E-5</v>
      </c>
    </row>
    <row r="225" spans="1:2" x14ac:dyDescent="0.35">
      <c r="A225" s="22">
        <v>5.0234827859620378E-3</v>
      </c>
      <c r="B225">
        <f t="shared" si="3"/>
        <v>2.5235379300856916E-5</v>
      </c>
    </row>
    <row r="226" spans="1:2" x14ac:dyDescent="0.35">
      <c r="A226" s="22">
        <v>2.9628620817837018E-2</v>
      </c>
      <c r="B226">
        <f t="shared" si="3"/>
        <v>8.7785517156716518E-4</v>
      </c>
    </row>
    <row r="227" spans="1:2" x14ac:dyDescent="0.35">
      <c r="A227" s="22">
        <v>-7.8683154249438829E-3</v>
      </c>
      <c r="B227">
        <f t="shared" si="3"/>
        <v>6.1910387626409834E-5</v>
      </c>
    </row>
    <row r="228" spans="1:2" x14ac:dyDescent="0.35">
      <c r="A228" s="22">
        <v>-1.6960738930625611E-2</v>
      </c>
      <c r="B228">
        <f t="shared" si="3"/>
        <v>2.876666650728392E-4</v>
      </c>
    </row>
    <row r="229" spans="1:2" x14ac:dyDescent="0.35">
      <c r="A229" s="22">
        <v>-2.7193861312957444E-2</v>
      </c>
      <c r="B229">
        <f t="shared" si="3"/>
        <v>7.3950609310836359E-4</v>
      </c>
    </row>
    <row r="230" spans="1:2" x14ac:dyDescent="0.35">
      <c r="A230" s="22">
        <v>7.9070514327884325E-2</v>
      </c>
      <c r="B230">
        <f t="shared" si="3"/>
        <v>6.2521462360761604E-3</v>
      </c>
    </row>
    <row r="231" spans="1:2" x14ac:dyDescent="0.35">
      <c r="A231" s="22">
        <v>-3.1006718768343908E-2</v>
      </c>
      <c r="B231">
        <f t="shared" si="3"/>
        <v>9.614166087791704E-4</v>
      </c>
    </row>
    <row r="232" spans="1:2" x14ac:dyDescent="0.35">
      <c r="A232" s="22">
        <v>-1.1463535696329711E-3</v>
      </c>
      <c r="B232">
        <f t="shared" si="3"/>
        <v>1.3141265066102551E-6</v>
      </c>
    </row>
    <row r="233" spans="1:2" x14ac:dyDescent="0.35">
      <c r="A233" s="22">
        <v>-3.9447387038473331E-4</v>
      </c>
      <c r="B233">
        <f t="shared" si="3"/>
        <v>1.5560963441631137E-7</v>
      </c>
    </row>
    <row r="234" spans="1:2" x14ac:dyDescent="0.35">
      <c r="A234" s="22">
        <v>-3.1244737226291307E-2</v>
      </c>
      <c r="B234">
        <f t="shared" si="3"/>
        <v>9.7623360433999381E-4</v>
      </c>
    </row>
    <row r="235" spans="1:2" x14ac:dyDescent="0.35">
      <c r="A235" s="22">
        <v>-3.9447387038473331E-4</v>
      </c>
      <c r="B235">
        <f t="shared" si="3"/>
        <v>1.5560963441631137E-7</v>
      </c>
    </row>
    <row r="236" spans="1:2" x14ac:dyDescent="0.35">
      <c r="A236" s="22">
        <v>8.9222963159506091E-3</v>
      </c>
      <c r="B236">
        <f t="shared" si="3"/>
        <v>7.9607371549625809E-5</v>
      </c>
    </row>
    <row r="237" spans="1:2" x14ac:dyDescent="0.35">
      <c r="A237" s="22">
        <v>-5.7790892550001393E-3</v>
      </c>
      <c r="B237">
        <f t="shared" si="3"/>
        <v>3.3397872617258066E-5</v>
      </c>
    </row>
    <row r="238" spans="1:2" x14ac:dyDescent="0.35">
      <c r="A238" s="22">
        <v>-2.2822934813926818E-2</v>
      </c>
      <c r="B238">
        <f t="shared" si="3"/>
        <v>5.2088635352075274E-4</v>
      </c>
    </row>
    <row r="239" spans="1:2" x14ac:dyDescent="0.35">
      <c r="A239" s="22">
        <v>1.1878046106278911E-3</v>
      </c>
      <c r="B239">
        <f t="shared" si="3"/>
        <v>1.410879793028876E-6</v>
      </c>
    </row>
    <row r="240" spans="1:2" x14ac:dyDescent="0.35">
      <c r="A240" s="22">
        <v>-3.9447387038473331E-4</v>
      </c>
      <c r="B240">
        <f t="shared" si="3"/>
        <v>1.5560963441631137E-7</v>
      </c>
    </row>
    <row r="241" spans="1:2" x14ac:dyDescent="0.35">
      <c r="A241" s="22">
        <v>3.2780881579852227E-2</v>
      </c>
      <c r="B241">
        <f t="shared" si="3"/>
        <v>1.0745861971522949E-3</v>
      </c>
    </row>
    <row r="242" spans="1:2" x14ac:dyDescent="0.35">
      <c r="A242" s="22">
        <v>1.899104111266594E-3</v>
      </c>
      <c r="B242">
        <f t="shared" si="3"/>
        <v>3.6065964254296799E-6</v>
      </c>
    </row>
    <row r="243" spans="1:2" x14ac:dyDescent="0.35">
      <c r="A243" s="22">
        <v>5.7077381814840747E-3</v>
      </c>
      <c r="B243">
        <f t="shared" si="3"/>
        <v>3.2578275148371134E-5</v>
      </c>
    </row>
    <row r="244" spans="1:2" x14ac:dyDescent="0.35">
      <c r="A244" s="22">
        <v>2.9931530678515977E-2</v>
      </c>
      <c r="B244">
        <f t="shared" si="3"/>
        <v>8.9589652875894307E-4</v>
      </c>
    </row>
    <row r="245" spans="1:2" x14ac:dyDescent="0.35">
      <c r="A245" s="22">
        <v>-3.3507056651841637E-2</v>
      </c>
      <c r="B245">
        <f t="shared" si="3"/>
        <v>1.1227228454697249E-3</v>
      </c>
    </row>
    <row r="246" spans="1:2" x14ac:dyDescent="0.35">
      <c r="A246" s="22">
        <v>5.5161081685170713E-2</v>
      </c>
      <c r="B246">
        <f t="shared" si="3"/>
        <v>3.0427449326780758E-3</v>
      </c>
    </row>
    <row r="247" spans="1:2" x14ac:dyDescent="0.35">
      <c r="A247" s="22">
        <v>-3.9993765380126308E-3</v>
      </c>
      <c r="B247">
        <f t="shared" si="3"/>
        <v>1.5995012692805894E-5</v>
      </c>
    </row>
    <row r="248" spans="1:2" x14ac:dyDescent="0.35">
      <c r="A248" s="22">
        <v>9.7357721498757994E-3</v>
      </c>
      <c r="B248">
        <f t="shared" si="3"/>
        <v>9.4785259354297243E-5</v>
      </c>
    </row>
    <row r="249" spans="1:2" x14ac:dyDescent="0.35">
      <c r="A249" s="22">
        <v>-1.8271386268318213E-3</v>
      </c>
      <c r="B249">
        <f t="shared" si="3"/>
        <v>3.3384355616608735E-6</v>
      </c>
    </row>
    <row r="250" spans="1:2" x14ac:dyDescent="0.35">
      <c r="A250" s="22">
        <v>6.7791272773914252E-3</v>
      </c>
      <c r="B250">
        <f t="shared" si="3"/>
        <v>4.5956566643072475E-5</v>
      </c>
    </row>
    <row r="251" spans="1:2" x14ac:dyDescent="0.35">
      <c r="A251" s="22">
        <v>-1.8189752948861275E-3</v>
      </c>
      <c r="B251">
        <f t="shared" si="3"/>
        <v>3.3086711234060745E-6</v>
      </c>
    </row>
    <row r="252" spans="1:2" x14ac:dyDescent="0.35">
      <c r="A252" s="22">
        <v>-2.2505743485220591E-2</v>
      </c>
      <c r="B252">
        <f t="shared" si="3"/>
        <v>5.0650848982254908E-4</v>
      </c>
    </row>
    <row r="253" spans="1:2" x14ac:dyDescent="0.35">
      <c r="A253" s="22">
        <v>2.294615340897329E-2</v>
      </c>
      <c r="B253">
        <f t="shared" si="3"/>
        <v>5.2652595626813653E-4</v>
      </c>
    </row>
    <row r="254" spans="1:2" x14ac:dyDescent="0.35">
      <c r="A254" s="22">
        <v>-3.2455073700282935E-3</v>
      </c>
      <c r="B254">
        <f t="shared" si="3"/>
        <v>1.053331808890797E-5</v>
      </c>
    </row>
    <row r="255" spans="1:2" x14ac:dyDescent="0.35">
      <c r="A255" s="22">
        <v>-1.5405195814630684E-2</v>
      </c>
      <c r="B255">
        <f t="shared" si="3"/>
        <v>2.3732005808711475E-4</v>
      </c>
    </row>
    <row r="256" spans="1:2" x14ac:dyDescent="0.35">
      <c r="A256" s="22">
        <v>-6.1999891098622421E-3</v>
      </c>
      <c r="B256">
        <f t="shared" si="3"/>
        <v>3.8439864962410394E-5</v>
      </c>
    </row>
    <row r="257" spans="1:2" x14ac:dyDescent="0.35">
      <c r="A257" s="22">
        <v>-1.1244008776839878E-3</v>
      </c>
      <c r="B257">
        <f t="shared" si="3"/>
        <v>1.264277333736522E-6</v>
      </c>
    </row>
    <row r="258" spans="1:2" x14ac:dyDescent="0.35">
      <c r="A258" s="22">
        <v>-1.7195058238536572E-2</v>
      </c>
      <c r="B258">
        <f t="shared" si="3"/>
        <v>2.9567002782666441E-4</v>
      </c>
    </row>
    <row r="259" spans="1:2" x14ac:dyDescent="0.35">
      <c r="A259" s="22">
        <v>-8.5668364261054768E-3</v>
      </c>
      <c r="B259">
        <f t="shared" ref="B259:B322" si="4">A259^2</f>
        <v>7.3390686351647663E-5</v>
      </c>
    </row>
    <row r="260" spans="1:2" x14ac:dyDescent="0.35">
      <c r="A260" s="22">
        <v>-2.2117320312332236E-2</v>
      </c>
      <c r="B260">
        <f t="shared" si="4"/>
        <v>4.8917585779830407E-4</v>
      </c>
    </row>
    <row r="261" spans="1:2" x14ac:dyDescent="0.35">
      <c r="A261" s="22">
        <v>1.645085537923233E-2</v>
      </c>
      <c r="B261">
        <f t="shared" si="4"/>
        <v>2.7063064270841731E-4</v>
      </c>
    </row>
    <row r="262" spans="1:2" x14ac:dyDescent="0.35">
      <c r="A262" s="22">
        <v>3.4997092394675557E-2</v>
      </c>
      <c r="B262">
        <f t="shared" si="4"/>
        <v>1.2247964760814577E-3</v>
      </c>
    </row>
    <row r="263" spans="1:2" x14ac:dyDescent="0.35">
      <c r="A263" s="22">
        <v>3.2418897659789547E-3</v>
      </c>
      <c r="B263">
        <f t="shared" si="4"/>
        <v>1.0509849254759082E-5</v>
      </c>
    </row>
    <row r="264" spans="1:2" x14ac:dyDescent="0.35">
      <c r="A264" s="22">
        <v>8.3011783035282522E-3</v>
      </c>
      <c r="B264">
        <f t="shared" si="4"/>
        <v>6.8909561226968192E-5</v>
      </c>
    </row>
    <row r="265" spans="1:2" x14ac:dyDescent="0.35">
      <c r="A265" s="22">
        <v>2.4790893480061377E-3</v>
      </c>
      <c r="B265">
        <f t="shared" si="4"/>
        <v>6.1458839953974969E-6</v>
      </c>
    </row>
    <row r="266" spans="1:2" x14ac:dyDescent="0.35">
      <c r="A266" s="22">
        <v>-1.5437453813078204E-2</v>
      </c>
      <c r="B266">
        <f t="shared" si="4"/>
        <v>2.3831498023092279E-4</v>
      </c>
    </row>
    <row r="267" spans="1:2" x14ac:dyDescent="0.35">
      <c r="A267" s="22">
        <v>-1.203083750674838E-2</v>
      </c>
      <c r="B267">
        <f t="shared" si="4"/>
        <v>1.4474105111378358E-4</v>
      </c>
    </row>
    <row r="268" spans="1:2" x14ac:dyDescent="0.35">
      <c r="A268" s="22">
        <v>-4.0865408381054395E-2</v>
      </c>
      <c r="B268">
        <f t="shared" si="4"/>
        <v>1.6699816021503509E-3</v>
      </c>
    </row>
    <row r="269" spans="1:2" x14ac:dyDescent="0.35">
      <c r="A269" s="22">
        <v>-7.1713492275292681E-2</v>
      </c>
      <c r="B269">
        <f t="shared" si="4"/>
        <v>5.1428249743184634E-3</v>
      </c>
    </row>
    <row r="270" spans="1:2" x14ac:dyDescent="0.35">
      <c r="A270" s="22">
        <v>-1.8561278164356564E-2</v>
      </c>
      <c r="B270">
        <f t="shared" si="4"/>
        <v>3.4452104709461974E-4</v>
      </c>
    </row>
    <row r="271" spans="1:2" x14ac:dyDescent="0.35">
      <c r="A271" s="22">
        <v>3.913454210943014E-2</v>
      </c>
      <c r="B271">
        <f t="shared" si="4"/>
        <v>1.5315123861147609E-3</v>
      </c>
    </row>
    <row r="272" spans="1:2" x14ac:dyDescent="0.35">
      <c r="A272" s="22">
        <v>1.3359571437058626E-2</v>
      </c>
      <c r="B272">
        <f t="shared" si="4"/>
        <v>1.7847814898187269E-4</v>
      </c>
    </row>
    <row r="273" spans="1:2" x14ac:dyDescent="0.35">
      <c r="A273" s="22">
        <v>-8.3753198400574914E-3</v>
      </c>
      <c r="B273">
        <f t="shared" si="4"/>
        <v>7.0145982423260649E-5</v>
      </c>
    </row>
    <row r="274" spans="1:2" x14ac:dyDescent="0.35">
      <c r="A274" s="22">
        <v>1.8109146403147081E-2</v>
      </c>
      <c r="B274">
        <f t="shared" si="4"/>
        <v>3.2794118345061488E-4</v>
      </c>
    </row>
    <row r="275" spans="1:2" x14ac:dyDescent="0.35">
      <c r="A275" s="22">
        <v>-5.1338103632757679E-3</v>
      </c>
      <c r="B275">
        <f t="shared" si="4"/>
        <v>2.6356008846077672E-5</v>
      </c>
    </row>
    <row r="276" spans="1:2" x14ac:dyDescent="0.35">
      <c r="A276" s="22">
        <v>9.9229864470756456E-3</v>
      </c>
      <c r="B276">
        <f t="shared" si="4"/>
        <v>9.8465660028846939E-5</v>
      </c>
    </row>
    <row r="277" spans="1:2" x14ac:dyDescent="0.35">
      <c r="A277" s="22">
        <v>6.6754397195602673E-3</v>
      </c>
      <c r="B277">
        <f t="shared" si="4"/>
        <v>4.4561495449482861E-5</v>
      </c>
    </row>
    <row r="278" spans="1:2" x14ac:dyDescent="0.35">
      <c r="A278" s="22">
        <v>-3.2375753121554794E-2</v>
      </c>
      <c r="B278">
        <f t="shared" si="4"/>
        <v>1.048189390187865E-3</v>
      </c>
    </row>
    <row r="279" spans="1:2" x14ac:dyDescent="0.35">
      <c r="A279" s="22">
        <v>-6.8408880524959397E-3</v>
      </c>
      <c r="B279">
        <f t="shared" si="4"/>
        <v>4.6797749346781694E-5</v>
      </c>
    </row>
    <row r="280" spans="1:2" x14ac:dyDescent="0.35">
      <c r="A280" s="22">
        <v>-8.5047739514877065E-3</v>
      </c>
      <c r="B280">
        <f t="shared" si="4"/>
        <v>7.2331179965903815E-5</v>
      </c>
    </row>
    <row r="281" spans="1:2" x14ac:dyDescent="0.35">
      <c r="A281" s="22">
        <v>1.9229401845069088E-2</v>
      </c>
      <c r="B281">
        <f t="shared" si="4"/>
        <v>3.6976989531914645E-4</v>
      </c>
    </row>
    <row r="282" spans="1:2" x14ac:dyDescent="0.35">
      <c r="A282" s="22">
        <v>-7.0963840349935706E-2</v>
      </c>
      <c r="B282">
        <f t="shared" si="4"/>
        <v>5.0358666372111631E-3</v>
      </c>
    </row>
    <row r="283" spans="1:2" x14ac:dyDescent="0.35">
      <c r="A283" s="22">
        <v>-2.9829121792716495E-3</v>
      </c>
      <c r="B283">
        <f t="shared" si="4"/>
        <v>8.8977650692471413E-6</v>
      </c>
    </row>
    <row r="284" spans="1:2" x14ac:dyDescent="0.35">
      <c r="A284" s="22">
        <v>-3.7591705704294744E-2</v>
      </c>
      <c r="B284">
        <f t="shared" si="4"/>
        <v>1.4131363377583059E-3</v>
      </c>
    </row>
    <row r="285" spans="1:2" x14ac:dyDescent="0.35">
      <c r="A285" s="22">
        <v>4.9021518941834395E-2</v>
      </c>
      <c r="B285">
        <f t="shared" si="4"/>
        <v>2.4031093193646286E-3</v>
      </c>
    </row>
    <row r="286" spans="1:2" x14ac:dyDescent="0.35">
      <c r="A286" s="22">
        <v>-1.2506382539463588E-3</v>
      </c>
      <c r="B286">
        <f t="shared" si="4"/>
        <v>1.5640960422339971E-6</v>
      </c>
    </row>
    <row r="287" spans="1:2" x14ac:dyDescent="0.35">
      <c r="A287" s="22">
        <v>-1.4961740365671789E-2</v>
      </c>
      <c r="B287">
        <f t="shared" si="4"/>
        <v>2.238536747697726E-4</v>
      </c>
    </row>
    <row r="288" spans="1:2" x14ac:dyDescent="0.35">
      <c r="A288" s="22">
        <v>-7.3509956095151744E-3</v>
      </c>
      <c r="B288">
        <f t="shared" si="4"/>
        <v>5.4037136451111367E-5</v>
      </c>
    </row>
    <row r="289" spans="1:2" x14ac:dyDescent="0.35">
      <c r="A289" s="22">
        <v>-7.3997278108400809E-3</v>
      </c>
      <c r="B289">
        <f t="shared" si="4"/>
        <v>5.4755971674520135E-5</v>
      </c>
    </row>
    <row r="290" spans="1:2" x14ac:dyDescent="0.35">
      <c r="A290" s="22">
        <v>-5.6854791613900682E-3</v>
      </c>
      <c r="B290">
        <f t="shared" si="4"/>
        <v>3.2324673294600714E-5</v>
      </c>
    </row>
    <row r="291" spans="1:2" x14ac:dyDescent="0.35">
      <c r="A291" s="22">
        <v>-6.777036039520741E-2</v>
      </c>
      <c r="B291">
        <f t="shared" si="4"/>
        <v>4.5928217480962971E-3</v>
      </c>
    </row>
    <row r="292" spans="1:2" x14ac:dyDescent="0.35">
      <c r="A292" s="22">
        <v>-1.1801317976848538E-2</v>
      </c>
      <c r="B292">
        <f t="shared" si="4"/>
        <v>1.3927110599068848E-4</v>
      </c>
    </row>
    <row r="293" spans="1:2" x14ac:dyDescent="0.35">
      <c r="A293" s="22">
        <v>1.4990141514230663E-2</v>
      </c>
      <c r="B293">
        <f t="shared" si="4"/>
        <v>2.2470434261666157E-4</v>
      </c>
    </row>
    <row r="294" spans="1:2" x14ac:dyDescent="0.35">
      <c r="A294" s="22">
        <v>-4.1823526582636088E-3</v>
      </c>
      <c r="B294">
        <f t="shared" si="4"/>
        <v>1.7492073758084677E-5</v>
      </c>
    </row>
    <row r="295" spans="1:2" x14ac:dyDescent="0.35">
      <c r="A295" s="22">
        <v>-1.0850747634643236E-2</v>
      </c>
      <c r="B295">
        <f t="shared" si="4"/>
        <v>1.1773872423071579E-4</v>
      </c>
    </row>
    <row r="296" spans="1:2" x14ac:dyDescent="0.35">
      <c r="A296" s="22">
        <v>1.3054133238164792E-2</v>
      </c>
      <c r="B296">
        <f t="shared" si="4"/>
        <v>1.7041039459975881E-4</v>
      </c>
    </row>
    <row r="297" spans="1:2" x14ac:dyDescent="0.35">
      <c r="A297" s="22">
        <v>1.5012607267716244E-3</v>
      </c>
      <c r="B297">
        <f t="shared" si="4"/>
        <v>2.2537837697468656E-6</v>
      </c>
    </row>
    <row r="298" spans="1:2" x14ac:dyDescent="0.35">
      <c r="A298" s="22">
        <v>-5.1482458733204124E-2</v>
      </c>
      <c r="B298">
        <f t="shared" si="4"/>
        <v>2.6504435572160655E-3</v>
      </c>
    </row>
    <row r="299" spans="1:2" x14ac:dyDescent="0.35">
      <c r="A299" s="22">
        <v>-4.9247913551341886E-2</v>
      </c>
      <c r="B299">
        <f t="shared" si="4"/>
        <v>2.4253569891604437E-3</v>
      </c>
    </row>
    <row r="300" spans="1:2" x14ac:dyDescent="0.35">
      <c r="A300" s="22">
        <v>7.8221878330873143E-2</v>
      </c>
      <c r="B300">
        <f t="shared" si="4"/>
        <v>6.1186622496099217E-3</v>
      </c>
    </row>
    <row r="301" spans="1:2" x14ac:dyDescent="0.35">
      <c r="A301" s="22">
        <v>1.7098237499877805E-2</v>
      </c>
      <c r="B301">
        <f t="shared" si="4"/>
        <v>2.9234972560222762E-4</v>
      </c>
    </row>
    <row r="302" spans="1:2" x14ac:dyDescent="0.35">
      <c r="A302" s="22">
        <v>-4.7194855914319808E-2</v>
      </c>
      <c r="B302">
        <f t="shared" si="4"/>
        <v>2.2273544247734074E-3</v>
      </c>
    </row>
    <row r="303" spans="1:2" x14ac:dyDescent="0.35">
      <c r="A303" s="22">
        <v>1.1629574225807572E-2</v>
      </c>
      <c r="B303">
        <f t="shared" si="4"/>
        <v>1.3524699667356779E-4</v>
      </c>
    </row>
    <row r="304" spans="1:2" x14ac:dyDescent="0.35">
      <c r="A304" s="22">
        <v>-1.4255860008998476E-2</v>
      </c>
      <c r="B304">
        <f t="shared" si="4"/>
        <v>2.0322954459616203E-4</v>
      </c>
    </row>
    <row r="305" spans="1:2" x14ac:dyDescent="0.35">
      <c r="A305" s="22">
        <v>3.37420723143542E-2</v>
      </c>
      <c r="B305">
        <f t="shared" si="4"/>
        <v>1.1385274440671082E-3</v>
      </c>
    </row>
    <row r="306" spans="1:2" x14ac:dyDescent="0.35">
      <c r="A306" s="22">
        <v>2.8731739721848171E-2</v>
      </c>
      <c r="B306">
        <f t="shared" si="4"/>
        <v>8.2551286744402799E-4</v>
      </c>
    </row>
    <row r="307" spans="1:2" x14ac:dyDescent="0.35">
      <c r="A307" s="22">
        <v>4.3225072616908059E-3</v>
      </c>
      <c r="B307">
        <f t="shared" si="4"/>
        <v>1.868406902736975E-5</v>
      </c>
    </row>
    <row r="308" spans="1:2" x14ac:dyDescent="0.35">
      <c r="A308" s="22">
        <v>1.4629000308019035E-2</v>
      </c>
      <c r="B308">
        <f t="shared" si="4"/>
        <v>2.1400765001202104E-4</v>
      </c>
    </row>
    <row r="309" spans="1:2" x14ac:dyDescent="0.35">
      <c r="A309" s="22">
        <v>-5.0198207714023755E-3</v>
      </c>
      <c r="B309">
        <f t="shared" si="4"/>
        <v>2.519860057700274E-5</v>
      </c>
    </row>
    <row r="310" spans="1:2" x14ac:dyDescent="0.35">
      <c r="A310" s="22">
        <v>-1.7123098405700692E-2</v>
      </c>
      <c r="B310">
        <f t="shared" si="4"/>
        <v>2.9320049901130957E-4</v>
      </c>
    </row>
    <row r="311" spans="1:2" x14ac:dyDescent="0.35">
      <c r="A311" s="22">
        <v>1.0002501554946025E-2</v>
      </c>
      <c r="B311">
        <f t="shared" si="4"/>
        <v>1.0005003735669766E-4</v>
      </c>
    </row>
    <row r="312" spans="1:2" x14ac:dyDescent="0.35">
      <c r="A312" s="22">
        <v>-3.9447387038473331E-4</v>
      </c>
      <c r="B312">
        <f t="shared" si="4"/>
        <v>1.5560963441631137E-7</v>
      </c>
    </row>
    <row r="313" spans="1:2" x14ac:dyDescent="0.35">
      <c r="A313" s="22">
        <v>-1.44262792960162E-2</v>
      </c>
      <c r="B313">
        <f t="shared" si="4"/>
        <v>2.0811753432666566E-4</v>
      </c>
    </row>
    <row r="314" spans="1:2" x14ac:dyDescent="0.35">
      <c r="A314" s="22">
        <v>3.5658657059406615E-2</v>
      </c>
      <c r="B314">
        <f t="shared" si="4"/>
        <v>1.2715398232803691E-3</v>
      </c>
    </row>
    <row r="315" spans="1:2" x14ac:dyDescent="0.35">
      <c r="A315" s="22">
        <v>-2.8782752258663166E-2</v>
      </c>
      <c r="B315">
        <f t="shared" si="4"/>
        <v>8.2844682758357951E-4</v>
      </c>
    </row>
    <row r="316" spans="1:2" x14ac:dyDescent="0.35">
      <c r="A316" s="22">
        <v>7.1455826800394017E-3</v>
      </c>
      <c r="B316">
        <f t="shared" si="4"/>
        <v>5.1059351837279079E-5</v>
      </c>
    </row>
    <row r="317" spans="1:2" x14ac:dyDescent="0.35">
      <c r="A317" s="22">
        <v>-1.2555371905931883E-2</v>
      </c>
      <c r="B317">
        <f t="shared" si="4"/>
        <v>1.5763736369626358E-4</v>
      </c>
    </row>
    <row r="318" spans="1:2" x14ac:dyDescent="0.35">
      <c r="A318" s="22">
        <v>1.4994655235546202E-3</v>
      </c>
      <c r="B318">
        <f t="shared" si="4"/>
        <v>2.2483968563289312E-6</v>
      </c>
    </row>
    <row r="319" spans="1:2" x14ac:dyDescent="0.35">
      <c r="A319" s="22">
        <v>-3.6311298066982162E-2</v>
      </c>
      <c r="B319">
        <f t="shared" si="4"/>
        <v>1.3185103673092225E-3</v>
      </c>
    </row>
    <row r="320" spans="1:2" x14ac:dyDescent="0.35">
      <c r="A320" s="22">
        <v>-3.3727807203718055E-2</v>
      </c>
      <c r="B320">
        <f t="shared" si="4"/>
        <v>1.1375649787711754E-3</v>
      </c>
    </row>
    <row r="321" spans="1:2" x14ac:dyDescent="0.35">
      <c r="A321" s="22">
        <v>-1.8650051963690992E-2</v>
      </c>
      <c r="B321">
        <f t="shared" si="4"/>
        <v>3.4782443824837422E-4</v>
      </c>
    </row>
    <row r="322" spans="1:2" x14ac:dyDescent="0.35">
      <c r="A322" s="22">
        <v>-4.8948192878649086E-2</v>
      </c>
      <c r="B322">
        <f t="shared" si="4"/>
        <v>2.3959255860854329E-3</v>
      </c>
    </row>
    <row r="323" spans="1:2" x14ac:dyDescent="0.35">
      <c r="A323" s="22">
        <v>-1.0166460841068949E-2</v>
      </c>
      <c r="B323">
        <f t="shared" ref="B323:B386" si="5">A323^2</f>
        <v>1.0335692603298837E-4</v>
      </c>
    </row>
    <row r="324" spans="1:2" x14ac:dyDescent="0.35">
      <c r="A324" s="22">
        <v>-1.135938615108645E-2</v>
      </c>
      <c r="B324">
        <f t="shared" si="5"/>
        <v>1.2903565372949464E-4</v>
      </c>
    </row>
    <row r="325" spans="1:2" x14ac:dyDescent="0.35">
      <c r="A325" s="22">
        <v>4.9494661384604295E-2</v>
      </c>
      <c r="B325">
        <f t="shared" si="5"/>
        <v>2.4497215055766398E-3</v>
      </c>
    </row>
    <row r="326" spans="1:2" x14ac:dyDescent="0.35">
      <c r="A326" s="22">
        <v>-2.7849595306498751E-2</v>
      </c>
      <c r="B326">
        <f t="shared" si="5"/>
        <v>7.7559995873575731E-4</v>
      </c>
    </row>
    <row r="327" spans="1:2" x14ac:dyDescent="0.35">
      <c r="A327" s="22">
        <v>4.9551237313111361E-2</v>
      </c>
      <c r="B327">
        <f t="shared" si="5"/>
        <v>2.4553251192602796E-3</v>
      </c>
    </row>
    <row r="328" spans="1:2" x14ac:dyDescent="0.35">
      <c r="A328" s="22">
        <v>1.6151544743886224E-2</v>
      </c>
      <c r="B328">
        <f t="shared" si="5"/>
        <v>2.608723976137587E-4</v>
      </c>
    </row>
    <row r="329" spans="1:2" x14ac:dyDescent="0.35">
      <c r="A329" s="22">
        <v>-5.1259173768655339E-2</v>
      </c>
      <c r="B329">
        <f t="shared" si="5"/>
        <v>2.6275028954452035E-3</v>
      </c>
    </row>
    <row r="330" spans="1:2" x14ac:dyDescent="0.35">
      <c r="A330" s="22">
        <v>-3.7907871512399702E-2</v>
      </c>
      <c r="B330">
        <f t="shared" si="5"/>
        <v>1.4370067226006048E-3</v>
      </c>
    </row>
    <row r="331" spans="1:2" x14ac:dyDescent="0.35">
      <c r="A331" s="22">
        <v>-9.3031598392043415E-3</v>
      </c>
      <c r="B331">
        <f t="shared" si="5"/>
        <v>8.6548782993784554E-5</v>
      </c>
    </row>
    <row r="332" spans="1:2" x14ac:dyDescent="0.35">
      <c r="A332" s="22">
        <v>-3.6349530050160048E-2</v>
      </c>
      <c r="B332">
        <f t="shared" si="5"/>
        <v>1.3212883348674882E-3</v>
      </c>
    </row>
    <row r="333" spans="1:2" x14ac:dyDescent="0.35">
      <c r="A333" s="22">
        <v>1.7088043612132793E-2</v>
      </c>
      <c r="B333">
        <f t="shared" si="5"/>
        <v>2.9200123449015235E-4</v>
      </c>
    </row>
    <row r="334" spans="1:2" x14ac:dyDescent="0.35">
      <c r="A334" s="22">
        <v>5.9170245488149004E-2</v>
      </c>
      <c r="B334">
        <f t="shared" si="5"/>
        <v>3.5011179511278173E-3</v>
      </c>
    </row>
    <row r="335" spans="1:2" x14ac:dyDescent="0.35">
      <c r="A335" s="22">
        <v>-2.9583663059573877E-2</v>
      </c>
      <c r="B335">
        <f t="shared" si="5"/>
        <v>8.7519312002239601E-4</v>
      </c>
    </row>
    <row r="336" spans="1:2" x14ac:dyDescent="0.35">
      <c r="A336" s="22">
        <v>7.1911187571769295E-4</v>
      </c>
      <c r="B336">
        <f t="shared" si="5"/>
        <v>5.1712188979821863E-7</v>
      </c>
    </row>
    <row r="337" spans="1:2" x14ac:dyDescent="0.35">
      <c r="A337" s="22">
        <v>8.5043025478577644E-3</v>
      </c>
      <c r="B337">
        <f t="shared" si="5"/>
        <v>7.2323161825500068E-5</v>
      </c>
    </row>
    <row r="338" spans="1:2" x14ac:dyDescent="0.35">
      <c r="A338" s="22">
        <v>8.4258127889317008E-3</v>
      </c>
      <c r="B338">
        <f t="shared" si="5"/>
        <v>7.0994321154125E-5</v>
      </c>
    </row>
    <row r="339" spans="1:2" x14ac:dyDescent="0.35">
      <c r="A339" s="22">
        <v>-4.8481905564373748E-2</v>
      </c>
      <c r="B339">
        <f t="shared" si="5"/>
        <v>2.3504951671528542E-3</v>
      </c>
    </row>
    <row r="340" spans="1:2" x14ac:dyDescent="0.35">
      <c r="A340" s="22">
        <v>-2.3356586384736172E-2</v>
      </c>
      <c r="B340">
        <f t="shared" si="5"/>
        <v>5.4553012754764315E-4</v>
      </c>
    </row>
    <row r="341" spans="1:2" x14ac:dyDescent="0.35">
      <c r="A341" s="22">
        <v>-4.5047822871559708E-2</v>
      </c>
      <c r="B341">
        <f t="shared" si="5"/>
        <v>2.0293063454674179E-3</v>
      </c>
    </row>
    <row r="342" spans="1:2" x14ac:dyDescent="0.35">
      <c r="A342" s="22">
        <v>9.4456245305992829E-3</v>
      </c>
      <c r="B342">
        <f t="shared" si="5"/>
        <v>8.9219822773058927E-5</v>
      </c>
    </row>
    <row r="343" spans="1:2" x14ac:dyDescent="0.35">
      <c r="A343" s="22">
        <v>-1.0138688243100942E-2</v>
      </c>
      <c r="B343">
        <f t="shared" si="5"/>
        <v>1.0279299929079326E-4</v>
      </c>
    </row>
    <row r="344" spans="1:2" x14ac:dyDescent="0.35">
      <c r="A344" s="22">
        <v>5.755587630230141E-3</v>
      </c>
      <c r="B344">
        <f t="shared" si="5"/>
        <v>3.3126788969258212E-5</v>
      </c>
    </row>
    <row r="345" spans="1:2" x14ac:dyDescent="0.35">
      <c r="A345" s="22">
        <v>9.3854772298597733E-3</v>
      </c>
      <c r="B345">
        <f t="shared" si="5"/>
        <v>8.8087182832216284E-5</v>
      </c>
    </row>
    <row r="346" spans="1:2" x14ac:dyDescent="0.35">
      <c r="A346" s="22">
        <v>5.2874291262787115E-2</v>
      </c>
      <c r="B346">
        <f t="shared" si="5"/>
        <v>2.7956906765420459E-3</v>
      </c>
    </row>
    <row r="347" spans="1:2" x14ac:dyDescent="0.35">
      <c r="A347" s="22">
        <v>2.1444606589385531E-2</v>
      </c>
      <c r="B347">
        <f t="shared" si="5"/>
        <v>4.5987115177351735E-4</v>
      </c>
    </row>
    <row r="348" spans="1:2" x14ac:dyDescent="0.35">
      <c r="A348" s="22">
        <v>-2.8515958684782929E-2</v>
      </c>
      <c r="B348">
        <f t="shared" si="5"/>
        <v>8.1315989971224702E-4</v>
      </c>
    </row>
    <row r="349" spans="1:2" x14ac:dyDescent="0.35">
      <c r="A349" s="22">
        <v>8.8647853888745333E-3</v>
      </c>
      <c r="B349">
        <f t="shared" si="5"/>
        <v>7.8584419990803412E-5</v>
      </c>
    </row>
    <row r="350" spans="1:2" x14ac:dyDescent="0.35">
      <c r="A350" s="22">
        <v>9.9266270470464418E-3</v>
      </c>
      <c r="B350">
        <f t="shared" si="5"/>
        <v>9.8537924531153954E-5</v>
      </c>
    </row>
    <row r="351" spans="1:2" x14ac:dyDescent="0.35">
      <c r="A351" s="22">
        <v>-9.4750641087502346E-3</v>
      </c>
      <c r="B351">
        <f t="shared" si="5"/>
        <v>8.9776839864926875E-5</v>
      </c>
    </row>
    <row r="352" spans="1:2" x14ac:dyDescent="0.35">
      <c r="A352" s="22">
        <v>-3.8195161155608108E-2</v>
      </c>
      <c r="B352">
        <f t="shared" si="5"/>
        <v>1.4588703357028745E-3</v>
      </c>
    </row>
    <row r="353" spans="1:2" x14ac:dyDescent="0.35">
      <c r="A353" s="22">
        <v>2.2224573748662827E-2</v>
      </c>
      <c r="B353">
        <f t="shared" si="5"/>
        <v>4.9393167830975285E-4</v>
      </c>
    </row>
    <row r="354" spans="1:2" x14ac:dyDescent="0.35">
      <c r="A354" s="22">
        <v>2.1724268853712998E-2</v>
      </c>
      <c r="B354">
        <f t="shared" si="5"/>
        <v>4.7194385722840464E-4</v>
      </c>
    </row>
    <row r="355" spans="1:2" x14ac:dyDescent="0.35">
      <c r="A355" s="22">
        <v>2.9218282393852147E-2</v>
      </c>
      <c r="B355">
        <f t="shared" si="5"/>
        <v>8.5370802604689034E-4</v>
      </c>
    </row>
    <row r="356" spans="1:2" x14ac:dyDescent="0.35">
      <c r="A356" s="22">
        <v>1.6198446483597608E-2</v>
      </c>
      <c r="B356">
        <f t="shared" si="5"/>
        <v>2.6238966848197569E-4</v>
      </c>
    </row>
    <row r="357" spans="1:2" x14ac:dyDescent="0.35">
      <c r="A357" s="22">
        <v>7.2225011024118161E-3</v>
      </c>
      <c r="B357">
        <f t="shared" si="5"/>
        <v>5.2164522174339898E-5</v>
      </c>
    </row>
    <row r="358" spans="1:2" x14ac:dyDescent="0.35">
      <c r="A358" s="22">
        <v>-4.3591018146842658E-2</v>
      </c>
      <c r="B358">
        <f t="shared" si="5"/>
        <v>1.9001768630783659E-3</v>
      </c>
    </row>
    <row r="359" spans="1:2" x14ac:dyDescent="0.35">
      <c r="A359" s="22">
        <v>-2.635384181620851E-2</v>
      </c>
      <c r="B359">
        <f t="shared" si="5"/>
        <v>6.9452497847374026E-4</v>
      </c>
    </row>
    <row r="360" spans="1:2" x14ac:dyDescent="0.35">
      <c r="A360" s="22">
        <v>-9.6644622828992253E-3</v>
      </c>
      <c r="B360">
        <f t="shared" si="5"/>
        <v>9.3401831217581699E-5</v>
      </c>
    </row>
    <row r="361" spans="1:2" x14ac:dyDescent="0.35">
      <c r="A361" s="22">
        <v>7.7926606325390687E-3</v>
      </c>
      <c r="B361">
        <f t="shared" si="5"/>
        <v>6.0725559733924201E-5</v>
      </c>
    </row>
    <row r="362" spans="1:2" x14ac:dyDescent="0.35">
      <c r="A362" s="22">
        <v>-1.5545666778093027E-3</v>
      </c>
      <c r="B362">
        <f t="shared" si="5"/>
        <v>2.4166775557550525E-6</v>
      </c>
    </row>
    <row r="363" spans="1:2" x14ac:dyDescent="0.35">
      <c r="A363" s="22">
        <v>-2.478471777282365E-2</v>
      </c>
      <c r="B363">
        <f t="shared" si="5"/>
        <v>6.1428223507852052E-4</v>
      </c>
    </row>
    <row r="364" spans="1:2" x14ac:dyDescent="0.35">
      <c r="A364" s="22">
        <v>-2.8965902441813327E-2</v>
      </c>
      <c r="B364">
        <f t="shared" si="5"/>
        <v>8.3902350426864729E-4</v>
      </c>
    </row>
    <row r="365" spans="1:2" x14ac:dyDescent="0.35">
      <c r="A365" s="22">
        <v>-4.083565034097298E-2</v>
      </c>
      <c r="B365">
        <f t="shared" si="5"/>
        <v>1.6675503387702066E-3</v>
      </c>
    </row>
    <row r="366" spans="1:2" x14ac:dyDescent="0.35">
      <c r="A366" s="22">
        <v>-3.4877232491074453E-2</v>
      </c>
      <c r="B366">
        <f t="shared" si="5"/>
        <v>1.2164213462364595E-3</v>
      </c>
    </row>
    <row r="367" spans="1:2" x14ac:dyDescent="0.35">
      <c r="A367" s="22">
        <v>-9.6537331296439148E-3</v>
      </c>
      <c r="B367">
        <f t="shared" si="5"/>
        <v>9.3194563338384488E-5</v>
      </c>
    </row>
    <row r="368" spans="1:2" x14ac:dyDescent="0.35">
      <c r="A368" s="22">
        <v>-4.0447878409770557E-2</v>
      </c>
      <c r="B368">
        <f t="shared" si="5"/>
        <v>1.6360308678515833E-3</v>
      </c>
    </row>
    <row r="369" spans="1:2" x14ac:dyDescent="0.35">
      <c r="A369" s="22">
        <v>-5.1854835483736622E-2</v>
      </c>
      <c r="B369">
        <f t="shared" si="5"/>
        <v>2.6889239630453906E-3</v>
      </c>
    </row>
    <row r="370" spans="1:2" x14ac:dyDescent="0.35">
      <c r="A370" s="22">
        <v>1.8667109707327861E-2</v>
      </c>
      <c r="B370">
        <f t="shared" si="5"/>
        <v>3.4846098482541407E-4</v>
      </c>
    </row>
    <row r="371" spans="1:2" x14ac:dyDescent="0.35">
      <c r="A371" s="22">
        <v>3.269905130947131E-2</v>
      </c>
      <c r="B371">
        <f t="shared" si="5"/>
        <v>1.0692279565394374E-3</v>
      </c>
    </row>
    <row r="372" spans="1:2" x14ac:dyDescent="0.35">
      <c r="A372" s="22">
        <v>2.3282406352456483E-2</v>
      </c>
      <c r="B372">
        <f t="shared" si="5"/>
        <v>5.4207044556090595E-4</v>
      </c>
    </row>
    <row r="373" spans="1:2" x14ac:dyDescent="0.35">
      <c r="A373" s="22">
        <v>-9.9182833941941755E-3</v>
      </c>
      <c r="B373">
        <f t="shared" si="5"/>
        <v>9.8372345487547939E-5</v>
      </c>
    </row>
    <row r="374" spans="1:2" x14ac:dyDescent="0.35">
      <c r="A374" s="22">
        <v>2.8451679975769108E-2</v>
      </c>
      <c r="B374">
        <f t="shared" si="5"/>
        <v>8.0949809344358086E-4</v>
      </c>
    </row>
    <row r="375" spans="1:2" x14ac:dyDescent="0.35">
      <c r="A375" s="22">
        <v>4.4999384607585874E-2</v>
      </c>
      <c r="B375">
        <f t="shared" si="5"/>
        <v>2.0249446150614366E-3</v>
      </c>
    </row>
    <row r="376" spans="1:2" x14ac:dyDescent="0.35">
      <c r="A376" s="22">
        <v>4.7140829623100351E-3</v>
      </c>
      <c r="B376">
        <f t="shared" si="5"/>
        <v>2.2222578175541757E-5</v>
      </c>
    </row>
    <row r="377" spans="1:2" x14ac:dyDescent="0.35">
      <c r="A377" s="22">
        <v>-3.9447387038473331E-4</v>
      </c>
      <c r="B377">
        <f t="shared" si="5"/>
        <v>1.5560963441631137E-7</v>
      </c>
    </row>
    <row r="378" spans="1:2" x14ac:dyDescent="0.35">
      <c r="A378" s="22">
        <v>-2.9357699313758974E-3</v>
      </c>
      <c r="B378">
        <f t="shared" si="5"/>
        <v>8.6187450899708409E-6</v>
      </c>
    </row>
    <row r="379" spans="1:2" x14ac:dyDescent="0.35">
      <c r="A379" s="22">
        <v>-2.9422445710216216E-3</v>
      </c>
      <c r="B379">
        <f t="shared" si="5"/>
        <v>8.6568031157062063E-6</v>
      </c>
    </row>
    <row r="380" spans="1:2" x14ac:dyDescent="0.35">
      <c r="A380" s="22">
        <v>-2.9487522867321743E-3</v>
      </c>
      <c r="B380">
        <f t="shared" si="5"/>
        <v>8.695140048508227E-6</v>
      </c>
    </row>
    <row r="381" spans="1:2" x14ac:dyDescent="0.35">
      <c r="A381" s="22">
        <v>-8.0769322570684223E-3</v>
      </c>
      <c r="B381">
        <f t="shared" si="5"/>
        <v>6.5236834685272394E-5</v>
      </c>
    </row>
    <row r="382" spans="1:2" x14ac:dyDescent="0.35">
      <c r="A382" s="22">
        <v>3.3153913226389428E-2</v>
      </c>
      <c r="B382">
        <f t="shared" si="5"/>
        <v>1.0991819622229598E-3</v>
      </c>
    </row>
    <row r="383" spans="1:2" x14ac:dyDescent="0.35">
      <c r="A383" s="22">
        <v>3.3508444816751121E-3</v>
      </c>
      <c r="B383">
        <f t="shared" si="5"/>
        <v>1.122815874037255E-5</v>
      </c>
    </row>
    <row r="384" spans="1:2" x14ac:dyDescent="0.35">
      <c r="A384" s="22">
        <v>-1.63825496491207E-3</v>
      </c>
      <c r="B384">
        <f t="shared" si="5"/>
        <v>2.6838793300590475E-6</v>
      </c>
    </row>
    <row r="385" spans="1:2" x14ac:dyDescent="0.35">
      <c r="A385" s="22">
        <v>4.5868461794285826E-3</v>
      </c>
      <c r="B385">
        <f t="shared" si="5"/>
        <v>2.1039157873738584E-5</v>
      </c>
    </row>
    <row r="386" spans="1:2" x14ac:dyDescent="0.35">
      <c r="A386" s="22">
        <v>-2.7655936076084936E-2</v>
      </c>
      <c r="B386">
        <f t="shared" si="5"/>
        <v>7.6485080024449629E-4</v>
      </c>
    </row>
    <row r="387" spans="1:2" x14ac:dyDescent="0.35">
      <c r="A387" s="22">
        <v>2.8904889186940164E-2</v>
      </c>
      <c r="B387">
        <f t="shared" ref="B387:B450" si="6">A387^2</f>
        <v>8.3549261890929042E-4</v>
      </c>
    </row>
    <row r="388" spans="1:2" x14ac:dyDescent="0.35">
      <c r="A388" s="22">
        <v>-3.9447387038473331E-4</v>
      </c>
      <c r="B388">
        <f t="shared" si="6"/>
        <v>1.5560963441631137E-7</v>
      </c>
    </row>
    <row r="389" spans="1:2" x14ac:dyDescent="0.35">
      <c r="A389" s="22">
        <v>-2.0196454068404552E-2</v>
      </c>
      <c r="B389">
        <f t="shared" si="6"/>
        <v>4.0789675693717476E-4</v>
      </c>
    </row>
    <row r="390" spans="1:2" x14ac:dyDescent="0.35">
      <c r="A390" s="22">
        <v>1.4757041281130319E-2</v>
      </c>
      <c r="B390">
        <f t="shared" si="6"/>
        <v>2.1777026737298437E-4</v>
      </c>
    </row>
    <row r="391" spans="1:2" x14ac:dyDescent="0.35">
      <c r="A391" s="22">
        <v>-1.1588503721130875E-2</v>
      </c>
      <c r="B391">
        <f t="shared" si="6"/>
        <v>1.3429341849466414E-4</v>
      </c>
    </row>
    <row r="392" spans="1:2" x14ac:dyDescent="0.35">
      <c r="A392" s="22">
        <v>2.6020620469237903E-2</v>
      </c>
      <c r="B392">
        <f t="shared" si="6"/>
        <v>6.7707268960412253E-4</v>
      </c>
    </row>
    <row r="393" spans="1:2" x14ac:dyDescent="0.35">
      <c r="A393" s="22">
        <v>-6.5219248507769768E-3</v>
      </c>
      <c r="B393">
        <f t="shared" si="6"/>
        <v>4.2535503759182289E-5</v>
      </c>
    </row>
    <row r="394" spans="1:2" x14ac:dyDescent="0.35">
      <c r="A394" s="22">
        <v>1.6868164847247891E-2</v>
      </c>
      <c r="B394">
        <f t="shared" si="6"/>
        <v>2.8453498531392948E-4</v>
      </c>
    </row>
    <row r="395" spans="1:2" x14ac:dyDescent="0.35">
      <c r="A395" s="22">
        <v>-4.0308375067482924E-3</v>
      </c>
      <c r="B395">
        <f t="shared" si="6"/>
        <v>1.6247651005808789E-5</v>
      </c>
    </row>
    <row r="396" spans="1:2" x14ac:dyDescent="0.35">
      <c r="A396" s="22">
        <v>1.0554431239104298E-2</v>
      </c>
      <c r="B396">
        <f t="shared" si="6"/>
        <v>1.1139601878098069E-4</v>
      </c>
    </row>
    <row r="397" spans="1:2" x14ac:dyDescent="0.35">
      <c r="A397" s="22">
        <v>-3.7698926337292132E-2</v>
      </c>
      <c r="B397">
        <f t="shared" si="6"/>
        <v>1.4212090469845784E-3</v>
      </c>
    </row>
    <row r="398" spans="1:2" x14ac:dyDescent="0.35">
      <c r="A398" s="22">
        <v>3.3555261296151868E-3</v>
      </c>
      <c r="B398">
        <f t="shared" si="6"/>
        <v>1.1259555606530275E-5</v>
      </c>
    </row>
    <row r="399" spans="1:2" x14ac:dyDescent="0.35">
      <c r="A399" s="22">
        <v>1.2058826254148445E-2</v>
      </c>
      <c r="B399">
        <f t="shared" si="6"/>
        <v>1.4541529062773981E-4</v>
      </c>
    </row>
    <row r="400" spans="1:2" x14ac:dyDescent="0.35">
      <c r="A400" s="22">
        <v>1.1905649130845233E-2</v>
      </c>
      <c r="B400">
        <f t="shared" si="6"/>
        <v>1.4174448122679584E-4</v>
      </c>
    </row>
    <row r="401" spans="1:2" x14ac:dyDescent="0.35">
      <c r="A401" s="22">
        <v>1.7831528559748969E-2</v>
      </c>
      <c r="B401">
        <f t="shared" si="6"/>
        <v>3.1796341077714314E-4</v>
      </c>
    </row>
    <row r="402" spans="1:2" x14ac:dyDescent="0.35">
      <c r="A402" s="22">
        <v>1.8698604888564951E-2</v>
      </c>
      <c r="B402">
        <f t="shared" si="6"/>
        <v>3.496378247786651E-4</v>
      </c>
    </row>
    <row r="403" spans="1:2" x14ac:dyDescent="0.35">
      <c r="A403" s="22">
        <v>4.0589132686992484E-2</v>
      </c>
      <c r="B403">
        <f t="shared" si="6"/>
        <v>1.6474776922822817E-3</v>
      </c>
    </row>
    <row r="404" spans="1:2" x14ac:dyDescent="0.35">
      <c r="A404" s="22">
        <v>-1.2767927188720078E-2</v>
      </c>
      <c r="B404">
        <f t="shared" si="6"/>
        <v>1.6301996469645738E-4</v>
      </c>
    </row>
    <row r="405" spans="1:2" x14ac:dyDescent="0.35">
      <c r="A405" s="22">
        <v>8.7171434416881671E-3</v>
      </c>
      <c r="B405">
        <f t="shared" si="6"/>
        <v>7.5988589782967017E-5</v>
      </c>
    </row>
    <row r="406" spans="1:2" x14ac:dyDescent="0.35">
      <c r="A406" s="22">
        <v>1.6535548702978738E-2</v>
      </c>
      <c r="B406">
        <f t="shared" si="6"/>
        <v>2.7342437090858182E-4</v>
      </c>
    </row>
    <row r="407" spans="1:2" x14ac:dyDescent="0.35">
      <c r="A407" s="22">
        <v>-2.92512996195523E-2</v>
      </c>
      <c r="B407">
        <f t="shared" si="6"/>
        <v>8.5563852943282054E-4</v>
      </c>
    </row>
    <row r="408" spans="1:2" x14ac:dyDescent="0.35">
      <c r="A408" s="22">
        <v>2.7034097558186719E-2</v>
      </c>
      <c r="B408">
        <f t="shared" si="6"/>
        <v>7.3084243078555718E-4</v>
      </c>
    </row>
    <row r="409" spans="1:2" x14ac:dyDescent="0.35">
      <c r="A409" s="22">
        <v>4.054914338736418E-3</v>
      </c>
      <c r="B409">
        <f t="shared" si="6"/>
        <v>1.6442330294490203E-5</v>
      </c>
    </row>
    <row r="410" spans="1:2" x14ac:dyDescent="0.35">
      <c r="A410" s="22">
        <v>1.953908094689118E-2</v>
      </c>
      <c r="B410">
        <f t="shared" si="6"/>
        <v>3.8177568424916595E-4</v>
      </c>
    </row>
    <row r="411" spans="1:2" x14ac:dyDescent="0.35">
      <c r="A411" s="22">
        <v>-1.7766895151600817E-2</v>
      </c>
      <c r="B411">
        <f t="shared" si="6"/>
        <v>3.1566256332797658E-4</v>
      </c>
    </row>
    <row r="412" spans="1:2" x14ac:dyDescent="0.35">
      <c r="A412" s="22">
        <v>5.1303880080681872E-3</v>
      </c>
      <c r="B412">
        <f t="shared" si="6"/>
        <v>2.6320881113329863E-5</v>
      </c>
    </row>
    <row r="413" spans="1:2" x14ac:dyDescent="0.35">
      <c r="A413" s="22">
        <v>-1.1383484859395684E-2</v>
      </c>
      <c r="B413">
        <f t="shared" si="6"/>
        <v>1.2958372754409076E-4</v>
      </c>
    </row>
    <row r="414" spans="1:2" x14ac:dyDescent="0.35">
      <c r="A414" s="22">
        <v>-1.372780720371798E-2</v>
      </c>
      <c r="B414">
        <f t="shared" si="6"/>
        <v>1.8845269062245127E-4</v>
      </c>
    </row>
    <row r="415" spans="1:2" x14ac:dyDescent="0.35">
      <c r="A415" s="22">
        <v>-2.5169248645159577E-2</v>
      </c>
      <c r="B415">
        <f t="shared" si="6"/>
        <v>6.3349107736186715E-4</v>
      </c>
    </row>
    <row r="416" spans="1:2" x14ac:dyDescent="0.35">
      <c r="A416" s="22">
        <v>-3.38817717918629E-2</v>
      </c>
      <c r="B416">
        <f t="shared" si="6"/>
        <v>1.1479744597558766E-3</v>
      </c>
    </row>
    <row r="417" spans="1:2" x14ac:dyDescent="0.35">
      <c r="A417" s="22">
        <v>8.0026925984245478E-4</v>
      </c>
      <c r="B417">
        <f t="shared" si="6"/>
        <v>6.4043088824879037E-7</v>
      </c>
    </row>
    <row r="418" spans="1:2" x14ac:dyDescent="0.35">
      <c r="A418" s="22">
        <v>-1.8294235206900288E-2</v>
      </c>
      <c r="B418">
        <f t="shared" si="6"/>
        <v>3.3467904180538999E-4</v>
      </c>
    </row>
    <row r="419" spans="1:2" x14ac:dyDescent="0.35">
      <c r="A419" s="22">
        <v>1.6616461731073201E-2</v>
      </c>
      <c r="B419">
        <f t="shared" si="6"/>
        <v>2.7610680046022022E-4</v>
      </c>
    </row>
    <row r="420" spans="1:2" x14ac:dyDescent="0.35">
      <c r="A420" s="22">
        <v>-3.3847281516740699E-2</v>
      </c>
      <c r="B420">
        <f t="shared" si="6"/>
        <v>1.1456384660734965E-3</v>
      </c>
    </row>
    <row r="421" spans="1:2" x14ac:dyDescent="0.35">
      <c r="A421" s="22">
        <v>-3.3769010335156009E-2</v>
      </c>
      <c r="B421">
        <f t="shared" si="6"/>
        <v>1.1403460590158733E-3</v>
      </c>
    </row>
    <row r="422" spans="1:2" x14ac:dyDescent="0.35">
      <c r="A422" s="22">
        <v>-1.4460970034067639E-2</v>
      </c>
      <c r="B422">
        <f t="shared" si="6"/>
        <v>2.0911965432620223E-4</v>
      </c>
    </row>
    <row r="423" spans="1:2" x14ac:dyDescent="0.35">
      <c r="A423" s="22">
        <v>-3.1522878539645464E-2</v>
      </c>
      <c r="B423">
        <f t="shared" si="6"/>
        <v>9.9369187142524067E-4</v>
      </c>
    </row>
    <row r="424" spans="1:2" x14ac:dyDescent="0.35">
      <c r="A424" s="22">
        <v>2.5040599757460032E-2</v>
      </c>
      <c r="B424">
        <f t="shared" si="6"/>
        <v>6.2703163621330741E-4</v>
      </c>
    </row>
    <row r="425" spans="1:2" x14ac:dyDescent="0.35">
      <c r="A425" s="22">
        <v>1.7882288531704E-2</v>
      </c>
      <c r="B425">
        <f t="shared" si="6"/>
        <v>3.1977624313111238E-4</v>
      </c>
    </row>
    <row r="426" spans="1:2" x14ac:dyDescent="0.35">
      <c r="A426" s="22">
        <v>-1.1932935408846254E-2</v>
      </c>
      <c r="B426">
        <f t="shared" si="6"/>
        <v>1.4239494747169673E-4</v>
      </c>
    </row>
    <row r="427" spans="1:2" x14ac:dyDescent="0.35">
      <c r="A427" s="22">
        <v>-1.0770608760138311E-2</v>
      </c>
      <c r="B427">
        <f t="shared" si="6"/>
        <v>1.1600601306396812E-4</v>
      </c>
    </row>
    <row r="428" spans="1:2" x14ac:dyDescent="0.35">
      <c r="A428" s="22">
        <v>1.2711686024766057E-2</v>
      </c>
      <c r="B428">
        <f t="shared" si="6"/>
        <v>1.6158696159223267E-4</v>
      </c>
    </row>
    <row r="429" spans="1:2" x14ac:dyDescent="0.35">
      <c r="A429" s="22">
        <v>-8.1564402351972168E-3</v>
      </c>
      <c r="B429">
        <f t="shared" si="6"/>
        <v>6.6527517310344025E-5</v>
      </c>
    </row>
    <row r="430" spans="1:2" x14ac:dyDescent="0.35">
      <c r="A430" s="22">
        <v>2.6984926390371457E-2</v>
      </c>
      <c r="B430">
        <f t="shared" si="6"/>
        <v>7.2818625229376587E-4</v>
      </c>
    </row>
    <row r="431" spans="1:2" x14ac:dyDescent="0.35">
      <c r="A431" s="22">
        <v>1.4833952525554367E-2</v>
      </c>
      <c r="B431">
        <f t="shared" si="6"/>
        <v>2.2004614753040077E-4</v>
      </c>
    </row>
    <row r="432" spans="1:2" x14ac:dyDescent="0.35">
      <c r="A432" s="22">
        <v>-3.5394473870384767E-2</v>
      </c>
      <c r="B432">
        <f t="shared" si="6"/>
        <v>1.25276878056135E-3</v>
      </c>
    </row>
    <row r="433" spans="1:2" x14ac:dyDescent="0.35">
      <c r="A433" s="22">
        <v>-2.111986247142102E-2</v>
      </c>
      <c r="B433">
        <f t="shared" si="6"/>
        <v>4.4604859081173802E-4</v>
      </c>
    </row>
    <row r="434" spans="1:2" x14ac:dyDescent="0.35">
      <c r="A434" s="22">
        <v>-4.0077013552924395E-2</v>
      </c>
      <c r="B434">
        <f t="shared" si="6"/>
        <v>1.6061670153212856E-3</v>
      </c>
    </row>
    <row r="435" spans="1:2" x14ac:dyDescent="0.35">
      <c r="A435" s="22">
        <v>1.3379630812810931E-2</v>
      </c>
      <c r="B435">
        <f t="shared" si="6"/>
        <v>1.7901452068711971E-4</v>
      </c>
    </row>
    <row r="436" spans="1:2" x14ac:dyDescent="0.35">
      <c r="A436" s="22">
        <v>-3.1644473870384791E-2</v>
      </c>
      <c r="B436">
        <f t="shared" si="6"/>
        <v>1.0013727265334659E-3</v>
      </c>
    </row>
    <row r="437" spans="1:2" x14ac:dyDescent="0.35">
      <c r="A437" s="22">
        <v>8.0206733946924739E-3</v>
      </c>
      <c r="B437">
        <f t="shared" si="6"/>
        <v>6.4331201704327697E-5</v>
      </c>
    </row>
    <row r="438" spans="1:2" x14ac:dyDescent="0.35">
      <c r="A438" s="22">
        <v>-1.9865962048409846E-2</v>
      </c>
      <c r="B438">
        <f t="shared" si="6"/>
        <v>3.9465644810886036E-4</v>
      </c>
    </row>
    <row r="439" spans="1:2" x14ac:dyDescent="0.35">
      <c r="A439" s="22">
        <v>-1.1741991600881199E-2</v>
      </c>
      <c r="B439">
        <f t="shared" si="6"/>
        <v>1.3787436675516464E-4</v>
      </c>
    </row>
    <row r="440" spans="1:2" x14ac:dyDescent="0.35">
      <c r="A440" s="22">
        <v>-2.7654158231934161E-2</v>
      </c>
      <c r="B440">
        <f t="shared" si="6"/>
        <v>7.6475246751685189E-4</v>
      </c>
    </row>
    <row r="441" spans="1:2" x14ac:dyDescent="0.35">
      <c r="A441" s="22">
        <v>-6.2941788851340009E-3</v>
      </c>
      <c r="B441">
        <f t="shared" si="6"/>
        <v>3.9616687838066698E-5</v>
      </c>
    </row>
    <row r="442" spans="1:2" x14ac:dyDescent="0.35">
      <c r="A442" s="22">
        <v>1.5926000907063254E-2</v>
      </c>
      <c r="B442">
        <f t="shared" si="6"/>
        <v>2.5363750489177956E-4</v>
      </c>
    </row>
    <row r="443" spans="1:2" x14ac:dyDescent="0.35">
      <c r="A443" s="22">
        <v>2.5252341588124145E-3</v>
      </c>
      <c r="B443">
        <f t="shared" si="6"/>
        <v>6.3768075568330429E-6</v>
      </c>
    </row>
    <row r="444" spans="1:2" x14ac:dyDescent="0.35">
      <c r="A444" s="22">
        <v>9.7947546594551911E-3</v>
      </c>
      <c r="B444">
        <f t="shared" si="6"/>
        <v>9.5937218838919181E-5</v>
      </c>
    </row>
    <row r="445" spans="1:2" x14ac:dyDescent="0.35">
      <c r="A445" s="22">
        <v>8.251059270825584E-3</v>
      </c>
      <c r="B445">
        <f t="shared" si="6"/>
        <v>6.8079979090676816E-5</v>
      </c>
    </row>
    <row r="446" spans="1:2" x14ac:dyDescent="0.35">
      <c r="A446" s="22">
        <v>6.5319811843900982E-2</v>
      </c>
      <c r="B446">
        <f t="shared" si="6"/>
        <v>4.2666778193226271E-3</v>
      </c>
    </row>
    <row r="447" spans="1:2" x14ac:dyDescent="0.35">
      <c r="A447" s="22">
        <v>-2.1842195050009415E-2</v>
      </c>
      <c r="B447">
        <f t="shared" si="6"/>
        <v>4.7708148460265577E-4</v>
      </c>
    </row>
    <row r="448" spans="1:2" x14ac:dyDescent="0.35">
      <c r="A448" s="22">
        <v>9.7538914331386762E-4</v>
      </c>
      <c r="B448">
        <f t="shared" si="6"/>
        <v>9.5138398089456063E-7</v>
      </c>
    </row>
    <row r="449" spans="1:2" x14ac:dyDescent="0.35">
      <c r="A449" s="22">
        <v>-2.6386265936048141E-2</v>
      </c>
      <c r="B449">
        <f t="shared" si="6"/>
        <v>6.9623503004785452E-4</v>
      </c>
    </row>
    <row r="450" spans="1:2" x14ac:dyDescent="0.35">
      <c r="A450" s="22">
        <v>-2.9888855892856638E-2</v>
      </c>
      <c r="B450">
        <f t="shared" si="6"/>
        <v>8.9334370658395096E-4</v>
      </c>
    </row>
    <row r="451" spans="1:2" x14ac:dyDescent="0.35">
      <c r="A451" s="22">
        <v>-1.3419075896433917E-2</v>
      </c>
      <c r="B451">
        <f t="shared" ref="B451:B514" si="7">A451^2</f>
        <v>1.8007159791425374E-4</v>
      </c>
    </row>
    <row r="452" spans="1:2" x14ac:dyDescent="0.35">
      <c r="A452" s="22">
        <v>4.0043531090873134E-3</v>
      </c>
      <c r="B452">
        <f t="shared" si="7"/>
        <v>1.6034843822257232E-5</v>
      </c>
    </row>
    <row r="453" spans="1:2" x14ac:dyDescent="0.35">
      <c r="A453" s="22">
        <v>-1.4993014016370085E-2</v>
      </c>
      <c r="B453">
        <f t="shared" si="7"/>
        <v>2.2479046929506981E-4</v>
      </c>
    </row>
    <row r="454" spans="1:2" x14ac:dyDescent="0.35">
      <c r="A454" s="22">
        <v>-3.4468547944458874E-2</v>
      </c>
      <c r="B454">
        <f t="shared" si="7"/>
        <v>1.18808079739946E-3</v>
      </c>
    </row>
    <row r="455" spans="1:2" x14ac:dyDescent="0.35">
      <c r="A455" s="22">
        <v>5.9421477049860755E-2</v>
      </c>
      <c r="B455">
        <f t="shared" si="7"/>
        <v>3.5309119347871282E-3</v>
      </c>
    </row>
    <row r="456" spans="1:2" x14ac:dyDescent="0.35">
      <c r="A456" s="22">
        <v>1.1182950152770123E-2</v>
      </c>
      <c r="B456">
        <f t="shared" si="7"/>
        <v>1.2505837411934132E-4</v>
      </c>
    </row>
    <row r="457" spans="1:2" x14ac:dyDescent="0.35">
      <c r="A457" s="22">
        <v>-2.7576161996278922E-2</v>
      </c>
      <c r="B457">
        <f t="shared" si="7"/>
        <v>7.604447104450179E-4</v>
      </c>
    </row>
    <row r="458" spans="1:2" x14ac:dyDescent="0.35">
      <c r="A458" s="22">
        <v>-1.8650621056788197E-3</v>
      </c>
      <c r="B458">
        <f t="shared" si="7"/>
        <v>3.4784566580391125E-6</v>
      </c>
    </row>
    <row r="459" spans="1:2" x14ac:dyDescent="0.35">
      <c r="A459" s="22">
        <v>3.2006115231235255E-2</v>
      </c>
      <c r="B459">
        <f t="shared" si="7"/>
        <v>1.0243914121951094E-3</v>
      </c>
    </row>
    <row r="460" spans="1:2" x14ac:dyDescent="0.35">
      <c r="A460" s="22">
        <v>6.7381937473042575E-3</v>
      </c>
      <c r="B460">
        <f t="shared" si="7"/>
        <v>4.5403254976210195E-5</v>
      </c>
    </row>
    <row r="461" spans="1:2" x14ac:dyDescent="0.35">
      <c r="A461" s="22">
        <v>3.2183429812334872E-2</v>
      </c>
      <c r="B461">
        <f t="shared" si="7"/>
        <v>1.035773154485485E-3</v>
      </c>
    </row>
    <row r="462" spans="1:2" x14ac:dyDescent="0.35">
      <c r="A462" s="22">
        <v>1.8809915704375169E-2</v>
      </c>
      <c r="B462">
        <f t="shared" si="7"/>
        <v>3.5381292880569962E-4</v>
      </c>
    </row>
    <row r="463" spans="1:2" x14ac:dyDescent="0.35">
      <c r="A463" s="22">
        <v>-5.4230274677921679E-2</v>
      </c>
      <c r="B463">
        <f t="shared" si="7"/>
        <v>2.9409226916428332E-3</v>
      </c>
    </row>
    <row r="464" spans="1:2" x14ac:dyDescent="0.35">
      <c r="A464" s="22">
        <v>5.7927005503726238E-2</v>
      </c>
      <c r="B464">
        <f t="shared" si="7"/>
        <v>3.3555379666287298E-3</v>
      </c>
    </row>
    <row r="465" spans="1:2" x14ac:dyDescent="0.35">
      <c r="A465" s="22">
        <v>3.4551762688755018E-2</v>
      </c>
      <c r="B465">
        <f t="shared" si="7"/>
        <v>1.1938243049000434E-3</v>
      </c>
    </row>
    <row r="466" spans="1:2" x14ac:dyDescent="0.35">
      <c r="A466" s="22">
        <v>1.2592539116628207E-2</v>
      </c>
      <c r="B466">
        <f t="shared" si="7"/>
        <v>1.585720414038115E-4</v>
      </c>
    </row>
    <row r="467" spans="1:2" x14ac:dyDescent="0.35">
      <c r="A467" s="22">
        <v>-4.7830371306282184E-2</v>
      </c>
      <c r="B467">
        <f t="shared" si="7"/>
        <v>2.2877444192968221E-3</v>
      </c>
    </row>
    <row r="468" spans="1:2" x14ac:dyDescent="0.35">
      <c r="A468" s="22">
        <v>6.1516697058282825E-2</v>
      </c>
      <c r="B468">
        <f t="shared" si="7"/>
        <v>3.7843040169605428E-3</v>
      </c>
    </row>
    <row r="469" spans="1:2" x14ac:dyDescent="0.35">
      <c r="A469" s="22">
        <v>8.7295325255578324E-4</v>
      </c>
      <c r="B469">
        <f t="shared" si="7"/>
        <v>7.6204738114772106E-7</v>
      </c>
    </row>
    <row r="470" spans="1:2" x14ac:dyDescent="0.35">
      <c r="A470" s="22">
        <v>1.8592867901767212E-2</v>
      </c>
      <c r="B470">
        <f t="shared" si="7"/>
        <v>3.4569473681256551E-4</v>
      </c>
    </row>
    <row r="471" spans="1:2" x14ac:dyDescent="0.35">
      <c r="A471" s="22">
        <v>-1.4059070143676699E-2</v>
      </c>
      <c r="B471">
        <f t="shared" si="7"/>
        <v>1.9765745330482156E-4</v>
      </c>
    </row>
    <row r="472" spans="1:2" x14ac:dyDescent="0.35">
      <c r="A472" s="22">
        <v>6.8875047540194592E-2</v>
      </c>
      <c r="B472">
        <f t="shared" si="7"/>
        <v>4.7437721736640652E-3</v>
      </c>
    </row>
    <row r="473" spans="1:2" x14ac:dyDescent="0.35">
      <c r="A473" s="22">
        <v>5.7320484904644732E-2</v>
      </c>
      <c r="B473">
        <f t="shared" si="7"/>
        <v>3.2856379897036048E-3</v>
      </c>
    </row>
    <row r="474" spans="1:2" x14ac:dyDescent="0.35">
      <c r="A474" s="22">
        <v>-2.6006946030741124E-2</v>
      </c>
      <c r="B474">
        <f t="shared" si="7"/>
        <v>6.7636124184588154E-4</v>
      </c>
    </row>
    <row r="475" spans="1:2" x14ac:dyDescent="0.35">
      <c r="A475" s="22">
        <v>-1.5373310132418517E-3</v>
      </c>
      <c r="B475">
        <f t="shared" si="7"/>
        <v>2.3633866442752183E-6</v>
      </c>
    </row>
    <row r="476" spans="1:2" x14ac:dyDescent="0.35">
      <c r="A476" s="22">
        <v>1.6767997525496316E-2</v>
      </c>
      <c r="B476">
        <f t="shared" si="7"/>
        <v>2.8116574101505059E-4</v>
      </c>
    </row>
    <row r="477" spans="1:2" x14ac:dyDescent="0.35">
      <c r="A477" s="22">
        <v>-1.1643067796144173E-2</v>
      </c>
      <c r="B477">
        <f t="shared" si="7"/>
        <v>1.3556102770560953E-4</v>
      </c>
    </row>
    <row r="478" spans="1:2" x14ac:dyDescent="0.35">
      <c r="A478" s="22">
        <v>-3.8074431536611114E-3</v>
      </c>
      <c r="B478">
        <f t="shared" si="7"/>
        <v>1.4496623368360869E-5</v>
      </c>
    </row>
    <row r="479" spans="1:2" x14ac:dyDescent="0.35">
      <c r="A479" s="22">
        <v>-6.1022364274622371E-3</v>
      </c>
      <c r="B479">
        <f t="shared" si="7"/>
        <v>3.7237289416647084E-5</v>
      </c>
    </row>
    <row r="480" spans="1:2" x14ac:dyDescent="0.35">
      <c r="A480" s="22">
        <v>2.4863849895401587E-2</v>
      </c>
      <c r="B480">
        <f t="shared" si="7"/>
        <v>6.1821103162106148E-4</v>
      </c>
    </row>
    <row r="481" spans="1:2" x14ac:dyDescent="0.35">
      <c r="A481" s="22">
        <v>4.0848094442850228E-3</v>
      </c>
      <c r="B481">
        <f t="shared" si="7"/>
        <v>1.6685668196120116E-5</v>
      </c>
    </row>
    <row r="482" spans="1:2" x14ac:dyDescent="0.35">
      <c r="A482" s="22">
        <v>-2.4920672309626718E-2</v>
      </c>
      <c r="B482">
        <f t="shared" si="7"/>
        <v>6.2103990836379584E-4</v>
      </c>
    </row>
    <row r="483" spans="1:2" x14ac:dyDescent="0.35">
      <c r="A483" s="22">
        <v>-1.7537331013241914E-2</v>
      </c>
      <c r="B483">
        <f t="shared" si="7"/>
        <v>3.0755797906801668E-4</v>
      </c>
    </row>
    <row r="484" spans="1:2" x14ac:dyDescent="0.35">
      <c r="A484" s="22">
        <v>-1.6673543637826454E-2</v>
      </c>
      <c r="B484">
        <f t="shared" si="7"/>
        <v>2.7800705744250299E-4</v>
      </c>
    </row>
    <row r="485" spans="1:2" x14ac:dyDescent="0.35">
      <c r="A485" s="22">
        <v>4.570481690975696E-2</v>
      </c>
      <c r="B485">
        <f t="shared" si="7"/>
        <v>2.0889302887544055E-3</v>
      </c>
    </row>
    <row r="486" spans="1:2" x14ac:dyDescent="0.35">
      <c r="A486" s="22">
        <v>-1.6213682909932619E-2</v>
      </c>
      <c r="B486">
        <f t="shared" si="7"/>
        <v>2.6288351350384106E-4</v>
      </c>
    </row>
    <row r="487" spans="1:2" x14ac:dyDescent="0.35">
      <c r="A487" s="22">
        <v>-2.4504692010453716E-2</v>
      </c>
      <c r="B487">
        <f t="shared" si="7"/>
        <v>6.0047993052719415E-4</v>
      </c>
    </row>
    <row r="488" spans="1:2" x14ac:dyDescent="0.35">
      <c r="A488" s="22">
        <v>-2.1570944458619994E-2</v>
      </c>
      <c r="B488">
        <f t="shared" si="7"/>
        <v>4.6530564483686864E-4</v>
      </c>
    </row>
    <row r="489" spans="1:2" x14ac:dyDescent="0.35">
      <c r="A489" s="22">
        <v>1.5230526129615146E-2</v>
      </c>
      <c r="B489">
        <f t="shared" si="7"/>
        <v>2.3196892618488973E-4</v>
      </c>
    </row>
    <row r="490" spans="1:2" x14ac:dyDescent="0.35">
      <c r="A490" s="22">
        <v>-1.4595657302337306E-2</v>
      </c>
      <c r="B490">
        <f t="shared" si="7"/>
        <v>2.1303321208727234E-4</v>
      </c>
    </row>
    <row r="491" spans="1:2" x14ac:dyDescent="0.35">
      <c r="A491" s="22">
        <v>-1.5949540624615383E-3</v>
      </c>
      <c r="B491">
        <f t="shared" si="7"/>
        <v>2.5438784613625648E-6</v>
      </c>
    </row>
    <row r="492" spans="1:2" x14ac:dyDescent="0.35">
      <c r="A492" s="22">
        <v>8.0744920653831793E-4</v>
      </c>
      <c r="B492">
        <f t="shared" si="7"/>
        <v>6.519742211393592E-7</v>
      </c>
    </row>
    <row r="493" spans="1:2" x14ac:dyDescent="0.35">
      <c r="A493" s="22">
        <v>-1.1198795599076194E-2</v>
      </c>
      <c r="B493">
        <f t="shared" si="7"/>
        <v>1.2541302286988833E-4</v>
      </c>
    </row>
    <row r="494" spans="1:2" x14ac:dyDescent="0.35">
      <c r="A494" s="22">
        <v>8.1911836262494957E-4</v>
      </c>
      <c r="B494">
        <f t="shared" si="7"/>
        <v>6.7095489198937839E-7</v>
      </c>
    </row>
    <row r="495" spans="1:2" x14ac:dyDescent="0.35">
      <c r="A495" s="22">
        <v>-3.1909625385536225E-2</v>
      </c>
      <c r="B495">
        <f t="shared" si="7"/>
        <v>1.0182241922452578E-3</v>
      </c>
    </row>
    <row r="496" spans="1:2" x14ac:dyDescent="0.35">
      <c r="A496" s="22">
        <v>8.3664773186015347E-3</v>
      </c>
      <c r="B496">
        <f t="shared" si="7"/>
        <v>6.9997942722673919E-5</v>
      </c>
    </row>
    <row r="497" spans="1:2" x14ac:dyDescent="0.35">
      <c r="A497" s="22">
        <v>2.0869157077789855E-3</v>
      </c>
      <c r="B497">
        <f t="shared" si="7"/>
        <v>4.3552171713746638E-6</v>
      </c>
    </row>
    <row r="498" spans="1:2" x14ac:dyDescent="0.35">
      <c r="A498" s="22">
        <v>7.0312687038727537E-3</v>
      </c>
      <c r="B498">
        <f t="shared" si="7"/>
        <v>4.9438739586060434E-5</v>
      </c>
    </row>
    <row r="499" spans="1:2" x14ac:dyDescent="0.35">
      <c r="A499" s="22">
        <v>9.4335359576251023E-3</v>
      </c>
      <c r="B499">
        <f t="shared" si="7"/>
        <v>8.8991600663805752E-5</v>
      </c>
    </row>
    <row r="500" spans="1:2" x14ac:dyDescent="0.35">
      <c r="A500" s="22">
        <v>-1.1343378979873767E-2</v>
      </c>
      <c r="B500">
        <f t="shared" si="7"/>
        <v>1.2867224668104203E-4</v>
      </c>
    </row>
    <row r="501" spans="1:2" x14ac:dyDescent="0.35">
      <c r="A501" s="22">
        <v>1.5595686031214159E-2</v>
      </c>
      <c r="B501">
        <f t="shared" si="7"/>
        <v>2.4322542278420846E-4</v>
      </c>
    </row>
    <row r="502" spans="1:2" x14ac:dyDescent="0.35">
      <c r="A502" s="22">
        <v>-1.0079703894597818E-2</v>
      </c>
      <c r="B502">
        <f t="shared" si="7"/>
        <v>1.0160043060277043E-4</v>
      </c>
    </row>
    <row r="503" spans="1:2" x14ac:dyDescent="0.35">
      <c r="A503" s="22">
        <v>2.0505139046763394E-3</v>
      </c>
      <c r="B503">
        <f t="shared" si="7"/>
        <v>4.2046072732710082E-6</v>
      </c>
    </row>
    <row r="504" spans="1:2" x14ac:dyDescent="0.35">
      <c r="A504" s="22">
        <v>-2.1126181187457897E-2</v>
      </c>
      <c r="B504">
        <f t="shared" si="7"/>
        <v>4.4631553156529999E-4</v>
      </c>
    </row>
    <row r="505" spans="1:2" x14ac:dyDescent="0.35">
      <c r="A505" s="22">
        <v>1.0813496241694949E-2</v>
      </c>
      <c r="B505">
        <f t="shared" si="7"/>
        <v>1.1693170096915079E-4</v>
      </c>
    </row>
    <row r="506" spans="1:2" x14ac:dyDescent="0.35">
      <c r="A506" s="22">
        <v>-2.995112411669007E-2</v>
      </c>
      <c r="B506">
        <f t="shared" si="7"/>
        <v>8.9706983585337351E-4</v>
      </c>
    </row>
    <row r="507" spans="1:2" x14ac:dyDescent="0.35">
      <c r="A507" s="22">
        <v>9.7578103935746664E-3</v>
      </c>
      <c r="B507">
        <f t="shared" si="7"/>
        <v>9.5214863676953781E-5</v>
      </c>
    </row>
    <row r="508" spans="1:2" x14ac:dyDescent="0.35">
      <c r="A508" s="22">
        <v>5.8869331647911239E-3</v>
      </c>
      <c r="B508">
        <f t="shared" si="7"/>
        <v>3.465598208671764E-5</v>
      </c>
    </row>
    <row r="509" spans="1:2" x14ac:dyDescent="0.35">
      <c r="A509" s="22">
        <v>5.7033740861200888E-2</v>
      </c>
      <c r="B509">
        <f t="shared" si="7"/>
        <v>3.2528475966226156E-3</v>
      </c>
    </row>
    <row r="510" spans="1:2" x14ac:dyDescent="0.35">
      <c r="A510" s="22">
        <v>7.8699889395324445E-3</v>
      </c>
      <c r="B510">
        <f t="shared" si="7"/>
        <v>6.1936725908363013E-5</v>
      </c>
    </row>
    <row r="511" spans="1:2" x14ac:dyDescent="0.35">
      <c r="A511" s="22">
        <v>2.8879530813456018E-2</v>
      </c>
      <c r="B511">
        <f t="shared" si="7"/>
        <v>8.3402730000535562E-4</v>
      </c>
    </row>
    <row r="512" spans="1:2" x14ac:dyDescent="0.35">
      <c r="A512" s="22">
        <v>-1.7459320286766826E-2</v>
      </c>
      <c r="B512">
        <f t="shared" si="7"/>
        <v>3.0482786487590763E-4</v>
      </c>
    </row>
    <row r="513" spans="1:2" x14ac:dyDescent="0.35">
      <c r="A513" s="22">
        <v>-3.8666960926070867E-3</v>
      </c>
      <c r="B513">
        <f t="shared" si="7"/>
        <v>1.4951338672582911E-5</v>
      </c>
    </row>
    <row r="514" spans="1:2" x14ac:dyDescent="0.35">
      <c r="A514" s="22">
        <v>7.9744898951915083E-2</v>
      </c>
      <c r="B514">
        <f t="shared" si="7"/>
        <v>6.3592489088511476E-3</v>
      </c>
    </row>
    <row r="515" spans="1:2" x14ac:dyDescent="0.35">
      <c r="A515" s="22">
        <v>2.8637784194131349E-2</v>
      </c>
      <c r="B515">
        <f t="shared" ref="B515:B578" si="8">A515^2</f>
        <v>8.2012268354963937E-4</v>
      </c>
    </row>
    <row r="516" spans="1:2" x14ac:dyDescent="0.35">
      <c r="A516" s="22">
        <v>-1.815831922043697E-2</v>
      </c>
      <c r="B516">
        <f t="shared" si="8"/>
        <v>3.2972455691129067E-4</v>
      </c>
    </row>
    <row r="517" spans="1:2" x14ac:dyDescent="0.35">
      <c r="A517" s="22">
        <v>1.3435313363657712E-2</v>
      </c>
      <c r="B517">
        <f t="shared" si="8"/>
        <v>1.8050764517967951E-4</v>
      </c>
    </row>
    <row r="518" spans="1:2" x14ac:dyDescent="0.35">
      <c r="A518" s="22">
        <v>-2.0331514793784471E-2</v>
      </c>
      <c r="B518">
        <f t="shared" si="8"/>
        <v>4.1337049380987676E-4</v>
      </c>
    </row>
    <row r="519" spans="1:2" x14ac:dyDescent="0.35">
      <c r="A519" s="22">
        <v>-5.7477929282006551E-3</v>
      </c>
      <c r="B519">
        <f t="shared" si="8"/>
        <v>3.3037123545473462E-5</v>
      </c>
    </row>
    <row r="520" spans="1:2" x14ac:dyDescent="0.35">
      <c r="A520" s="22">
        <v>-2.5473263999864098E-3</v>
      </c>
      <c r="B520">
        <f t="shared" si="8"/>
        <v>6.4888717880677224E-6</v>
      </c>
    </row>
    <row r="521" spans="1:2" x14ac:dyDescent="0.35">
      <c r="A521" s="22">
        <v>1.3629258599949763E-2</v>
      </c>
      <c r="B521">
        <f t="shared" si="8"/>
        <v>1.8575668998430458E-4</v>
      </c>
    </row>
    <row r="522" spans="1:2" x14ac:dyDescent="0.35">
      <c r="A522" s="22">
        <v>3.860845278551346E-3</v>
      </c>
      <c r="B522">
        <f t="shared" si="8"/>
        <v>1.490612626491222E-5</v>
      </c>
    </row>
    <row r="523" spans="1:2" x14ac:dyDescent="0.35">
      <c r="A523" s="22">
        <v>5.9614583330051506E-3</v>
      </c>
      <c r="B523">
        <f t="shared" si="8"/>
        <v>3.5538985456156548E-5</v>
      </c>
    </row>
    <row r="524" spans="1:2" x14ac:dyDescent="0.35">
      <c r="A524" s="22">
        <v>6.9739471822468759E-3</v>
      </c>
      <c r="B524">
        <f t="shared" si="8"/>
        <v>4.8635939300769141E-5</v>
      </c>
    </row>
    <row r="525" spans="1:2" x14ac:dyDescent="0.35">
      <c r="A525" s="22">
        <v>4.1402809306208821E-2</v>
      </c>
      <c r="B525">
        <f t="shared" si="8"/>
        <v>1.7141926184462918E-3</v>
      </c>
    </row>
    <row r="526" spans="1:2" x14ac:dyDescent="0.35">
      <c r="A526" s="22">
        <v>8.6326073733464445E-3</v>
      </c>
      <c r="B526">
        <f t="shared" si="8"/>
        <v>7.4521910062355404E-5</v>
      </c>
    </row>
    <row r="527" spans="1:2" x14ac:dyDescent="0.35">
      <c r="A527" s="22">
        <v>-1.2322903293844077E-2</v>
      </c>
      <c r="B527">
        <f t="shared" si="8"/>
        <v>1.518539455894332E-4</v>
      </c>
    </row>
    <row r="528" spans="1:2" x14ac:dyDescent="0.35">
      <c r="A528" s="22">
        <v>9.6658883026534605E-3</v>
      </c>
      <c r="B528">
        <f t="shared" si="8"/>
        <v>9.3429396679373E-5</v>
      </c>
    </row>
    <row r="529" spans="1:2" x14ac:dyDescent="0.35">
      <c r="A529" s="22">
        <v>2.0521860790969935E-2</v>
      </c>
      <c r="B529">
        <f t="shared" si="8"/>
        <v>4.2114677032394917E-4</v>
      </c>
    </row>
    <row r="530" spans="1:2" x14ac:dyDescent="0.35">
      <c r="A530" s="22">
        <v>5.811358857128069E-4</v>
      </c>
      <c r="B530">
        <f t="shared" si="8"/>
        <v>3.3771891766320856E-7</v>
      </c>
    </row>
    <row r="531" spans="1:2" x14ac:dyDescent="0.35">
      <c r="A531" s="22">
        <v>1.5548438684066482E-3</v>
      </c>
      <c r="B531">
        <f t="shared" si="8"/>
        <v>2.4175394551217502E-6</v>
      </c>
    </row>
    <row r="532" spans="1:2" x14ac:dyDescent="0.35">
      <c r="A532" s="22">
        <v>-3.5413929123302969E-2</v>
      </c>
      <c r="B532">
        <f t="shared" si="8"/>
        <v>1.2541463759503262E-3</v>
      </c>
    </row>
    <row r="533" spans="1:2" x14ac:dyDescent="0.35">
      <c r="A533" s="22">
        <v>2.6297196780022992E-3</v>
      </c>
      <c r="B533">
        <f t="shared" si="8"/>
        <v>6.9154255848725163E-6</v>
      </c>
    </row>
    <row r="534" spans="1:2" x14ac:dyDescent="0.35">
      <c r="A534" s="22">
        <v>-1.0444725126666107E-2</v>
      </c>
      <c r="B534">
        <f t="shared" si="8"/>
        <v>1.0909228297161031E-4</v>
      </c>
    </row>
    <row r="535" spans="1:2" x14ac:dyDescent="0.35">
      <c r="A535" s="22">
        <v>-1.8668585545511606E-2</v>
      </c>
      <c r="B535">
        <f t="shared" si="8"/>
        <v>3.4851608627008488E-4</v>
      </c>
    </row>
    <row r="536" spans="1:2" x14ac:dyDescent="0.35">
      <c r="A536" s="22">
        <v>8.9126616001426549E-3</v>
      </c>
      <c r="B536">
        <f t="shared" si="8"/>
        <v>7.9435536798657432E-5</v>
      </c>
    </row>
    <row r="537" spans="1:2" x14ac:dyDescent="0.35">
      <c r="A537" s="22">
        <v>-1.1664965673663364E-2</v>
      </c>
      <c r="B537">
        <f t="shared" si="8"/>
        <v>1.3607142416774458E-4</v>
      </c>
    </row>
    <row r="538" spans="1:2" x14ac:dyDescent="0.35">
      <c r="A538" s="22">
        <v>1.6185837010444296E-2</v>
      </c>
      <c r="B538">
        <f t="shared" si="8"/>
        <v>2.6198131972866834E-4</v>
      </c>
    </row>
    <row r="539" spans="1:2" x14ac:dyDescent="0.35">
      <c r="A539" s="22">
        <v>-2.0781833707285962E-2</v>
      </c>
      <c r="B539">
        <f t="shared" si="8"/>
        <v>4.3188461223728696E-4</v>
      </c>
    </row>
    <row r="540" spans="1:2" x14ac:dyDescent="0.35">
      <c r="A540" s="22">
        <v>-2.01655456705928E-2</v>
      </c>
      <c r="B540">
        <f t="shared" si="8"/>
        <v>4.0664923219276401E-4</v>
      </c>
    </row>
    <row r="541" spans="1:2" x14ac:dyDescent="0.35">
      <c r="A541" s="22">
        <v>2.7902395054113772E-3</v>
      </c>
      <c r="B541">
        <f t="shared" si="8"/>
        <v>7.7854364975583275E-6</v>
      </c>
    </row>
    <row r="542" spans="1:2" x14ac:dyDescent="0.35">
      <c r="A542" s="22">
        <v>-3.2140505616416369E-2</v>
      </c>
      <c r="B542">
        <f t="shared" si="8"/>
        <v>1.0330121012788922E-3</v>
      </c>
    </row>
    <row r="543" spans="1:2" x14ac:dyDescent="0.35">
      <c r="A543" s="22">
        <v>-1.1323435619018574E-2</v>
      </c>
      <c r="B543">
        <f t="shared" si="8"/>
        <v>1.2822019421805856E-4</v>
      </c>
    </row>
    <row r="544" spans="1:2" x14ac:dyDescent="0.35">
      <c r="A544" s="22">
        <v>4.0254156323776035E-3</v>
      </c>
      <c r="B544">
        <f t="shared" si="8"/>
        <v>1.6203971013389982E-5</v>
      </c>
    </row>
    <row r="545" spans="1:2" x14ac:dyDescent="0.35">
      <c r="A545" s="22">
        <v>-2.2396674090406656E-2</v>
      </c>
      <c r="B545">
        <f t="shared" si="8"/>
        <v>5.0161101031189284E-4</v>
      </c>
    </row>
    <row r="546" spans="1:2" x14ac:dyDescent="0.35">
      <c r="A546" s="22">
        <v>8.6044012702226978E-3</v>
      </c>
      <c r="B546">
        <f t="shared" si="8"/>
        <v>7.4035721219009975E-5</v>
      </c>
    </row>
    <row r="547" spans="1:2" x14ac:dyDescent="0.35">
      <c r="A547" s="22">
        <v>2.0787242963505956E-2</v>
      </c>
      <c r="B547">
        <f t="shared" si="8"/>
        <v>4.3210947002382788E-4</v>
      </c>
    </row>
    <row r="548" spans="1:2" x14ac:dyDescent="0.35">
      <c r="A548" s="22">
        <v>2.3622993378523634E-2</v>
      </c>
      <c r="B548">
        <f t="shared" si="8"/>
        <v>5.5804581616177148E-4</v>
      </c>
    </row>
    <row r="549" spans="1:2" x14ac:dyDescent="0.35">
      <c r="A549" s="22">
        <v>4.4381645532600329E-2</v>
      </c>
      <c r="B549">
        <f t="shared" si="8"/>
        <v>1.9697304601813828E-3</v>
      </c>
    </row>
    <row r="550" spans="1:2" x14ac:dyDescent="0.35">
      <c r="A550" s="22">
        <v>3.3278995517370374E-2</v>
      </c>
      <c r="B550">
        <f t="shared" si="8"/>
        <v>1.1074915426451575E-3</v>
      </c>
    </row>
    <row r="551" spans="1:2" x14ac:dyDescent="0.35">
      <c r="A551" s="22">
        <v>-1.7176310000690746E-2</v>
      </c>
      <c r="B551">
        <f t="shared" si="8"/>
        <v>2.9502562523982896E-4</v>
      </c>
    </row>
    <row r="552" spans="1:2" x14ac:dyDescent="0.35">
      <c r="A552" s="22">
        <v>-3.4531020055123852E-2</v>
      </c>
      <c r="B552">
        <f t="shared" si="8"/>
        <v>1.1923913460473658E-3</v>
      </c>
    </row>
    <row r="553" spans="1:2" x14ac:dyDescent="0.35">
      <c r="A553" s="22">
        <v>3.7635302876195213E-3</v>
      </c>
      <c r="B553">
        <f t="shared" si="8"/>
        <v>1.4164160225829476E-5</v>
      </c>
    </row>
    <row r="554" spans="1:2" x14ac:dyDescent="0.35">
      <c r="A554" s="22">
        <v>-7.6408506819789657E-3</v>
      </c>
      <c r="B554">
        <f t="shared" si="8"/>
        <v>5.8382599144298428E-5</v>
      </c>
    </row>
    <row r="555" spans="1:2" x14ac:dyDescent="0.35">
      <c r="A555" s="22">
        <v>-3.5848071367777838E-2</v>
      </c>
      <c r="B555">
        <f t="shared" si="8"/>
        <v>1.2850842207892932E-3</v>
      </c>
    </row>
    <row r="556" spans="1:2" x14ac:dyDescent="0.35">
      <c r="A556" s="22">
        <v>2.0146066670155754E-2</v>
      </c>
      <c r="B556">
        <f t="shared" si="8"/>
        <v>4.0586400227836058E-4</v>
      </c>
    </row>
    <row r="557" spans="1:2" x14ac:dyDescent="0.35">
      <c r="A557" s="22">
        <v>-7.8097281076728994E-3</v>
      </c>
      <c r="B557">
        <f t="shared" si="8"/>
        <v>6.0991853115776129E-5</v>
      </c>
    </row>
    <row r="558" spans="1:2" x14ac:dyDescent="0.35">
      <c r="A558" s="22">
        <v>-1.8537483475507457E-2</v>
      </c>
      <c r="B558">
        <f t="shared" si="8"/>
        <v>3.43638293604712E-4</v>
      </c>
    </row>
    <row r="559" spans="1:2" x14ac:dyDescent="0.35">
      <c r="A559" s="22">
        <v>1.0475091347006726E-2</v>
      </c>
      <c r="B559">
        <f t="shared" si="8"/>
        <v>1.0972753872813518E-4</v>
      </c>
    </row>
    <row r="560" spans="1:2" x14ac:dyDescent="0.35">
      <c r="A560" s="22">
        <v>-1.3297699676836453E-2</v>
      </c>
      <c r="B560">
        <f t="shared" si="8"/>
        <v>1.768288166953363E-4</v>
      </c>
    </row>
    <row r="561" spans="1:2" x14ac:dyDescent="0.35">
      <c r="A561" s="22">
        <v>1.4856070791924697E-2</v>
      </c>
      <c r="B561">
        <f t="shared" si="8"/>
        <v>2.2070283937467808E-4</v>
      </c>
    </row>
    <row r="562" spans="1:2" x14ac:dyDescent="0.35">
      <c r="A562" s="22">
        <v>6.7848750300580169E-4</v>
      </c>
      <c r="B562">
        <f t="shared" si="8"/>
        <v>4.6034529173504776E-7</v>
      </c>
    </row>
    <row r="563" spans="1:2" x14ac:dyDescent="0.35">
      <c r="A563" s="22">
        <v>1.0323639741619515E-2</v>
      </c>
      <c r="B563">
        <f t="shared" si="8"/>
        <v>1.0657753751474584E-4</v>
      </c>
    </row>
    <row r="564" spans="1:2" x14ac:dyDescent="0.35">
      <c r="A564" s="22">
        <v>-2.0542936224573441E-2</v>
      </c>
      <c r="B564">
        <f t="shared" si="8"/>
        <v>4.2201222872689169E-4</v>
      </c>
    </row>
    <row r="565" spans="1:2" x14ac:dyDescent="0.35">
      <c r="A565" s="22">
        <v>-2.5589760348868514E-3</v>
      </c>
      <c r="B565">
        <f t="shared" si="8"/>
        <v>6.5483583471252318E-6</v>
      </c>
    </row>
    <row r="566" spans="1:2" x14ac:dyDescent="0.35">
      <c r="A566" s="22">
        <v>1.3705309209875461E-2</v>
      </c>
      <c r="B566">
        <f t="shared" si="8"/>
        <v>1.8783550053829714E-4</v>
      </c>
    </row>
    <row r="567" spans="1:2" x14ac:dyDescent="0.35">
      <c r="A567" s="22">
        <v>3.703868120982913E-2</v>
      </c>
      <c r="B567">
        <f t="shared" si="8"/>
        <v>1.3718639057633494E-3</v>
      </c>
    </row>
    <row r="568" spans="1:2" x14ac:dyDescent="0.35">
      <c r="A568" s="22">
        <v>8.8838766450791695E-3</v>
      </c>
      <c r="B568">
        <f t="shared" si="8"/>
        <v>7.8923264244983116E-5</v>
      </c>
    </row>
    <row r="569" spans="1:2" x14ac:dyDescent="0.35">
      <c r="A569" s="22">
        <v>9.8200307261424799E-3</v>
      </c>
      <c r="B569">
        <f t="shared" si="8"/>
        <v>9.6433003462382402E-5</v>
      </c>
    </row>
    <row r="570" spans="1:2" x14ac:dyDescent="0.35">
      <c r="A570" s="22">
        <v>-1.4550186711638583E-2</v>
      </c>
      <c r="B570">
        <f t="shared" si="8"/>
        <v>2.11707933343544E-4</v>
      </c>
    </row>
    <row r="571" spans="1:2" x14ac:dyDescent="0.35">
      <c r="A571" s="22">
        <v>1.6568081808972742E-3</v>
      </c>
      <c r="B571">
        <f t="shared" si="8"/>
        <v>2.7450133482881349E-6</v>
      </c>
    </row>
    <row r="572" spans="1:2" x14ac:dyDescent="0.35">
      <c r="A572" s="22">
        <v>-1.9841761485533096E-2</v>
      </c>
      <c r="B572">
        <f t="shared" si="8"/>
        <v>3.9369549884878455E-4</v>
      </c>
    </row>
    <row r="573" spans="1:2" x14ac:dyDescent="0.35">
      <c r="A573" s="22">
        <v>2.4657718196421135E-2</v>
      </c>
      <c r="B573">
        <f t="shared" si="8"/>
        <v>6.0800306665411796E-4</v>
      </c>
    </row>
    <row r="574" spans="1:2" x14ac:dyDescent="0.35">
      <c r="A574" s="22">
        <v>2.2008784785419632E-2</v>
      </c>
      <c r="B574">
        <f t="shared" si="8"/>
        <v>4.8438660773091866E-4</v>
      </c>
    </row>
    <row r="575" spans="1:2" x14ac:dyDescent="0.35">
      <c r="A575" s="22">
        <v>1.4545765173440004E-2</v>
      </c>
      <c r="B575">
        <f t="shared" si="8"/>
        <v>2.1157928448086011E-4</v>
      </c>
    </row>
    <row r="576" spans="1:2" x14ac:dyDescent="0.35">
      <c r="A576" s="22">
        <v>5.3580010918624167E-2</v>
      </c>
      <c r="B576">
        <f t="shared" si="8"/>
        <v>2.870817570039885E-3</v>
      </c>
    </row>
    <row r="577" spans="1:2" x14ac:dyDescent="0.35">
      <c r="A577" s="22">
        <v>4.2610196119242921E-3</v>
      </c>
      <c r="B577">
        <f t="shared" si="8"/>
        <v>1.8156288133203444E-5</v>
      </c>
    </row>
    <row r="578" spans="1:2" x14ac:dyDescent="0.35">
      <c r="A578" s="22">
        <v>4.2394464261862322E-3</v>
      </c>
      <c r="B578">
        <f t="shared" si="8"/>
        <v>1.7972906000503217E-5</v>
      </c>
    </row>
    <row r="579" spans="1:2" x14ac:dyDescent="0.35">
      <c r="A579" s="22">
        <v>-1.7922149147137453E-2</v>
      </c>
      <c r="B579">
        <f t="shared" ref="B579:B642" si="9">A579^2</f>
        <v>3.2120343005223974E-4</v>
      </c>
    </row>
    <row r="580" spans="1:2" x14ac:dyDescent="0.35">
      <c r="A580" s="22">
        <v>-2.2724081426851628E-3</v>
      </c>
      <c r="B580">
        <f t="shared" si="9"/>
        <v>5.163838766941831E-6</v>
      </c>
    </row>
    <row r="581" spans="1:2" x14ac:dyDescent="0.35">
      <c r="A581" s="22">
        <v>-1.544621422786358E-2</v>
      </c>
      <c r="B581">
        <f t="shared" si="9"/>
        <v>2.3858553397305529E-4</v>
      </c>
    </row>
    <row r="582" spans="1:2" x14ac:dyDescent="0.35">
      <c r="A582" s="22">
        <v>-9.945572246698146E-3</v>
      </c>
      <c r="B582">
        <f t="shared" si="9"/>
        <v>9.8914407314292411E-5</v>
      </c>
    </row>
    <row r="583" spans="1:2" x14ac:dyDescent="0.35">
      <c r="A583" s="22">
        <v>2.4984865924890507E-3</v>
      </c>
      <c r="B583">
        <f t="shared" si="9"/>
        <v>6.2424352528475481E-6</v>
      </c>
    </row>
    <row r="584" spans="1:2" x14ac:dyDescent="0.35">
      <c r="A584" s="22">
        <v>1.0182449206538288E-2</v>
      </c>
      <c r="B584">
        <f t="shared" si="9"/>
        <v>1.036822718437322E-4</v>
      </c>
    </row>
    <row r="585" spans="1:2" x14ac:dyDescent="0.35">
      <c r="A585" s="22">
        <v>1.5084757014515726E-3</v>
      </c>
      <c r="B585">
        <f t="shared" si="9"/>
        <v>2.2754989418698138E-6</v>
      </c>
    </row>
    <row r="586" spans="1:2" x14ac:dyDescent="0.35">
      <c r="A586" s="22">
        <v>8.1525346766237999E-3</v>
      </c>
      <c r="B586">
        <f t="shared" si="9"/>
        <v>6.6463821653553522E-5</v>
      </c>
    </row>
    <row r="587" spans="1:2" x14ac:dyDescent="0.35">
      <c r="A587" s="22">
        <v>1.6554678671988291E-2</v>
      </c>
      <c r="B587">
        <f t="shared" si="9"/>
        <v>2.7405738593278402E-4</v>
      </c>
    </row>
    <row r="588" spans="1:2" x14ac:dyDescent="0.35">
      <c r="A588" s="22">
        <v>6.1642563166652294E-2</v>
      </c>
      <c r="B588">
        <f t="shared" si="9"/>
        <v>3.799805593754718E-3</v>
      </c>
    </row>
    <row r="589" spans="1:2" x14ac:dyDescent="0.35">
      <c r="A589" s="22">
        <v>-1.6087586337690876E-2</v>
      </c>
      <c r="B589">
        <f t="shared" si="9"/>
        <v>2.5881043417265816E-4</v>
      </c>
    </row>
    <row r="590" spans="1:2" x14ac:dyDescent="0.35">
      <c r="A590" s="22">
        <v>1.3770053147349613E-3</v>
      </c>
      <c r="B590">
        <f t="shared" si="9"/>
        <v>1.8961436368083299E-6</v>
      </c>
    </row>
    <row r="591" spans="1:2" x14ac:dyDescent="0.35">
      <c r="A591" s="22">
        <v>3.1435764856405667E-2</v>
      </c>
      <c r="B591">
        <f t="shared" si="9"/>
        <v>9.8820731210722966E-4</v>
      </c>
    </row>
    <row r="592" spans="1:2" x14ac:dyDescent="0.35">
      <c r="A592" s="22">
        <v>-3.8220659869227921E-3</v>
      </c>
      <c r="B592">
        <f t="shared" si="9"/>
        <v>1.4608188408392096E-5</v>
      </c>
    </row>
    <row r="593" spans="1:2" x14ac:dyDescent="0.35">
      <c r="A593" s="22">
        <v>2.7120573421102669E-2</v>
      </c>
      <c r="B593">
        <f t="shared" si="9"/>
        <v>7.3552550268942047E-4</v>
      </c>
    </row>
    <row r="594" spans="1:2" x14ac:dyDescent="0.35">
      <c r="A594" s="22">
        <v>-3.3030457133982963E-2</v>
      </c>
      <c r="B594">
        <f t="shared" si="9"/>
        <v>1.0910110984798859E-3</v>
      </c>
    </row>
    <row r="595" spans="1:2" x14ac:dyDescent="0.35">
      <c r="A595" s="22">
        <v>6.5259413545287678E-3</v>
      </c>
      <c r="B595">
        <f t="shared" si="9"/>
        <v>4.2587910562748768E-5</v>
      </c>
    </row>
    <row r="596" spans="1:2" x14ac:dyDescent="0.35">
      <c r="A596" s="22">
        <v>-4.6900065164329043E-3</v>
      </c>
      <c r="B596">
        <f t="shared" si="9"/>
        <v>2.1996161124183105E-5</v>
      </c>
    </row>
    <row r="597" spans="1:2" x14ac:dyDescent="0.35">
      <c r="A597" s="22">
        <v>-1.4199478184448595E-2</v>
      </c>
      <c r="B597">
        <f t="shared" si="9"/>
        <v>2.0162518071063158E-4</v>
      </c>
    </row>
    <row r="598" spans="1:2" x14ac:dyDescent="0.35">
      <c r="A598" s="22">
        <v>8.3544325163168974E-3</v>
      </c>
      <c r="B598">
        <f t="shared" si="9"/>
        <v>6.9796542669693084E-5</v>
      </c>
    </row>
    <row r="599" spans="1:2" x14ac:dyDescent="0.35">
      <c r="A599" s="22">
        <v>4.8093422614453188E-3</v>
      </c>
      <c r="B599">
        <f t="shared" si="9"/>
        <v>2.3129772987723975E-5</v>
      </c>
    </row>
    <row r="600" spans="1:2" x14ac:dyDescent="0.35">
      <c r="A600" s="22">
        <v>3.919589977760281E-3</v>
      </c>
      <c r="B600">
        <f t="shared" si="9"/>
        <v>1.5363185593758838E-5</v>
      </c>
    </row>
    <row r="601" spans="1:2" x14ac:dyDescent="0.35">
      <c r="A601" s="22">
        <v>-1.242196527931949E-2</v>
      </c>
      <c r="B601">
        <f t="shared" si="9"/>
        <v>1.5430522140061893E-4</v>
      </c>
    </row>
    <row r="602" spans="1:2" x14ac:dyDescent="0.35">
      <c r="A602" s="22">
        <v>-1.6046647783428188E-2</v>
      </c>
      <c r="B602">
        <f t="shared" si="9"/>
        <v>2.5749490508540076E-4</v>
      </c>
    </row>
    <row r="603" spans="1:2" x14ac:dyDescent="0.35">
      <c r="A603" s="22">
        <v>-2.4246063976391761E-2</v>
      </c>
      <c r="B603">
        <f t="shared" si="9"/>
        <v>5.8787161834728224E-4</v>
      </c>
    </row>
    <row r="604" spans="1:2" x14ac:dyDescent="0.35">
      <c r="A604" s="22">
        <v>-6.7293154993440345E-3</v>
      </c>
      <c r="B604">
        <f t="shared" si="9"/>
        <v>4.5283687089711854E-5</v>
      </c>
    </row>
    <row r="605" spans="1:2" x14ac:dyDescent="0.35">
      <c r="A605" s="22">
        <v>1.0534487878249075E-2</v>
      </c>
      <c r="B605">
        <f t="shared" si="9"/>
        <v>1.1097543485697668E-4</v>
      </c>
    </row>
    <row r="606" spans="1:2" x14ac:dyDescent="0.35">
      <c r="A606" s="22">
        <v>-2.1962756721864967E-3</v>
      </c>
      <c r="B606">
        <f t="shared" si="9"/>
        <v>4.8236268282382477E-6</v>
      </c>
    </row>
    <row r="607" spans="1:2" x14ac:dyDescent="0.35">
      <c r="A607" s="22">
        <v>-1.5737434159193393E-2</v>
      </c>
      <c r="B607">
        <f t="shared" si="9"/>
        <v>2.4766683391494703E-4</v>
      </c>
    </row>
    <row r="608" spans="1:2" x14ac:dyDescent="0.35">
      <c r="A608" s="22">
        <v>-3.2475133815389287E-2</v>
      </c>
      <c r="B608">
        <f t="shared" si="9"/>
        <v>1.0546343163274408E-3</v>
      </c>
    </row>
    <row r="609" spans="1:2" x14ac:dyDescent="0.35">
      <c r="A609" s="22">
        <v>7.1812837053728488E-3</v>
      </c>
      <c r="B609">
        <f t="shared" si="9"/>
        <v>5.1570835657053595E-5</v>
      </c>
    </row>
    <row r="610" spans="1:2" x14ac:dyDescent="0.35">
      <c r="A610" s="22">
        <v>-1.3343234944448636E-3</v>
      </c>
      <c r="B610">
        <f t="shared" si="9"/>
        <v>1.780419187827552E-6</v>
      </c>
    </row>
    <row r="611" spans="1:2" x14ac:dyDescent="0.35">
      <c r="A611" s="22">
        <v>4.7582948519079023E-2</v>
      </c>
      <c r="B611">
        <f t="shared" si="9"/>
        <v>2.2641369897693246E-3</v>
      </c>
    </row>
    <row r="612" spans="1:2" x14ac:dyDescent="0.35">
      <c r="A612" s="22">
        <v>2.2985243342830727E-3</v>
      </c>
      <c r="B612">
        <f t="shared" si="9"/>
        <v>5.283214115291443E-6</v>
      </c>
    </row>
    <row r="613" spans="1:2" x14ac:dyDescent="0.35">
      <c r="A613" s="22">
        <v>4.3473028367753151E-2</v>
      </c>
      <c r="B613">
        <f t="shared" si="9"/>
        <v>1.8899041954634703E-3</v>
      </c>
    </row>
    <row r="614" spans="1:2" x14ac:dyDescent="0.35">
      <c r="A614" s="22">
        <v>2.1046349457231047E-2</v>
      </c>
      <c r="B614">
        <f t="shared" si="9"/>
        <v>4.429488254758896E-4</v>
      </c>
    </row>
    <row r="615" spans="1:2" x14ac:dyDescent="0.35">
      <c r="A615" s="22">
        <v>7.1622011925875466E-3</v>
      </c>
      <c r="B615">
        <f t="shared" si="9"/>
        <v>5.1297125923102471E-5</v>
      </c>
    </row>
    <row r="616" spans="1:2" x14ac:dyDescent="0.35">
      <c r="A616" s="22">
        <v>4.6055261296153085E-3</v>
      </c>
      <c r="B616">
        <f t="shared" si="9"/>
        <v>2.1210870930569364E-5</v>
      </c>
    </row>
    <row r="617" spans="1:2" x14ac:dyDescent="0.35">
      <c r="A617" s="22">
        <v>-6.1987856448457845E-3</v>
      </c>
      <c r="B617">
        <f t="shared" si="9"/>
        <v>3.8424943470746166E-5</v>
      </c>
    </row>
    <row r="618" spans="1:2" x14ac:dyDescent="0.35">
      <c r="A618" s="22">
        <v>2.6294433552467668E-2</v>
      </c>
      <c r="B618">
        <f t="shared" si="9"/>
        <v>6.9139723584513743E-4</v>
      </c>
    </row>
    <row r="619" spans="1:2" x14ac:dyDescent="0.35">
      <c r="A619" s="22">
        <v>1.5040132140988092E-2</v>
      </c>
      <c r="B619">
        <f t="shared" si="9"/>
        <v>2.2620557481838304E-4</v>
      </c>
    </row>
    <row r="620" spans="1:2" x14ac:dyDescent="0.35">
      <c r="A620" s="22">
        <v>2.8055261296151984E-3</v>
      </c>
      <c r="B620">
        <f t="shared" si="9"/>
        <v>7.8709768639536356E-6</v>
      </c>
    </row>
    <row r="621" spans="1:2" x14ac:dyDescent="0.35">
      <c r="A621" s="22">
        <v>-1.1558748192553698E-2</v>
      </c>
      <c r="B621">
        <f t="shared" si="9"/>
        <v>1.3360465977886338E-4</v>
      </c>
    </row>
    <row r="622" spans="1:2" x14ac:dyDescent="0.35">
      <c r="A622" s="22">
        <v>-5.2331835478041282E-3</v>
      </c>
      <c r="B622">
        <f t="shared" si="9"/>
        <v>2.7386210045007803E-5</v>
      </c>
    </row>
    <row r="623" spans="1:2" x14ac:dyDescent="0.35">
      <c r="A623" s="22">
        <v>-2.1464165928731554E-2</v>
      </c>
      <c r="B623">
        <f t="shared" si="9"/>
        <v>4.6071041901612049E-4</v>
      </c>
    </row>
    <row r="624" spans="1:2" x14ac:dyDescent="0.35">
      <c r="A624" s="22">
        <v>-2.0501030094575456E-3</v>
      </c>
      <c r="B624">
        <f t="shared" si="9"/>
        <v>4.2029223493868854E-6</v>
      </c>
    </row>
    <row r="625" spans="1:2" x14ac:dyDescent="0.35">
      <c r="A625" s="22">
        <v>-1.6978221797416329E-2</v>
      </c>
      <c r="B625">
        <f t="shared" si="9"/>
        <v>2.8826001540226294E-4</v>
      </c>
    </row>
    <row r="626" spans="1:2" x14ac:dyDescent="0.35">
      <c r="A626" s="22">
        <v>2.1350370908295281E-3</v>
      </c>
      <c r="B626">
        <f t="shared" si="9"/>
        <v>4.5583833792178147E-6</v>
      </c>
    </row>
    <row r="627" spans="1:2" x14ac:dyDescent="0.35">
      <c r="A627" s="22">
        <v>-4.599688336322556E-3</v>
      </c>
      <c r="B627">
        <f t="shared" si="9"/>
        <v>2.1157132791301763E-5</v>
      </c>
    </row>
    <row r="628" spans="1:2" x14ac:dyDescent="0.35">
      <c r="A628" s="22">
        <v>2.0720390994480132E-2</v>
      </c>
      <c r="B628">
        <f t="shared" si="9"/>
        <v>4.2933460296413334E-4</v>
      </c>
    </row>
    <row r="629" spans="1:2" x14ac:dyDescent="0.35">
      <c r="A629" s="22">
        <v>-1.7764200917531059E-2</v>
      </c>
      <c r="B629">
        <f t="shared" si="9"/>
        <v>3.155668342384113E-4</v>
      </c>
    </row>
    <row r="630" spans="1:2" x14ac:dyDescent="0.35">
      <c r="A630" s="22">
        <v>7.1812837053728297E-3</v>
      </c>
      <c r="B630">
        <f t="shared" si="9"/>
        <v>5.1570835657053317E-5</v>
      </c>
    </row>
    <row r="631" spans="1:2" x14ac:dyDescent="0.35">
      <c r="A631" s="22">
        <v>1.0466010674310253E-2</v>
      </c>
      <c r="B631">
        <f t="shared" si="9"/>
        <v>1.0953737943477615E-4</v>
      </c>
    </row>
    <row r="632" spans="1:2" x14ac:dyDescent="0.35">
      <c r="A632" s="22">
        <v>2.9113112535822851E-3</v>
      </c>
      <c r="B632">
        <f t="shared" si="9"/>
        <v>8.4757332152348559E-6</v>
      </c>
    </row>
    <row r="633" spans="1:2" x14ac:dyDescent="0.35">
      <c r="A633" s="22">
        <v>-2.8656435573699997E-3</v>
      </c>
      <c r="B633">
        <f t="shared" si="9"/>
        <v>8.2119129978961877E-6</v>
      </c>
    </row>
    <row r="634" spans="1:2" x14ac:dyDescent="0.35">
      <c r="A634" s="22">
        <v>-1.7735514332812403E-2</v>
      </c>
      <c r="B634">
        <f t="shared" si="9"/>
        <v>3.1454846864939419E-4</v>
      </c>
    </row>
    <row r="635" spans="1:2" x14ac:dyDescent="0.35">
      <c r="A635" s="22">
        <v>-4.6612961265342777E-2</v>
      </c>
      <c r="B635">
        <f t="shared" si="9"/>
        <v>2.1727681579243462E-3</v>
      </c>
    </row>
    <row r="636" spans="1:2" x14ac:dyDescent="0.35">
      <c r="A636" s="22">
        <v>1.6345614235342098E-2</v>
      </c>
      <c r="B636">
        <f t="shared" si="9"/>
        <v>2.6717910473061826E-4</v>
      </c>
    </row>
    <row r="637" spans="1:2" x14ac:dyDescent="0.35">
      <c r="A637" s="22">
        <v>1.3470344153878711E-2</v>
      </c>
      <c r="B637">
        <f t="shared" si="9"/>
        <v>1.8145017162393435E-4</v>
      </c>
    </row>
    <row r="638" spans="1:2" x14ac:dyDescent="0.35">
      <c r="A638" s="22">
        <v>1.6699543223632454E-2</v>
      </c>
      <c r="B638">
        <f t="shared" si="9"/>
        <v>2.7887474387796858E-4</v>
      </c>
    </row>
    <row r="639" spans="1:2" x14ac:dyDescent="0.35">
      <c r="A639" s="22">
        <v>-2.0751461392922604E-3</v>
      </c>
      <c r="B639">
        <f t="shared" si="9"/>
        <v>4.3062314994195731E-6</v>
      </c>
    </row>
    <row r="640" spans="1:2" x14ac:dyDescent="0.35">
      <c r="A640" s="22">
        <v>4.2534819058908171E-2</v>
      </c>
      <c r="B640">
        <f t="shared" si="9"/>
        <v>1.8092108323740578E-3</v>
      </c>
    </row>
    <row r="641" spans="1:2" x14ac:dyDescent="0.35">
      <c r="A641" s="22">
        <v>-1.4115216404686584E-2</v>
      </c>
      <c r="B641">
        <f t="shared" si="9"/>
        <v>1.9923933415113326E-4</v>
      </c>
    </row>
    <row r="642" spans="1:2" x14ac:dyDescent="0.35">
      <c r="A642" s="22">
        <v>1.024382400195561E-2</v>
      </c>
      <c r="B642">
        <f t="shared" si="9"/>
        <v>1.0493593018304184E-4</v>
      </c>
    </row>
    <row r="643" spans="1:2" x14ac:dyDescent="0.35">
      <c r="A643" s="22">
        <v>1.3370708315850079E-2</v>
      </c>
      <c r="B643">
        <f t="shared" ref="B643:B706" si="10">A643^2</f>
        <v>1.7877584086754245E-4</v>
      </c>
    </row>
    <row r="644" spans="1:2" x14ac:dyDescent="0.35">
      <c r="A644" s="22">
        <v>-3.5893620492984035E-3</v>
      </c>
      <c r="B644">
        <f t="shared" si="10"/>
        <v>1.2883519920943634E-5</v>
      </c>
    </row>
    <row r="645" spans="1:2" x14ac:dyDescent="0.35">
      <c r="A645" s="22">
        <v>9.2209107449998176E-3</v>
      </c>
      <c r="B645">
        <f t="shared" si="10"/>
        <v>8.5025194967253096E-5</v>
      </c>
    </row>
    <row r="646" spans="1:2" x14ac:dyDescent="0.35">
      <c r="A646" s="22">
        <v>-1.9817754576862867E-3</v>
      </c>
      <c r="B646">
        <f t="shared" si="10"/>
        <v>3.9274339646876915E-6</v>
      </c>
    </row>
    <row r="647" spans="1:2" x14ac:dyDescent="0.35">
      <c r="A647" s="22">
        <v>-1.1523249705042966E-2</v>
      </c>
      <c r="B647">
        <f t="shared" si="10"/>
        <v>1.3278528376477281E-4</v>
      </c>
    </row>
    <row r="648" spans="1:2" x14ac:dyDescent="0.35">
      <c r="A648" s="22">
        <v>1.6486555068522091E-2</v>
      </c>
      <c r="B648">
        <f t="shared" si="10"/>
        <v>2.7180649802741144E-4</v>
      </c>
    </row>
    <row r="649" spans="1:2" x14ac:dyDescent="0.35">
      <c r="A649" s="22">
        <v>1.3044261307480872E-2</v>
      </c>
      <c r="B649">
        <f t="shared" si="10"/>
        <v>1.7015275305784259E-4</v>
      </c>
    </row>
    <row r="650" spans="1:2" x14ac:dyDescent="0.35">
      <c r="A650" s="22">
        <v>-3.514598675377005E-3</v>
      </c>
      <c r="B650">
        <f t="shared" si="10"/>
        <v>1.2352403848961799E-5</v>
      </c>
    </row>
    <row r="651" spans="1:2" x14ac:dyDescent="0.35">
      <c r="A651" s="22">
        <v>1.9529439699909426E-3</v>
      </c>
      <c r="B651">
        <f t="shared" si="10"/>
        <v>3.8139901499239833E-6</v>
      </c>
    </row>
    <row r="652" spans="1:2" x14ac:dyDescent="0.35">
      <c r="A652" s="22">
        <v>-7.4202349945065018E-3</v>
      </c>
      <c r="B652">
        <f t="shared" si="10"/>
        <v>5.5059887373698904E-5</v>
      </c>
    </row>
    <row r="653" spans="1:2" x14ac:dyDescent="0.35">
      <c r="A653" s="22">
        <v>1.3756469525841659E-2</v>
      </c>
      <c r="B653">
        <f t="shared" si="10"/>
        <v>1.8924045381541024E-4</v>
      </c>
    </row>
    <row r="654" spans="1:2" x14ac:dyDescent="0.35">
      <c r="A654" s="22">
        <v>-1.9448614672839249E-3</v>
      </c>
      <c r="B654">
        <f t="shared" si="10"/>
        <v>3.7824861269257812E-6</v>
      </c>
    </row>
    <row r="655" spans="1:2" x14ac:dyDescent="0.35">
      <c r="A655" s="22">
        <v>7.369501284894742E-3</v>
      </c>
      <c r="B655">
        <f t="shared" si="10"/>
        <v>5.4309549188065255E-5</v>
      </c>
    </row>
    <row r="656" spans="1:2" x14ac:dyDescent="0.35">
      <c r="A656" s="22">
        <v>7.3096863761483669E-3</v>
      </c>
      <c r="B656">
        <f t="shared" si="10"/>
        <v>5.3431514917649044E-5</v>
      </c>
    </row>
    <row r="657" spans="1:2" x14ac:dyDescent="0.35">
      <c r="A657" s="22">
        <v>2.1776779952245171E-2</v>
      </c>
      <c r="B657">
        <f t="shared" si="10"/>
        <v>4.7422814508850722E-4</v>
      </c>
    </row>
    <row r="658" spans="1:2" x14ac:dyDescent="0.35">
      <c r="A658" s="22">
        <v>1.0076730318096984E-2</v>
      </c>
      <c r="B658">
        <f t="shared" si="10"/>
        <v>1.0154049390365493E-4</v>
      </c>
    </row>
    <row r="659" spans="1:2" x14ac:dyDescent="0.35">
      <c r="A659" s="22">
        <v>2.5662959297633736E-3</v>
      </c>
      <c r="B659">
        <f t="shared" si="10"/>
        <v>6.5858747991200581E-6</v>
      </c>
    </row>
    <row r="660" spans="1:2" x14ac:dyDescent="0.35">
      <c r="A660" s="22">
        <v>-1.8844658372229751E-2</v>
      </c>
      <c r="B660">
        <f t="shared" si="10"/>
        <v>3.5512114916604883E-4</v>
      </c>
    </row>
    <row r="661" spans="1:2" x14ac:dyDescent="0.35">
      <c r="A661" s="22">
        <v>-7.9132708628660425E-3</v>
      </c>
      <c r="B661">
        <f t="shared" si="10"/>
        <v>6.2619855749084676E-5</v>
      </c>
    </row>
    <row r="662" spans="1:2" x14ac:dyDescent="0.35">
      <c r="A662" s="22">
        <v>2.9150980675069858E-2</v>
      </c>
      <c r="B662">
        <f t="shared" si="10"/>
        <v>8.4977967431829624E-4</v>
      </c>
    </row>
    <row r="663" spans="1:2" x14ac:dyDescent="0.35">
      <c r="A663" s="22">
        <v>6.9638778588278971E-3</v>
      </c>
      <c r="B663">
        <f t="shared" si="10"/>
        <v>4.8495594832673415E-5</v>
      </c>
    </row>
    <row r="664" spans="1:2" x14ac:dyDescent="0.35">
      <c r="A664" s="22">
        <v>7.6405882187314993E-3</v>
      </c>
      <c r="B664">
        <f t="shared" si="10"/>
        <v>5.8378588328218583E-5</v>
      </c>
    </row>
    <row r="665" spans="1:2" x14ac:dyDescent="0.35">
      <c r="A665" s="22">
        <v>-4.2423459377631118E-2</v>
      </c>
      <c r="B665">
        <f t="shared" si="10"/>
        <v>1.7997499055655175E-3</v>
      </c>
    </row>
    <row r="666" spans="1:2" x14ac:dyDescent="0.35">
      <c r="A666" s="22">
        <v>2.6312447377846424E-3</v>
      </c>
      <c r="B666">
        <f t="shared" si="10"/>
        <v>6.9234488701193716E-6</v>
      </c>
    </row>
    <row r="667" spans="1:2" x14ac:dyDescent="0.35">
      <c r="A667" s="22">
        <v>1.8459221453898826E-2</v>
      </c>
      <c r="B667">
        <f t="shared" si="10"/>
        <v>3.4074285668407871E-4</v>
      </c>
    </row>
    <row r="668" spans="1:2" x14ac:dyDescent="0.35">
      <c r="A668" s="22">
        <v>8.4878355300594555E-3</v>
      </c>
      <c r="B668">
        <f t="shared" si="10"/>
        <v>7.204335198533968E-5</v>
      </c>
    </row>
    <row r="669" spans="1:2" x14ac:dyDescent="0.35">
      <c r="A669" s="22">
        <v>1.8065532756166873E-3</v>
      </c>
      <c r="B669">
        <f t="shared" si="10"/>
        <v>3.2636347376413823E-6</v>
      </c>
    </row>
    <row r="670" spans="1:2" x14ac:dyDescent="0.35">
      <c r="A670" s="22">
        <v>-1.2839569038759546E-2</v>
      </c>
      <c r="B670">
        <f t="shared" si="10"/>
        <v>1.6485453310107273E-4</v>
      </c>
    </row>
    <row r="671" spans="1:2" x14ac:dyDescent="0.35">
      <c r="A671" s="22">
        <v>8.5010042615648006E-3</v>
      </c>
      <c r="B671">
        <f t="shared" si="10"/>
        <v>7.2267073455142906E-5</v>
      </c>
    </row>
    <row r="672" spans="1:2" x14ac:dyDescent="0.35">
      <c r="A672" s="22">
        <v>1.6504864851143587E-2</v>
      </c>
      <c r="B672">
        <f t="shared" si="10"/>
        <v>2.7241056375451502E-4</v>
      </c>
    </row>
    <row r="673" spans="1:2" x14ac:dyDescent="0.35">
      <c r="A673" s="22">
        <v>1.1888763123834915E-2</v>
      </c>
      <c r="B673">
        <f t="shared" si="10"/>
        <v>1.4134268861465692E-4</v>
      </c>
    </row>
    <row r="674" spans="1:2" x14ac:dyDescent="0.35">
      <c r="A674" s="22">
        <v>-3.9633532422618878E-3</v>
      </c>
      <c r="B674">
        <f t="shared" si="10"/>
        <v>1.570816892294782E-5</v>
      </c>
    </row>
    <row r="675" spans="1:2" x14ac:dyDescent="0.35">
      <c r="A675" s="22">
        <v>-3.6927425159783124E-2</v>
      </c>
      <c r="B675">
        <f t="shared" si="10"/>
        <v>1.3636347289313836E-3</v>
      </c>
    </row>
    <row r="676" spans="1:2" x14ac:dyDescent="0.35">
      <c r="A676" s="22">
        <v>2.2653853267161773E-2</v>
      </c>
      <c r="B676">
        <f t="shared" si="10"/>
        <v>5.1319706785009616E-4</v>
      </c>
    </row>
    <row r="677" spans="1:2" x14ac:dyDescent="0.35">
      <c r="A677" s="22">
        <v>-3.9447387038473331E-4</v>
      </c>
      <c r="B677">
        <f t="shared" si="10"/>
        <v>1.5560963441631137E-7</v>
      </c>
    </row>
    <row r="678" spans="1:2" x14ac:dyDescent="0.35">
      <c r="A678" s="22">
        <v>-2.0743311079687011E-2</v>
      </c>
      <c r="B678">
        <f t="shared" si="10"/>
        <v>4.3028495454866593E-4</v>
      </c>
    </row>
    <row r="679" spans="1:2" x14ac:dyDescent="0.35">
      <c r="A679" s="22">
        <v>-1.300574983477642E-2</v>
      </c>
      <c r="B679">
        <f t="shared" si="10"/>
        <v>1.691495287647869E-4</v>
      </c>
    </row>
    <row r="680" spans="1:2" x14ac:dyDescent="0.35">
      <c r="A680" s="22">
        <v>-2.2182603096530557E-2</v>
      </c>
      <c r="B680">
        <f t="shared" si="10"/>
        <v>4.92067880138207E-4</v>
      </c>
    </row>
    <row r="681" spans="1:2" x14ac:dyDescent="0.35">
      <c r="A681" s="22">
        <v>-2.343594852476253E-2</v>
      </c>
      <c r="B681">
        <f t="shared" si="10"/>
        <v>5.4924368325531901E-4</v>
      </c>
    </row>
    <row r="682" spans="1:2" x14ac:dyDescent="0.35">
      <c r="A682" s="22">
        <v>-3.9702649971013665E-2</v>
      </c>
      <c r="B682">
        <f t="shared" si="10"/>
        <v>1.5763004147208313E-3</v>
      </c>
    </row>
    <row r="683" spans="1:2" x14ac:dyDescent="0.35">
      <c r="A683" s="22">
        <v>-2.1671069615065566E-2</v>
      </c>
      <c r="B683">
        <f t="shared" si="10"/>
        <v>4.6963525826101803E-4</v>
      </c>
    </row>
    <row r="684" spans="1:2" x14ac:dyDescent="0.35">
      <c r="A684" s="22">
        <v>-9.5917982851005529E-3</v>
      </c>
      <c r="B684">
        <f t="shared" si="10"/>
        <v>9.20025943420579E-5</v>
      </c>
    </row>
    <row r="685" spans="1:2" x14ac:dyDescent="0.35">
      <c r="A685" s="22">
        <v>-9.6771742923256153E-3</v>
      </c>
      <c r="B685">
        <f t="shared" si="10"/>
        <v>9.3647702284047776E-5</v>
      </c>
    </row>
    <row r="686" spans="1:2" x14ac:dyDescent="0.35">
      <c r="A686" s="22">
        <v>-3.8016288959384745E-3</v>
      </c>
      <c r="B686">
        <f t="shared" si="10"/>
        <v>1.4452382262434385E-5</v>
      </c>
    </row>
    <row r="687" spans="1:2" x14ac:dyDescent="0.35">
      <c r="A687" s="22">
        <v>1.8408944933034126E-2</v>
      </c>
      <c r="B687">
        <f t="shared" si="10"/>
        <v>3.388892535474828E-4</v>
      </c>
    </row>
    <row r="688" spans="1:2" x14ac:dyDescent="0.35">
      <c r="A688" s="22">
        <v>2.7290089888004535E-2</v>
      </c>
      <c r="B688">
        <f t="shared" si="10"/>
        <v>7.4474900609536733E-4</v>
      </c>
    </row>
    <row r="689" spans="1:2" x14ac:dyDescent="0.35">
      <c r="A689" s="22">
        <v>-3.6597799928336431E-3</v>
      </c>
      <c r="B689">
        <f t="shared" si="10"/>
        <v>1.3393989595945421E-5</v>
      </c>
    </row>
    <row r="690" spans="1:2" x14ac:dyDescent="0.35">
      <c r="A690" s="22">
        <v>-3.7249510725421674E-2</v>
      </c>
      <c r="B690">
        <f t="shared" si="10"/>
        <v>1.3875260492833043E-3</v>
      </c>
    </row>
    <row r="691" spans="1:2" x14ac:dyDescent="0.35">
      <c r="A691" s="22">
        <v>-2.0802637135690874E-2</v>
      </c>
      <c r="B691">
        <f t="shared" si="10"/>
        <v>4.3274971179922499E-4</v>
      </c>
    </row>
    <row r="692" spans="1:2" x14ac:dyDescent="0.35">
      <c r="A692" s="22">
        <v>6.5499705740597177E-3</v>
      </c>
      <c r="B692">
        <f t="shared" si="10"/>
        <v>4.2902114521048186E-5</v>
      </c>
    </row>
    <row r="693" spans="1:2" x14ac:dyDescent="0.35">
      <c r="A693" s="22">
        <v>-9.0151635255571183E-3</v>
      </c>
      <c r="B693">
        <f t="shared" si="10"/>
        <v>8.1273173392535457E-5</v>
      </c>
    </row>
    <row r="694" spans="1:2" x14ac:dyDescent="0.35">
      <c r="A694" s="22">
        <v>9.1707435209195647E-3</v>
      </c>
      <c r="B694">
        <f t="shared" si="10"/>
        <v>8.410253672648818E-5</v>
      </c>
    </row>
    <row r="695" spans="1:2" x14ac:dyDescent="0.35">
      <c r="A695" s="22">
        <v>3.9121583432242856E-3</v>
      </c>
      <c r="B695">
        <f t="shared" si="10"/>
        <v>1.5304982902459386E-5</v>
      </c>
    </row>
    <row r="696" spans="1:2" x14ac:dyDescent="0.35">
      <c r="A696" s="22">
        <v>-2.5265828930419117E-2</v>
      </c>
      <c r="B696">
        <f t="shared" si="10"/>
        <v>6.3836211154120364E-4</v>
      </c>
    </row>
    <row r="697" spans="1:2" x14ac:dyDescent="0.35">
      <c r="A697" s="22">
        <v>8.4006008877508358E-3</v>
      </c>
      <c r="B697">
        <f t="shared" si="10"/>
        <v>7.0570095275280135E-5</v>
      </c>
    </row>
    <row r="698" spans="1:2" x14ac:dyDescent="0.35">
      <c r="A698" s="22">
        <v>-3.7011736294098763E-2</v>
      </c>
      <c r="B698">
        <f t="shared" si="10"/>
        <v>1.3698686235039076E-3</v>
      </c>
    </row>
    <row r="699" spans="1:2" x14ac:dyDescent="0.35">
      <c r="A699" s="22">
        <v>1.6800096265361827E-2</v>
      </c>
      <c r="B699">
        <f t="shared" si="10"/>
        <v>2.8224323452542442E-4</v>
      </c>
    </row>
    <row r="700" spans="1:2" x14ac:dyDescent="0.35">
      <c r="A700" s="22">
        <v>-4.6657819066114235E-2</v>
      </c>
      <c r="B700">
        <f t="shared" si="10"/>
        <v>2.1769520800062532E-3</v>
      </c>
    </row>
    <row r="701" spans="1:2" x14ac:dyDescent="0.35">
      <c r="A701" s="22">
        <v>-5.0586529748624116E-3</v>
      </c>
      <c r="B701">
        <f t="shared" si="10"/>
        <v>2.5589969920084327E-5</v>
      </c>
    </row>
    <row r="702" spans="1:2" x14ac:dyDescent="0.35">
      <c r="A702" s="22">
        <v>7.1031831118083385E-3</v>
      </c>
      <c r="B702">
        <f t="shared" si="10"/>
        <v>5.0455210319879192E-5</v>
      </c>
    </row>
    <row r="703" spans="1:2" x14ac:dyDescent="0.35">
      <c r="A703" s="22">
        <v>2.0070642408685096E-2</v>
      </c>
      <c r="B703">
        <f t="shared" si="10"/>
        <v>4.0283068669730868E-4</v>
      </c>
    </row>
    <row r="704" spans="1:2" x14ac:dyDescent="0.35">
      <c r="A704" s="22">
        <v>4.336122348604176E-2</v>
      </c>
      <c r="B704">
        <f t="shared" si="10"/>
        <v>1.8801957022064595E-3</v>
      </c>
    </row>
    <row r="705" spans="1:2" x14ac:dyDescent="0.35">
      <c r="A705" s="22">
        <v>-2.7468709678244885E-2</v>
      </c>
      <c r="B705">
        <f t="shared" si="10"/>
        <v>7.5453001138770415E-4</v>
      </c>
    </row>
    <row r="706" spans="1:2" x14ac:dyDescent="0.35">
      <c r="A706" s="22">
        <v>5.0319219783786866E-4</v>
      </c>
      <c r="B706">
        <f t="shared" si="10"/>
        <v>2.5320238796490478E-7</v>
      </c>
    </row>
    <row r="707" spans="1:2" x14ac:dyDescent="0.35">
      <c r="A707" s="22">
        <v>3.8170548551139903E-2</v>
      </c>
      <c r="B707">
        <f t="shared" ref="B707:B770" si="11">A707^2</f>
        <v>1.4569907766949287E-3</v>
      </c>
    </row>
    <row r="708" spans="1:2" x14ac:dyDescent="0.35">
      <c r="A708" s="22">
        <v>-5.5758210206438433E-3</v>
      </c>
      <c r="B708">
        <f t="shared" si="11"/>
        <v>3.1089780054253748E-5</v>
      </c>
    </row>
    <row r="709" spans="1:2" x14ac:dyDescent="0.35">
      <c r="A709" s="22">
        <v>-3.0776418314829149E-2</v>
      </c>
      <c r="B709">
        <f t="shared" si="11"/>
        <v>9.4718792428935105E-4</v>
      </c>
    </row>
    <row r="710" spans="1:2" x14ac:dyDescent="0.35">
      <c r="A710" s="22">
        <v>-1.0242280495272777E-2</v>
      </c>
      <c r="B710">
        <f t="shared" si="11"/>
        <v>1.0490430974384517E-4</v>
      </c>
    </row>
    <row r="711" spans="1:2" x14ac:dyDescent="0.35">
      <c r="A711" s="22">
        <v>-1.034022432246441E-2</v>
      </c>
      <c r="B711">
        <f t="shared" si="11"/>
        <v>1.0692023903888457E-4</v>
      </c>
    </row>
    <row r="712" spans="1:2" x14ac:dyDescent="0.35">
      <c r="A712" s="22">
        <v>-1.1353377979973704E-2</v>
      </c>
      <c r="B712">
        <f t="shared" si="11"/>
        <v>1.288991915561518E-4</v>
      </c>
    </row>
    <row r="713" spans="1:2" x14ac:dyDescent="0.35">
      <c r="A713" s="22">
        <v>-3.9447387038473331E-4</v>
      </c>
      <c r="B713">
        <f t="shared" si="11"/>
        <v>1.5560963441631137E-7</v>
      </c>
    </row>
    <row r="714" spans="1:2" x14ac:dyDescent="0.35">
      <c r="A714" s="22">
        <v>2.2689551983724222E-2</v>
      </c>
      <c r="B714">
        <f t="shared" si="11"/>
        <v>5.1481576922212378E-4</v>
      </c>
    </row>
    <row r="715" spans="1:2" x14ac:dyDescent="0.35">
      <c r="A715" s="22">
        <v>2.0363648873297616E-2</v>
      </c>
      <c r="B715">
        <f t="shared" si="11"/>
        <v>4.146781954349553E-4</v>
      </c>
    </row>
    <row r="716" spans="1:2" x14ac:dyDescent="0.35">
      <c r="A716" s="22">
        <v>-4.7255658662604109E-2</v>
      </c>
      <c r="B716">
        <f t="shared" si="11"/>
        <v>2.2330972756365508E-3</v>
      </c>
    </row>
    <row r="717" spans="1:2" x14ac:dyDescent="0.35">
      <c r="A717" s="22">
        <v>-3.1774052247446E-3</v>
      </c>
      <c r="B717">
        <f t="shared" si="11"/>
        <v>1.0095903962234282E-5</v>
      </c>
    </row>
    <row r="718" spans="1:2" x14ac:dyDescent="0.35">
      <c r="A718" s="22">
        <v>7.0473865947315523E-3</v>
      </c>
      <c r="B718">
        <f t="shared" si="11"/>
        <v>4.9665657815601984E-5</v>
      </c>
    </row>
    <row r="719" spans="1:2" x14ac:dyDescent="0.35">
      <c r="A719" s="22">
        <v>1.0685858539587492E-2</v>
      </c>
      <c r="B719">
        <f t="shared" si="11"/>
        <v>1.1418757272807494E-4</v>
      </c>
    </row>
    <row r="720" spans="1:2" x14ac:dyDescent="0.35">
      <c r="A720" s="22">
        <v>6.8098676814546788E-2</v>
      </c>
      <c r="B720">
        <f t="shared" si="11"/>
        <v>4.6374297838920921E-3</v>
      </c>
    </row>
    <row r="721" spans="1:2" x14ac:dyDescent="0.35">
      <c r="A721" s="22">
        <v>1.2426038950128117E-2</v>
      </c>
      <c r="B721">
        <f t="shared" si="11"/>
        <v>1.5440644399010108E-4</v>
      </c>
    </row>
    <row r="722" spans="1:2" x14ac:dyDescent="0.35">
      <c r="A722" s="22">
        <v>9.732108408096362E-3</v>
      </c>
      <c r="B722">
        <f t="shared" si="11"/>
        <v>9.471393406693991E-5</v>
      </c>
    </row>
    <row r="723" spans="1:2" x14ac:dyDescent="0.35">
      <c r="A723" s="22">
        <v>1.6313963890684548E-2</v>
      </c>
      <c r="B723">
        <f t="shared" si="11"/>
        <v>2.6614541782655929E-4</v>
      </c>
    </row>
    <row r="724" spans="1:2" x14ac:dyDescent="0.35">
      <c r="A724" s="22">
        <v>1.0287531059771452E-2</v>
      </c>
      <c r="B724">
        <f t="shared" si="11"/>
        <v>1.0583329530576235E-4</v>
      </c>
    </row>
    <row r="725" spans="1:2" x14ac:dyDescent="0.35">
      <c r="A725" s="22">
        <v>-3.6465063907100115E-3</v>
      </c>
      <c r="B725">
        <f t="shared" si="11"/>
        <v>1.3297008857488956E-5</v>
      </c>
    </row>
    <row r="726" spans="1:2" x14ac:dyDescent="0.35">
      <c r="A726" s="22">
        <v>-1.2629384147709396E-2</v>
      </c>
      <c r="B726">
        <f t="shared" si="11"/>
        <v>1.5950134395041339E-4</v>
      </c>
    </row>
    <row r="727" spans="1:2" x14ac:dyDescent="0.35">
      <c r="A727" s="22">
        <v>1.9423858086675568E-2</v>
      </c>
      <c r="B727">
        <f t="shared" si="11"/>
        <v>3.7728626297131189E-4</v>
      </c>
    </row>
    <row r="728" spans="1:2" x14ac:dyDescent="0.35">
      <c r="A728" s="22">
        <v>-1.334993945742928E-2</v>
      </c>
      <c r="B728">
        <f t="shared" si="11"/>
        <v>1.7822088351702718E-4</v>
      </c>
    </row>
    <row r="729" spans="1:2" x14ac:dyDescent="0.35">
      <c r="A729" s="22">
        <v>-2.4184465666939218E-2</v>
      </c>
      <c r="B729">
        <f t="shared" si="11"/>
        <v>5.8488837959536175E-4</v>
      </c>
    </row>
    <row r="730" spans="1:2" x14ac:dyDescent="0.35">
      <c r="A730" s="22">
        <v>1.3050904280875781E-2</v>
      </c>
      <c r="B730">
        <f t="shared" si="11"/>
        <v>1.7032610254858179E-4</v>
      </c>
    </row>
    <row r="731" spans="1:2" x14ac:dyDescent="0.35">
      <c r="A731" s="22">
        <v>-2.2782533571877379E-2</v>
      </c>
      <c r="B731">
        <f t="shared" si="11"/>
        <v>5.1904383595371983E-4</v>
      </c>
    </row>
    <row r="732" spans="1:2" x14ac:dyDescent="0.35">
      <c r="A732" s="22">
        <v>-1.1420767339426211E-2</v>
      </c>
      <c r="B732">
        <f t="shared" si="11"/>
        <v>1.3043392662130446E-4</v>
      </c>
    </row>
    <row r="733" spans="1:2" x14ac:dyDescent="0.35">
      <c r="A733" s="22">
        <v>1.5042918925498604E-2</v>
      </c>
      <c r="B733">
        <f t="shared" si="11"/>
        <v>2.2628940979912407E-4</v>
      </c>
    </row>
    <row r="734" spans="1:2" x14ac:dyDescent="0.35">
      <c r="A734" s="22">
        <v>4.6730936971828762E-3</v>
      </c>
      <c r="B734">
        <f t="shared" si="11"/>
        <v>2.1837804702650324E-5</v>
      </c>
    </row>
    <row r="735" spans="1:2" x14ac:dyDescent="0.35">
      <c r="A735" s="22">
        <v>-3.1486910845174736E-2</v>
      </c>
      <c r="B735">
        <f t="shared" si="11"/>
        <v>9.9142555457198229E-4</v>
      </c>
    </row>
    <row r="736" spans="1:2" x14ac:dyDescent="0.35">
      <c r="A736" s="22">
        <v>1.001315839327537E-2</v>
      </c>
      <c r="B736">
        <f t="shared" si="11"/>
        <v>1.0026334100882099E-4</v>
      </c>
    </row>
    <row r="737" spans="1:2" x14ac:dyDescent="0.35">
      <c r="A737" s="22">
        <v>3.3081920979400568E-2</v>
      </c>
      <c r="B737">
        <f t="shared" si="11"/>
        <v>1.0944134956873035E-3</v>
      </c>
    </row>
    <row r="738" spans="1:2" x14ac:dyDescent="0.35">
      <c r="A738" s="22">
        <v>2.0972204817748296E-3</v>
      </c>
      <c r="B738">
        <f t="shared" si="11"/>
        <v>4.3983337491758485E-6</v>
      </c>
    </row>
    <row r="739" spans="1:2" x14ac:dyDescent="0.35">
      <c r="A739" s="22">
        <v>2.1146536900120635E-2</v>
      </c>
      <c r="B739">
        <f t="shared" si="11"/>
        <v>4.4717602286816361E-4</v>
      </c>
    </row>
    <row r="740" spans="1:2" x14ac:dyDescent="0.35">
      <c r="A740" s="22">
        <v>-1.205503878495016E-3</v>
      </c>
      <c r="B740">
        <f t="shared" si="11"/>
        <v>1.4532396010665263E-6</v>
      </c>
    </row>
    <row r="741" spans="1:2" x14ac:dyDescent="0.35">
      <c r="A741" s="22">
        <v>-1.5004863480774322E-2</v>
      </c>
      <c r="B741">
        <f t="shared" si="11"/>
        <v>2.2514592807667489E-4</v>
      </c>
    </row>
    <row r="742" spans="1:2" x14ac:dyDescent="0.35">
      <c r="A742" s="22">
        <v>-3.9447387038473331E-4</v>
      </c>
      <c r="B742">
        <f t="shared" si="11"/>
        <v>1.5560963441631137E-7</v>
      </c>
    </row>
    <row r="743" spans="1:2" x14ac:dyDescent="0.35">
      <c r="A743" s="22">
        <v>7.0190351905707734E-3</v>
      </c>
      <c r="B743">
        <f t="shared" si="11"/>
        <v>4.9266855006470896E-5</v>
      </c>
    </row>
    <row r="744" spans="1:2" x14ac:dyDescent="0.35">
      <c r="A744" s="22">
        <v>7.7821410110543209E-3</v>
      </c>
      <c r="B744">
        <f t="shared" si="11"/>
        <v>6.0561718715933568E-5</v>
      </c>
    </row>
    <row r="745" spans="1:2" x14ac:dyDescent="0.35">
      <c r="A745" s="22">
        <v>8.5268562188285206E-3</v>
      </c>
      <c r="B745">
        <f t="shared" si="11"/>
        <v>7.2707276976574617E-5</v>
      </c>
    </row>
    <row r="746" spans="1:2" x14ac:dyDescent="0.35">
      <c r="A746" s="22">
        <v>3.5779159570129823E-2</v>
      </c>
      <c r="B746">
        <f t="shared" si="11"/>
        <v>1.2801482595448126E-3</v>
      </c>
    </row>
    <row r="747" spans="1:2" x14ac:dyDescent="0.35">
      <c r="A747" s="22">
        <v>5.0032213484153557E-2</v>
      </c>
      <c r="B747">
        <f t="shared" si="11"/>
        <v>2.503222386123917E-3</v>
      </c>
    </row>
    <row r="748" spans="1:2" x14ac:dyDescent="0.35">
      <c r="A748" s="22">
        <v>-1.8715787448307876E-3</v>
      </c>
      <c r="B748">
        <f t="shared" si="11"/>
        <v>3.5028069981023863E-6</v>
      </c>
    </row>
    <row r="749" spans="1:2" x14ac:dyDescent="0.35">
      <c r="A749" s="22">
        <v>4.7830409225146963E-3</v>
      </c>
      <c r="B749">
        <f t="shared" si="11"/>
        <v>2.2877480466450237E-5</v>
      </c>
    </row>
    <row r="750" spans="1:2" x14ac:dyDescent="0.35">
      <c r="A750" s="22">
        <v>3.413613025365166E-4</v>
      </c>
      <c r="B750">
        <f t="shared" si="11"/>
        <v>1.1652753886942722E-7</v>
      </c>
    </row>
    <row r="751" spans="1:2" x14ac:dyDescent="0.35">
      <c r="A751" s="22">
        <v>-1.1423885635090643E-2</v>
      </c>
      <c r="B751">
        <f t="shared" si="11"/>
        <v>1.3050516300363034E-4</v>
      </c>
    </row>
    <row r="752" spans="1:2" x14ac:dyDescent="0.35">
      <c r="A752" s="22">
        <v>2.1910358843369969E-2</v>
      </c>
      <c r="B752">
        <f t="shared" si="11"/>
        <v>4.8006382464524058E-4</v>
      </c>
    </row>
    <row r="753" spans="1:2" x14ac:dyDescent="0.35">
      <c r="A753" s="22">
        <v>1.1969162493251624E-2</v>
      </c>
      <c r="B753">
        <f t="shared" si="11"/>
        <v>1.4326085078986142E-4</v>
      </c>
    </row>
    <row r="754" spans="1:2" x14ac:dyDescent="0.35">
      <c r="A754" s="22">
        <v>-9.7335543301549053E-3</v>
      </c>
      <c r="B754">
        <f t="shared" si="11"/>
        <v>9.4742079898077312E-5</v>
      </c>
    </row>
    <row r="755" spans="1:2" x14ac:dyDescent="0.35">
      <c r="A755" s="22">
        <v>-2.569963355518842E-3</v>
      </c>
      <c r="B755">
        <f t="shared" si="11"/>
        <v>6.6047116487096658E-6</v>
      </c>
    </row>
    <row r="756" spans="1:2" x14ac:dyDescent="0.35">
      <c r="A756" s="22">
        <v>-2.5103776195966116E-2</v>
      </c>
      <c r="B756">
        <f t="shared" si="11"/>
        <v>6.3019957929715497E-4</v>
      </c>
    </row>
    <row r="757" spans="1:2" x14ac:dyDescent="0.35">
      <c r="A757" s="22">
        <v>-1.52976035276127E-2</v>
      </c>
      <c r="B757">
        <f t="shared" si="11"/>
        <v>2.3401667368802852E-4</v>
      </c>
    </row>
    <row r="758" spans="1:2" x14ac:dyDescent="0.35">
      <c r="A758" s="22">
        <v>-1.7035926215316702E-2</v>
      </c>
      <c r="B758">
        <f t="shared" si="11"/>
        <v>2.9022278201371483E-4</v>
      </c>
    </row>
    <row r="759" spans="1:2" x14ac:dyDescent="0.35">
      <c r="A759" s="22">
        <v>-2.5009858485769369E-2</v>
      </c>
      <c r="B759">
        <f t="shared" si="11"/>
        <v>6.2549302147821013E-4</v>
      </c>
    </row>
    <row r="760" spans="1:2" x14ac:dyDescent="0.35">
      <c r="A760" s="22">
        <v>-1.1831174035077448E-3</v>
      </c>
      <c r="B760">
        <f t="shared" si="11"/>
        <v>1.3997667904829078E-6</v>
      </c>
    </row>
    <row r="761" spans="1:2" x14ac:dyDescent="0.35">
      <c r="A761" s="22">
        <v>2.565130355660817E-2</v>
      </c>
      <c r="B761">
        <f t="shared" si="11"/>
        <v>6.5798937415325893E-4</v>
      </c>
    </row>
    <row r="762" spans="1:2" x14ac:dyDescent="0.35">
      <c r="A762" s="22">
        <v>5.7593722834614258E-3</v>
      </c>
      <c r="B762">
        <f t="shared" si="11"/>
        <v>3.3170369099503676E-5</v>
      </c>
    </row>
    <row r="763" spans="1:2" x14ac:dyDescent="0.35">
      <c r="A763" s="22">
        <v>9.5443640501046215E-3</v>
      </c>
      <c r="B763">
        <f t="shared" si="11"/>
        <v>9.1094885120929491E-5</v>
      </c>
    </row>
    <row r="764" spans="1:2" x14ac:dyDescent="0.35">
      <c r="A764" s="22">
        <v>7.9325511106901649E-3</v>
      </c>
      <c r="B764">
        <f t="shared" si="11"/>
        <v>6.2925367123711773E-5</v>
      </c>
    </row>
    <row r="765" spans="1:2" x14ac:dyDescent="0.35">
      <c r="A765" s="22">
        <v>-7.9019813778922147E-3</v>
      </c>
      <c r="B765">
        <f t="shared" si="11"/>
        <v>6.2441309696555341E-5</v>
      </c>
    </row>
    <row r="766" spans="1:2" x14ac:dyDescent="0.35">
      <c r="A766" s="22">
        <v>-3.9447387038473331E-4</v>
      </c>
      <c r="B766">
        <f t="shared" si="11"/>
        <v>1.5560963441631137E-7</v>
      </c>
    </row>
    <row r="767" spans="1:2" x14ac:dyDescent="0.35">
      <c r="A767" s="22">
        <v>-1.2497348303062506E-2</v>
      </c>
      <c r="B767">
        <f t="shared" si="11"/>
        <v>1.5618371460805928E-4</v>
      </c>
    </row>
    <row r="768" spans="1:2" x14ac:dyDescent="0.35">
      <c r="A768" s="22">
        <v>-2.0302590256295893E-2</v>
      </c>
      <c r="B768">
        <f t="shared" si="11"/>
        <v>4.1219517111504094E-4</v>
      </c>
    </row>
    <row r="769" spans="1:2" x14ac:dyDescent="0.35">
      <c r="A769" s="22">
        <v>3.5117761296151835E-3</v>
      </c>
      <c r="B769">
        <f t="shared" si="11"/>
        <v>1.2332571584534998E-5</v>
      </c>
    </row>
    <row r="770" spans="1:2" x14ac:dyDescent="0.35">
      <c r="A770" s="22">
        <v>-8.9547851544313824E-3</v>
      </c>
      <c r="B770">
        <f t="shared" si="11"/>
        <v>8.0188177162024673E-5</v>
      </c>
    </row>
    <row r="771" spans="1:2" x14ac:dyDescent="0.35">
      <c r="A771" s="22">
        <v>5.8849609804786946E-3</v>
      </c>
      <c r="B771">
        <f t="shared" ref="B771:B834" si="12">A771^2</f>
        <v>3.4632765741756756E-5</v>
      </c>
    </row>
    <row r="772" spans="1:2" x14ac:dyDescent="0.35">
      <c r="A772" s="22">
        <v>-1.1745050716327665E-3</v>
      </c>
      <c r="B772">
        <f t="shared" si="12"/>
        <v>1.37946216329109E-6</v>
      </c>
    </row>
    <row r="773" spans="1:2" x14ac:dyDescent="0.35">
      <c r="A773" s="22">
        <v>1.9121529252175768E-2</v>
      </c>
      <c r="B773">
        <f t="shared" si="12"/>
        <v>3.656328809418136E-4</v>
      </c>
    </row>
    <row r="774" spans="1:2" x14ac:dyDescent="0.35">
      <c r="A774" s="22">
        <v>2.1045036083673412E-2</v>
      </c>
      <c r="B774">
        <f t="shared" si="12"/>
        <v>4.4289354376311594E-4</v>
      </c>
    </row>
    <row r="775" spans="1:2" x14ac:dyDescent="0.35">
      <c r="A775" s="22">
        <v>4.8331163311024584E-2</v>
      </c>
      <c r="B775">
        <f t="shared" si="12"/>
        <v>2.3359013469969291E-3</v>
      </c>
    </row>
    <row r="776" spans="1:2" x14ac:dyDescent="0.35">
      <c r="A776" s="22">
        <v>1.1042266658564526E-2</v>
      </c>
      <c r="B776">
        <f t="shared" si="12"/>
        <v>1.2193165295884579E-4</v>
      </c>
    </row>
    <row r="777" spans="1:2" x14ac:dyDescent="0.35">
      <c r="A777" s="22">
        <v>9.4995190624773719E-3</v>
      </c>
      <c r="B777">
        <f t="shared" si="12"/>
        <v>9.0240862418370973E-5</v>
      </c>
    </row>
    <row r="778" spans="1:2" x14ac:dyDescent="0.35">
      <c r="A778" s="22">
        <v>5.9036366964453323E-3</v>
      </c>
      <c r="B778">
        <f t="shared" si="12"/>
        <v>3.4852926243615957E-5</v>
      </c>
    </row>
    <row r="779" spans="1:2" x14ac:dyDescent="0.35">
      <c r="A779" s="22">
        <v>-5.9577562069633196E-3</v>
      </c>
      <c r="B779">
        <f t="shared" si="12"/>
        <v>3.5494859021609958E-5</v>
      </c>
    </row>
    <row r="780" spans="1:2" x14ac:dyDescent="0.35">
      <c r="A780" s="22">
        <v>7.997134521223602E-3</v>
      </c>
      <c r="B780">
        <f t="shared" si="12"/>
        <v>6.3954160550546251E-5</v>
      </c>
    </row>
    <row r="781" spans="1:2" x14ac:dyDescent="0.35">
      <c r="A781" s="22">
        <v>1.9716483133776219E-2</v>
      </c>
      <c r="B781">
        <f t="shared" si="12"/>
        <v>3.8873970716448212E-4</v>
      </c>
    </row>
    <row r="782" spans="1:2" x14ac:dyDescent="0.35">
      <c r="A782" s="22">
        <v>4.3641937026947025E-3</v>
      </c>
      <c r="B782">
        <f t="shared" si="12"/>
        <v>1.9046186674640098E-5</v>
      </c>
    </row>
    <row r="783" spans="1:2" x14ac:dyDescent="0.35">
      <c r="A783" s="22">
        <v>5.0182460213608737E-3</v>
      </c>
      <c r="B783">
        <f t="shared" si="12"/>
        <v>2.5182793130904239E-5</v>
      </c>
    </row>
    <row r="784" spans="1:2" x14ac:dyDescent="0.35">
      <c r="A784" s="22">
        <v>-8.3167017611972802E-2</v>
      </c>
      <c r="B784">
        <f t="shared" si="12"/>
        <v>6.9167528184701944E-3</v>
      </c>
    </row>
    <row r="785" spans="1:2" x14ac:dyDescent="0.35">
      <c r="A785" s="22">
        <v>-3.707825963707586E-2</v>
      </c>
      <c r="B785">
        <f t="shared" si="12"/>
        <v>1.3747973377144088E-3</v>
      </c>
    </row>
    <row r="786" spans="1:2" x14ac:dyDescent="0.35">
      <c r="A786" s="22">
        <v>1.3314589343628952E-2</v>
      </c>
      <c r="B786">
        <f t="shared" si="12"/>
        <v>1.7727828938947764E-4</v>
      </c>
    </row>
    <row r="787" spans="1:2" x14ac:dyDescent="0.35">
      <c r="A787" s="22">
        <v>-1.3918140286613112E-2</v>
      </c>
      <c r="B787">
        <f t="shared" si="12"/>
        <v>1.9371462903784294E-4</v>
      </c>
    </row>
    <row r="788" spans="1:2" x14ac:dyDescent="0.35">
      <c r="A788" s="22">
        <v>-8.7722347233932033E-3</v>
      </c>
      <c r="B788">
        <f t="shared" si="12"/>
        <v>7.6952102042305423E-5</v>
      </c>
    </row>
    <row r="789" spans="1:2" x14ac:dyDescent="0.35">
      <c r="A789" s="22">
        <v>1.2662361767096059E-2</v>
      </c>
      <c r="B789">
        <f t="shared" si="12"/>
        <v>1.6033540552081604E-4</v>
      </c>
    </row>
    <row r="790" spans="1:2" x14ac:dyDescent="0.35">
      <c r="A790" s="22">
        <v>1.7042978745233191E-2</v>
      </c>
      <c r="B790">
        <f t="shared" si="12"/>
        <v>2.9046312451047032E-4</v>
      </c>
    </row>
    <row r="791" spans="1:2" x14ac:dyDescent="0.35">
      <c r="A791" s="22">
        <v>4.8216215096450942E-3</v>
      </c>
      <c r="B791">
        <f t="shared" si="12"/>
        <v>2.3248033982272239E-5</v>
      </c>
    </row>
    <row r="792" spans="1:2" x14ac:dyDescent="0.35">
      <c r="A792" s="22">
        <v>-4.1009230920304495E-3</v>
      </c>
      <c r="B792">
        <f t="shared" si="12"/>
        <v>1.6817570206748583E-5</v>
      </c>
    </row>
    <row r="793" spans="1:2" x14ac:dyDescent="0.35">
      <c r="A793" s="22">
        <v>6.3019547010438283E-3</v>
      </c>
      <c r="B793">
        <f t="shared" si="12"/>
        <v>3.9714633054008404E-5</v>
      </c>
    </row>
    <row r="794" spans="1:2" x14ac:dyDescent="0.35">
      <c r="A794" s="22">
        <v>1.2170197230871729E-2</v>
      </c>
      <c r="B794">
        <f t="shared" si="12"/>
        <v>1.4811370063831788E-4</v>
      </c>
    </row>
    <row r="795" spans="1:2" x14ac:dyDescent="0.35">
      <c r="A795" s="22">
        <v>2.077340934129417E-2</v>
      </c>
      <c r="B795">
        <f t="shared" si="12"/>
        <v>4.3153453566096786E-4</v>
      </c>
    </row>
    <row r="796" spans="1:2" x14ac:dyDescent="0.35">
      <c r="A796" s="22">
        <v>-7.5424367009779888E-3</v>
      </c>
      <c r="B796">
        <f t="shared" si="12"/>
        <v>5.6888351388259725E-5</v>
      </c>
    </row>
    <row r="797" spans="1:2" x14ac:dyDescent="0.35">
      <c r="A797" s="22">
        <v>-1.6953149176360285E-2</v>
      </c>
      <c r="B797">
        <f t="shared" si="12"/>
        <v>2.8740926699592539E-4</v>
      </c>
    </row>
    <row r="798" spans="1:2" x14ac:dyDescent="0.35">
      <c r="A798" s="22">
        <v>-3.4069437267163716E-2</v>
      </c>
      <c r="B798">
        <f t="shared" si="12"/>
        <v>1.1607265557012037E-3</v>
      </c>
    </row>
    <row r="799" spans="1:2" x14ac:dyDescent="0.35">
      <c r="A799" s="22">
        <v>-1.3273261749172607E-2</v>
      </c>
      <c r="B799">
        <f t="shared" si="12"/>
        <v>1.7617947746204865E-4</v>
      </c>
    </row>
    <row r="800" spans="1:2" x14ac:dyDescent="0.35">
      <c r="A800" s="22">
        <v>2.8001535339131845E-2</v>
      </c>
      <c r="B800">
        <f t="shared" si="12"/>
        <v>7.840859813486496E-4</v>
      </c>
    </row>
    <row r="801" spans="1:2" x14ac:dyDescent="0.35">
      <c r="A801" s="22">
        <v>-1.3081041034563833E-2</v>
      </c>
      <c r="B801">
        <f t="shared" si="12"/>
        <v>1.7111363454794284E-4</v>
      </c>
    </row>
    <row r="802" spans="1:2" x14ac:dyDescent="0.35">
      <c r="A802" s="22">
        <v>-1.0220626553680333E-2</v>
      </c>
      <c r="B802">
        <f t="shared" si="12"/>
        <v>1.0446120714979551E-4</v>
      </c>
    </row>
    <row r="803" spans="1:2" x14ac:dyDescent="0.35">
      <c r="A803" s="22">
        <v>1.2582625366256482E-2</v>
      </c>
      <c r="B803">
        <f t="shared" si="12"/>
        <v>1.5832246110756106E-4</v>
      </c>
    </row>
    <row r="804" spans="1:2" x14ac:dyDescent="0.35">
      <c r="A804" s="22">
        <v>7.8949006586281675E-3</v>
      </c>
      <c r="B804">
        <f t="shared" si="12"/>
        <v>6.2329456409607474E-5</v>
      </c>
    </row>
    <row r="805" spans="1:2" x14ac:dyDescent="0.35">
      <c r="A805" s="22">
        <v>-4.8787788031201965E-3</v>
      </c>
      <c r="B805">
        <f t="shared" si="12"/>
        <v>2.3802482609774938E-5</v>
      </c>
    </row>
    <row r="806" spans="1:2" x14ac:dyDescent="0.35">
      <c r="A806" s="22">
        <v>2.2878799402888578E-2</v>
      </c>
      <c r="B806">
        <f t="shared" si="12"/>
        <v>5.2343946211761479E-4</v>
      </c>
    </row>
    <row r="807" spans="1:2" x14ac:dyDescent="0.35">
      <c r="A807" s="22">
        <v>-7.7312310237230616E-3</v>
      </c>
      <c r="B807">
        <f t="shared" si="12"/>
        <v>5.9771933142177936E-5</v>
      </c>
    </row>
    <row r="808" spans="1:2" x14ac:dyDescent="0.35">
      <c r="A808" s="22">
        <v>1.0837227297631861E-3</v>
      </c>
      <c r="B808">
        <f t="shared" si="12"/>
        <v>1.1744549550053718E-6</v>
      </c>
    </row>
    <row r="809" spans="1:2" x14ac:dyDescent="0.35">
      <c r="A809" s="22">
        <v>3.5767887753231385E-2</v>
      </c>
      <c r="B809">
        <f t="shared" si="12"/>
        <v>1.2793417943277596E-3</v>
      </c>
    </row>
    <row r="810" spans="1:2" x14ac:dyDescent="0.35">
      <c r="A810" s="22">
        <v>1.0289286813375976E-2</v>
      </c>
      <c r="B810">
        <f t="shared" si="12"/>
        <v>1.0586942312791274E-4</v>
      </c>
    </row>
    <row r="811" spans="1:2" x14ac:dyDescent="0.35">
      <c r="A811" s="22">
        <v>-1.8012514744239559E-2</v>
      </c>
      <c r="B811">
        <f t="shared" si="12"/>
        <v>3.2445068741144753E-4</v>
      </c>
    </row>
    <row r="812" spans="1:2" x14ac:dyDescent="0.35">
      <c r="A812" s="22">
        <v>9.6485677365019638E-3</v>
      </c>
      <c r="B812">
        <f t="shared" si="12"/>
        <v>9.3094859365866635E-5</v>
      </c>
    </row>
    <row r="813" spans="1:2" x14ac:dyDescent="0.35">
      <c r="A813" s="22">
        <v>1.0258935220524382E-2</v>
      </c>
      <c r="B813">
        <f t="shared" si="12"/>
        <v>1.0524575185891565E-4</v>
      </c>
    </row>
    <row r="814" spans="1:2" x14ac:dyDescent="0.35">
      <c r="A814" s="22">
        <v>1.1552117837275134E-2</v>
      </c>
      <c r="B814">
        <f t="shared" si="12"/>
        <v>1.3345142652629031E-4</v>
      </c>
    </row>
    <row r="815" spans="1:2" x14ac:dyDescent="0.35">
      <c r="A815" s="22">
        <v>3.077748351837415E-3</v>
      </c>
      <c r="B815">
        <f t="shared" si="12"/>
        <v>9.4725349172379255E-6</v>
      </c>
    </row>
    <row r="816" spans="1:2" x14ac:dyDescent="0.35">
      <c r="A816" s="22">
        <v>1.4138398101933665E-2</v>
      </c>
      <c r="B816">
        <f t="shared" si="12"/>
        <v>1.9989430088876144E-4</v>
      </c>
    </row>
    <row r="817" spans="1:2" x14ac:dyDescent="0.35">
      <c r="A817" s="22">
        <v>2.8765436972439268E-4</v>
      </c>
      <c r="B817">
        <f t="shared" si="12"/>
        <v>8.2745036421537608E-8</v>
      </c>
    </row>
    <row r="818" spans="1:2" x14ac:dyDescent="0.35">
      <c r="A818" s="22">
        <v>2.4827066688579088E-2</v>
      </c>
      <c r="B818">
        <f t="shared" si="12"/>
        <v>6.1638324035915345E-4</v>
      </c>
    </row>
    <row r="819" spans="1:2" x14ac:dyDescent="0.35">
      <c r="A819" s="22">
        <v>-3.7189419554910456E-3</v>
      </c>
      <c r="B819">
        <f t="shared" si="12"/>
        <v>1.3830529268311562E-5</v>
      </c>
    </row>
    <row r="820" spans="1:2" x14ac:dyDescent="0.35">
      <c r="A820" s="22">
        <v>1.0279308651296396E-2</v>
      </c>
      <c r="B820">
        <f t="shared" si="12"/>
        <v>1.0566418634861694E-4</v>
      </c>
    </row>
    <row r="821" spans="1:2" x14ac:dyDescent="0.35">
      <c r="A821" s="22">
        <v>-2.6137048127810512E-2</v>
      </c>
      <c r="B821">
        <f t="shared" si="12"/>
        <v>6.8314528483548302E-4</v>
      </c>
    </row>
    <row r="822" spans="1:2" x14ac:dyDescent="0.35">
      <c r="A822" s="22">
        <v>-1.39446093717397E-2</v>
      </c>
      <c r="B822">
        <f t="shared" si="12"/>
        <v>1.9445213053041066E-4</v>
      </c>
    </row>
    <row r="823" spans="1:2" x14ac:dyDescent="0.35">
      <c r="A823" s="22">
        <v>-1.7681002440111996E-3</v>
      </c>
      <c r="B823">
        <f t="shared" si="12"/>
        <v>3.1261784728724635E-6</v>
      </c>
    </row>
    <row r="824" spans="1:2" x14ac:dyDescent="0.35">
      <c r="A824" s="22">
        <v>-1.1398600417839919E-2</v>
      </c>
      <c r="B824">
        <f t="shared" si="12"/>
        <v>1.2992809148558036E-4</v>
      </c>
    </row>
    <row r="825" spans="1:2" x14ac:dyDescent="0.35">
      <c r="A825" s="22">
        <v>-1.6388910588048183E-2</v>
      </c>
      <c r="B825">
        <f t="shared" si="12"/>
        <v>2.6859639026303783E-4</v>
      </c>
    </row>
    <row r="826" spans="1:2" x14ac:dyDescent="0.35">
      <c r="A826" s="22">
        <v>1.3739801747989774E-2</v>
      </c>
      <c r="B826">
        <f t="shared" si="12"/>
        <v>1.8878215207406284E-4</v>
      </c>
    </row>
    <row r="827" spans="1:2" x14ac:dyDescent="0.35">
      <c r="A827" s="22">
        <v>-9.4537073198620175E-3</v>
      </c>
      <c r="B827">
        <f t="shared" si="12"/>
        <v>8.9372582089612687E-5</v>
      </c>
    </row>
    <row r="828" spans="1:2" x14ac:dyDescent="0.35">
      <c r="A828" s="22">
        <v>-1.4459171479386215E-2</v>
      </c>
      <c r="B828">
        <f t="shared" si="12"/>
        <v>2.0906763987029573E-4</v>
      </c>
    </row>
    <row r="829" spans="1:2" x14ac:dyDescent="0.35">
      <c r="A829" s="22">
        <v>2.2430062506220139E-2</v>
      </c>
      <c r="B829">
        <f t="shared" si="12"/>
        <v>5.0310770403294244E-4</v>
      </c>
    </row>
    <row r="830" spans="1:2" x14ac:dyDescent="0.35">
      <c r="A830" s="22">
        <v>-2.9683176799255022E-2</v>
      </c>
      <c r="B830">
        <f t="shared" si="12"/>
        <v>8.8109098489583162E-4</v>
      </c>
    </row>
    <row r="831" spans="1:2" x14ac:dyDescent="0.35">
      <c r="A831" s="22">
        <v>-1.2607117548545649E-2</v>
      </c>
      <c r="B831">
        <f t="shared" si="12"/>
        <v>1.5893941288284765E-4</v>
      </c>
    </row>
    <row r="832" spans="1:2" x14ac:dyDescent="0.35">
      <c r="A832" s="22">
        <v>-5.4853829612938445E-3</v>
      </c>
      <c r="B832">
        <f t="shared" si="12"/>
        <v>3.0089426232052826E-5</v>
      </c>
    </row>
    <row r="833" spans="1:2" x14ac:dyDescent="0.35">
      <c r="A833" s="22">
        <v>2.5921315603299439E-2</v>
      </c>
      <c r="B833">
        <f t="shared" si="12"/>
        <v>6.7191460260585488E-4</v>
      </c>
    </row>
    <row r="834" spans="1:2" x14ac:dyDescent="0.35">
      <c r="A834" s="22">
        <v>-3.9447387038473331E-4</v>
      </c>
      <c r="B834">
        <f t="shared" si="12"/>
        <v>1.5560963441631137E-7</v>
      </c>
    </row>
    <row r="835" spans="1:2" x14ac:dyDescent="0.35">
      <c r="A835" s="22">
        <v>-1.8200741676652539E-2</v>
      </c>
      <c r="B835">
        <f t="shared" ref="B835:B898" si="13">A835^2</f>
        <v>3.3126699758023666E-4</v>
      </c>
    </row>
    <row r="836" spans="1:2" x14ac:dyDescent="0.35">
      <c r="A836" s="22">
        <v>2.2085584142668244E-2</v>
      </c>
      <c r="B836">
        <f t="shared" si="13"/>
        <v>4.8777302692287896E-4</v>
      </c>
    </row>
    <row r="837" spans="1:2" x14ac:dyDescent="0.35">
      <c r="A837" s="22">
        <v>2.4424055622394459E-3</v>
      </c>
      <c r="B837">
        <f t="shared" si="13"/>
        <v>5.9653449304581834E-6</v>
      </c>
    </row>
    <row r="838" spans="1:2" x14ac:dyDescent="0.35">
      <c r="A838" s="22">
        <v>-2.3025308382407381E-2</v>
      </c>
      <c r="B838">
        <f t="shared" si="13"/>
        <v>5.3016482610495957E-4</v>
      </c>
    </row>
    <row r="839" spans="1:2" x14ac:dyDescent="0.35">
      <c r="A839" s="22">
        <v>-1.8484198906564182E-2</v>
      </c>
      <c r="B839">
        <f t="shared" si="13"/>
        <v>3.4166560921742851E-4</v>
      </c>
    </row>
    <row r="840" spans="1:2" x14ac:dyDescent="0.35">
      <c r="A840" s="22">
        <v>-1.9554385440023626E-2</v>
      </c>
      <c r="B840">
        <f t="shared" si="13"/>
        <v>3.8237398993700794E-4</v>
      </c>
    </row>
    <row r="841" spans="1:2" x14ac:dyDescent="0.35">
      <c r="A841" s="22">
        <v>2.3647599758465778E-2</v>
      </c>
      <c r="B841">
        <f t="shared" si="13"/>
        <v>5.5920897433659074E-4</v>
      </c>
    </row>
    <row r="842" spans="1:2" x14ac:dyDescent="0.35">
      <c r="A842" s="22">
        <v>-1.7269015323062679E-2</v>
      </c>
      <c r="B842">
        <f t="shared" si="13"/>
        <v>2.9821889022817362E-4</v>
      </c>
    </row>
    <row r="843" spans="1:2" x14ac:dyDescent="0.35">
      <c r="A843" s="22">
        <v>-1.6066115661429573E-2</v>
      </c>
      <c r="B843">
        <f t="shared" si="13"/>
        <v>2.5812007244643262E-4</v>
      </c>
    </row>
    <row r="844" spans="1:2" x14ac:dyDescent="0.35">
      <c r="A844" s="22">
        <v>-6.4596747801648757E-3</v>
      </c>
      <c r="B844">
        <f t="shared" si="13"/>
        <v>4.1727398265498138E-5</v>
      </c>
    </row>
    <row r="845" spans="1:2" x14ac:dyDescent="0.35">
      <c r="A845" s="22">
        <v>8.7588442074185459E-3</v>
      </c>
      <c r="B845">
        <f t="shared" si="13"/>
        <v>7.6717351849829414E-5</v>
      </c>
    </row>
    <row r="846" spans="1:2" x14ac:dyDescent="0.35">
      <c r="A846" s="22">
        <v>4.1406735219054192E-3</v>
      </c>
      <c r="B846">
        <f t="shared" si="13"/>
        <v>1.7145177215008628E-5</v>
      </c>
    </row>
    <row r="847" spans="1:2" x14ac:dyDescent="0.35">
      <c r="A847" s="22">
        <v>4.8726442635505778E-3</v>
      </c>
      <c r="B847">
        <f t="shared" si="13"/>
        <v>2.3742662119112353E-5</v>
      </c>
    </row>
    <row r="848" spans="1:2" x14ac:dyDescent="0.35">
      <c r="A848" s="22">
        <v>-9.3765097985283891E-3</v>
      </c>
      <c r="B848">
        <f t="shared" si="13"/>
        <v>8.7918936001898893E-5</v>
      </c>
    </row>
    <row r="849" spans="1:2" x14ac:dyDescent="0.35">
      <c r="A849" s="22">
        <v>-4.9261959247654356E-3</v>
      </c>
      <c r="B849">
        <f t="shared" si="13"/>
        <v>2.4267406289175585E-5</v>
      </c>
    </row>
    <row r="850" spans="1:2" x14ac:dyDescent="0.35">
      <c r="A850" s="22">
        <v>-1.0257903308927906E-2</v>
      </c>
      <c r="B850">
        <f t="shared" si="13"/>
        <v>1.0522458029531409E-4</v>
      </c>
    </row>
    <row r="851" spans="1:2" x14ac:dyDescent="0.35">
      <c r="A851" s="22">
        <v>-1.1122443219043781E-2</v>
      </c>
      <c r="B851">
        <f t="shared" si="13"/>
        <v>1.2370874316085297E-4</v>
      </c>
    </row>
    <row r="852" spans="1:2" x14ac:dyDescent="0.35">
      <c r="A852" s="22">
        <v>6.5768661760908561E-3</v>
      </c>
      <c r="B852">
        <f t="shared" si="13"/>
        <v>4.3255168698207962E-5</v>
      </c>
    </row>
    <row r="853" spans="1:2" x14ac:dyDescent="0.35">
      <c r="A853" s="22">
        <v>-8.0867815626923991E-3</v>
      </c>
      <c r="B853">
        <f t="shared" si="13"/>
        <v>6.5396036042701723E-5</v>
      </c>
    </row>
    <row r="854" spans="1:2" x14ac:dyDescent="0.35">
      <c r="A854" s="22">
        <v>-1.8999125033175447E-2</v>
      </c>
      <c r="B854">
        <f t="shared" si="13"/>
        <v>3.6096675202623393E-4</v>
      </c>
    </row>
    <row r="855" spans="1:2" x14ac:dyDescent="0.35">
      <c r="A855" s="22">
        <v>5.1347520379881172E-3</v>
      </c>
      <c r="B855">
        <f t="shared" si="13"/>
        <v>2.6365678491623124E-5</v>
      </c>
    </row>
    <row r="856" spans="1:2" x14ac:dyDescent="0.35">
      <c r="A856" s="22">
        <v>-1.1800198248230513E-3</v>
      </c>
      <c r="B856">
        <f t="shared" si="13"/>
        <v>1.3924467869754246E-6</v>
      </c>
    </row>
    <row r="857" spans="1:2" x14ac:dyDescent="0.35">
      <c r="A857" s="22">
        <v>-3.9447387038473331E-4</v>
      </c>
      <c r="B857">
        <f t="shared" si="13"/>
        <v>1.5560963441631137E-7</v>
      </c>
    </row>
    <row r="858" spans="1:2" x14ac:dyDescent="0.35">
      <c r="A858" s="22">
        <v>1.1778531736403905E-3</v>
      </c>
      <c r="B858">
        <f t="shared" si="13"/>
        <v>1.3873380986547397E-6</v>
      </c>
    </row>
    <row r="859" spans="1:2" x14ac:dyDescent="0.35">
      <c r="A859" s="22">
        <v>3.9045548597317772E-4</v>
      </c>
      <c r="B859">
        <f t="shared" si="13"/>
        <v>1.5245548652655037E-7</v>
      </c>
    </row>
    <row r="860" spans="1:2" x14ac:dyDescent="0.35">
      <c r="A860" s="22">
        <v>1.9997682992360349E-2</v>
      </c>
      <c r="B860">
        <f t="shared" si="13"/>
        <v>3.9990732506293839E-4</v>
      </c>
    </row>
    <row r="861" spans="1:2" x14ac:dyDescent="0.35">
      <c r="A861" s="22">
        <v>-1.8841822064081904E-2</v>
      </c>
      <c r="B861">
        <f t="shared" si="13"/>
        <v>3.5501425869452366E-4</v>
      </c>
    </row>
    <row r="862" spans="1:2" x14ac:dyDescent="0.35">
      <c r="A862" s="22">
        <v>-5.2078107386437998E-2</v>
      </c>
      <c r="B862">
        <f t="shared" si="13"/>
        <v>2.712129268953368E-3</v>
      </c>
    </row>
    <row r="863" spans="1:2" x14ac:dyDescent="0.35">
      <c r="A863" s="22">
        <v>1.8598094255131405E-2</v>
      </c>
      <c r="B863">
        <f t="shared" si="13"/>
        <v>3.4588910992275178E-4</v>
      </c>
    </row>
    <row r="864" spans="1:2" x14ac:dyDescent="0.35">
      <c r="A864" s="22">
        <v>6.8988810728891617E-3</v>
      </c>
      <c r="B864">
        <f t="shared" si="13"/>
        <v>4.7594560057868312E-5</v>
      </c>
    </row>
    <row r="865" spans="1:2" x14ac:dyDescent="0.35">
      <c r="A865" s="22">
        <v>-2.0034843289526796E-3</v>
      </c>
      <c r="B865">
        <f t="shared" si="13"/>
        <v>4.0139494563589688E-6</v>
      </c>
    </row>
    <row r="866" spans="1:2" x14ac:dyDescent="0.35">
      <c r="A866" s="22">
        <v>-2.5374328826065676E-2</v>
      </c>
      <c r="B866">
        <f t="shared" si="13"/>
        <v>6.4385656337330747E-4</v>
      </c>
    </row>
    <row r="867" spans="1:2" x14ac:dyDescent="0.35">
      <c r="A867" s="22">
        <v>6.2170963775491569E-3</v>
      </c>
      <c r="B867">
        <f t="shared" si="13"/>
        <v>3.8652287367734848E-5</v>
      </c>
    </row>
    <row r="868" spans="1:2" x14ac:dyDescent="0.35">
      <c r="A868" s="22">
        <v>-2.0098907367921696E-2</v>
      </c>
      <c r="B868">
        <f t="shared" si="13"/>
        <v>4.0396607738429701E-4</v>
      </c>
    </row>
    <row r="869" spans="1:2" x14ac:dyDescent="0.35">
      <c r="A869" s="22">
        <v>3.8131489278694065E-2</v>
      </c>
      <c r="B869">
        <f t="shared" si="13"/>
        <v>1.4540104746111604E-3</v>
      </c>
    </row>
    <row r="870" spans="1:2" x14ac:dyDescent="0.35">
      <c r="A870" s="22">
        <v>-1.7329957741352542E-2</v>
      </c>
      <c r="B870">
        <f t="shared" si="13"/>
        <v>3.0032743531706492E-4</v>
      </c>
    </row>
    <row r="871" spans="1:2" x14ac:dyDescent="0.35">
      <c r="A871" s="22">
        <v>-2.5004810211647976E-2</v>
      </c>
      <c r="B871">
        <f t="shared" si="13"/>
        <v>6.2524053372053489E-4</v>
      </c>
    </row>
    <row r="872" spans="1:2" x14ac:dyDescent="0.35">
      <c r="A872" s="22">
        <v>1.3062212420616118E-2</v>
      </c>
      <c r="B872">
        <f t="shared" si="13"/>
        <v>1.7062139332129801E-4</v>
      </c>
    </row>
    <row r="873" spans="1:2" x14ac:dyDescent="0.35">
      <c r="A873" s="22">
        <v>-8.6932290571068438E-3</v>
      </c>
      <c r="B873">
        <f t="shared" si="13"/>
        <v>7.5572231439326743E-5</v>
      </c>
    </row>
    <row r="874" spans="1:2" x14ac:dyDescent="0.35">
      <c r="A874" s="22">
        <v>2.9528064643433776E-3</v>
      </c>
      <c r="B874">
        <f t="shared" si="13"/>
        <v>8.7190660158680387E-6</v>
      </c>
    </row>
    <row r="875" spans="1:2" x14ac:dyDescent="0.35">
      <c r="A875" s="22">
        <v>-1.9577126080559913E-2</v>
      </c>
      <c r="B875">
        <f t="shared" si="13"/>
        <v>3.8326386557413917E-4</v>
      </c>
    </row>
    <row r="876" spans="1:2" x14ac:dyDescent="0.35">
      <c r="A876" s="22">
        <v>-2.7605358224126252E-2</v>
      </c>
      <c r="B876">
        <f t="shared" si="13"/>
        <v>7.6205580268233486E-4</v>
      </c>
    </row>
    <row r="877" spans="1:2" x14ac:dyDescent="0.35">
      <c r="A877" s="22">
        <v>3.1020296261188443E-3</v>
      </c>
      <c r="B877">
        <f t="shared" si="13"/>
        <v>9.6225878013190173E-6</v>
      </c>
    </row>
    <row r="878" spans="1:2" x14ac:dyDescent="0.35">
      <c r="A878" s="22">
        <v>5.7030871052250473E-3</v>
      </c>
      <c r="B878">
        <f t="shared" si="13"/>
        <v>3.2525202529784208E-5</v>
      </c>
    </row>
    <row r="879" spans="1:2" x14ac:dyDescent="0.35">
      <c r="A879" s="22">
        <v>5.6661321902211981E-3</v>
      </c>
      <c r="B879">
        <f t="shared" si="13"/>
        <v>3.210505399706087E-5</v>
      </c>
    </row>
    <row r="880" spans="1:2" x14ac:dyDescent="0.35">
      <c r="A880" s="22">
        <v>9.0719633068959207E-3</v>
      </c>
      <c r="B880">
        <f t="shared" si="13"/>
        <v>8.2300518241665966E-5</v>
      </c>
    </row>
    <row r="881" spans="1:2" x14ac:dyDescent="0.35">
      <c r="A881" s="22">
        <v>-2.0995037084068622E-3</v>
      </c>
      <c r="B881">
        <f t="shared" si="13"/>
        <v>4.4079158216141669E-6</v>
      </c>
    </row>
    <row r="882" spans="1:2" x14ac:dyDescent="0.35">
      <c r="A882" s="22">
        <v>-1.1496096415218275E-2</v>
      </c>
      <c r="B882">
        <f t="shared" si="13"/>
        <v>1.3216023278799448E-4</v>
      </c>
    </row>
    <row r="883" spans="1:2" x14ac:dyDescent="0.35">
      <c r="A883" s="22">
        <v>-3.4073230347068724E-2</v>
      </c>
      <c r="B883">
        <f t="shared" si="13"/>
        <v>1.160985026284405E-3</v>
      </c>
    </row>
    <row r="884" spans="1:2" x14ac:dyDescent="0.35">
      <c r="A884" s="22">
        <v>-4.862749116139777E-3</v>
      </c>
      <c r="B884">
        <f t="shared" si="13"/>
        <v>2.3646328966518184E-5</v>
      </c>
    </row>
    <row r="885" spans="1:2" x14ac:dyDescent="0.35">
      <c r="A885" s="22">
        <v>-1.2921399386073354E-3</v>
      </c>
      <c r="B885">
        <f t="shared" si="13"/>
        <v>1.6696256209441684E-6</v>
      </c>
    </row>
    <row r="886" spans="1:2" x14ac:dyDescent="0.35">
      <c r="A886" s="22">
        <v>-2.1914190635564626E-3</v>
      </c>
      <c r="B886">
        <f t="shared" si="13"/>
        <v>4.8023175121186835E-6</v>
      </c>
    </row>
    <row r="887" spans="1:2" x14ac:dyDescent="0.35">
      <c r="A887" s="22">
        <v>1.8507416318634246E-2</v>
      </c>
      <c r="B887">
        <f t="shared" si="13"/>
        <v>3.4252445879124922E-4</v>
      </c>
    </row>
    <row r="888" spans="1:2" x14ac:dyDescent="0.35">
      <c r="A888" s="22">
        <v>-1.1878572810314132E-2</v>
      </c>
      <c r="B888">
        <f t="shared" si="13"/>
        <v>1.4110049200993419E-4</v>
      </c>
    </row>
    <row r="889" spans="1:2" x14ac:dyDescent="0.35">
      <c r="A889" s="22">
        <v>6.4842344717640332E-2</v>
      </c>
      <c r="B889">
        <f t="shared" si="13"/>
        <v>4.2045296684812992E-3</v>
      </c>
    </row>
    <row r="890" spans="1:2" x14ac:dyDescent="0.35">
      <c r="A890" s="22">
        <v>2.1417606666528002E-2</v>
      </c>
      <c r="B890">
        <f t="shared" si="13"/>
        <v>4.587138753221047E-4</v>
      </c>
    </row>
    <row r="891" spans="1:2" x14ac:dyDescent="0.35">
      <c r="A891" s="22">
        <v>-2.0365099951794438E-3</v>
      </c>
      <c r="B891">
        <f t="shared" si="13"/>
        <v>4.147372960465778E-6</v>
      </c>
    </row>
    <row r="892" spans="1:2" x14ac:dyDescent="0.35">
      <c r="A892" s="22">
        <v>-1.9308947554595293E-2</v>
      </c>
      <c r="B892">
        <f t="shared" si="13"/>
        <v>3.7283545566611158E-4</v>
      </c>
    </row>
    <row r="893" spans="1:2" x14ac:dyDescent="0.35">
      <c r="A893" s="22">
        <v>1.3855316573873433E-2</v>
      </c>
      <c r="B893">
        <f t="shared" si="13"/>
        <v>1.9196979736225183E-4</v>
      </c>
    </row>
    <row r="894" spans="1:2" x14ac:dyDescent="0.35">
      <c r="A894" s="22">
        <v>-4.8328358167905407E-2</v>
      </c>
      <c r="B894">
        <f t="shared" si="13"/>
        <v>2.3356302032053492E-3</v>
      </c>
    </row>
    <row r="895" spans="1:2" x14ac:dyDescent="0.35">
      <c r="A895" s="22">
        <v>-1.3415307203718099E-2</v>
      </c>
      <c r="B895">
        <f t="shared" si="13"/>
        <v>1.7997046737013071E-4</v>
      </c>
    </row>
    <row r="896" spans="1:2" x14ac:dyDescent="0.35">
      <c r="A896" s="22">
        <v>-1.4466593483401301E-2</v>
      </c>
      <c r="B896">
        <f t="shared" si="13"/>
        <v>2.09282327013989E-4</v>
      </c>
    </row>
    <row r="897" spans="1:2" x14ac:dyDescent="0.35">
      <c r="A897" s="22">
        <v>2.9935588573861461E-2</v>
      </c>
      <c r="B897">
        <f t="shared" si="13"/>
        <v>8.9613946326350482E-4</v>
      </c>
    </row>
    <row r="898" spans="1:2" x14ac:dyDescent="0.35">
      <c r="A898" s="22">
        <v>2.0384746908835912E-2</v>
      </c>
      <c r="B898">
        <f t="shared" si="13"/>
        <v>4.1553790653729527E-4</v>
      </c>
    </row>
    <row r="899" spans="1:2" x14ac:dyDescent="0.35">
      <c r="A899" s="22">
        <v>-3.5169707118900294E-2</v>
      </c>
      <c r="B899">
        <f t="shared" ref="B899:B962" si="14">A899^2</f>
        <v>1.236908298829226E-3</v>
      </c>
    </row>
    <row r="900" spans="1:2" x14ac:dyDescent="0.35">
      <c r="A900" s="22">
        <v>2.7725034038226733E-2</v>
      </c>
      <c r="B900">
        <f t="shared" si="14"/>
        <v>7.6867751242083097E-4</v>
      </c>
    </row>
    <row r="901" spans="1:2" x14ac:dyDescent="0.35">
      <c r="A901" s="22">
        <v>1.499014151423078E-2</v>
      </c>
      <c r="B901">
        <f t="shared" si="14"/>
        <v>2.2470434261666504E-4</v>
      </c>
    </row>
    <row r="902" spans="1:2" x14ac:dyDescent="0.35">
      <c r="A902" s="22">
        <v>2.9725294966185616E-3</v>
      </c>
      <c r="B902">
        <f t="shared" si="14"/>
        <v>8.8359316082673997E-6</v>
      </c>
    </row>
    <row r="903" spans="1:2" x14ac:dyDescent="0.35">
      <c r="A903" s="22">
        <v>-1.1300514138841176E-2</v>
      </c>
      <c r="B903">
        <f t="shared" si="14"/>
        <v>1.2770161980214933E-4</v>
      </c>
    </row>
    <row r="904" spans="1:2" x14ac:dyDescent="0.35">
      <c r="A904" s="22">
        <v>2.0809936647002886E-2</v>
      </c>
      <c r="B904">
        <f t="shared" si="14"/>
        <v>4.3305346325227376E-4</v>
      </c>
    </row>
    <row r="905" spans="1:2" x14ac:dyDescent="0.35">
      <c r="A905" s="22">
        <v>-2.2819723039819915E-2</v>
      </c>
      <c r="B905">
        <f t="shared" si="14"/>
        <v>5.2073975961408787E-4</v>
      </c>
    </row>
    <row r="906" spans="1:2" x14ac:dyDescent="0.35">
      <c r="A906" s="22">
        <v>-1.4837974295193564E-2</v>
      </c>
      <c r="B906">
        <f t="shared" si="14"/>
        <v>2.2016548118482495E-4</v>
      </c>
    </row>
    <row r="907" spans="1:2" x14ac:dyDescent="0.35">
      <c r="A907" s="22">
        <v>1.3296640606497128E-3</v>
      </c>
      <c r="B907">
        <f t="shared" si="14"/>
        <v>1.7680065141834832E-6</v>
      </c>
    </row>
    <row r="908" spans="1:2" x14ac:dyDescent="0.35">
      <c r="A908" s="22">
        <v>2.9726008057326236E-2</v>
      </c>
      <c r="B908">
        <f t="shared" si="14"/>
        <v>8.836355550242243E-4</v>
      </c>
    </row>
    <row r="909" spans="1:2" x14ac:dyDescent="0.35">
      <c r="A909" s="22">
        <v>-3.9447387038473331E-4</v>
      </c>
      <c r="B909">
        <f t="shared" si="14"/>
        <v>1.5560963441631137E-7</v>
      </c>
    </row>
    <row r="910" spans="1:2" x14ac:dyDescent="0.35">
      <c r="A910" s="22">
        <v>4.6180574579359618E-3</v>
      </c>
      <c r="B910">
        <f t="shared" si="14"/>
        <v>2.1326454684797956E-5</v>
      </c>
    </row>
    <row r="911" spans="1:2" x14ac:dyDescent="0.35">
      <c r="A911" s="22">
        <v>-3.7194946517645463E-3</v>
      </c>
      <c r="B911">
        <f t="shared" si="14"/>
        <v>1.3834640464505063E-5</v>
      </c>
    </row>
    <row r="912" spans="1:2" x14ac:dyDescent="0.35">
      <c r="A912" s="22">
        <v>-7.9007290830619536E-3</v>
      </c>
      <c r="B912">
        <f t="shared" si="14"/>
        <v>6.2421520043940979E-5</v>
      </c>
    </row>
    <row r="913" spans="1:2" x14ac:dyDescent="0.35">
      <c r="A913" s="22">
        <v>1.1370232011968105E-2</v>
      </c>
      <c r="B913">
        <f t="shared" si="14"/>
        <v>1.2928217600598424E-4</v>
      </c>
    </row>
    <row r="914" spans="1:2" x14ac:dyDescent="0.35">
      <c r="A914" s="22">
        <v>-3.7167330065972872E-3</v>
      </c>
      <c r="B914">
        <f t="shared" si="14"/>
        <v>1.381410424232971E-5</v>
      </c>
    </row>
    <row r="915" spans="1:2" x14ac:dyDescent="0.35">
      <c r="A915" s="22">
        <v>6.2105526129615264E-2</v>
      </c>
      <c r="B915">
        <f t="shared" si="14"/>
        <v>3.8570963758363243E-3</v>
      </c>
    </row>
    <row r="916" spans="1:2" x14ac:dyDescent="0.35">
      <c r="A916" s="22">
        <v>-2.7061140537051387E-2</v>
      </c>
      <c r="B916">
        <f t="shared" si="14"/>
        <v>7.3230532716604582E-4</v>
      </c>
    </row>
    <row r="917" spans="1:2" x14ac:dyDescent="0.35">
      <c r="A917" s="22">
        <v>-1.2002756431486162E-3</v>
      </c>
      <c r="B917">
        <f t="shared" si="14"/>
        <v>1.4406616195358242E-6</v>
      </c>
    </row>
    <row r="918" spans="1:2" x14ac:dyDescent="0.35">
      <c r="A918" s="22">
        <v>6.0571390328410784E-3</v>
      </c>
      <c r="B918">
        <f t="shared" si="14"/>
        <v>3.6688933263166954E-5</v>
      </c>
    </row>
    <row r="919" spans="1:2" x14ac:dyDescent="0.35">
      <c r="A919" s="22">
        <v>-6.0034482293591148E-3</v>
      </c>
      <c r="B919">
        <f t="shared" si="14"/>
        <v>3.6041390642595091E-5</v>
      </c>
    </row>
    <row r="920" spans="1:2" x14ac:dyDescent="0.35">
      <c r="A920" s="22">
        <v>-3.9447387038473331E-4</v>
      </c>
      <c r="B920">
        <f t="shared" si="14"/>
        <v>1.5560963441631137E-7</v>
      </c>
    </row>
    <row r="921" spans="1:2" x14ac:dyDescent="0.35">
      <c r="A921" s="22">
        <v>7.663543857254239E-3</v>
      </c>
      <c r="B921">
        <f t="shared" si="14"/>
        <v>5.8729904452059179E-5</v>
      </c>
    </row>
    <row r="922" spans="1:2" x14ac:dyDescent="0.35">
      <c r="A922" s="22">
        <v>-2.8372091776060163E-2</v>
      </c>
      <c r="B922">
        <f t="shared" si="14"/>
        <v>8.0497559174918067E-4</v>
      </c>
    </row>
    <row r="923" spans="1:2" x14ac:dyDescent="0.35">
      <c r="A923" s="22">
        <v>-2.9177368607226809E-2</v>
      </c>
      <c r="B923">
        <f t="shared" si="14"/>
        <v>8.5131883884198448E-4</v>
      </c>
    </row>
    <row r="924" spans="1:2" x14ac:dyDescent="0.35">
      <c r="A924" s="22">
        <v>-1.3095574632450809E-2</v>
      </c>
      <c r="B924">
        <f t="shared" si="14"/>
        <v>1.7149407495408914E-4</v>
      </c>
    </row>
    <row r="925" spans="1:2" x14ac:dyDescent="0.35">
      <c r="A925" s="22">
        <v>2.44768811896495E-2</v>
      </c>
      <c r="B925">
        <f t="shared" si="14"/>
        <v>5.9911771277221747E-4</v>
      </c>
    </row>
    <row r="926" spans="1:2" x14ac:dyDescent="0.35">
      <c r="A926" s="22">
        <v>1.2791662969793966E-3</v>
      </c>
      <c r="B926">
        <f t="shared" si="14"/>
        <v>1.6362664153279817E-6</v>
      </c>
    </row>
    <row r="927" spans="1:2" x14ac:dyDescent="0.35">
      <c r="A927" s="22">
        <v>-3.9447387038473331E-4</v>
      </c>
      <c r="B927">
        <f t="shared" si="14"/>
        <v>1.5560963441631137E-7</v>
      </c>
    </row>
    <row r="928" spans="1:2" x14ac:dyDescent="0.35">
      <c r="A928" s="22">
        <v>-1.125495841507987E-2</v>
      </c>
      <c r="B928">
        <f t="shared" si="14"/>
        <v>1.2667408892517719E-4</v>
      </c>
    </row>
    <row r="929" spans="1:2" x14ac:dyDescent="0.35">
      <c r="A929" s="22">
        <v>-2.5732311708222631E-2</v>
      </c>
      <c r="B929">
        <f t="shared" si="14"/>
        <v>6.6215186584913147E-4</v>
      </c>
    </row>
    <row r="930" spans="1:2" x14ac:dyDescent="0.35">
      <c r="A930" s="22">
        <v>8.2710373947800352E-3</v>
      </c>
      <c r="B930">
        <f t="shared" si="14"/>
        <v>6.8410059585849713E-5</v>
      </c>
    </row>
    <row r="931" spans="1:2" x14ac:dyDescent="0.35">
      <c r="A931" s="22">
        <v>-2.4449456688254243E-2</v>
      </c>
      <c r="B931">
        <f t="shared" si="14"/>
        <v>5.9777593235082018E-4</v>
      </c>
    </row>
    <row r="932" spans="1:2" x14ac:dyDescent="0.35">
      <c r="A932" s="22">
        <v>-6.5564457013706744E-3</v>
      </c>
      <c r="B932">
        <f t="shared" si="14"/>
        <v>4.2986980235021996E-5</v>
      </c>
    </row>
    <row r="933" spans="1:2" x14ac:dyDescent="0.35">
      <c r="A933" s="22">
        <v>-1.2802134629445018E-3</v>
      </c>
      <c r="B933">
        <f t="shared" si="14"/>
        <v>1.6389465107043535E-6</v>
      </c>
    </row>
    <row r="934" spans="1:2" x14ac:dyDescent="0.35">
      <c r="A934" s="22">
        <v>3.1516254203954905E-3</v>
      </c>
      <c r="B934">
        <f t="shared" si="14"/>
        <v>9.9327427904830512E-6</v>
      </c>
    </row>
    <row r="935" spans="1:2" x14ac:dyDescent="0.35">
      <c r="A935" s="22">
        <v>2.87574695925128E-2</v>
      </c>
      <c r="B935">
        <f t="shared" si="14"/>
        <v>8.2699205736429834E-4</v>
      </c>
    </row>
    <row r="936" spans="1:2" x14ac:dyDescent="0.35">
      <c r="A936" s="22">
        <v>-5.544688462659454E-3</v>
      </c>
      <c r="B936">
        <f t="shared" si="14"/>
        <v>3.0743570147948859E-5</v>
      </c>
    </row>
    <row r="937" spans="1:2" x14ac:dyDescent="0.35">
      <c r="A937" s="22">
        <v>1.2547717674050154E-2</v>
      </c>
      <c r="B937">
        <f t="shared" si="14"/>
        <v>1.5744521882767062E-4</v>
      </c>
    </row>
    <row r="938" spans="1:2" x14ac:dyDescent="0.35">
      <c r="A938" s="22">
        <v>1.6641301257383521E-2</v>
      </c>
      <c r="B938">
        <f t="shared" si="14"/>
        <v>2.7693290753899439E-4</v>
      </c>
    </row>
    <row r="939" spans="1:2" x14ac:dyDescent="0.35">
      <c r="A939" s="22">
        <v>3.2268842712529888E-2</v>
      </c>
      <c r="B939">
        <f t="shared" si="14"/>
        <v>1.0412782100059934E-3</v>
      </c>
    </row>
    <row r="940" spans="1:2" x14ac:dyDescent="0.35">
      <c r="A940" s="22">
        <v>1.1770976251269796E-2</v>
      </c>
      <c r="B940">
        <f t="shared" si="14"/>
        <v>1.3855588190795753E-4</v>
      </c>
    </row>
    <row r="941" spans="1:2" x14ac:dyDescent="0.35">
      <c r="A941" s="22">
        <v>4.0680818089730081E-4</v>
      </c>
      <c r="B941">
        <f t="shared" si="14"/>
        <v>1.6549289604497102E-7</v>
      </c>
    </row>
    <row r="942" spans="1:2" x14ac:dyDescent="0.35">
      <c r="A942" s="22">
        <v>1.001385279094425E-2</v>
      </c>
      <c r="B942">
        <f t="shared" si="14"/>
        <v>1.0027724771870193E-4</v>
      </c>
    </row>
    <row r="943" spans="1:2" x14ac:dyDescent="0.35">
      <c r="A943" s="22">
        <v>-6.7336180859156429E-3</v>
      </c>
      <c r="B943">
        <f t="shared" si="14"/>
        <v>4.5341612526970245E-5</v>
      </c>
    </row>
    <row r="944" spans="1:2" x14ac:dyDescent="0.35">
      <c r="A944" s="22">
        <v>4.3902151248306175E-3</v>
      </c>
      <c r="B944">
        <f t="shared" si="14"/>
        <v>1.9273988842291514E-5</v>
      </c>
    </row>
    <row r="945" spans="1:2" x14ac:dyDescent="0.35">
      <c r="A945" s="22">
        <v>-2.7378600854511707E-2</v>
      </c>
      <c r="B945">
        <f t="shared" si="14"/>
        <v>7.495877847506692E-4</v>
      </c>
    </row>
    <row r="946" spans="1:2" x14ac:dyDescent="0.35">
      <c r="A946" s="22">
        <v>-1.6707687573484186E-2</v>
      </c>
      <c r="B946">
        <f t="shared" si="14"/>
        <v>2.7914682405315788E-4</v>
      </c>
    </row>
    <row r="947" spans="1:2" x14ac:dyDescent="0.35">
      <c r="A947" s="22">
        <v>-4.5999780669721442E-2</v>
      </c>
      <c r="B947">
        <f t="shared" si="14"/>
        <v>2.1159798216624785E-3</v>
      </c>
    </row>
    <row r="948" spans="1:2" x14ac:dyDescent="0.35">
      <c r="A948" s="22">
        <v>1.0031242897643155E-2</v>
      </c>
      <c r="B948">
        <f t="shared" si="14"/>
        <v>1.0062583407151625E-4</v>
      </c>
    </row>
    <row r="949" spans="1:2" x14ac:dyDescent="0.35">
      <c r="A949" s="22">
        <v>-1.8451223655423496E-2</v>
      </c>
      <c r="B949">
        <f t="shared" si="14"/>
        <v>3.4044765438245958E-4</v>
      </c>
    </row>
    <row r="950" spans="1:2" x14ac:dyDescent="0.35">
      <c r="A950" s="22">
        <v>4.8118287217216574E-4</v>
      </c>
      <c r="B950">
        <f t="shared" si="14"/>
        <v>2.3153695647185478E-7</v>
      </c>
    </row>
    <row r="951" spans="1:2" x14ac:dyDescent="0.35">
      <c r="A951" s="22">
        <v>3.19764797604115E-2</v>
      </c>
      <c r="B951">
        <f t="shared" si="14"/>
        <v>1.0224952578680062E-3</v>
      </c>
    </row>
    <row r="952" spans="1:2" x14ac:dyDescent="0.35">
      <c r="A952" s="22">
        <v>1.3004413838525186E-3</v>
      </c>
      <c r="B952">
        <f t="shared" si="14"/>
        <v>1.6911477928362537E-6</v>
      </c>
    </row>
    <row r="953" spans="1:2" x14ac:dyDescent="0.35">
      <c r="A953" s="22">
        <v>1.5679976214217593E-2</v>
      </c>
      <c r="B953">
        <f t="shared" si="14"/>
        <v>2.4586165407842949E-4</v>
      </c>
    </row>
    <row r="954" spans="1:2" x14ac:dyDescent="0.35">
      <c r="A954" s="22">
        <v>-3.7250317388276264E-3</v>
      </c>
      <c r="B954">
        <f t="shared" si="14"/>
        <v>1.3875861455273171E-5</v>
      </c>
    </row>
    <row r="955" spans="1:2" x14ac:dyDescent="0.35">
      <c r="A955" s="22">
        <v>-2.462170862393535E-2</v>
      </c>
      <c r="B955">
        <f t="shared" si="14"/>
        <v>6.0622853556197237E-4</v>
      </c>
    </row>
    <row r="956" spans="1:2" x14ac:dyDescent="0.35">
      <c r="A956" s="22">
        <v>3.0301836638619213E-3</v>
      </c>
      <c r="B956">
        <f t="shared" si="14"/>
        <v>9.1820130367356564E-6</v>
      </c>
    </row>
    <row r="957" spans="1:2" x14ac:dyDescent="0.35">
      <c r="A957" s="22">
        <v>7.284707016987268E-3</v>
      </c>
      <c r="B957">
        <f t="shared" si="14"/>
        <v>5.3066956323343543E-5</v>
      </c>
    </row>
    <row r="958" spans="1:2" x14ac:dyDescent="0.35">
      <c r="A958" s="22">
        <v>-2.9346940227980385E-3</v>
      </c>
      <c r="B958">
        <f t="shared" si="14"/>
        <v>8.6124290074465344E-6</v>
      </c>
    </row>
    <row r="959" spans="1:2" x14ac:dyDescent="0.35">
      <c r="A959" s="22">
        <v>1.4036765518409827E-2</v>
      </c>
      <c r="B959">
        <f t="shared" si="14"/>
        <v>1.9703078621881911E-4</v>
      </c>
    </row>
    <row r="960" spans="1:2" x14ac:dyDescent="0.35">
      <c r="A960" s="22">
        <v>-1.4620415292978872E-2</v>
      </c>
      <c r="B960">
        <f t="shared" si="14"/>
        <v>2.1375654333917045E-4</v>
      </c>
    </row>
    <row r="961" spans="1:2" x14ac:dyDescent="0.35">
      <c r="A961" s="22">
        <v>-9.7323346513694068E-3</v>
      </c>
      <c r="B961">
        <f t="shared" si="14"/>
        <v>9.4718337766245674E-5</v>
      </c>
    </row>
    <row r="962" spans="1:2" x14ac:dyDescent="0.35">
      <c r="A962" s="22">
        <v>2.1762202170188109E-3</v>
      </c>
      <c r="B962">
        <f t="shared" si="14"/>
        <v>4.7359344329614004E-6</v>
      </c>
    </row>
    <row r="963" spans="1:2" x14ac:dyDescent="0.35">
      <c r="A963" s="22">
        <v>2.0973047497136636E-2</v>
      </c>
      <c r="B963">
        <f t="shared" ref="B963:B1008" si="15">A963^2</f>
        <v>4.3986872131714929E-4</v>
      </c>
    </row>
    <row r="964" spans="1:2" x14ac:dyDescent="0.35">
      <c r="A964" s="22">
        <v>-1.2312939540667239E-3</v>
      </c>
      <c r="B964">
        <f t="shared" si="15"/>
        <v>1.5160848013212675E-6</v>
      </c>
    </row>
    <row r="965" spans="1:2" x14ac:dyDescent="0.35">
      <c r="A965" s="22">
        <v>-7.828392110656561E-2</v>
      </c>
      <c r="B965">
        <f t="shared" si="15"/>
        <v>6.1283723038189882E-3</v>
      </c>
    </row>
    <row r="966" spans="1:2" x14ac:dyDescent="0.35">
      <c r="A966" s="22">
        <v>-3.8541612834962387E-2</v>
      </c>
      <c r="B966">
        <f t="shared" si="15"/>
        <v>1.4854559199201374E-3</v>
      </c>
    </row>
    <row r="967" spans="1:2" x14ac:dyDescent="0.35">
      <c r="A967" s="22">
        <v>2.4383873194169063E-3</v>
      </c>
      <c r="B967">
        <f t="shared" si="15"/>
        <v>5.9457327194931658E-6</v>
      </c>
    </row>
    <row r="968" spans="1:2" x14ac:dyDescent="0.35">
      <c r="A968" s="22">
        <v>-7.9274305558838E-3</v>
      </c>
      <c r="B968">
        <f t="shared" si="15"/>
        <v>6.2844155218360134E-5</v>
      </c>
    </row>
    <row r="969" spans="1:2" x14ac:dyDescent="0.35">
      <c r="A969" s="22">
        <v>2.451825939862054E-3</v>
      </c>
      <c r="B969">
        <f t="shared" si="15"/>
        <v>6.0114504393804443E-6</v>
      </c>
    </row>
    <row r="970" spans="1:2" x14ac:dyDescent="0.35">
      <c r="A970" s="22">
        <v>-9.855211807943829E-3</v>
      </c>
      <c r="B970">
        <f t="shared" si="15"/>
        <v>9.712519977943547E-5</v>
      </c>
    </row>
    <row r="971" spans="1:2" x14ac:dyDescent="0.35">
      <c r="A971" s="22">
        <v>1.7752613044610444E-2</v>
      </c>
      <c r="B971">
        <f t="shared" si="15"/>
        <v>3.1515526991167289E-4</v>
      </c>
    </row>
    <row r="972" spans="1:2" x14ac:dyDescent="0.35">
      <c r="A972" s="22">
        <v>8.590946609209181E-2</v>
      </c>
      <c r="B972">
        <f t="shared" si="15"/>
        <v>7.3804363642282723E-3</v>
      </c>
    </row>
    <row r="973" spans="1:2" x14ac:dyDescent="0.35">
      <c r="A973" s="22">
        <v>4.364697690681732E-2</v>
      </c>
      <c r="B973">
        <f t="shared" si="15"/>
        <v>1.9050585931042444E-3</v>
      </c>
    </row>
    <row r="974" spans="1:2" x14ac:dyDescent="0.35">
      <c r="A974" s="22">
        <v>-1.3628551620591529E-2</v>
      </c>
      <c r="B974">
        <f t="shared" si="15"/>
        <v>1.8573741927512799E-4</v>
      </c>
    </row>
    <row r="975" spans="1:2" x14ac:dyDescent="0.35">
      <c r="A975" s="22">
        <v>-3.2246946628138214E-2</v>
      </c>
      <c r="B975">
        <f t="shared" si="15"/>
        <v>1.0398655668379946E-3</v>
      </c>
    </row>
    <row r="976" spans="1:2" x14ac:dyDescent="0.35">
      <c r="A976" s="22">
        <v>-2.3771097247008224E-2</v>
      </c>
      <c r="B976">
        <f t="shared" si="15"/>
        <v>5.6506506432672202E-4</v>
      </c>
    </row>
    <row r="977" spans="1:2" x14ac:dyDescent="0.35">
      <c r="A977" s="22">
        <v>-3.0536317842015926E-2</v>
      </c>
      <c r="B977">
        <f t="shared" si="15"/>
        <v>9.3246670734862017E-4</v>
      </c>
    </row>
    <row r="978" spans="1:2" x14ac:dyDescent="0.35">
      <c r="A978" s="22">
        <v>1.4336796945148419E-3</v>
      </c>
      <c r="B978">
        <f t="shared" si="15"/>
        <v>2.0554374664641703E-6</v>
      </c>
    </row>
    <row r="979" spans="1:2" x14ac:dyDescent="0.35">
      <c r="A979" s="22">
        <v>2.1503336348593225E-2</v>
      </c>
      <c r="B979">
        <f t="shared" si="15"/>
        <v>4.6239347412073059E-4</v>
      </c>
    </row>
    <row r="980" spans="1:2" x14ac:dyDescent="0.35">
      <c r="A980" s="22">
        <v>-2.4501616727527552E-2</v>
      </c>
      <c r="B980">
        <f t="shared" si="15"/>
        <v>6.0032922226265796E-4</v>
      </c>
    </row>
    <row r="981" spans="1:2" x14ac:dyDescent="0.35">
      <c r="A981" s="22">
        <v>7.8397438789290681E-3</v>
      </c>
      <c r="B981">
        <f t="shared" si="15"/>
        <v>6.1461584087205793E-5</v>
      </c>
    </row>
    <row r="982" spans="1:2" x14ac:dyDescent="0.35">
      <c r="A982" s="22">
        <v>8.6799362929546164E-3</v>
      </c>
      <c r="B982">
        <f t="shared" si="15"/>
        <v>7.5341294049750731E-5</v>
      </c>
    </row>
    <row r="983" spans="1:2" x14ac:dyDescent="0.35">
      <c r="A983" s="22">
        <v>1.849041821594628E-2</v>
      </c>
      <c r="B983">
        <f t="shared" si="15"/>
        <v>3.4189556580059799E-4</v>
      </c>
    </row>
    <row r="984" spans="1:2" x14ac:dyDescent="0.35">
      <c r="A984" s="22">
        <v>3.4910027453534095E-2</v>
      </c>
      <c r="B984">
        <f t="shared" si="15"/>
        <v>1.2187100168065043E-3</v>
      </c>
    </row>
    <row r="985" spans="1:2" x14ac:dyDescent="0.35">
      <c r="A985" s="22">
        <v>-4.3872734739949931E-2</v>
      </c>
      <c r="B985">
        <f t="shared" si="15"/>
        <v>1.9248168535620095E-3</v>
      </c>
    </row>
    <row r="986" spans="1:2" x14ac:dyDescent="0.35">
      <c r="A986" s="22">
        <v>-3.9595362589766158E-3</v>
      </c>
      <c r="B986">
        <f t="shared" si="15"/>
        <v>1.5677927386150535E-5</v>
      </c>
    </row>
    <row r="987" spans="1:2" x14ac:dyDescent="0.35">
      <c r="A987" s="22">
        <v>4.07779804374771E-3</v>
      </c>
      <c r="B987">
        <f t="shared" si="15"/>
        <v>1.6628436885592652E-5</v>
      </c>
    </row>
    <row r="988" spans="1:2" x14ac:dyDescent="0.35">
      <c r="A988" s="22">
        <v>-8.4087214215868584E-3</v>
      </c>
      <c r="B988">
        <f t="shared" si="15"/>
        <v>7.0706595945853711E-5</v>
      </c>
    </row>
    <row r="989" spans="1:2" x14ac:dyDescent="0.35">
      <c r="A989" s="22">
        <v>4.2693497404300958E-2</v>
      </c>
      <c r="B989">
        <f t="shared" si="15"/>
        <v>1.8227347206110527E-3</v>
      </c>
    </row>
    <row r="990" spans="1:2" x14ac:dyDescent="0.35">
      <c r="A990" s="22">
        <v>-3.9447387038473331E-4</v>
      </c>
      <c r="B990">
        <f t="shared" si="15"/>
        <v>1.5560963441631137E-7</v>
      </c>
    </row>
    <row r="991" spans="1:2" x14ac:dyDescent="0.35">
      <c r="A991" s="22">
        <v>7.350792911026768E-3</v>
      </c>
      <c r="B991">
        <f t="shared" si="15"/>
        <v>5.4034156420801386E-5</v>
      </c>
    </row>
    <row r="992" spans="1:2" x14ac:dyDescent="0.35">
      <c r="A992" s="22">
        <v>6.4372938495126444E-3</v>
      </c>
      <c r="B992">
        <f t="shared" si="15"/>
        <v>4.1438752104973317E-5</v>
      </c>
    </row>
    <row r="993" spans="1:2" x14ac:dyDescent="0.35">
      <c r="A993" s="22">
        <v>-6.3317088152531394E-3</v>
      </c>
      <c r="B993">
        <f t="shared" si="15"/>
        <v>4.0090536521154317E-5</v>
      </c>
    </row>
    <row r="994" spans="1:2" x14ac:dyDescent="0.35">
      <c r="A994" s="22">
        <v>1.2404160941901833E-2</v>
      </c>
      <c r="B994">
        <f t="shared" si="15"/>
        <v>1.5386320867260297E-4</v>
      </c>
    </row>
    <row r="995" spans="1:2" x14ac:dyDescent="0.35">
      <c r="A995" s="22">
        <v>-2.9880573280662716E-2</v>
      </c>
      <c r="B995">
        <f t="shared" si="15"/>
        <v>8.9284865958105461E-4</v>
      </c>
    </row>
    <row r="996" spans="1:2" x14ac:dyDescent="0.35">
      <c r="A996" s="22">
        <v>-3.5116696092606987E-2</v>
      </c>
      <c r="B996">
        <f t="shared" si="15"/>
        <v>1.2331823444605189E-3</v>
      </c>
    </row>
    <row r="997" spans="1:2" x14ac:dyDescent="0.35">
      <c r="A997" s="22">
        <v>1.1296173611629726E-2</v>
      </c>
      <c r="B997">
        <f t="shared" si="15"/>
        <v>1.2760353826407977E-4</v>
      </c>
    </row>
    <row r="998" spans="1:2" x14ac:dyDescent="0.35">
      <c r="A998" s="22">
        <v>-5.7278072037181106E-3</v>
      </c>
      <c r="B998">
        <f t="shared" si="15"/>
        <v>3.2807775362965083E-5</v>
      </c>
    </row>
    <row r="999" spans="1:2" x14ac:dyDescent="0.35">
      <c r="A999" s="22">
        <v>8.5420766211255113E-3</v>
      </c>
      <c r="B999">
        <f t="shared" si="15"/>
        <v>7.296707300117903E-5</v>
      </c>
    </row>
    <row r="1000" spans="1:2" x14ac:dyDescent="0.35">
      <c r="A1000" s="22">
        <v>3.1484844998544985E-3</v>
      </c>
      <c r="B1000">
        <f t="shared" si="15"/>
        <v>9.9129546458240321E-6</v>
      </c>
    </row>
    <row r="1001" spans="1:2" x14ac:dyDescent="0.35">
      <c r="A1001" s="22">
        <v>4.8813866271321785E-4</v>
      </c>
      <c r="B1001">
        <f t="shared" si="15"/>
        <v>2.3827935403544865E-7</v>
      </c>
    </row>
    <row r="1002" spans="1:2" x14ac:dyDescent="0.35">
      <c r="A1002" s="22">
        <v>-3.9218107310548525E-3</v>
      </c>
      <c r="B1002">
        <f t="shared" si="15"/>
        <v>1.5380599410216996E-5</v>
      </c>
    </row>
    <row r="1003" spans="1:2" x14ac:dyDescent="0.35">
      <c r="A1003" s="22">
        <v>-9.2440313925087527E-3</v>
      </c>
      <c r="B1003">
        <f t="shared" si="15"/>
        <v>8.545211638568731E-5</v>
      </c>
    </row>
    <row r="1004" spans="1:2" x14ac:dyDescent="0.35">
      <c r="A1004" s="22">
        <v>1.1212668986758193E-2</v>
      </c>
      <c r="B1004">
        <f t="shared" si="15"/>
        <v>1.2572394580660901E-4</v>
      </c>
    </row>
    <row r="1005" spans="1:2" x14ac:dyDescent="0.35">
      <c r="A1005" s="22">
        <v>1.1079489059888944E-2</v>
      </c>
      <c r="B1005">
        <f t="shared" si="15"/>
        <v>1.227550778281988E-4</v>
      </c>
    </row>
    <row r="1006" spans="1:2" x14ac:dyDescent="0.35">
      <c r="A1006" s="22">
        <v>1.3507268276955087E-3</v>
      </c>
      <c r="B1006">
        <f t="shared" si="15"/>
        <v>1.8244629630563724E-6</v>
      </c>
    </row>
    <row r="1007" spans="1:2" x14ac:dyDescent="0.35">
      <c r="A1007" s="22">
        <v>-9.9763554034858846E-3</v>
      </c>
      <c r="B1007">
        <f t="shared" si="15"/>
        <v>9.9527667136662006E-5</v>
      </c>
    </row>
    <row r="1008" spans="1:2" x14ac:dyDescent="0.35">
      <c r="A1008" s="22">
        <v>2.6870257879835189E-2</v>
      </c>
      <c r="B1008">
        <f t="shared" si="15"/>
        <v>7.2201075852884502E-4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108B-5C36-40A1-AE9F-901202C3DA70}">
  <dimension ref="A1:AK1009"/>
  <sheetViews>
    <sheetView tabSelected="1" topLeftCell="AA44" zoomScale="130" zoomScaleNormal="130" workbookViewId="0">
      <selection activeCell="AI58" sqref="AI58"/>
    </sheetView>
  </sheetViews>
  <sheetFormatPr defaultRowHeight="14.5" x14ac:dyDescent="0.35"/>
  <cols>
    <col min="1" max="8" width="8.7265625" style="3"/>
    <col min="27" max="27" width="26.54296875" customWidth="1"/>
    <col min="28" max="28" width="19.7265625" customWidth="1"/>
    <col min="29" max="30" width="12.54296875" bestFit="1" customWidth="1"/>
    <col min="31" max="31" width="20.6328125" customWidth="1"/>
    <col min="32" max="32" width="12.54296875" bestFit="1" customWidth="1"/>
    <col min="33" max="33" width="13.08984375" bestFit="1" customWidth="1"/>
    <col min="34" max="34" width="15.36328125" bestFit="1" customWidth="1"/>
    <col min="35" max="35" width="12.54296875" bestFit="1" customWidth="1"/>
  </cols>
  <sheetData>
    <row r="1" spans="1:35" s="3" customFormat="1" ht="29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4" t="s">
        <v>44</v>
      </c>
      <c r="G1" s="14" t="s">
        <v>45</v>
      </c>
      <c r="H1" s="14" t="s">
        <v>46</v>
      </c>
      <c r="I1" s="37" t="s">
        <v>52</v>
      </c>
      <c r="J1" s="37"/>
      <c r="K1" s="37"/>
      <c r="L1" s="37"/>
      <c r="M1" s="37"/>
      <c r="N1" s="37"/>
      <c r="O1" s="37"/>
      <c r="P1" s="37"/>
      <c r="Q1" s="38" t="s">
        <v>69</v>
      </c>
      <c r="R1" s="38"/>
      <c r="S1" s="38"/>
      <c r="T1" s="38"/>
      <c r="U1" s="38"/>
      <c r="V1" s="38"/>
      <c r="W1" s="38"/>
      <c r="X1" s="38"/>
      <c r="AA1" s="3" t="s">
        <v>56</v>
      </c>
      <c r="AB1" s="1" t="s">
        <v>1</v>
      </c>
      <c r="AC1" s="1" t="s">
        <v>2</v>
      </c>
      <c r="AD1" s="1" t="s">
        <v>3</v>
      </c>
      <c r="AE1" s="1" t="s">
        <v>4</v>
      </c>
      <c r="AF1" s="1" t="s">
        <v>5</v>
      </c>
      <c r="AG1" s="1" t="s">
        <v>6</v>
      </c>
      <c r="AH1" s="1" t="s">
        <v>7</v>
      </c>
      <c r="AI1" s="1" t="s">
        <v>8</v>
      </c>
    </row>
    <row r="2" spans="1:35" s="3" customFormat="1" x14ac:dyDescent="0.35">
      <c r="A2" s="3">
        <v>10.27</v>
      </c>
      <c r="B2" s="3">
        <v>43.24</v>
      </c>
      <c r="C2" s="3">
        <v>109.93</v>
      </c>
      <c r="D2" s="3">
        <v>14.49</v>
      </c>
      <c r="E2" s="3">
        <v>25.89</v>
      </c>
      <c r="F2" s="3">
        <v>122.724992</v>
      </c>
      <c r="G2" s="3">
        <v>118.222943</v>
      </c>
      <c r="H2" s="3">
        <v>118.929986</v>
      </c>
      <c r="I2" s="20" t="s">
        <v>1</v>
      </c>
      <c r="J2" s="20" t="s">
        <v>2</v>
      </c>
      <c r="K2" s="20" t="s">
        <v>3</v>
      </c>
      <c r="L2" s="20" t="s">
        <v>4</v>
      </c>
      <c r="M2" s="20" t="s">
        <v>5</v>
      </c>
      <c r="N2" s="21" t="s">
        <v>6</v>
      </c>
      <c r="O2" s="21" t="s">
        <v>7</v>
      </c>
      <c r="P2" s="21" t="s">
        <v>8</v>
      </c>
      <c r="Q2" s="18" t="s">
        <v>1</v>
      </c>
      <c r="R2" s="18" t="s">
        <v>2</v>
      </c>
      <c r="S2" s="18" t="s">
        <v>3</v>
      </c>
      <c r="T2" s="18" t="s">
        <v>4</v>
      </c>
      <c r="U2" s="18" t="s">
        <v>5</v>
      </c>
      <c r="V2" s="19" t="s">
        <v>6</v>
      </c>
      <c r="W2" s="19" t="s">
        <v>7</v>
      </c>
      <c r="X2" s="19" t="s">
        <v>8</v>
      </c>
      <c r="AA2" s="23" t="s">
        <v>53</v>
      </c>
      <c r="AB2" s="24">
        <f t="shared" ref="AB2:AI2" si="0">AVERAGE(I3:I1009)</f>
        <v>3.9447387038473331E-4</v>
      </c>
      <c r="AC2" s="24">
        <f t="shared" si="0"/>
        <v>4.3072471407716351E-4</v>
      </c>
      <c r="AD2" s="24">
        <f t="shared" si="0"/>
        <v>4.1195938683744694E-4</v>
      </c>
      <c r="AE2" s="24">
        <f t="shared" si="0"/>
        <v>1.3145150923291827E-4</v>
      </c>
      <c r="AF2" s="24">
        <f t="shared" si="0"/>
        <v>6.9322794695376251E-4</v>
      </c>
      <c r="AG2" s="24">
        <f t="shared" si="0"/>
        <v>-2.3460380950318028E-4</v>
      </c>
      <c r="AH2" s="24">
        <f t="shared" si="0"/>
        <v>-2.54248554090703E-4</v>
      </c>
      <c r="AI2" s="24">
        <f t="shared" si="0"/>
        <v>-3.1594438460633877E-4</v>
      </c>
    </row>
    <row r="3" spans="1:35" x14ac:dyDescent="0.35">
      <c r="A3" s="3">
        <v>10.39</v>
      </c>
      <c r="B3" s="3">
        <v>42.85</v>
      </c>
      <c r="C3" s="3">
        <v>111.41</v>
      </c>
      <c r="D3" s="3">
        <v>14.78</v>
      </c>
      <c r="E3" s="3">
        <v>26.33</v>
      </c>
      <c r="F3" s="3">
        <v>122.74272000000001</v>
      </c>
      <c r="G3" s="3">
        <v>118.24085700000001</v>
      </c>
      <c r="H3" s="3">
        <v>118.84243600000001</v>
      </c>
      <c r="I3" s="17">
        <f>(A3-A2)/A2</f>
        <v>1.1684518013632034E-2</v>
      </c>
      <c r="J3" s="17">
        <f t="shared" ref="J3:P3" si="1">(B3-B2)/B2</f>
        <v>-9.019426456984286E-3</v>
      </c>
      <c r="K3" s="17">
        <f t="shared" si="1"/>
        <v>1.3463112890020829E-2</v>
      </c>
      <c r="L3" s="17">
        <f t="shared" si="1"/>
        <v>2.0013802622498217E-2</v>
      </c>
      <c r="M3" s="17">
        <f t="shared" si="1"/>
        <v>1.6994978756276466E-2</v>
      </c>
      <c r="N3" s="17">
        <f t="shared" si="1"/>
        <v>1.4445305484318382E-4</v>
      </c>
      <c r="O3" s="17">
        <f t="shared" si="1"/>
        <v>1.5152727165660771E-4</v>
      </c>
      <c r="P3" s="17">
        <f t="shared" si="1"/>
        <v>-7.3614740020227641E-4</v>
      </c>
      <c r="Q3" s="22">
        <f>I3-AB$2</f>
        <v>1.12900441432473E-2</v>
      </c>
      <c r="R3" s="22">
        <f>J3-AC$2</f>
        <v>-9.4501511710614501E-3</v>
      </c>
      <c r="S3" s="22">
        <f t="shared" ref="S3:X4" si="2">K3-AD$2</f>
        <v>1.3051153503183381E-2</v>
      </c>
      <c r="T3" s="22">
        <f t="shared" si="2"/>
        <v>1.9882351113265299E-2</v>
      </c>
      <c r="U3" s="22">
        <f t="shared" si="2"/>
        <v>1.6301750809322703E-2</v>
      </c>
      <c r="V3" s="22">
        <f t="shared" si="2"/>
        <v>3.7905686434636413E-4</v>
      </c>
      <c r="W3" s="22">
        <f t="shared" si="2"/>
        <v>4.0577582574731074E-4</v>
      </c>
      <c r="X3" s="22">
        <f t="shared" si="2"/>
        <v>-4.2020301559593764E-4</v>
      </c>
      <c r="AA3" t="s">
        <v>54</v>
      </c>
      <c r="AB3" s="59">
        <f t="shared" ref="AB3:AI3" si="3">_xlfn.VAR.S(I3:I1009)</f>
        <v>5.3636724208574755E-4</v>
      </c>
      <c r="AC3" s="59">
        <f t="shared" si="3"/>
        <v>3.7686013309361655E-4</v>
      </c>
      <c r="AD3" s="59">
        <f t="shared" si="3"/>
        <v>4.3188470730671998E-4</v>
      </c>
      <c r="AE3" s="59">
        <f t="shared" si="3"/>
        <v>2.008589279685203E-4</v>
      </c>
      <c r="AF3" s="59">
        <f t="shared" si="3"/>
        <v>3.569084371111355E-4</v>
      </c>
      <c r="AG3" s="59">
        <f t="shared" si="3"/>
        <v>2.8418767160935765E-5</v>
      </c>
      <c r="AH3" s="59">
        <f t="shared" si="3"/>
        <v>3.3564084437616254E-5</v>
      </c>
      <c r="AI3" s="59">
        <f t="shared" si="3"/>
        <v>4.9991773168396693E-5</v>
      </c>
    </row>
    <row r="4" spans="1:35" x14ac:dyDescent="0.35">
      <c r="A4" s="3">
        <v>10.66</v>
      </c>
      <c r="B4" s="3">
        <v>43.05</v>
      </c>
      <c r="C4" s="3">
        <v>109.54</v>
      </c>
      <c r="D4" s="3">
        <v>14.85</v>
      </c>
      <c r="E4" s="3">
        <v>26.2</v>
      </c>
      <c r="F4" s="3">
        <v>122.991213</v>
      </c>
      <c r="G4" s="3">
        <v>118.43405799999999</v>
      </c>
      <c r="H4" s="3">
        <v>119.181247</v>
      </c>
      <c r="I4" s="17">
        <f t="shared" ref="I4:I67" si="4">(A4-A3)/A3</f>
        <v>2.5986525505293508E-2</v>
      </c>
      <c r="J4" s="17">
        <f t="shared" ref="J4:J67" si="5">(B4-B3)/B3</f>
        <v>4.6674445740955833E-3</v>
      </c>
      <c r="K4" s="17">
        <f t="shared" ref="K4:K67" si="6">(C4-C3)/C3</f>
        <v>-1.6784848756844002E-2</v>
      </c>
      <c r="L4" s="17">
        <f t="shared" ref="L4:L67" si="7">(D4-D3)/D3</f>
        <v>4.7361299052774211E-3</v>
      </c>
      <c r="M4" s="17">
        <f t="shared" ref="M4:M67" si="8">(E4-E3)/E3</f>
        <v>-4.93733383972651E-3</v>
      </c>
      <c r="N4" s="17">
        <f t="shared" ref="N4:N67" si="9">(F4-F3)/F3</f>
        <v>2.0245029603384729E-3</v>
      </c>
      <c r="O4" s="17">
        <f t="shared" ref="O4:O67" si="10">(G4-G3)/G3</f>
        <v>1.6339614317916161E-3</v>
      </c>
      <c r="P4" s="17">
        <f t="shared" ref="P4:P67" si="11">(H4-H3)/H3</f>
        <v>2.8509260782906927E-3</v>
      </c>
      <c r="Q4" s="22">
        <f>I4-AB$2</f>
        <v>2.5592051634908776E-2</v>
      </c>
      <c r="R4" s="22">
        <f t="shared" ref="R4" si="12">J4-AC$2</f>
        <v>4.2367198600184201E-3</v>
      </c>
      <c r="S4" s="22">
        <f t="shared" si="2"/>
        <v>-1.719680814368145E-2</v>
      </c>
      <c r="T4" s="22">
        <f t="shared" si="2"/>
        <v>4.6046783960445028E-3</v>
      </c>
      <c r="U4" s="22">
        <f t="shared" si="2"/>
        <v>-5.6305617866802722E-3</v>
      </c>
      <c r="V4" s="22">
        <f t="shared" si="2"/>
        <v>2.259106769841653E-3</v>
      </c>
      <c r="W4" s="22">
        <f t="shared" si="2"/>
        <v>1.888209985882319E-3</v>
      </c>
      <c r="X4" s="22">
        <f t="shared" si="2"/>
        <v>3.1668704628970315E-3</v>
      </c>
      <c r="AA4" t="s">
        <v>60</v>
      </c>
      <c r="AB4" s="60">
        <f>SQRT(AB3)</f>
        <v>2.3159603668580934E-2</v>
      </c>
      <c r="AC4" s="60">
        <f t="shared" ref="AC4:AI4" si="13">SQRT(AC3)</f>
        <v>1.9412885748739585E-2</v>
      </c>
      <c r="AD4" s="60">
        <f t="shared" si="13"/>
        <v>2.0781835994606444E-2</v>
      </c>
      <c r="AE4" s="60">
        <f t="shared" si="13"/>
        <v>1.417247077853824E-2</v>
      </c>
      <c r="AF4" s="60">
        <f t="shared" si="13"/>
        <v>1.8892020461325345E-2</v>
      </c>
      <c r="AG4" s="60">
        <f t="shared" si="13"/>
        <v>5.330925544493729E-3</v>
      </c>
      <c r="AH4" s="60">
        <f t="shared" si="13"/>
        <v>5.7934518585741482E-3</v>
      </c>
      <c r="AI4" s="60">
        <f t="shared" si="13"/>
        <v>7.0704860630933074E-3</v>
      </c>
    </row>
    <row r="5" spans="1:35" x14ac:dyDescent="0.35">
      <c r="A5" s="3">
        <v>11.55</v>
      </c>
      <c r="B5" s="3">
        <v>42.92</v>
      </c>
      <c r="C5" s="3">
        <v>111.2</v>
      </c>
      <c r="D5" s="3">
        <v>14.81</v>
      </c>
      <c r="E5" s="3">
        <v>26.56</v>
      </c>
      <c r="F5" s="3">
        <v>122.931921</v>
      </c>
      <c r="G5" s="3">
        <v>118.71543699999999</v>
      </c>
      <c r="H5" s="3">
        <v>119.200174</v>
      </c>
      <c r="I5" s="17">
        <f t="shared" si="4"/>
        <v>8.3489681050656711E-2</v>
      </c>
      <c r="J5" s="17">
        <f t="shared" si="5"/>
        <v>-3.0197444831590119E-3</v>
      </c>
      <c r="K5" s="17">
        <f t="shared" si="6"/>
        <v>1.5154281540989561E-2</v>
      </c>
      <c r="L5" s="17">
        <f t="shared" si="7"/>
        <v>-2.6936026936026361E-3</v>
      </c>
      <c r="M5" s="17">
        <f t="shared" si="8"/>
        <v>1.3740458015267154E-2</v>
      </c>
      <c r="N5" s="17">
        <f t="shared" si="9"/>
        <v>-4.8208322004271339E-4</v>
      </c>
      <c r="O5" s="17">
        <f t="shared" si="10"/>
        <v>2.3758284124656202E-3</v>
      </c>
      <c r="P5" s="17">
        <f t="shared" si="11"/>
        <v>1.5880854141427992E-4</v>
      </c>
      <c r="Q5" s="22">
        <f t="shared" ref="Q5:Q68" si="14">I5-AB$2</f>
        <v>8.3095207180271982E-2</v>
      </c>
      <c r="R5" s="22">
        <f t="shared" ref="R5:R68" si="15">J5-AC$2</f>
        <v>-3.4504691972361756E-3</v>
      </c>
      <c r="S5" s="22">
        <f t="shared" ref="S5:S68" si="16">K5-AD$2</f>
        <v>1.4742322154152113E-2</v>
      </c>
      <c r="T5" s="22">
        <f t="shared" ref="T5:T68" si="17">L5-AE$2</f>
        <v>-2.8250542028355544E-3</v>
      </c>
      <c r="U5" s="22">
        <f t="shared" ref="U5:U68" si="18">M5-AF$2</f>
        <v>1.3047230068313391E-2</v>
      </c>
      <c r="V5" s="22">
        <f t="shared" ref="V5:V68" si="19">N5-AG$2</f>
        <v>-2.4747941053953313E-4</v>
      </c>
      <c r="W5" s="22">
        <f t="shared" ref="W5:W68" si="20">O5-AH$2</f>
        <v>2.6300769665563231E-3</v>
      </c>
      <c r="X5" s="22">
        <f t="shared" ref="X5:X68" si="21">P5-AI$2</f>
        <v>4.7475292602061869E-4</v>
      </c>
      <c r="AA5" t="s">
        <v>57</v>
      </c>
      <c r="AB5" s="61">
        <v>2.5000000000000001E-2</v>
      </c>
      <c r="AC5" s="61"/>
      <c r="AD5" s="61"/>
      <c r="AE5" s="61"/>
      <c r="AF5" s="61"/>
      <c r="AG5" s="61"/>
      <c r="AH5" s="61"/>
      <c r="AI5" s="61"/>
    </row>
    <row r="6" spans="1:35" x14ac:dyDescent="0.35">
      <c r="A6" s="3">
        <v>11.65</v>
      </c>
      <c r="B6" s="3">
        <v>43.52</v>
      </c>
      <c r="C6" s="3">
        <v>117.24</v>
      </c>
      <c r="D6" s="3">
        <v>14.97</v>
      </c>
      <c r="E6" s="3">
        <v>26.73</v>
      </c>
      <c r="F6" s="3">
        <v>122.831402</v>
      </c>
      <c r="G6" s="3">
        <v>118.155665</v>
      </c>
      <c r="H6" s="3">
        <v>117.880044</v>
      </c>
      <c r="I6" s="17">
        <f t="shared" si="4"/>
        <v>8.6580086580086268E-3</v>
      </c>
      <c r="J6" s="17">
        <f t="shared" si="5"/>
        <v>1.397949673811746E-2</v>
      </c>
      <c r="K6" s="17">
        <f t="shared" si="6"/>
        <v>5.4316546762589853E-2</v>
      </c>
      <c r="L6" s="17">
        <f t="shared" si="7"/>
        <v>1.0803511141120874E-2</v>
      </c>
      <c r="M6" s="17">
        <f t="shared" si="8"/>
        <v>6.4006024096386191E-3</v>
      </c>
      <c r="N6" s="17">
        <f t="shared" si="9"/>
        <v>-8.1768021830559028E-4</v>
      </c>
      <c r="O6" s="17">
        <f t="shared" si="10"/>
        <v>-4.715241877094681E-3</v>
      </c>
      <c r="P6" s="17">
        <f t="shared" si="11"/>
        <v>-1.1074899941001814E-2</v>
      </c>
      <c r="Q6" s="22">
        <f t="shared" si="14"/>
        <v>8.2635347876238927E-3</v>
      </c>
      <c r="R6" s="22">
        <f t="shared" si="15"/>
        <v>1.3548772024040296E-2</v>
      </c>
      <c r="S6" s="22">
        <f t="shared" si="16"/>
        <v>5.3904587375752405E-2</v>
      </c>
      <c r="T6" s="22">
        <f t="shared" si="17"/>
        <v>1.0672059631887956E-2</v>
      </c>
      <c r="U6" s="22">
        <f t="shared" si="18"/>
        <v>5.7073744626848569E-3</v>
      </c>
      <c r="V6" s="22">
        <f t="shared" si="19"/>
        <v>-5.8307640880240997E-4</v>
      </c>
      <c r="W6" s="22">
        <f t="shared" si="20"/>
        <v>-4.4609933230039776E-3</v>
      </c>
      <c r="X6" s="22">
        <f t="shared" si="21"/>
        <v>-1.0758955556395475E-2</v>
      </c>
      <c r="AA6" t="s">
        <v>58</v>
      </c>
      <c r="AB6" s="4">
        <f>_xlfn.NORM.S.INV(AB5)</f>
        <v>-1.9599639845400538</v>
      </c>
      <c r="AC6" s="4"/>
      <c r="AD6" s="4"/>
      <c r="AE6" s="4"/>
      <c r="AF6" s="4"/>
      <c r="AG6" s="4"/>
      <c r="AH6" s="4"/>
      <c r="AI6" s="4"/>
    </row>
    <row r="7" spans="1:35" x14ac:dyDescent="0.35">
      <c r="A7" s="3">
        <v>11.57</v>
      </c>
      <c r="B7" s="3">
        <v>43.36</v>
      </c>
      <c r="C7" s="3">
        <v>117.63</v>
      </c>
      <c r="D7" s="3">
        <v>14.99</v>
      </c>
      <c r="E7" s="3">
        <v>26.86</v>
      </c>
      <c r="F7" s="3">
        <v>122.38992399999999</v>
      </c>
      <c r="G7" s="3">
        <v>117.738168</v>
      </c>
      <c r="H7" s="3">
        <v>117.584503</v>
      </c>
      <c r="I7" s="17">
        <f t="shared" si="4"/>
        <v>-6.8669527896995765E-3</v>
      </c>
      <c r="J7" s="17">
        <f t="shared" si="5"/>
        <v>-3.6764705882353786E-3</v>
      </c>
      <c r="K7" s="17">
        <f t="shared" si="6"/>
        <v>3.3265097236438125E-3</v>
      </c>
      <c r="L7" s="17">
        <f t="shared" si="7"/>
        <v>1.3360053440213476E-3</v>
      </c>
      <c r="M7" s="17">
        <f t="shared" si="8"/>
        <v>4.8634493078937155E-3</v>
      </c>
      <c r="N7" s="17">
        <f t="shared" si="9"/>
        <v>-3.5941786286865277E-3</v>
      </c>
      <c r="O7" s="17">
        <f t="shared" si="10"/>
        <v>-3.5334488617198112E-3</v>
      </c>
      <c r="P7" s="17">
        <f t="shared" si="11"/>
        <v>-2.5071334381246077E-3</v>
      </c>
      <c r="Q7" s="22">
        <f t="shared" si="14"/>
        <v>-7.2614266600843098E-3</v>
      </c>
      <c r="R7" s="22">
        <f t="shared" si="15"/>
        <v>-4.1071953023125423E-3</v>
      </c>
      <c r="S7" s="22">
        <f t="shared" si="16"/>
        <v>2.9145503368063655E-3</v>
      </c>
      <c r="T7" s="22">
        <f t="shared" si="17"/>
        <v>1.2045538347884293E-3</v>
      </c>
      <c r="U7" s="22">
        <f t="shared" si="18"/>
        <v>4.1702213609399533E-3</v>
      </c>
      <c r="V7" s="22">
        <f t="shared" si="19"/>
        <v>-3.3595748191833476E-3</v>
      </c>
      <c r="W7" s="22">
        <f t="shared" si="20"/>
        <v>-3.2792003076291083E-3</v>
      </c>
      <c r="X7" s="22">
        <f t="shared" si="21"/>
        <v>-2.1911890535182689E-3</v>
      </c>
      <c r="AA7" t="s">
        <v>114</v>
      </c>
      <c r="AB7" s="60">
        <f>$AB$6*AB4*SQRT(1)</f>
        <v>-4.5391989086640334E-2</v>
      </c>
      <c r="AC7" s="60">
        <f t="shared" ref="AC7:AI7" si="22">$AB$6*AC4*SQRT(1)</f>
        <v>-3.8048556903520464E-2</v>
      </c>
      <c r="AD7" s="60">
        <f t="shared" si="22"/>
        <v>-4.0731650082046759E-2</v>
      </c>
      <c r="AE7" s="60">
        <f t="shared" si="22"/>
        <v>-2.777753229788129E-2</v>
      </c>
      <c r="AF7" s="60">
        <f t="shared" si="22"/>
        <v>-3.7027679699391448E-2</v>
      </c>
      <c r="AG7" s="60">
        <f t="shared" si="22"/>
        <v>-1.0448422071472285E-2</v>
      </c>
      <c r="AH7" s="60">
        <f t="shared" si="22"/>
        <v>-1.1354956988971968E-2</v>
      </c>
      <c r="AI7" s="60">
        <f t="shared" si="22"/>
        <v>-1.3857898036855278E-2</v>
      </c>
    </row>
    <row r="8" spans="1:35" x14ac:dyDescent="0.35">
      <c r="A8" s="3">
        <v>11.36</v>
      </c>
      <c r="B8" s="3">
        <v>43.67</v>
      </c>
      <c r="C8" s="3">
        <v>118.55</v>
      </c>
      <c r="D8" s="3">
        <v>15.12</v>
      </c>
      <c r="E8" s="3">
        <v>26.15</v>
      </c>
      <c r="F8" s="3">
        <v>122.102948</v>
      </c>
      <c r="G8" s="3">
        <v>117.58266</v>
      </c>
      <c r="H8" s="3">
        <v>117.08180299999999</v>
      </c>
      <c r="I8" s="17">
        <f t="shared" si="4"/>
        <v>-1.8150388936905865E-2</v>
      </c>
      <c r="J8" s="17">
        <f t="shared" si="5"/>
        <v>7.149446494464997E-3</v>
      </c>
      <c r="K8" s="17">
        <f t="shared" si="6"/>
        <v>7.8211340644393588E-3</v>
      </c>
      <c r="L8" s="17">
        <f t="shared" si="7"/>
        <v>8.6724482988658445E-3</v>
      </c>
      <c r="M8" s="17">
        <f t="shared" si="8"/>
        <v>-2.643335815338797E-2</v>
      </c>
      <c r="N8" s="17">
        <f t="shared" si="9"/>
        <v>-2.3447681853286852E-3</v>
      </c>
      <c r="O8" s="17">
        <f t="shared" si="10"/>
        <v>-1.3207951392618707E-3</v>
      </c>
      <c r="P8" s="17">
        <f t="shared" si="11"/>
        <v>-4.2752232409402147E-3</v>
      </c>
      <c r="Q8" s="22">
        <f t="shared" si="14"/>
        <v>-1.8544862807290598E-2</v>
      </c>
      <c r="R8" s="22">
        <f t="shared" si="15"/>
        <v>6.7187217803878338E-3</v>
      </c>
      <c r="S8" s="22">
        <f t="shared" si="16"/>
        <v>7.4091746776019122E-3</v>
      </c>
      <c r="T8" s="22">
        <f t="shared" si="17"/>
        <v>8.5409967896329271E-3</v>
      </c>
      <c r="U8" s="22">
        <f t="shared" si="18"/>
        <v>-2.7126586100341733E-2</v>
      </c>
      <c r="V8" s="22">
        <f t="shared" si="19"/>
        <v>-2.1101643758255051E-3</v>
      </c>
      <c r="W8" s="22">
        <f t="shared" si="20"/>
        <v>-1.0665465851711678E-3</v>
      </c>
      <c r="X8" s="22">
        <f t="shared" si="21"/>
        <v>-3.9592788563338763E-3</v>
      </c>
      <c r="AA8" t="s">
        <v>61</v>
      </c>
      <c r="AB8" s="62">
        <v>1000</v>
      </c>
      <c r="AC8" s="4"/>
      <c r="AD8" s="4"/>
      <c r="AE8" s="4"/>
      <c r="AF8" s="4"/>
      <c r="AG8" s="4"/>
      <c r="AH8" s="4"/>
      <c r="AI8" s="4"/>
    </row>
    <row r="9" spans="1:35" x14ac:dyDescent="0.35">
      <c r="A9" s="3">
        <v>11.54</v>
      </c>
      <c r="B9" s="3">
        <v>43.12</v>
      </c>
      <c r="C9" s="3">
        <v>115.54</v>
      </c>
      <c r="D9" s="3">
        <v>14.64</v>
      </c>
      <c r="E9" s="3">
        <v>25.55</v>
      </c>
      <c r="F9" s="3">
        <v>121.96889400000001</v>
      </c>
      <c r="G9" s="3">
        <v>117.600762</v>
      </c>
      <c r="H9" s="3">
        <v>117.10106</v>
      </c>
      <c r="I9" s="17">
        <f t="shared" si="4"/>
        <v>1.5845070422535187E-2</v>
      </c>
      <c r="J9" s="17">
        <f t="shared" si="5"/>
        <v>-1.2594458438287251E-2</v>
      </c>
      <c r="K9" s="17">
        <f t="shared" si="6"/>
        <v>-2.5390130746520381E-2</v>
      </c>
      <c r="L9" s="17">
        <f t="shared" si="7"/>
        <v>-3.1746031746031661E-2</v>
      </c>
      <c r="M9" s="17">
        <f t="shared" si="8"/>
        <v>-2.2944550669215982E-2</v>
      </c>
      <c r="N9" s="17">
        <f t="shared" si="9"/>
        <v>-1.0978768506063579E-3</v>
      </c>
      <c r="O9" s="17">
        <f t="shared" si="10"/>
        <v>1.5395127138643531E-4</v>
      </c>
      <c r="P9" s="17">
        <f t="shared" si="11"/>
        <v>1.644747476258996E-4</v>
      </c>
      <c r="Q9" s="22">
        <f t="shared" si="14"/>
        <v>1.5450596552150453E-2</v>
      </c>
      <c r="R9" s="22">
        <f t="shared" si="15"/>
        <v>-1.3025183152364415E-2</v>
      </c>
      <c r="S9" s="22">
        <f t="shared" si="16"/>
        <v>-2.5802090133357828E-2</v>
      </c>
      <c r="T9" s="22">
        <f t="shared" si="17"/>
        <v>-3.1877483255264578E-2</v>
      </c>
      <c r="U9" s="22">
        <f t="shared" si="18"/>
        <v>-2.3637778616169745E-2</v>
      </c>
      <c r="V9" s="22">
        <f t="shared" si="19"/>
        <v>-8.6327304110317762E-4</v>
      </c>
      <c r="W9" s="22">
        <f t="shared" si="20"/>
        <v>4.0819982547713829E-4</v>
      </c>
      <c r="X9" s="22">
        <f t="shared" si="21"/>
        <v>4.8041913223223834E-4</v>
      </c>
      <c r="AA9" t="s">
        <v>62</v>
      </c>
      <c r="AB9" s="63">
        <f>$AB$8*AB7</f>
        <v>-45.391989086640336</v>
      </c>
      <c r="AC9" s="63">
        <f t="shared" ref="AC9:AI9" si="23">$AB$8*AC7</f>
        <v>-38.048556903520463</v>
      </c>
      <c r="AD9" s="63">
        <f t="shared" si="23"/>
        <v>-40.731650082046762</v>
      </c>
      <c r="AE9" s="63">
        <f t="shared" si="23"/>
        <v>-27.77753229788129</v>
      </c>
      <c r="AF9" s="63">
        <f t="shared" si="23"/>
        <v>-37.027679699391449</v>
      </c>
      <c r="AG9" s="63">
        <f t="shared" si="23"/>
        <v>-10.448422071472285</v>
      </c>
      <c r="AH9" s="63">
        <f t="shared" si="23"/>
        <v>-11.354956988971969</v>
      </c>
      <c r="AI9" s="63">
        <f t="shared" si="23"/>
        <v>-13.857898036855278</v>
      </c>
    </row>
    <row r="10" spans="1:35" x14ac:dyDescent="0.35">
      <c r="A10" s="3">
        <v>11.41</v>
      </c>
      <c r="B10" s="3">
        <v>43.35</v>
      </c>
      <c r="C10" s="3">
        <v>117.02</v>
      </c>
      <c r="D10" s="3">
        <v>14.43</v>
      </c>
      <c r="E10" s="3">
        <v>24.28</v>
      </c>
      <c r="F10" s="3">
        <v>122.214967</v>
      </c>
      <c r="G10" s="3">
        <v>117.10034400000001</v>
      </c>
      <c r="H10" s="3">
        <v>117.12031899999999</v>
      </c>
      <c r="I10" s="17">
        <f t="shared" si="4"/>
        <v>-1.1265164644713953E-2</v>
      </c>
      <c r="J10" s="17">
        <f t="shared" si="5"/>
        <v>5.3339517625232841E-3</v>
      </c>
      <c r="K10" s="17">
        <f t="shared" si="6"/>
        <v>1.2809416652241558E-2</v>
      </c>
      <c r="L10" s="17">
        <f t="shared" si="7"/>
        <v>-1.4344262295082025E-2</v>
      </c>
      <c r="M10" s="17">
        <f t="shared" si="8"/>
        <v>-4.9706457925635987E-2</v>
      </c>
      <c r="N10" s="17">
        <f t="shared" si="9"/>
        <v>2.0175062012122167E-3</v>
      </c>
      <c r="O10" s="17">
        <f t="shared" si="10"/>
        <v>-4.255227529903218E-3</v>
      </c>
      <c r="P10" s="17">
        <f t="shared" si="11"/>
        <v>1.6446477939645494E-4</v>
      </c>
      <c r="Q10" s="22">
        <f t="shared" si="14"/>
        <v>-1.1659638515098688E-2</v>
      </c>
      <c r="R10" s="22">
        <f t="shared" si="15"/>
        <v>4.9032270484461208E-3</v>
      </c>
      <c r="S10" s="22">
        <f t="shared" si="16"/>
        <v>1.2397457265404111E-2</v>
      </c>
      <c r="T10" s="22">
        <f t="shared" si="17"/>
        <v>-1.4475713804314942E-2</v>
      </c>
      <c r="U10" s="22">
        <f t="shared" si="18"/>
        <v>-5.039968587258975E-2</v>
      </c>
      <c r="V10" s="22">
        <f t="shared" si="19"/>
        <v>2.2521100107153968E-3</v>
      </c>
      <c r="W10" s="22">
        <f t="shared" si="20"/>
        <v>-4.0009789758125146E-3</v>
      </c>
      <c r="X10" s="22">
        <f t="shared" si="21"/>
        <v>4.8040916400279371E-4</v>
      </c>
      <c r="AB10" s="13" t="s">
        <v>63</v>
      </c>
    </row>
    <row r="11" spans="1:35" x14ac:dyDescent="0.35">
      <c r="A11" s="3">
        <v>12.17</v>
      </c>
      <c r="B11" s="3">
        <v>42.67</v>
      </c>
      <c r="C11" s="3">
        <v>118.63</v>
      </c>
      <c r="D11" s="3">
        <v>14.23</v>
      </c>
      <c r="E11" s="3">
        <v>24.21</v>
      </c>
      <c r="F11" s="3">
        <v>122.19281700000001</v>
      </c>
      <c r="G11" s="3">
        <v>117.155005</v>
      </c>
      <c r="H11" s="3">
        <v>117.178118</v>
      </c>
      <c r="I11" s="17">
        <f t="shared" si="4"/>
        <v>6.6608238387379476E-2</v>
      </c>
      <c r="J11" s="17">
        <f t="shared" si="5"/>
        <v>-1.5686274509803914E-2</v>
      </c>
      <c r="K11" s="17">
        <f t="shared" si="6"/>
        <v>1.3758331909075367E-2</v>
      </c>
      <c r="L11" s="17">
        <f t="shared" si="7"/>
        <v>-1.3860013860013811E-2</v>
      </c>
      <c r="M11" s="17">
        <f t="shared" si="8"/>
        <v>-2.8830313014827132E-3</v>
      </c>
      <c r="N11" s="17">
        <f t="shared" si="9"/>
        <v>-1.8123803118153556E-4</v>
      </c>
      <c r="O11" s="17">
        <f t="shared" si="10"/>
        <v>4.6678769790800827E-4</v>
      </c>
      <c r="P11" s="17">
        <f t="shared" si="11"/>
        <v>4.9350104656052738E-4</v>
      </c>
      <c r="Q11" s="22">
        <f t="shared" si="14"/>
        <v>6.6213764516994747E-2</v>
      </c>
      <c r="R11" s="22">
        <f t="shared" si="15"/>
        <v>-1.6116999223881077E-2</v>
      </c>
      <c r="S11" s="22">
        <f t="shared" si="16"/>
        <v>1.334637252223792E-2</v>
      </c>
      <c r="T11" s="22">
        <f t="shared" si="17"/>
        <v>-1.3991465369246728E-2</v>
      </c>
      <c r="U11" s="22">
        <f t="shared" si="18"/>
        <v>-3.5762592484364759E-3</v>
      </c>
      <c r="V11" s="22">
        <f t="shared" si="19"/>
        <v>5.3365778321644725E-5</v>
      </c>
      <c r="W11" s="22">
        <f t="shared" si="20"/>
        <v>7.2103625199871127E-4</v>
      </c>
      <c r="X11" s="22">
        <f t="shared" si="21"/>
        <v>8.094454311668661E-4</v>
      </c>
      <c r="AB11" s="64" t="s">
        <v>137</v>
      </c>
      <c r="AG11" s="64" t="s">
        <v>139</v>
      </c>
    </row>
    <row r="12" spans="1:35" x14ac:dyDescent="0.35">
      <c r="A12" s="3">
        <v>12.66</v>
      </c>
      <c r="B12" s="3">
        <v>42.57</v>
      </c>
      <c r="C12" s="3">
        <v>116.82</v>
      </c>
      <c r="D12" s="3">
        <v>14.27</v>
      </c>
      <c r="E12" s="3">
        <v>24.27</v>
      </c>
      <c r="F12" s="3">
        <v>122.59136100000001</v>
      </c>
      <c r="G12" s="3">
        <v>117.173231</v>
      </c>
      <c r="H12" s="3">
        <v>118.243405</v>
      </c>
      <c r="I12" s="17">
        <f t="shared" si="4"/>
        <v>4.0262941659819244E-2</v>
      </c>
      <c r="J12" s="17">
        <f t="shared" si="5"/>
        <v>-2.3435669088352805E-3</v>
      </c>
      <c r="K12" s="17">
        <f t="shared" si="6"/>
        <v>-1.5257523392059364E-2</v>
      </c>
      <c r="L12" s="17">
        <f t="shared" si="7"/>
        <v>2.8109627547434398E-3</v>
      </c>
      <c r="M12" s="17">
        <f t="shared" si="8"/>
        <v>2.4783147459726857E-3</v>
      </c>
      <c r="N12" s="17">
        <f t="shared" si="9"/>
        <v>3.261599247687375E-3</v>
      </c>
      <c r="O12" s="17">
        <f t="shared" si="10"/>
        <v>1.5557167190593794E-4</v>
      </c>
      <c r="P12" s="17">
        <f t="shared" si="11"/>
        <v>9.0911769038652581E-3</v>
      </c>
      <c r="Q12" s="22">
        <f t="shared" si="14"/>
        <v>3.9868467789434509E-2</v>
      </c>
      <c r="R12" s="22">
        <f t="shared" si="15"/>
        <v>-2.7742916229124442E-3</v>
      </c>
      <c r="S12" s="22">
        <f t="shared" si="16"/>
        <v>-1.566948277889681E-2</v>
      </c>
      <c r="T12" s="22">
        <f t="shared" si="17"/>
        <v>2.6795112455105215E-3</v>
      </c>
      <c r="U12" s="22">
        <f t="shared" si="18"/>
        <v>1.785086799018923E-3</v>
      </c>
      <c r="V12" s="22">
        <f t="shared" si="19"/>
        <v>3.4962030571905551E-3</v>
      </c>
      <c r="W12" s="22">
        <f t="shared" si="20"/>
        <v>4.0982022599664097E-4</v>
      </c>
      <c r="X12" s="22">
        <f t="shared" si="21"/>
        <v>9.4071212884715965E-3</v>
      </c>
      <c r="AB12" s="64" t="s">
        <v>138</v>
      </c>
      <c r="AG12" s="64" t="s">
        <v>140</v>
      </c>
    </row>
    <row r="13" spans="1:35" x14ac:dyDescent="0.35">
      <c r="A13" s="3">
        <v>12.67</v>
      </c>
      <c r="B13" s="3">
        <v>43.23</v>
      </c>
      <c r="C13" s="3">
        <v>117.47</v>
      </c>
      <c r="D13" s="3">
        <v>14.42</v>
      </c>
      <c r="E13" s="3">
        <v>24.58</v>
      </c>
      <c r="F13" s="3">
        <v>122.53302499999999</v>
      </c>
      <c r="G13" s="3">
        <v>117.10541600000001</v>
      </c>
      <c r="H13" s="3">
        <v>118.157383</v>
      </c>
      <c r="I13" s="17">
        <f t="shared" si="4"/>
        <v>7.8988941548181573E-4</v>
      </c>
      <c r="J13" s="17">
        <f t="shared" si="5"/>
        <v>1.5503875968992168E-2</v>
      </c>
      <c r="K13" s="17">
        <f t="shared" si="6"/>
        <v>5.5641157336073083E-3</v>
      </c>
      <c r="L13" s="17">
        <f t="shared" si="7"/>
        <v>1.0511562718990916E-2</v>
      </c>
      <c r="M13" s="17">
        <f t="shared" si="8"/>
        <v>1.2772970745776626E-2</v>
      </c>
      <c r="N13" s="17">
        <f t="shared" si="9"/>
        <v>-4.7585734854523119E-4</v>
      </c>
      <c r="O13" s="17">
        <f t="shared" si="10"/>
        <v>-5.787584708660629E-4</v>
      </c>
      <c r="P13" s="17">
        <f t="shared" si="11"/>
        <v>-7.2749934763803375E-4</v>
      </c>
      <c r="Q13" s="22">
        <f t="shared" si="14"/>
        <v>3.9541554509708242E-4</v>
      </c>
      <c r="R13" s="22">
        <f t="shared" si="15"/>
        <v>1.5073151254915004E-2</v>
      </c>
      <c r="S13" s="22">
        <f t="shared" si="16"/>
        <v>5.1521563467698617E-3</v>
      </c>
      <c r="T13" s="22">
        <f t="shared" si="17"/>
        <v>1.0380111209757998E-2</v>
      </c>
      <c r="U13" s="22">
        <f t="shared" si="18"/>
        <v>1.2079742798822863E-2</v>
      </c>
      <c r="V13" s="22">
        <f t="shared" si="19"/>
        <v>-2.4125353904205091E-4</v>
      </c>
      <c r="W13" s="22">
        <f t="shared" si="20"/>
        <v>-3.245099167753599E-4</v>
      </c>
      <c r="X13" s="22">
        <f t="shared" si="21"/>
        <v>-4.1155496303169498E-4</v>
      </c>
      <c r="AG13" s="64" t="s">
        <v>141</v>
      </c>
    </row>
    <row r="14" spans="1:35" x14ac:dyDescent="0.35">
      <c r="A14" s="3">
        <v>13.07</v>
      </c>
      <c r="B14" s="3">
        <v>42.6</v>
      </c>
      <c r="C14" s="3">
        <v>115.05</v>
      </c>
      <c r="D14" s="3">
        <v>14.09</v>
      </c>
      <c r="E14" s="3">
        <v>23.88</v>
      </c>
      <c r="F14" s="3">
        <v>123.008959</v>
      </c>
      <c r="G14" s="3">
        <v>117.123666</v>
      </c>
      <c r="H14" s="3">
        <v>118.49231399999999</v>
      </c>
      <c r="I14" s="17">
        <f t="shared" si="4"/>
        <v>3.1570639305445965E-2</v>
      </c>
      <c r="J14" s="17">
        <f t="shared" si="5"/>
        <v>-1.4573213046495385E-2</v>
      </c>
      <c r="K14" s="17">
        <f t="shared" si="6"/>
        <v>-2.0601004511790259E-2</v>
      </c>
      <c r="L14" s="17">
        <f t="shared" si="7"/>
        <v>-2.2884882108183083E-2</v>
      </c>
      <c r="M14" s="17">
        <f t="shared" si="8"/>
        <v>-2.8478437754271738E-2</v>
      </c>
      <c r="N14" s="17">
        <f t="shared" si="9"/>
        <v>3.8841283808998383E-3</v>
      </c>
      <c r="O14" s="17">
        <f t="shared" si="10"/>
        <v>1.5584249322844957E-4</v>
      </c>
      <c r="P14" s="17">
        <f t="shared" si="11"/>
        <v>2.8346176218205293E-3</v>
      </c>
      <c r="Q14" s="22">
        <f t="shared" si="14"/>
        <v>3.1176165435061232E-2</v>
      </c>
      <c r="R14" s="22">
        <f t="shared" si="15"/>
        <v>-1.500393776057255E-2</v>
      </c>
      <c r="S14" s="22">
        <f t="shared" si="16"/>
        <v>-2.1012963898627706E-2</v>
      </c>
      <c r="T14" s="22">
        <f t="shared" si="17"/>
        <v>-2.3016333617416E-2</v>
      </c>
      <c r="U14" s="22">
        <f t="shared" si="18"/>
        <v>-2.9171665701225501E-2</v>
      </c>
      <c r="V14" s="22">
        <f t="shared" si="19"/>
        <v>4.1187321904030188E-3</v>
      </c>
      <c r="W14" s="22">
        <f t="shared" si="20"/>
        <v>4.1009104731915257E-4</v>
      </c>
      <c r="X14" s="22">
        <f t="shared" si="21"/>
        <v>3.1505620064268681E-3</v>
      </c>
    </row>
    <row r="15" spans="1:35" ht="15" thickBot="1" x14ac:dyDescent="0.4">
      <c r="A15" s="3">
        <v>13.04</v>
      </c>
      <c r="B15" s="3">
        <v>42.98</v>
      </c>
      <c r="C15" s="3">
        <v>110.64</v>
      </c>
      <c r="D15" s="3">
        <v>14.06</v>
      </c>
      <c r="E15" s="3">
        <v>23.84</v>
      </c>
      <c r="F15" s="3">
        <v>122.950261</v>
      </c>
      <c r="G15" s="3">
        <v>117.055993</v>
      </c>
      <c r="H15" s="3">
        <v>118.406047</v>
      </c>
      <c r="I15" s="17">
        <f t="shared" si="4"/>
        <v>-2.2953328232594595E-3</v>
      </c>
      <c r="J15" s="17">
        <f t="shared" si="5"/>
        <v>8.9201877934271222E-3</v>
      </c>
      <c r="K15" s="17">
        <f t="shared" si="6"/>
        <v>-3.8331160365058639E-2</v>
      </c>
      <c r="L15" s="17">
        <f t="shared" si="7"/>
        <v>-2.1291696238466542E-3</v>
      </c>
      <c r="M15" s="17">
        <f t="shared" si="8"/>
        <v>-1.6750418760468656E-3</v>
      </c>
      <c r="N15" s="17">
        <f t="shared" si="9"/>
        <v>-4.7718475529905753E-4</v>
      </c>
      <c r="O15" s="17">
        <f t="shared" si="10"/>
        <v>-5.7779099913077519E-4</v>
      </c>
      <c r="P15" s="17">
        <f t="shared" si="11"/>
        <v>-7.2803878232973265E-4</v>
      </c>
      <c r="Q15" s="22">
        <f t="shared" si="14"/>
        <v>-2.6898066936441927E-3</v>
      </c>
      <c r="R15" s="22">
        <f t="shared" si="15"/>
        <v>8.4894630793499581E-3</v>
      </c>
      <c r="S15" s="22">
        <f t="shared" si="16"/>
        <v>-3.8743119751896087E-2</v>
      </c>
      <c r="T15" s="22">
        <f t="shared" si="17"/>
        <v>-2.2606211330795725E-3</v>
      </c>
      <c r="U15" s="22">
        <f t="shared" si="18"/>
        <v>-2.3682698230006283E-3</v>
      </c>
      <c r="V15" s="22">
        <f t="shared" si="19"/>
        <v>-2.4258094579587724E-4</v>
      </c>
      <c r="W15" s="22">
        <f t="shared" si="20"/>
        <v>-3.2354244504007219E-4</v>
      </c>
      <c r="X15" s="22">
        <f t="shared" si="21"/>
        <v>-4.1209439772339388E-4</v>
      </c>
      <c r="AA15" s="9" t="s">
        <v>59</v>
      </c>
    </row>
    <row r="16" spans="1:35" x14ac:dyDescent="0.35">
      <c r="A16" s="3">
        <v>12.71</v>
      </c>
      <c r="B16" s="3">
        <v>42.55</v>
      </c>
      <c r="C16" s="3">
        <v>109.05</v>
      </c>
      <c r="D16" s="3">
        <v>14.02</v>
      </c>
      <c r="E16" s="3">
        <v>23.66</v>
      </c>
      <c r="F16" s="3">
        <v>123.003653</v>
      </c>
      <c r="G16" s="3">
        <v>116.853694</v>
      </c>
      <c r="H16" s="3">
        <v>118.253148</v>
      </c>
      <c r="I16" s="17">
        <f t="shared" si="4"/>
        <v>-2.530674846625754E-2</v>
      </c>
      <c r="J16" s="17">
        <f t="shared" si="5"/>
        <v>-1.000465332712889E-2</v>
      </c>
      <c r="K16" s="17">
        <f t="shared" si="6"/>
        <v>-1.4370932754880725E-2</v>
      </c>
      <c r="L16" s="17">
        <f t="shared" si="7"/>
        <v>-2.8449502133713316E-3</v>
      </c>
      <c r="M16" s="17">
        <f t="shared" si="8"/>
        <v>-7.5503355704697869E-3</v>
      </c>
      <c r="N16" s="17">
        <f t="shared" si="9"/>
        <v>4.3425690653883467E-4</v>
      </c>
      <c r="O16" s="17">
        <f t="shared" si="10"/>
        <v>-1.7282242012162201E-3</v>
      </c>
      <c r="P16" s="17">
        <f t="shared" si="11"/>
        <v>-1.2913107385470355E-3</v>
      </c>
      <c r="Q16" s="22">
        <f t="shared" si="14"/>
        <v>-2.5701222336642272E-2</v>
      </c>
      <c r="R16" s="22">
        <f t="shared" si="15"/>
        <v>-1.0435378041206055E-2</v>
      </c>
      <c r="S16" s="22">
        <f t="shared" si="16"/>
        <v>-1.4782892141718173E-2</v>
      </c>
      <c r="T16" s="22">
        <f t="shared" si="17"/>
        <v>-2.9764017226042499E-3</v>
      </c>
      <c r="U16" s="22">
        <f t="shared" si="18"/>
        <v>-8.2435635174235491E-3</v>
      </c>
      <c r="V16" s="22">
        <f t="shared" si="19"/>
        <v>6.6886071604201492E-4</v>
      </c>
      <c r="W16" s="22">
        <f t="shared" si="20"/>
        <v>-1.473975647125517E-3</v>
      </c>
      <c r="X16" s="22">
        <f t="shared" si="21"/>
        <v>-9.7536635394069671E-4</v>
      </c>
      <c r="AA16" s="27"/>
      <c r="AB16" s="27" t="s">
        <v>1</v>
      </c>
      <c r="AC16" s="27" t="s">
        <v>2</v>
      </c>
      <c r="AD16" s="27" t="s">
        <v>3</v>
      </c>
      <c r="AE16" s="27" t="s">
        <v>4</v>
      </c>
      <c r="AF16" s="27" t="s">
        <v>5</v>
      </c>
      <c r="AG16" s="27" t="s">
        <v>6</v>
      </c>
      <c r="AH16" s="27" t="s">
        <v>7</v>
      </c>
      <c r="AI16" s="27" t="s">
        <v>8</v>
      </c>
    </row>
    <row r="17" spans="1:37" x14ac:dyDescent="0.35">
      <c r="A17" s="3">
        <v>12.34</v>
      </c>
      <c r="B17" s="3">
        <v>42.16</v>
      </c>
      <c r="C17" s="3">
        <v>107.72</v>
      </c>
      <c r="D17" s="3">
        <v>14.29</v>
      </c>
      <c r="E17" s="3">
        <v>23.05</v>
      </c>
      <c r="F17" s="3">
        <v>122.792678</v>
      </c>
      <c r="G17" s="3">
        <v>116.615685</v>
      </c>
      <c r="H17" s="3">
        <v>118.272311</v>
      </c>
      <c r="I17" s="17">
        <f t="shared" si="4"/>
        <v>-2.9110936270653105E-2</v>
      </c>
      <c r="J17" s="17">
        <f t="shared" si="5"/>
        <v>-9.1656874265570055E-3</v>
      </c>
      <c r="K17" s="17">
        <f t="shared" si="6"/>
        <v>-1.2196240256762938E-2</v>
      </c>
      <c r="L17" s="17">
        <f t="shared" si="7"/>
        <v>1.9258202567760313E-2</v>
      </c>
      <c r="M17" s="17">
        <f t="shared" si="8"/>
        <v>-2.578191039729499E-2</v>
      </c>
      <c r="N17" s="17">
        <f t="shared" si="9"/>
        <v>-1.7151929626025399E-3</v>
      </c>
      <c r="O17" s="17">
        <f t="shared" si="10"/>
        <v>-2.0368119470832069E-3</v>
      </c>
      <c r="P17" s="17">
        <f t="shared" si="11"/>
        <v>1.6205065424563614E-4</v>
      </c>
      <c r="Q17" s="22">
        <f t="shared" si="14"/>
        <v>-2.9505410141037837E-2</v>
      </c>
      <c r="R17" s="22">
        <f t="shared" si="15"/>
        <v>-9.5964121406341696E-3</v>
      </c>
      <c r="S17" s="22">
        <f t="shared" si="16"/>
        <v>-1.2608199643600385E-2</v>
      </c>
      <c r="T17" s="22">
        <f t="shared" si="17"/>
        <v>1.9126751058527396E-2</v>
      </c>
      <c r="U17" s="22">
        <f t="shared" si="18"/>
        <v>-2.6475138344248753E-2</v>
      </c>
      <c r="V17" s="22">
        <f t="shared" si="19"/>
        <v>-1.4805891530993596E-3</v>
      </c>
      <c r="W17" s="22">
        <f t="shared" si="20"/>
        <v>-1.782563392992504E-3</v>
      </c>
      <c r="X17" s="22">
        <f t="shared" si="21"/>
        <v>4.7799503885197491E-4</v>
      </c>
      <c r="AA17" s="28" t="s">
        <v>1</v>
      </c>
      <c r="AB17" s="25">
        <v>1</v>
      </c>
      <c r="AC17" s="25"/>
      <c r="AD17" s="25"/>
      <c r="AE17" s="25"/>
      <c r="AF17" s="25"/>
      <c r="AG17" s="25"/>
      <c r="AH17" s="25"/>
      <c r="AI17" s="25"/>
    </row>
    <row r="18" spans="1:37" x14ac:dyDescent="0.35">
      <c r="A18" s="3">
        <v>12.43</v>
      </c>
      <c r="B18" s="3">
        <v>42.25</v>
      </c>
      <c r="C18" s="3">
        <v>105.77</v>
      </c>
      <c r="D18" s="3">
        <v>14.61</v>
      </c>
      <c r="E18" s="3">
        <v>22.98</v>
      </c>
      <c r="F18" s="3">
        <v>122.81055000000001</v>
      </c>
      <c r="G18" s="3">
        <v>116.634079</v>
      </c>
      <c r="H18" s="3">
        <v>118.291476</v>
      </c>
      <c r="I18" s="17">
        <f t="shared" si="4"/>
        <v>7.2933549432738949E-3</v>
      </c>
      <c r="J18" s="17">
        <f t="shared" si="5"/>
        <v>2.1347248576850907E-3</v>
      </c>
      <c r="K18" s="17">
        <f t="shared" si="6"/>
        <v>-1.8102487931674738E-2</v>
      </c>
      <c r="L18" s="17">
        <f t="shared" si="7"/>
        <v>2.2393282015395404E-2</v>
      </c>
      <c r="M18" s="17">
        <f t="shared" si="8"/>
        <v>-3.0368763557483852E-3</v>
      </c>
      <c r="N18" s="17">
        <f t="shared" si="9"/>
        <v>1.4554613753119068E-4</v>
      </c>
      <c r="O18" s="17">
        <f t="shared" si="10"/>
        <v>1.5773178367901958E-4</v>
      </c>
      <c r="P18" s="17">
        <f t="shared" si="11"/>
        <v>1.6204130821457431E-4</v>
      </c>
      <c r="Q18" s="22">
        <f t="shared" si="14"/>
        <v>6.8988810728891617E-3</v>
      </c>
      <c r="R18" s="22">
        <f t="shared" si="15"/>
        <v>1.7040001436079272E-3</v>
      </c>
      <c r="S18" s="22">
        <f t="shared" si="16"/>
        <v>-1.8514447318512185E-2</v>
      </c>
      <c r="T18" s="22">
        <f t="shared" si="17"/>
        <v>2.2261830506162487E-2</v>
      </c>
      <c r="U18" s="22">
        <f t="shared" si="18"/>
        <v>-3.7301043027021478E-3</v>
      </c>
      <c r="V18" s="22">
        <f t="shared" si="19"/>
        <v>3.8014994703437094E-4</v>
      </c>
      <c r="W18" s="22">
        <f t="shared" si="20"/>
        <v>4.1198033776972261E-4</v>
      </c>
      <c r="X18" s="22">
        <f t="shared" si="21"/>
        <v>4.7798569282091305E-4</v>
      </c>
      <c r="AA18" s="28" t="s">
        <v>2</v>
      </c>
      <c r="AB18" s="25">
        <v>0.19623826154362192</v>
      </c>
      <c r="AC18" s="25">
        <v>1</v>
      </c>
      <c r="AD18" s="25"/>
      <c r="AE18" s="25"/>
      <c r="AF18" s="25"/>
      <c r="AG18" s="25"/>
      <c r="AH18" s="25"/>
      <c r="AI18" s="25"/>
    </row>
    <row r="19" spans="1:37" x14ac:dyDescent="0.35">
      <c r="A19" s="3">
        <v>12.38</v>
      </c>
      <c r="B19" s="3">
        <v>41.98</v>
      </c>
      <c r="C19" s="3">
        <v>105.34</v>
      </c>
      <c r="D19" s="3">
        <v>14.45</v>
      </c>
      <c r="E19" s="3">
        <v>22.78</v>
      </c>
      <c r="F19" s="3">
        <v>123.133402</v>
      </c>
      <c r="G19" s="3">
        <v>116.567224</v>
      </c>
      <c r="H19" s="3">
        <v>118.626115</v>
      </c>
      <c r="I19" s="17">
        <f t="shared" si="4"/>
        <v>-4.022526146419866E-3</v>
      </c>
      <c r="J19" s="17">
        <f t="shared" si="5"/>
        <v>-6.3905325443787721E-3</v>
      </c>
      <c r="K19" s="17">
        <f t="shared" si="6"/>
        <v>-4.0654249787273576E-3</v>
      </c>
      <c r="L19" s="17">
        <f t="shared" si="7"/>
        <v>-1.0951403148528415E-2</v>
      </c>
      <c r="M19" s="17">
        <f t="shared" si="8"/>
        <v>-8.7032201914708125E-3</v>
      </c>
      <c r="N19" s="17">
        <f t="shared" si="9"/>
        <v>2.6288620969452336E-3</v>
      </c>
      <c r="O19" s="17">
        <f t="shared" si="10"/>
        <v>-5.7320296583302963E-4</v>
      </c>
      <c r="P19" s="17">
        <f t="shared" si="11"/>
        <v>2.8289358736211532E-3</v>
      </c>
      <c r="Q19" s="22">
        <f t="shared" si="14"/>
        <v>-4.4170000168045993E-3</v>
      </c>
      <c r="R19" s="22">
        <f t="shared" si="15"/>
        <v>-6.8212572584559353E-3</v>
      </c>
      <c r="S19" s="22">
        <f t="shared" si="16"/>
        <v>-4.4773843655648042E-3</v>
      </c>
      <c r="T19" s="22">
        <f t="shared" si="17"/>
        <v>-1.1082854657761333E-2</v>
      </c>
      <c r="U19" s="22">
        <f t="shared" si="18"/>
        <v>-9.3964481384245756E-3</v>
      </c>
      <c r="V19" s="22">
        <f t="shared" si="19"/>
        <v>2.8634659064484137E-3</v>
      </c>
      <c r="W19" s="22">
        <f t="shared" si="20"/>
        <v>-3.1895441174232663E-4</v>
      </c>
      <c r="X19" s="22">
        <f t="shared" si="21"/>
        <v>3.144880258227492E-3</v>
      </c>
      <c r="AA19" s="28" t="s">
        <v>3</v>
      </c>
      <c r="AB19" s="25">
        <v>0.26309856114749003</v>
      </c>
      <c r="AC19" s="25">
        <v>0.20381898272815485</v>
      </c>
      <c r="AD19" s="25">
        <v>1</v>
      </c>
      <c r="AE19" s="25"/>
      <c r="AF19" s="25"/>
      <c r="AG19" s="25"/>
      <c r="AH19" s="25"/>
      <c r="AI19" s="25"/>
      <c r="AK19" s="30" t="s">
        <v>65</v>
      </c>
    </row>
    <row r="20" spans="1:37" x14ac:dyDescent="0.35">
      <c r="A20" s="3">
        <v>11.84</v>
      </c>
      <c r="B20" s="3">
        <v>40.479999999999997</v>
      </c>
      <c r="C20" s="3">
        <v>103.78</v>
      </c>
      <c r="D20" s="3">
        <v>14.23</v>
      </c>
      <c r="E20" s="3">
        <v>22.57</v>
      </c>
      <c r="F20" s="3">
        <v>123.457042</v>
      </c>
      <c r="G20" s="3">
        <v>116.500488</v>
      </c>
      <c r="H20" s="3">
        <v>118.434832</v>
      </c>
      <c r="I20" s="17">
        <f t="shared" si="4"/>
        <v>-4.3618739903069539E-2</v>
      </c>
      <c r="J20" s="17">
        <f t="shared" si="5"/>
        <v>-3.573130061934255E-2</v>
      </c>
      <c r="K20" s="17">
        <f t="shared" si="6"/>
        <v>-1.4809189291816995E-2</v>
      </c>
      <c r="L20" s="17">
        <f t="shared" si="7"/>
        <v>-1.5224913494809611E-2</v>
      </c>
      <c r="M20" s="17">
        <f t="shared" si="8"/>
        <v>-9.2186128182616695E-3</v>
      </c>
      <c r="N20" s="17">
        <f t="shared" si="9"/>
        <v>2.6283688645262759E-3</v>
      </c>
      <c r="O20" s="17">
        <f t="shared" si="10"/>
        <v>-5.7251084575876742E-4</v>
      </c>
      <c r="P20" s="17">
        <f t="shared" si="11"/>
        <v>-1.612486424258255E-3</v>
      </c>
      <c r="Q20" s="22">
        <f t="shared" si="14"/>
        <v>-4.4013213773454275E-2</v>
      </c>
      <c r="R20" s="22">
        <f t="shared" si="15"/>
        <v>-3.6162025333419716E-2</v>
      </c>
      <c r="S20" s="22">
        <f t="shared" si="16"/>
        <v>-1.5221148678654442E-2</v>
      </c>
      <c r="T20" s="22">
        <f t="shared" si="17"/>
        <v>-1.5356365004042529E-2</v>
      </c>
      <c r="U20" s="22">
        <f t="shared" si="18"/>
        <v>-9.9118407652154326E-3</v>
      </c>
      <c r="V20" s="22">
        <f t="shared" si="19"/>
        <v>2.862972674029456E-3</v>
      </c>
      <c r="W20" s="22">
        <f t="shared" si="20"/>
        <v>-3.1826229166806441E-4</v>
      </c>
      <c r="X20" s="22">
        <f t="shared" si="21"/>
        <v>-1.2965420396519162E-3</v>
      </c>
      <c r="AA20" s="28" t="s">
        <v>4</v>
      </c>
      <c r="AB20" s="25">
        <v>0.19525700793737941</v>
      </c>
      <c r="AC20" s="25">
        <v>0.1947528348424877</v>
      </c>
      <c r="AD20" s="25">
        <v>0.1799731264216132</v>
      </c>
      <c r="AE20" s="25">
        <v>1</v>
      </c>
      <c r="AF20" s="25"/>
      <c r="AG20" s="25"/>
      <c r="AH20" s="25"/>
      <c r="AI20" s="25"/>
      <c r="AK20" s="31" t="s">
        <v>66</v>
      </c>
    </row>
    <row r="21" spans="1:37" x14ac:dyDescent="0.35">
      <c r="A21" s="3">
        <v>12.17</v>
      </c>
      <c r="B21" s="3">
        <v>40.130000000000003</v>
      </c>
      <c r="C21" s="3">
        <v>106.45</v>
      </c>
      <c r="D21" s="3">
        <v>14.05</v>
      </c>
      <c r="E21" s="3">
        <v>22.93</v>
      </c>
      <c r="F21" s="3">
        <v>123.527862</v>
      </c>
      <c r="G21" s="3">
        <v>118.377934</v>
      </c>
      <c r="H21" s="3">
        <v>118.51148999999999</v>
      </c>
      <c r="I21" s="17">
        <f t="shared" si="4"/>
        <v>2.7871621621621628E-2</v>
      </c>
      <c r="J21" s="17">
        <f t="shared" si="5"/>
        <v>-8.6462450592883974E-3</v>
      </c>
      <c r="K21" s="17">
        <f t="shared" si="6"/>
        <v>2.5727500481788415E-2</v>
      </c>
      <c r="L21" s="17">
        <f t="shared" si="7"/>
        <v>-1.2649332396345728E-2</v>
      </c>
      <c r="M21" s="17">
        <f t="shared" si="8"/>
        <v>1.5950376606114286E-2</v>
      </c>
      <c r="N21" s="17">
        <f t="shared" si="9"/>
        <v>5.7364082965796043E-4</v>
      </c>
      <c r="O21" s="17">
        <f t="shared" si="10"/>
        <v>1.6115348804375755E-2</v>
      </c>
      <c r="P21" s="17">
        <f t="shared" si="11"/>
        <v>6.4725890775101352E-4</v>
      </c>
      <c r="Q21" s="22">
        <f t="shared" si="14"/>
        <v>2.7477147751236896E-2</v>
      </c>
      <c r="R21" s="22">
        <f t="shared" si="15"/>
        <v>-9.0769697733655615E-3</v>
      </c>
      <c r="S21" s="22">
        <f t="shared" si="16"/>
        <v>2.5315541094950968E-2</v>
      </c>
      <c r="T21" s="22">
        <f t="shared" si="17"/>
        <v>-1.2780783905578645E-2</v>
      </c>
      <c r="U21" s="22">
        <f t="shared" si="18"/>
        <v>1.5257148659160523E-2</v>
      </c>
      <c r="V21" s="22">
        <f t="shared" si="19"/>
        <v>8.0824463916114074E-4</v>
      </c>
      <c r="W21" s="22">
        <f t="shared" si="20"/>
        <v>1.6369597358466458E-2</v>
      </c>
      <c r="X21" s="22">
        <f t="shared" si="21"/>
        <v>9.6320329235735224E-4</v>
      </c>
      <c r="AA21" s="28" t="s">
        <v>5</v>
      </c>
      <c r="AB21" s="25">
        <v>0.23988705592614654</v>
      </c>
      <c r="AC21" s="25">
        <v>0.13483354850729878</v>
      </c>
      <c r="AD21" s="25">
        <v>0.24908519598250595</v>
      </c>
      <c r="AE21" s="25">
        <v>0.15262068953943717</v>
      </c>
      <c r="AF21" s="25">
        <v>1</v>
      </c>
      <c r="AG21" s="25"/>
      <c r="AH21" s="25"/>
      <c r="AI21" s="25"/>
      <c r="AK21" t="s">
        <v>67</v>
      </c>
    </row>
    <row r="22" spans="1:37" x14ac:dyDescent="0.35">
      <c r="A22" s="3">
        <v>11.76</v>
      </c>
      <c r="B22" s="3">
        <v>38.520000000000003</v>
      </c>
      <c r="C22" s="3">
        <v>101.57</v>
      </c>
      <c r="D22" s="3">
        <v>13.67</v>
      </c>
      <c r="E22" s="3">
        <v>23.11</v>
      </c>
      <c r="F22" s="3">
        <v>123.545574</v>
      </c>
      <c r="G22" s="3">
        <v>118.569614</v>
      </c>
      <c r="H22" s="3">
        <v>118.53066200000001</v>
      </c>
      <c r="I22" s="17">
        <f t="shared" si="4"/>
        <v>-3.3689400164338551E-2</v>
      </c>
      <c r="J22" s="17">
        <f t="shared" si="5"/>
        <v>-4.0119611263393952E-2</v>
      </c>
      <c r="K22" s="17">
        <f t="shared" si="6"/>
        <v>-4.5843118835133957E-2</v>
      </c>
      <c r="L22" s="17">
        <f t="shared" si="7"/>
        <v>-2.7046263345195783E-2</v>
      </c>
      <c r="M22" s="17">
        <f t="shared" si="8"/>
        <v>7.8499781945050029E-3</v>
      </c>
      <c r="N22" s="17">
        <f t="shared" si="9"/>
        <v>1.4338465600580912E-4</v>
      </c>
      <c r="O22" s="17">
        <f t="shared" si="10"/>
        <v>1.6192206902344247E-3</v>
      </c>
      <c r="P22" s="17">
        <f t="shared" si="11"/>
        <v>1.6177334366492005E-4</v>
      </c>
      <c r="Q22" s="22">
        <f t="shared" si="14"/>
        <v>-3.4083874034723287E-2</v>
      </c>
      <c r="R22" s="22">
        <f t="shared" si="15"/>
        <v>-4.0550335977471118E-2</v>
      </c>
      <c r="S22" s="22">
        <f t="shared" si="16"/>
        <v>-4.6255078221971405E-2</v>
      </c>
      <c r="T22" s="22">
        <f t="shared" si="17"/>
        <v>-2.71777148544287E-2</v>
      </c>
      <c r="U22" s="22">
        <f t="shared" si="18"/>
        <v>7.1567502475512407E-3</v>
      </c>
      <c r="V22" s="22">
        <f t="shared" si="19"/>
        <v>3.7798846550898943E-4</v>
      </c>
      <c r="W22" s="22">
        <f t="shared" si="20"/>
        <v>1.8734692443251278E-3</v>
      </c>
      <c r="X22" s="22">
        <f t="shared" si="21"/>
        <v>4.7771772827125884E-4</v>
      </c>
      <c r="AA22" s="28" t="s">
        <v>6</v>
      </c>
      <c r="AB22" s="25">
        <v>8.0969030594868804E-2</v>
      </c>
      <c r="AC22" s="25">
        <v>5.1315580534138407E-3</v>
      </c>
      <c r="AD22" s="25">
        <v>-3.8793363407211082E-2</v>
      </c>
      <c r="AE22" s="25">
        <v>6.0371995241264341E-3</v>
      </c>
      <c r="AF22" s="25">
        <v>1.1078718830153206E-2</v>
      </c>
      <c r="AG22" s="25">
        <v>1</v>
      </c>
      <c r="AH22" s="25"/>
      <c r="AI22" s="25"/>
      <c r="AK22" t="s">
        <v>68</v>
      </c>
    </row>
    <row r="23" spans="1:37" x14ac:dyDescent="0.35">
      <c r="A23" s="3">
        <v>12.52</v>
      </c>
      <c r="B23" s="3">
        <v>40.06</v>
      </c>
      <c r="C23" s="3">
        <v>103.3</v>
      </c>
      <c r="D23" s="3">
        <v>13.7</v>
      </c>
      <c r="E23" s="3">
        <v>23.71</v>
      </c>
      <c r="F23" s="3">
        <v>123.410509</v>
      </c>
      <c r="G23" s="3">
        <v>118.240818</v>
      </c>
      <c r="H23" s="3">
        <v>118.235433</v>
      </c>
      <c r="I23" s="17">
        <f t="shared" si="4"/>
        <v>6.4625850340136043E-2</v>
      </c>
      <c r="J23" s="17">
        <f t="shared" si="5"/>
        <v>3.9979231568016589E-2</v>
      </c>
      <c r="K23" s="17">
        <f t="shared" si="6"/>
        <v>1.7032588362705565E-2</v>
      </c>
      <c r="L23" s="17">
        <f t="shared" si="7"/>
        <v>2.1945866861740569E-3</v>
      </c>
      <c r="M23" s="17">
        <f t="shared" si="8"/>
        <v>2.5962786672436237E-2</v>
      </c>
      <c r="N23" s="17">
        <f t="shared" si="9"/>
        <v>-1.0932402968964095E-3</v>
      </c>
      <c r="O23" s="17">
        <f t="shared" si="10"/>
        <v>-2.7730207504934358E-3</v>
      </c>
      <c r="P23" s="17">
        <f t="shared" si="11"/>
        <v>-2.4907394847757296E-3</v>
      </c>
      <c r="Q23" s="22">
        <f t="shared" si="14"/>
        <v>6.4231376469751314E-2</v>
      </c>
      <c r="R23" s="22">
        <f t="shared" si="15"/>
        <v>3.9548506853939423E-2</v>
      </c>
      <c r="S23" s="22">
        <f t="shared" si="16"/>
        <v>1.6620628975868117E-2</v>
      </c>
      <c r="T23" s="22">
        <f t="shared" si="17"/>
        <v>2.0631351769411386E-3</v>
      </c>
      <c r="U23" s="22">
        <f t="shared" si="18"/>
        <v>2.5269558725482474E-2</v>
      </c>
      <c r="V23" s="22">
        <f t="shared" si="19"/>
        <v>-8.5863648739322915E-4</v>
      </c>
      <c r="W23" s="22">
        <f t="shared" si="20"/>
        <v>-2.5187721964027329E-3</v>
      </c>
      <c r="X23" s="22">
        <f t="shared" si="21"/>
        <v>-2.1747951001693908E-3</v>
      </c>
      <c r="AA23" s="28" t="s">
        <v>7</v>
      </c>
      <c r="AB23" s="25">
        <v>8.7910019673498055E-2</v>
      </c>
      <c r="AC23" s="25">
        <v>-2.1182067590355767E-3</v>
      </c>
      <c r="AD23" s="25">
        <v>-2.9004709918786526E-2</v>
      </c>
      <c r="AE23" s="25">
        <v>8.0553779927475481E-3</v>
      </c>
      <c r="AF23" s="25">
        <v>4.6117476330602035E-3</v>
      </c>
      <c r="AG23" s="25">
        <v>0.83832755813201387</v>
      </c>
      <c r="AH23" s="25">
        <v>1</v>
      </c>
      <c r="AI23" s="25"/>
    </row>
    <row r="24" spans="1:37" ht="15" thickBot="1" x14ac:dyDescent="0.4">
      <c r="A24" s="3">
        <v>12.89</v>
      </c>
      <c r="B24" s="3">
        <v>40.15</v>
      </c>
      <c r="C24" s="3">
        <v>106.81</v>
      </c>
      <c r="D24" s="3">
        <v>13.64</v>
      </c>
      <c r="E24" s="3">
        <v>23.88</v>
      </c>
      <c r="F24" s="3">
        <v>123.657461</v>
      </c>
      <c r="G24" s="3">
        <v>118.605678</v>
      </c>
      <c r="H24" s="3">
        <v>118.569016</v>
      </c>
      <c r="I24" s="17">
        <f t="shared" si="4"/>
        <v>2.9552715654952159E-2</v>
      </c>
      <c r="J24" s="17">
        <f t="shared" si="5"/>
        <v>2.2466300549175314E-3</v>
      </c>
      <c r="K24" s="17">
        <f t="shared" si="6"/>
        <v>3.3978702807357264E-2</v>
      </c>
      <c r="L24" s="17">
        <f t="shared" si="7"/>
        <v>-4.3795620437955271E-3</v>
      </c>
      <c r="M24" s="17">
        <f t="shared" si="8"/>
        <v>7.1699704765920769E-3</v>
      </c>
      <c r="N24" s="17">
        <f t="shared" si="9"/>
        <v>2.001061352076533E-3</v>
      </c>
      <c r="O24" s="17">
        <f t="shared" si="10"/>
        <v>3.0857364332509359E-3</v>
      </c>
      <c r="P24" s="17">
        <f t="shared" si="11"/>
        <v>2.821345442190789E-3</v>
      </c>
      <c r="Q24" s="22">
        <f t="shared" si="14"/>
        <v>2.9158241784567426E-2</v>
      </c>
      <c r="R24" s="22">
        <f t="shared" si="15"/>
        <v>1.8159053408403679E-3</v>
      </c>
      <c r="S24" s="22">
        <f t="shared" si="16"/>
        <v>3.3566743420519816E-2</v>
      </c>
      <c r="T24" s="22">
        <f t="shared" si="17"/>
        <v>-4.5110135530284454E-3</v>
      </c>
      <c r="U24" s="22">
        <f t="shared" si="18"/>
        <v>6.4767425296383147E-3</v>
      </c>
      <c r="V24" s="22">
        <f t="shared" si="19"/>
        <v>2.2356651615797131E-3</v>
      </c>
      <c r="W24" s="22">
        <f t="shared" si="20"/>
        <v>3.3399849873416388E-3</v>
      </c>
      <c r="X24" s="22">
        <f t="shared" si="21"/>
        <v>3.1372898267971279E-3</v>
      </c>
      <c r="AA24" s="29" t="s">
        <v>8</v>
      </c>
      <c r="AB24" s="26">
        <v>0.10773767004596516</v>
      </c>
      <c r="AC24" s="26">
        <v>2.2460345747097994E-2</v>
      </c>
      <c r="AD24" s="26">
        <v>-8.7361675793479927E-3</v>
      </c>
      <c r="AE24" s="26">
        <v>3.4709039109962835E-2</v>
      </c>
      <c r="AF24" s="26">
        <v>3.8997582049942241E-2</v>
      </c>
      <c r="AG24" s="26">
        <v>0.81398179322388631</v>
      </c>
      <c r="AH24" s="26">
        <v>0.81626117007987697</v>
      </c>
      <c r="AI24" s="26">
        <v>1</v>
      </c>
    </row>
    <row r="25" spans="1:37" x14ac:dyDescent="0.35">
      <c r="A25" s="3">
        <v>13.01</v>
      </c>
      <c r="B25" s="3">
        <v>39.99</v>
      </c>
      <c r="C25" s="3">
        <v>107.56</v>
      </c>
      <c r="D25" s="3">
        <v>13.97</v>
      </c>
      <c r="E25" s="3">
        <v>24.04</v>
      </c>
      <c r="F25" s="3">
        <v>123.863518</v>
      </c>
      <c r="G25" s="3">
        <v>118.57304000000001</v>
      </c>
      <c r="H25" s="3">
        <v>118.94192099999999</v>
      </c>
      <c r="I25" s="17">
        <f t="shared" si="4"/>
        <v>9.309542280837798E-3</v>
      </c>
      <c r="J25" s="17">
        <f t="shared" si="5"/>
        <v>-3.9850560398504752E-3</v>
      </c>
      <c r="K25" s="17">
        <f t="shared" si="6"/>
        <v>7.0218144368504824E-3</v>
      </c>
      <c r="L25" s="17">
        <f t="shared" si="7"/>
        <v>2.4193548387096777E-2</v>
      </c>
      <c r="M25" s="17">
        <f t="shared" si="8"/>
        <v>6.7001675041876109E-3</v>
      </c>
      <c r="N25" s="17">
        <f t="shared" si="9"/>
        <v>1.666353152762867E-3</v>
      </c>
      <c r="O25" s="17">
        <f t="shared" si="10"/>
        <v>-2.7518075483697762E-4</v>
      </c>
      <c r="P25" s="17">
        <f t="shared" si="11"/>
        <v>3.1450459199221887E-3</v>
      </c>
      <c r="Q25" s="22">
        <f t="shared" si="14"/>
        <v>8.9150684104530638E-3</v>
      </c>
      <c r="R25" s="22">
        <f t="shared" si="15"/>
        <v>-4.4157807539276384E-3</v>
      </c>
      <c r="S25" s="22">
        <f t="shared" si="16"/>
        <v>6.6098550500130358E-3</v>
      </c>
      <c r="T25" s="22">
        <f t="shared" si="17"/>
        <v>2.406209687786386E-2</v>
      </c>
      <c r="U25" s="22">
        <f t="shared" si="18"/>
        <v>6.0069395572338487E-3</v>
      </c>
      <c r="V25" s="22">
        <f t="shared" si="19"/>
        <v>1.9009569622660473E-3</v>
      </c>
      <c r="W25" s="22">
        <f t="shared" si="20"/>
        <v>-2.093220074627462E-5</v>
      </c>
      <c r="X25" s="22">
        <f t="shared" si="21"/>
        <v>3.4609903045285276E-3</v>
      </c>
    </row>
    <row r="26" spans="1:37" ht="15" thickBot="1" x14ac:dyDescent="0.4">
      <c r="A26" s="3">
        <v>12.91</v>
      </c>
      <c r="B26" s="3">
        <v>39.549999999999997</v>
      </c>
      <c r="C26" s="3">
        <v>109.69</v>
      </c>
      <c r="D26" s="3">
        <v>13.69</v>
      </c>
      <c r="E26" s="3">
        <v>23.77</v>
      </c>
      <c r="F26" s="3">
        <v>123.65189599999999</v>
      </c>
      <c r="G26" s="3">
        <v>118.417877</v>
      </c>
      <c r="H26" s="3">
        <v>118.540909</v>
      </c>
      <c r="I26" s="17">
        <f t="shared" si="4"/>
        <v>-7.6863950807071211E-3</v>
      </c>
      <c r="J26" s="17">
        <f t="shared" si="5"/>
        <v>-1.1002750687672038E-2</v>
      </c>
      <c r="K26" s="17">
        <f t="shared" si="6"/>
        <v>1.9802900706582329E-2</v>
      </c>
      <c r="L26" s="17">
        <f t="shared" si="7"/>
        <v>-2.0042949176807524E-2</v>
      </c>
      <c r="M26" s="17">
        <f t="shared" si="8"/>
        <v>-1.1231281198003311E-2</v>
      </c>
      <c r="N26" s="17">
        <f t="shared" si="9"/>
        <v>-1.7085095225537316E-3</v>
      </c>
      <c r="O26" s="17">
        <f t="shared" si="10"/>
        <v>-1.308585830303429E-3</v>
      </c>
      <c r="P26" s="17">
        <f t="shared" si="11"/>
        <v>-3.3714942270017178E-3</v>
      </c>
      <c r="Q26" s="22">
        <f t="shared" si="14"/>
        <v>-8.0808689510918543E-3</v>
      </c>
      <c r="R26" s="22">
        <f t="shared" si="15"/>
        <v>-1.1433475401749202E-2</v>
      </c>
      <c r="S26" s="22">
        <f t="shared" si="16"/>
        <v>1.9390941319744882E-2</v>
      </c>
      <c r="T26" s="22">
        <f t="shared" si="17"/>
        <v>-2.0174400686040442E-2</v>
      </c>
      <c r="U26" s="22">
        <f t="shared" si="18"/>
        <v>-1.1924509144957074E-2</v>
      </c>
      <c r="V26" s="22">
        <f t="shared" si="19"/>
        <v>-1.4739057130505513E-3</v>
      </c>
      <c r="W26" s="22">
        <f t="shared" si="20"/>
        <v>-1.0543372762127261E-3</v>
      </c>
      <c r="X26" s="22">
        <f t="shared" si="21"/>
        <v>-3.055549842395379E-3</v>
      </c>
    </row>
    <row r="27" spans="1:37" x14ac:dyDescent="0.35">
      <c r="A27" s="3">
        <v>12.87</v>
      </c>
      <c r="B27" s="3">
        <v>39.49</v>
      </c>
      <c r="C27" s="3">
        <v>110.05</v>
      </c>
      <c r="D27" s="3">
        <v>13.64</v>
      </c>
      <c r="E27" s="3">
        <v>23.38</v>
      </c>
      <c r="F27" s="3">
        <v>123.975364</v>
      </c>
      <c r="G27" s="3">
        <v>118.60916899999999</v>
      </c>
      <c r="H27" s="3">
        <v>119.085553</v>
      </c>
      <c r="I27" s="17">
        <f t="shared" si="4"/>
        <v>-3.098373353989227E-3</v>
      </c>
      <c r="J27" s="17">
        <f t="shared" si="5"/>
        <v>-1.5170670037925455E-3</v>
      </c>
      <c r="K27" s="17">
        <f t="shared" si="6"/>
        <v>3.281976479168561E-3</v>
      </c>
      <c r="L27" s="17">
        <f t="shared" si="7"/>
        <v>-3.652300949598169E-3</v>
      </c>
      <c r="M27" s="17">
        <f t="shared" si="8"/>
        <v>-1.6407236011779579E-2</v>
      </c>
      <c r="N27" s="17">
        <f t="shared" si="9"/>
        <v>2.6159566530221698E-3</v>
      </c>
      <c r="O27" s="17">
        <f t="shared" si="10"/>
        <v>1.6153979858969268E-3</v>
      </c>
      <c r="P27" s="17">
        <f t="shared" si="11"/>
        <v>4.5945657460750976E-3</v>
      </c>
      <c r="Q27" s="22">
        <f t="shared" si="14"/>
        <v>-3.4928472243739603E-3</v>
      </c>
      <c r="R27" s="22">
        <f t="shared" si="15"/>
        <v>-1.9477917178697089E-3</v>
      </c>
      <c r="S27" s="22">
        <f t="shared" si="16"/>
        <v>2.870017092331114E-3</v>
      </c>
      <c r="T27" s="22">
        <f t="shared" si="17"/>
        <v>-3.7837524588310873E-3</v>
      </c>
      <c r="U27" s="22">
        <f t="shared" si="18"/>
        <v>-1.7100463958733342E-2</v>
      </c>
      <c r="V27" s="22">
        <f t="shared" si="19"/>
        <v>2.8505604625253499E-3</v>
      </c>
      <c r="W27" s="22">
        <f t="shared" si="20"/>
        <v>1.8696465399876297E-3</v>
      </c>
      <c r="X27" s="22">
        <f t="shared" si="21"/>
        <v>4.910510130681436E-3</v>
      </c>
      <c r="AA27" s="9" t="s">
        <v>70</v>
      </c>
      <c r="AB27" s="27" t="s">
        <v>1</v>
      </c>
      <c r="AC27" s="27" t="s">
        <v>2</v>
      </c>
      <c r="AD27" s="27" t="s">
        <v>3</v>
      </c>
      <c r="AE27" s="27" t="s">
        <v>4</v>
      </c>
      <c r="AF27" s="27" t="s">
        <v>5</v>
      </c>
      <c r="AG27" s="27" t="s">
        <v>6</v>
      </c>
      <c r="AH27" s="27" t="s">
        <v>7</v>
      </c>
      <c r="AI27" s="27" t="s">
        <v>8</v>
      </c>
    </row>
    <row r="28" spans="1:37" x14ac:dyDescent="0.35">
      <c r="A28" s="3">
        <v>12.8</v>
      </c>
      <c r="B28" s="3">
        <v>39.700000000000003</v>
      </c>
      <c r="C28" s="3">
        <v>114.6</v>
      </c>
      <c r="D28" s="3">
        <v>13.88</v>
      </c>
      <c r="E28" s="3">
        <v>23.57</v>
      </c>
      <c r="F28" s="3">
        <v>123.154775</v>
      </c>
      <c r="G28" s="3">
        <v>117.76473799999999</v>
      </c>
      <c r="H28" s="3">
        <v>117.953017</v>
      </c>
      <c r="I28" s="17">
        <f t="shared" si="4"/>
        <v>-5.4390054390053236E-3</v>
      </c>
      <c r="J28" s="17">
        <f t="shared" si="5"/>
        <v>5.3178019751836123E-3</v>
      </c>
      <c r="K28" s="17">
        <f t="shared" si="6"/>
        <v>4.1344843253066761E-2</v>
      </c>
      <c r="L28" s="17">
        <f t="shared" si="7"/>
        <v>1.7595307917888579E-2</v>
      </c>
      <c r="M28" s="17">
        <f t="shared" si="8"/>
        <v>8.1266039349872244E-3</v>
      </c>
      <c r="N28" s="17">
        <f t="shared" si="9"/>
        <v>-6.6189682653401867E-3</v>
      </c>
      <c r="O28" s="17">
        <f t="shared" si="10"/>
        <v>-7.1194411622595571E-3</v>
      </c>
      <c r="P28" s="17">
        <f t="shared" si="11"/>
        <v>-9.5102719974773237E-3</v>
      </c>
      <c r="Q28" s="22">
        <f t="shared" si="14"/>
        <v>-5.8334793093900569E-3</v>
      </c>
      <c r="R28" s="22">
        <f t="shared" si="15"/>
        <v>4.887077261106449E-3</v>
      </c>
      <c r="S28" s="22">
        <f t="shared" si="16"/>
        <v>4.0932883866229314E-2</v>
      </c>
      <c r="T28" s="22">
        <f t="shared" si="17"/>
        <v>1.7463856408655661E-2</v>
      </c>
      <c r="U28" s="22">
        <f t="shared" si="18"/>
        <v>7.4333759880334622E-3</v>
      </c>
      <c r="V28" s="22">
        <f t="shared" si="19"/>
        <v>-6.3843644558370062E-3</v>
      </c>
      <c r="W28" s="22">
        <f t="shared" si="20"/>
        <v>-6.8651926081688538E-3</v>
      </c>
      <c r="X28" s="22">
        <f t="shared" si="21"/>
        <v>-9.1943276128709853E-3</v>
      </c>
      <c r="AA28" s="28" t="s">
        <v>1</v>
      </c>
      <c r="AB28" s="65">
        <f t="array" ref="AB28:AI35">MMULT(TRANSPOSE(Q3:X1009),Q3:X1009)/(COUNT(Q3:Q1009)-1)</f>
        <v>5.3636724208574766E-4</v>
      </c>
      <c r="AC28" s="33">
        <v>8.8227690177591044E-5</v>
      </c>
      <c r="AD28" s="33">
        <v>1.2662909678207794E-4</v>
      </c>
      <c r="AE28" s="33">
        <v>6.4088974624399686E-5</v>
      </c>
      <c r="AF28" s="33">
        <v>1.049581929185651E-4</v>
      </c>
      <c r="AG28" s="36">
        <v>9.9966083980730391E-6</v>
      </c>
      <c r="AH28" s="33">
        <v>1.1795243280017425E-5</v>
      </c>
      <c r="AI28" s="33">
        <v>1.7642006296810033E-5</v>
      </c>
      <c r="AK28" t="s">
        <v>75</v>
      </c>
    </row>
    <row r="29" spans="1:37" x14ac:dyDescent="0.35">
      <c r="A29" s="3">
        <v>12.74</v>
      </c>
      <c r="B29" s="3">
        <v>39.659999999999997</v>
      </c>
      <c r="C29" s="3">
        <v>112.51</v>
      </c>
      <c r="D29" s="3">
        <v>13.8</v>
      </c>
      <c r="E29" s="3">
        <v>23.97</v>
      </c>
      <c r="F29" s="3">
        <v>122.945375</v>
      </c>
      <c r="G29" s="3">
        <v>117.954809</v>
      </c>
      <c r="H29" s="3">
        <v>117.97232099999999</v>
      </c>
      <c r="I29" s="17">
        <f t="shared" si="4"/>
        <v>-4.6875000000000389E-3</v>
      </c>
      <c r="J29" s="17">
        <f t="shared" si="5"/>
        <v>-1.0075566750631297E-3</v>
      </c>
      <c r="K29" s="17">
        <f t="shared" si="6"/>
        <v>-1.8237347294938824E-2</v>
      </c>
      <c r="L29" s="17">
        <f t="shared" si="7"/>
        <v>-5.7636887608069213E-3</v>
      </c>
      <c r="M29" s="17">
        <f t="shared" si="8"/>
        <v>1.6970725498515003E-2</v>
      </c>
      <c r="N29" s="17">
        <f t="shared" si="9"/>
        <v>-1.7002994808768255E-3</v>
      </c>
      <c r="O29" s="17">
        <f t="shared" si="10"/>
        <v>1.6139890703107005E-3</v>
      </c>
      <c r="P29" s="17">
        <f t="shared" si="11"/>
        <v>1.6365838272700651E-4</v>
      </c>
      <c r="Q29" s="22">
        <f t="shared" si="14"/>
        <v>-5.0819738703847721E-3</v>
      </c>
      <c r="R29" s="22">
        <f t="shared" si="15"/>
        <v>-1.4382813891402931E-3</v>
      </c>
      <c r="S29" s="22">
        <f t="shared" si="16"/>
        <v>-1.8649306681776272E-2</v>
      </c>
      <c r="T29" s="22">
        <f t="shared" si="17"/>
        <v>-5.8951402700398396E-3</v>
      </c>
      <c r="U29" s="22">
        <f t="shared" si="18"/>
        <v>1.627749755156124E-2</v>
      </c>
      <c r="V29" s="22">
        <f t="shared" si="19"/>
        <v>-1.4656956713736452E-3</v>
      </c>
      <c r="W29" s="22">
        <f t="shared" si="20"/>
        <v>1.8682376244014034E-3</v>
      </c>
      <c r="X29" s="22">
        <f t="shared" si="21"/>
        <v>4.7960276733334528E-4</v>
      </c>
      <c r="AA29" s="28" t="s">
        <v>2</v>
      </c>
      <c r="AB29" s="33">
        <v>8.8227690177591044E-5</v>
      </c>
      <c r="AC29" s="34">
        <v>3.7686013309361612E-4</v>
      </c>
      <c r="AD29" s="33">
        <v>8.2227794416829111E-5</v>
      </c>
      <c r="AE29" s="33">
        <v>5.3582066227336891E-5</v>
      </c>
      <c r="AF29" s="33">
        <v>4.9450019837400503E-5</v>
      </c>
      <c r="AG29" s="33">
        <v>5.3105800780254552E-7</v>
      </c>
      <c r="AH29" s="33">
        <v>-2.3822967078360427E-7</v>
      </c>
      <c r="AI29" s="33">
        <v>3.0828742231609298E-6</v>
      </c>
      <c r="AK29" t="s">
        <v>76</v>
      </c>
    </row>
    <row r="30" spans="1:37" x14ac:dyDescent="0.35">
      <c r="A30" s="3">
        <v>13.27</v>
      </c>
      <c r="B30" s="3">
        <v>39.200000000000003</v>
      </c>
      <c r="C30" s="3">
        <v>109.54</v>
      </c>
      <c r="D30" s="3">
        <v>13.55</v>
      </c>
      <c r="E30" s="3">
        <v>23.92</v>
      </c>
      <c r="F30" s="3">
        <v>123.150597</v>
      </c>
      <c r="G30" s="3">
        <v>117.837785</v>
      </c>
      <c r="H30" s="3">
        <v>118.342673</v>
      </c>
      <c r="I30" s="17">
        <f t="shared" si="4"/>
        <v>4.1601255886970119E-2</v>
      </c>
      <c r="J30" s="17">
        <f t="shared" si="5"/>
        <v>-1.1598587997982697E-2</v>
      </c>
      <c r="K30" s="17">
        <f t="shared" si="6"/>
        <v>-2.6397653541907373E-2</v>
      </c>
      <c r="L30" s="17">
        <f t="shared" si="7"/>
        <v>-1.8115942028985508E-2</v>
      </c>
      <c r="M30" s="17">
        <f t="shared" si="8"/>
        <v>-2.0859407592823181E-3</v>
      </c>
      <c r="N30" s="17">
        <f t="shared" si="9"/>
        <v>1.6692128516424976E-3</v>
      </c>
      <c r="O30" s="17">
        <f t="shared" si="10"/>
        <v>-9.9210876599359907E-4</v>
      </c>
      <c r="P30" s="17">
        <f t="shared" si="11"/>
        <v>3.1393126528383819E-3</v>
      </c>
      <c r="Q30" s="22">
        <f t="shared" si="14"/>
        <v>4.1206782016585383E-2</v>
      </c>
      <c r="R30" s="22">
        <f t="shared" si="15"/>
        <v>-1.2029312712059861E-2</v>
      </c>
      <c r="S30" s="22">
        <f t="shared" si="16"/>
        <v>-2.6809612928744821E-2</v>
      </c>
      <c r="T30" s="22">
        <f t="shared" si="17"/>
        <v>-1.8247393538218425E-2</v>
      </c>
      <c r="U30" s="22">
        <f t="shared" si="18"/>
        <v>-2.7791687062360807E-3</v>
      </c>
      <c r="V30" s="22">
        <f t="shared" si="19"/>
        <v>1.9038166611456779E-3</v>
      </c>
      <c r="W30" s="22">
        <f t="shared" si="20"/>
        <v>-7.3786021190289607E-4</v>
      </c>
      <c r="X30" s="22">
        <f t="shared" si="21"/>
        <v>3.4552570374447207E-3</v>
      </c>
      <c r="AA30" s="28" t="s">
        <v>3</v>
      </c>
      <c r="AB30" s="33">
        <v>1.2662909678207794E-4</v>
      </c>
      <c r="AC30" s="33">
        <v>8.2227794416829111E-5</v>
      </c>
      <c r="AD30" s="34">
        <v>4.3188470730671954E-4</v>
      </c>
      <c r="AE30" s="33">
        <v>5.300747833037052E-5</v>
      </c>
      <c r="AF30" s="33">
        <v>9.7793555706552338E-5</v>
      </c>
      <c r="AG30" s="33">
        <v>-4.2977778658084153E-6</v>
      </c>
      <c r="AH30" s="33">
        <v>-3.4921254921281427E-6</v>
      </c>
      <c r="AI30" s="33">
        <v>-1.2836722116230526E-6</v>
      </c>
      <c r="AK30" t="s">
        <v>77</v>
      </c>
    </row>
    <row r="31" spans="1:37" x14ac:dyDescent="0.35">
      <c r="A31" s="3">
        <v>13.27</v>
      </c>
      <c r="B31" s="3">
        <v>39.159999999999997</v>
      </c>
      <c r="C31" s="3">
        <v>109.83</v>
      </c>
      <c r="D31" s="3">
        <v>13.85</v>
      </c>
      <c r="E31" s="3">
        <v>24.34</v>
      </c>
      <c r="F31" s="3">
        <v>123.547783</v>
      </c>
      <c r="G31" s="3">
        <v>118.804227</v>
      </c>
      <c r="H31" s="3">
        <v>119.09517200000001</v>
      </c>
      <c r="I31" s="17">
        <f t="shared" si="4"/>
        <v>0</v>
      </c>
      <c r="J31" s="17">
        <f t="shared" si="5"/>
        <v>-1.0204081632654656E-3</v>
      </c>
      <c r="K31" s="17">
        <f t="shared" si="6"/>
        <v>2.647434727040278E-3</v>
      </c>
      <c r="L31" s="17">
        <f t="shared" si="7"/>
        <v>2.2140221402213941E-2</v>
      </c>
      <c r="M31" s="17">
        <f t="shared" si="8"/>
        <v>1.7558528428093568E-2</v>
      </c>
      <c r="N31" s="17">
        <f t="shared" si="9"/>
        <v>3.2252056398881339E-3</v>
      </c>
      <c r="O31" s="17">
        <f t="shared" si="10"/>
        <v>8.2014610169395211E-3</v>
      </c>
      <c r="P31" s="17">
        <f t="shared" si="11"/>
        <v>6.3586446116524701E-3</v>
      </c>
      <c r="Q31" s="22">
        <f t="shared" si="14"/>
        <v>-3.9447387038473331E-4</v>
      </c>
      <c r="R31" s="22">
        <f t="shared" si="15"/>
        <v>-1.451132877342629E-3</v>
      </c>
      <c r="S31" s="22">
        <f t="shared" si="16"/>
        <v>2.235475340202831E-3</v>
      </c>
      <c r="T31" s="22">
        <f t="shared" si="17"/>
        <v>2.2008769892981023E-2</v>
      </c>
      <c r="U31" s="22">
        <f t="shared" si="18"/>
        <v>1.6865300481139805E-2</v>
      </c>
      <c r="V31" s="22">
        <f t="shared" si="19"/>
        <v>3.459809449391314E-3</v>
      </c>
      <c r="W31" s="22">
        <f t="shared" si="20"/>
        <v>8.4557095710302236E-3</v>
      </c>
      <c r="X31" s="22">
        <f t="shared" si="21"/>
        <v>6.6745889962588085E-3</v>
      </c>
      <c r="AA31" s="28" t="s">
        <v>4</v>
      </c>
      <c r="AB31" s="33">
        <v>6.4088974624399686E-5</v>
      </c>
      <c r="AC31" s="33">
        <v>5.3582066227336891E-5</v>
      </c>
      <c r="AD31" s="33">
        <v>5.300747833037052E-5</v>
      </c>
      <c r="AE31" s="34">
        <v>2.0085892796852019E-4</v>
      </c>
      <c r="AF31" s="33">
        <v>4.0863671924988832E-5</v>
      </c>
      <c r="AG31" s="33">
        <v>4.5612483183589006E-7</v>
      </c>
      <c r="AH31" s="33">
        <v>6.6140716742435936E-7</v>
      </c>
      <c r="AI31" s="33">
        <v>3.4780628974151001E-6</v>
      </c>
    </row>
    <row r="32" spans="1:37" x14ac:dyDescent="0.35">
      <c r="A32" s="3">
        <v>13.1</v>
      </c>
      <c r="B32" s="3">
        <v>39.11</v>
      </c>
      <c r="C32" s="3">
        <v>107.99</v>
      </c>
      <c r="D32" s="3">
        <v>13.93</v>
      </c>
      <c r="E32" s="3">
        <v>24.59</v>
      </c>
      <c r="F32" s="3">
        <v>123.56559799999999</v>
      </c>
      <c r="G32" s="3">
        <v>118.649204</v>
      </c>
      <c r="H32" s="3">
        <v>119.21957399999999</v>
      </c>
      <c r="I32" s="17">
        <f t="shared" si="4"/>
        <v>-1.2810851544837975E-2</v>
      </c>
      <c r="J32" s="17">
        <f t="shared" si="5"/>
        <v>-1.2768130745658111E-3</v>
      </c>
      <c r="K32" s="17">
        <f t="shared" si="6"/>
        <v>-1.6753163980697473E-2</v>
      </c>
      <c r="L32" s="17">
        <f t="shared" si="7"/>
        <v>5.7761732851985608E-3</v>
      </c>
      <c r="M32" s="17">
        <f t="shared" si="8"/>
        <v>1.0271158586688579E-2</v>
      </c>
      <c r="N32" s="17">
        <f t="shared" si="9"/>
        <v>1.4419522202190228E-4</v>
      </c>
      <c r="O32" s="17">
        <f t="shared" si="10"/>
        <v>-1.3048609793993265E-3</v>
      </c>
      <c r="P32" s="17">
        <f t="shared" si="11"/>
        <v>1.0445595561169284E-3</v>
      </c>
      <c r="Q32" s="22">
        <f t="shared" si="14"/>
        <v>-1.3205325415222709E-2</v>
      </c>
      <c r="R32" s="22">
        <f t="shared" si="15"/>
        <v>-1.7075377886429746E-3</v>
      </c>
      <c r="S32" s="22">
        <f t="shared" si="16"/>
        <v>-1.716512336753492E-2</v>
      </c>
      <c r="T32" s="22">
        <f t="shared" si="17"/>
        <v>5.6447217759656425E-3</v>
      </c>
      <c r="U32" s="22">
        <f t="shared" si="18"/>
        <v>9.5779306397348156E-3</v>
      </c>
      <c r="V32" s="22">
        <f t="shared" si="19"/>
        <v>3.7879903152508254E-4</v>
      </c>
      <c r="W32" s="22">
        <f t="shared" si="20"/>
        <v>-1.0506124253086236E-3</v>
      </c>
      <c r="X32" s="22">
        <f t="shared" si="21"/>
        <v>1.3605039407232672E-3</v>
      </c>
      <c r="AA32" s="28" t="s">
        <v>5</v>
      </c>
      <c r="AB32" s="33">
        <v>1.049581929185651E-4</v>
      </c>
      <c r="AC32" s="33">
        <v>4.9450019837400503E-5</v>
      </c>
      <c r="AD32" s="33">
        <v>9.7793555706552338E-5</v>
      </c>
      <c r="AE32" s="33">
        <v>4.0863671924988832E-5</v>
      </c>
      <c r="AF32" s="34">
        <v>3.5690843711113599E-4</v>
      </c>
      <c r="AG32" s="33">
        <v>1.115759426346033E-6</v>
      </c>
      <c r="AH32" s="33">
        <v>5.047558294161729E-7</v>
      </c>
      <c r="AI32" s="33">
        <v>5.2091319481090657E-6</v>
      </c>
    </row>
    <row r="33" spans="1:37" x14ac:dyDescent="0.35">
      <c r="A33" s="3">
        <v>13.1</v>
      </c>
      <c r="B33" s="3">
        <v>38.99</v>
      </c>
      <c r="C33" s="3">
        <v>107.75</v>
      </c>
      <c r="D33" s="3">
        <v>13.95</v>
      </c>
      <c r="E33" s="3">
        <v>24.78</v>
      </c>
      <c r="F33" s="3">
        <v>123.128745</v>
      </c>
      <c r="G33" s="3">
        <v>118.408344</v>
      </c>
      <c r="H33" s="3">
        <v>117.673565</v>
      </c>
      <c r="I33" s="17">
        <f t="shared" si="4"/>
        <v>0</v>
      </c>
      <c r="J33" s="17">
        <f t="shared" si="5"/>
        <v>-3.0682689849142789E-3</v>
      </c>
      <c r="K33" s="17">
        <f t="shared" si="6"/>
        <v>-2.2224280025927856E-3</v>
      </c>
      <c r="L33" s="17">
        <f t="shared" si="7"/>
        <v>1.4357501794687419E-3</v>
      </c>
      <c r="M33" s="17">
        <f t="shared" si="8"/>
        <v>7.7267181781212396E-3</v>
      </c>
      <c r="N33" s="17">
        <f t="shared" si="9"/>
        <v>-3.5353934029437491E-3</v>
      </c>
      <c r="O33" s="17">
        <f t="shared" si="10"/>
        <v>-2.0300178330736871E-3</v>
      </c>
      <c r="P33" s="17">
        <f t="shared" si="11"/>
        <v>-1.2967744709438385E-2</v>
      </c>
      <c r="Q33" s="22">
        <f t="shared" si="14"/>
        <v>-3.9447387038473331E-4</v>
      </c>
      <c r="R33" s="22">
        <f t="shared" si="15"/>
        <v>-3.4989936989914426E-3</v>
      </c>
      <c r="S33" s="22">
        <f t="shared" si="16"/>
        <v>-2.6343873894302326E-3</v>
      </c>
      <c r="T33" s="22">
        <f t="shared" si="17"/>
        <v>1.3042986702358236E-3</v>
      </c>
      <c r="U33" s="22">
        <f t="shared" si="18"/>
        <v>7.0334902311674774E-3</v>
      </c>
      <c r="V33" s="22">
        <f t="shared" si="19"/>
        <v>-3.300789593440569E-3</v>
      </c>
      <c r="W33" s="22">
        <f t="shared" si="20"/>
        <v>-1.7757692789829842E-3</v>
      </c>
      <c r="X33" s="22">
        <f t="shared" si="21"/>
        <v>-1.2651800324832046E-2</v>
      </c>
      <c r="AA33" s="28" t="s">
        <v>6</v>
      </c>
      <c r="AB33" s="33">
        <v>9.9966083980730391E-6</v>
      </c>
      <c r="AC33" s="33">
        <v>5.3105800780254552E-7</v>
      </c>
      <c r="AD33" s="33">
        <v>-4.2977778658084153E-6</v>
      </c>
      <c r="AE33" s="33">
        <v>4.5612483183589006E-7</v>
      </c>
      <c r="AF33" s="33">
        <v>1.115759426346033E-6</v>
      </c>
      <c r="AG33" s="34">
        <v>2.8418767160935829E-5</v>
      </c>
      <c r="AH33" s="33">
        <v>2.5891294358264312E-5</v>
      </c>
      <c r="AI33" s="33">
        <v>3.0680792845225478E-5</v>
      </c>
    </row>
    <row r="34" spans="1:37" x14ac:dyDescent="0.35">
      <c r="A34" s="3">
        <v>12.93</v>
      </c>
      <c r="B34" s="3">
        <v>38.86</v>
      </c>
      <c r="C34" s="3">
        <v>109.98</v>
      </c>
      <c r="D34" s="3">
        <v>13.9</v>
      </c>
      <c r="E34" s="3">
        <v>24.88</v>
      </c>
      <c r="F34" s="3">
        <v>122.468881</v>
      </c>
      <c r="G34" s="3">
        <v>117.568735</v>
      </c>
      <c r="H34" s="3">
        <v>117.69295</v>
      </c>
      <c r="I34" s="17">
        <f t="shared" si="4"/>
        <v>-1.2977099236641216E-2</v>
      </c>
      <c r="J34" s="17">
        <f t="shared" si="5"/>
        <v>-3.3341882533983727E-3</v>
      </c>
      <c r="K34" s="17">
        <f t="shared" si="6"/>
        <v>2.0696055684454793E-2</v>
      </c>
      <c r="L34" s="17">
        <f t="shared" si="7"/>
        <v>-3.5842293906809273E-3</v>
      </c>
      <c r="M34" s="17">
        <f t="shared" si="8"/>
        <v>4.035512510088695E-3</v>
      </c>
      <c r="N34" s="17">
        <f t="shared" si="9"/>
        <v>-5.3591385179796881E-3</v>
      </c>
      <c r="O34" s="17">
        <f t="shared" si="10"/>
        <v>-7.09079252050004E-3</v>
      </c>
      <c r="P34" s="17">
        <f t="shared" si="11"/>
        <v>1.6473538470598528E-4</v>
      </c>
      <c r="Q34" s="22">
        <f t="shared" si="14"/>
        <v>-1.337157310702595E-2</v>
      </c>
      <c r="R34" s="22">
        <f t="shared" si="15"/>
        <v>-3.7649129674755363E-3</v>
      </c>
      <c r="S34" s="22">
        <f t="shared" si="16"/>
        <v>2.0284096297617345E-2</v>
      </c>
      <c r="T34" s="22">
        <f t="shared" si="17"/>
        <v>-3.7156808999138456E-3</v>
      </c>
      <c r="U34" s="22">
        <f t="shared" si="18"/>
        <v>3.3422845631349324E-3</v>
      </c>
      <c r="V34" s="22">
        <f t="shared" si="19"/>
        <v>-5.1245347084765075E-3</v>
      </c>
      <c r="W34" s="22">
        <f t="shared" si="20"/>
        <v>-6.8365439664093367E-3</v>
      </c>
      <c r="X34" s="22">
        <f t="shared" si="21"/>
        <v>4.8067976931232405E-4</v>
      </c>
      <c r="AA34" s="28" t="s">
        <v>7</v>
      </c>
      <c r="AB34" s="33">
        <v>1.1795243280017425E-5</v>
      </c>
      <c r="AC34" s="33">
        <v>-2.3822967078360427E-7</v>
      </c>
      <c r="AD34" s="33">
        <v>-3.4921254921281427E-6</v>
      </c>
      <c r="AE34" s="33">
        <v>6.6140716742435936E-7</v>
      </c>
      <c r="AF34" s="33">
        <v>5.047558294161729E-7</v>
      </c>
      <c r="AG34" s="33">
        <v>2.5891294358264312E-5</v>
      </c>
      <c r="AH34" s="34">
        <v>3.3564084437616241E-5</v>
      </c>
      <c r="AI34" s="33">
        <v>3.3436115013355566E-5</v>
      </c>
    </row>
    <row r="35" spans="1:37" ht="15" thickBot="1" x14ac:dyDescent="0.4">
      <c r="A35" s="3">
        <v>12.41</v>
      </c>
      <c r="B35" s="3">
        <v>38.33</v>
      </c>
      <c r="C35" s="3">
        <v>108.9</v>
      </c>
      <c r="D35" s="3">
        <v>13.77</v>
      </c>
      <c r="E35" s="3">
        <v>24.52</v>
      </c>
      <c r="F35" s="3">
        <v>122.29866699999999</v>
      </c>
      <c r="G35" s="3">
        <v>116.943806</v>
      </c>
      <c r="H35" s="3">
        <v>117.03062300000001</v>
      </c>
      <c r="I35" s="17">
        <f t="shared" si="4"/>
        <v>-4.0216550657385892E-2</v>
      </c>
      <c r="J35" s="17">
        <f t="shared" si="5"/>
        <v>-1.3638703036541459E-2</v>
      </c>
      <c r="K35" s="17">
        <f t="shared" si="6"/>
        <v>-9.8199672667757618E-3</v>
      </c>
      <c r="L35" s="17">
        <f t="shared" si="7"/>
        <v>-9.3525179856115675E-3</v>
      </c>
      <c r="M35" s="17">
        <f t="shared" si="8"/>
        <v>-1.4469453376205766E-2</v>
      </c>
      <c r="N35" s="17">
        <f t="shared" si="9"/>
        <v>-1.3898551093971491E-3</v>
      </c>
      <c r="O35" s="17">
        <f t="shared" si="10"/>
        <v>-5.3154352643158802E-3</v>
      </c>
      <c r="P35" s="17">
        <f t="shared" si="11"/>
        <v>-5.6275843200462783E-3</v>
      </c>
      <c r="Q35" s="22">
        <f t="shared" si="14"/>
        <v>-4.0611024527770628E-2</v>
      </c>
      <c r="R35" s="22">
        <f t="shared" si="15"/>
        <v>-1.4069427750618623E-2</v>
      </c>
      <c r="S35" s="22">
        <f t="shared" si="16"/>
        <v>-1.0231926653613209E-2</v>
      </c>
      <c r="T35" s="22">
        <f t="shared" si="17"/>
        <v>-9.4839694948444849E-3</v>
      </c>
      <c r="U35" s="22">
        <f t="shared" si="18"/>
        <v>-1.5162681323159529E-2</v>
      </c>
      <c r="V35" s="22">
        <f t="shared" si="19"/>
        <v>-1.1552512998939688E-3</v>
      </c>
      <c r="W35" s="22">
        <f t="shared" si="20"/>
        <v>-5.0611867102251769E-3</v>
      </c>
      <c r="X35" s="22">
        <f t="shared" si="21"/>
        <v>-5.3116399354399399E-3</v>
      </c>
      <c r="AA35" s="29" t="s">
        <v>8</v>
      </c>
      <c r="AB35" s="33">
        <v>1.7642006296810033E-5</v>
      </c>
      <c r="AC35" s="33">
        <v>3.0828742231609298E-6</v>
      </c>
      <c r="AD35" s="33">
        <v>-1.2836722116230526E-6</v>
      </c>
      <c r="AE35" s="33">
        <v>3.4780628974151001E-6</v>
      </c>
      <c r="AF35" s="33">
        <v>5.2091319481090657E-6</v>
      </c>
      <c r="AG35" s="33">
        <v>3.0680792845225478E-5</v>
      </c>
      <c r="AH35" s="33">
        <v>3.3436115013355566E-5</v>
      </c>
      <c r="AI35" s="34">
        <v>4.99917731683967E-5</v>
      </c>
    </row>
    <row r="36" spans="1:37" ht="15" thickBot="1" x14ac:dyDescent="0.4">
      <c r="A36" s="3">
        <v>12.93</v>
      </c>
      <c r="B36" s="3">
        <v>38.36</v>
      </c>
      <c r="C36" s="3">
        <v>106.03</v>
      </c>
      <c r="D36" s="3">
        <v>13.7</v>
      </c>
      <c r="E36" s="3">
        <v>24.75</v>
      </c>
      <c r="F36" s="3">
        <v>121.275597</v>
      </c>
      <c r="G36" s="3">
        <v>115.70126399999999</v>
      </c>
      <c r="H36" s="3">
        <v>115.62714200000001</v>
      </c>
      <c r="I36" s="17">
        <f t="shared" si="4"/>
        <v>4.190169218372277E-2</v>
      </c>
      <c r="J36" s="17">
        <f t="shared" si="5"/>
        <v>7.8267675450042107E-4</v>
      </c>
      <c r="K36" s="17">
        <f t="shared" si="6"/>
        <v>-2.6354453627180939E-2</v>
      </c>
      <c r="L36" s="17">
        <f t="shared" si="7"/>
        <v>-5.0835148874364766E-3</v>
      </c>
      <c r="M36" s="17">
        <f t="shared" si="8"/>
        <v>9.380097879282236E-3</v>
      </c>
      <c r="N36" s="17">
        <f t="shared" si="9"/>
        <v>-8.3653405641779394E-3</v>
      </c>
      <c r="O36" s="17">
        <f t="shared" si="10"/>
        <v>-1.0625120239373774E-2</v>
      </c>
      <c r="P36" s="17">
        <f t="shared" si="11"/>
        <v>-1.1992425264624962E-2</v>
      </c>
      <c r="Q36" s="22">
        <f t="shared" si="14"/>
        <v>4.1507218313338035E-2</v>
      </c>
      <c r="R36" s="22">
        <f t="shared" si="15"/>
        <v>3.5195204042325756E-4</v>
      </c>
      <c r="S36" s="22">
        <f t="shared" si="16"/>
        <v>-2.6766413014018386E-2</v>
      </c>
      <c r="T36" s="22">
        <f t="shared" si="17"/>
        <v>-5.2149663966693949E-3</v>
      </c>
      <c r="U36" s="22">
        <f t="shared" si="18"/>
        <v>8.6868699323284729E-3</v>
      </c>
      <c r="V36" s="22">
        <f t="shared" si="19"/>
        <v>-8.1307367546747597E-3</v>
      </c>
      <c r="W36" s="22">
        <f t="shared" si="20"/>
        <v>-1.0370871685283072E-2</v>
      </c>
      <c r="X36" s="22">
        <f t="shared" si="21"/>
        <v>-1.1676480880018623E-2</v>
      </c>
    </row>
    <row r="37" spans="1:37" x14ac:dyDescent="0.35">
      <c r="A37" s="3">
        <v>13.09</v>
      </c>
      <c r="B37" s="3">
        <v>37.1</v>
      </c>
      <c r="C37" s="3">
        <v>106.35</v>
      </c>
      <c r="D37" s="3">
        <v>13.63</v>
      </c>
      <c r="E37" s="3">
        <v>24.83</v>
      </c>
      <c r="F37" s="3">
        <v>119.972285</v>
      </c>
      <c r="G37" s="3">
        <v>114.724099</v>
      </c>
      <c r="H37" s="3">
        <v>113.261967</v>
      </c>
      <c r="I37" s="17">
        <f t="shared" si="4"/>
        <v>1.237432327919568E-2</v>
      </c>
      <c r="J37" s="17">
        <f t="shared" si="5"/>
        <v>-3.2846715328467099E-2</v>
      </c>
      <c r="K37" s="17">
        <f t="shared" si="6"/>
        <v>3.0180137696877597E-3</v>
      </c>
      <c r="L37" s="17">
        <f t="shared" si="7"/>
        <v>-5.1094890510947821E-3</v>
      </c>
      <c r="M37" s="17">
        <f t="shared" si="8"/>
        <v>3.2323232323231634E-3</v>
      </c>
      <c r="N37" s="17">
        <f t="shared" si="9"/>
        <v>-1.0746696221169749E-2</v>
      </c>
      <c r="O37" s="17">
        <f t="shared" si="10"/>
        <v>-8.4455862124375707E-3</v>
      </c>
      <c r="P37" s="17">
        <f t="shared" si="11"/>
        <v>-2.0455188626905676E-2</v>
      </c>
      <c r="Q37" s="22">
        <f t="shared" si="14"/>
        <v>1.1979849408810946E-2</v>
      </c>
      <c r="R37" s="22">
        <f t="shared" si="15"/>
        <v>-3.3277440042544265E-2</v>
      </c>
      <c r="S37" s="22">
        <f t="shared" si="16"/>
        <v>2.6060543828503127E-3</v>
      </c>
      <c r="T37" s="22">
        <f t="shared" si="17"/>
        <v>-5.2409405603277004E-3</v>
      </c>
      <c r="U37" s="22">
        <f t="shared" si="18"/>
        <v>2.5390952853694007E-3</v>
      </c>
      <c r="V37" s="22">
        <f t="shared" si="19"/>
        <v>-1.051209241166657E-2</v>
      </c>
      <c r="W37" s="22">
        <f t="shared" si="20"/>
        <v>-8.1913376583468683E-3</v>
      </c>
      <c r="X37" s="22">
        <f t="shared" si="21"/>
        <v>-2.0139244242299337E-2</v>
      </c>
      <c r="AA37" s="77" t="s">
        <v>78</v>
      </c>
      <c r="AB37" s="71">
        <v>4.2048488972467081E-2</v>
      </c>
      <c r="AC37" s="72">
        <v>6.9484521272223043E-2</v>
      </c>
      <c r="AD37" s="72">
        <v>0.10962236363878859</v>
      </c>
      <c r="AE37" s="72">
        <v>7.5265105437011259E-2</v>
      </c>
      <c r="AF37" s="73">
        <v>0.15895489829185591</v>
      </c>
      <c r="AG37" s="39">
        <v>0.23233746317255852</v>
      </c>
      <c r="AH37" s="40">
        <v>0.2019055590027487</v>
      </c>
      <c r="AI37" s="41">
        <v>0.11038160021234705</v>
      </c>
      <c r="AJ37" s="35">
        <f>SUM(AB37:AI37)</f>
        <v>1.0000000000000002</v>
      </c>
      <c r="AK37" t="s">
        <v>79</v>
      </c>
    </row>
    <row r="38" spans="1:37" ht="15" thickBot="1" x14ac:dyDescent="0.4">
      <c r="A38" s="3">
        <v>13.29</v>
      </c>
      <c r="B38" s="3">
        <v>38.03</v>
      </c>
      <c r="C38" s="3">
        <v>110.28</v>
      </c>
      <c r="D38" s="3">
        <v>13.52</v>
      </c>
      <c r="E38" s="3">
        <v>24.83</v>
      </c>
      <c r="F38" s="3">
        <v>119.482275</v>
      </c>
      <c r="G38" s="3">
        <v>113.921808</v>
      </c>
      <c r="H38" s="3">
        <v>113.281999</v>
      </c>
      <c r="I38" s="17">
        <f t="shared" si="4"/>
        <v>1.5278838808250518E-2</v>
      </c>
      <c r="J38" s="17">
        <f t="shared" si="5"/>
        <v>2.5067385444743927E-2</v>
      </c>
      <c r="K38" s="17">
        <f t="shared" si="6"/>
        <v>3.6953455571227145E-2</v>
      </c>
      <c r="L38" s="17">
        <f t="shared" si="7"/>
        <v>-8.0704328686721349E-3</v>
      </c>
      <c r="M38" s="17">
        <f t="shared" si="8"/>
        <v>0</v>
      </c>
      <c r="N38" s="17">
        <f t="shared" si="9"/>
        <v>-4.0843599836412059E-3</v>
      </c>
      <c r="O38" s="17">
        <f t="shared" si="10"/>
        <v>-6.9932211888628281E-3</v>
      </c>
      <c r="P38" s="17">
        <f t="shared" si="11"/>
        <v>1.7686431315465758E-4</v>
      </c>
      <c r="Q38" s="22">
        <f t="shared" si="14"/>
        <v>1.4884364937865784E-2</v>
      </c>
      <c r="R38" s="22">
        <f t="shared" si="15"/>
        <v>2.4636660730666764E-2</v>
      </c>
      <c r="S38" s="22">
        <f t="shared" si="16"/>
        <v>3.6541496184389698E-2</v>
      </c>
      <c r="T38" s="22">
        <f t="shared" si="17"/>
        <v>-8.2018843779050523E-3</v>
      </c>
      <c r="U38" s="22">
        <f t="shared" si="18"/>
        <v>-6.9322794695376251E-4</v>
      </c>
      <c r="V38" s="22">
        <f t="shared" si="19"/>
        <v>-3.8497561741380258E-3</v>
      </c>
      <c r="W38" s="22">
        <f t="shared" si="20"/>
        <v>-6.7389726347721248E-3</v>
      </c>
      <c r="X38" s="22">
        <f t="shared" si="21"/>
        <v>4.928086977609963E-4</v>
      </c>
      <c r="AA38" s="28"/>
      <c r="AB38" s="76" t="s">
        <v>148</v>
      </c>
      <c r="AC38" s="42"/>
      <c r="AD38" s="42"/>
      <c r="AE38" s="43" t="s">
        <v>144</v>
      </c>
      <c r="AF38" s="44">
        <f>SUM(AB37:AF37)</f>
        <v>0.45537537761234592</v>
      </c>
      <c r="AG38" s="45"/>
      <c r="AH38" s="74" t="s">
        <v>145</v>
      </c>
      <c r="AI38" s="75">
        <f>SUM(AG37:AI37)</f>
        <v>0.5446246223876543</v>
      </c>
      <c r="AK38" t="s">
        <v>80</v>
      </c>
    </row>
    <row r="39" spans="1:37" x14ac:dyDescent="0.35">
      <c r="A39" s="3">
        <v>14.01</v>
      </c>
      <c r="B39" s="3">
        <v>38.86</v>
      </c>
      <c r="C39" s="3">
        <v>109.13</v>
      </c>
      <c r="D39" s="3">
        <v>13.42</v>
      </c>
      <c r="E39" s="3">
        <v>24.67</v>
      </c>
      <c r="F39" s="3">
        <v>120.81524899999999</v>
      </c>
      <c r="G39" s="3">
        <v>114.432717</v>
      </c>
      <c r="H39" s="3">
        <v>114.089277</v>
      </c>
      <c r="I39" s="17">
        <f t="shared" si="4"/>
        <v>5.4176072234763034E-2</v>
      </c>
      <c r="J39" s="17">
        <f t="shared" si="5"/>
        <v>2.1824875098606318E-2</v>
      </c>
      <c r="K39" s="17">
        <f t="shared" si="6"/>
        <v>-1.0428001450852428E-2</v>
      </c>
      <c r="L39" s="17">
        <f t="shared" si="7"/>
        <v>-7.3964497041419854E-3</v>
      </c>
      <c r="M39" s="17">
        <f t="shared" si="8"/>
        <v>-6.4438179621424327E-3</v>
      </c>
      <c r="N39" s="17">
        <f t="shared" si="9"/>
        <v>1.1156248908049273E-2</v>
      </c>
      <c r="O39" s="17">
        <f t="shared" si="10"/>
        <v>4.4847339501493701E-3</v>
      </c>
      <c r="P39" s="17">
        <f t="shared" si="11"/>
        <v>7.1262690200231777E-3</v>
      </c>
      <c r="Q39" s="22">
        <f t="shared" si="14"/>
        <v>5.3781598364378298E-2</v>
      </c>
      <c r="R39" s="22">
        <f t="shared" si="15"/>
        <v>2.1394150384529156E-2</v>
      </c>
      <c r="S39" s="22">
        <f t="shared" si="16"/>
        <v>-1.0839960837689875E-2</v>
      </c>
      <c r="T39" s="22">
        <f t="shared" si="17"/>
        <v>-7.5279012133749037E-3</v>
      </c>
      <c r="U39" s="22">
        <f t="shared" si="18"/>
        <v>-7.1370459090961949E-3</v>
      </c>
      <c r="V39" s="22">
        <f t="shared" si="19"/>
        <v>1.1390852717552453E-2</v>
      </c>
      <c r="W39" s="22">
        <f t="shared" si="20"/>
        <v>4.7389825042400734E-3</v>
      </c>
      <c r="X39" s="22">
        <f t="shared" si="21"/>
        <v>7.4422134046295161E-3</v>
      </c>
    </row>
    <row r="40" spans="1:37" x14ac:dyDescent="0.35">
      <c r="A40" s="3">
        <v>13.66</v>
      </c>
      <c r="B40" s="3">
        <v>38.130000000000003</v>
      </c>
      <c r="C40" s="3">
        <v>104</v>
      </c>
      <c r="D40" s="3">
        <v>13.52</v>
      </c>
      <c r="E40" s="3">
        <v>24.32</v>
      </c>
      <c r="F40" s="3">
        <v>120.13974</v>
      </c>
      <c r="G40" s="3">
        <v>113.591048</v>
      </c>
      <c r="H40" s="3">
        <v>111.714378</v>
      </c>
      <c r="I40" s="17">
        <f t="shared" si="4"/>
        <v>-2.4982155603140589E-2</v>
      </c>
      <c r="J40" s="17">
        <f t="shared" si="5"/>
        <v>-1.878538342768906E-2</v>
      </c>
      <c r="K40" s="17">
        <f t="shared" si="6"/>
        <v>-4.7008155410977692E-2</v>
      </c>
      <c r="L40" s="17">
        <f t="shared" si="7"/>
        <v>7.4515648286139829E-3</v>
      </c>
      <c r="M40" s="17">
        <f t="shared" si="8"/>
        <v>-1.4187271990271642E-2</v>
      </c>
      <c r="N40" s="17">
        <f t="shared" si="9"/>
        <v>-5.5912561170154201E-3</v>
      </c>
      <c r="O40" s="17">
        <f t="shared" si="10"/>
        <v>-7.355143022602496E-3</v>
      </c>
      <c r="P40" s="17">
        <f t="shared" si="11"/>
        <v>-2.0816145587459541E-2</v>
      </c>
      <c r="Q40" s="22">
        <f t="shared" si="14"/>
        <v>-2.5376629473525321E-2</v>
      </c>
      <c r="R40" s="22">
        <f t="shared" si="15"/>
        <v>-1.9216108141766223E-2</v>
      </c>
      <c r="S40" s="22">
        <f t="shared" si="16"/>
        <v>-4.742011479781514E-2</v>
      </c>
      <c r="T40" s="22">
        <f t="shared" si="17"/>
        <v>7.3201133193810646E-3</v>
      </c>
      <c r="U40" s="22">
        <f t="shared" si="18"/>
        <v>-1.4880499937225405E-2</v>
      </c>
      <c r="V40" s="22">
        <f t="shared" si="19"/>
        <v>-5.3566523075122396E-3</v>
      </c>
      <c r="W40" s="22">
        <f t="shared" si="20"/>
        <v>-7.1008944685117927E-3</v>
      </c>
      <c r="X40" s="22">
        <f t="shared" si="21"/>
        <v>-2.0500201202853202E-2</v>
      </c>
      <c r="AB40" t="s">
        <v>150</v>
      </c>
      <c r="AK40" t="s">
        <v>142</v>
      </c>
    </row>
    <row r="41" spans="1:37" x14ac:dyDescent="0.35">
      <c r="A41" s="3">
        <v>13.94</v>
      </c>
      <c r="B41" s="3">
        <v>39.299999999999997</v>
      </c>
      <c r="C41" s="3">
        <v>105.06</v>
      </c>
      <c r="D41" s="3">
        <v>13.39</v>
      </c>
      <c r="E41" s="3">
        <v>25.44</v>
      </c>
      <c r="F41" s="3">
        <v>118.64111699999999</v>
      </c>
      <c r="G41" s="3">
        <v>112.96248799999999</v>
      </c>
      <c r="H41" s="3">
        <v>112.119348</v>
      </c>
      <c r="I41" s="17">
        <f t="shared" si="4"/>
        <v>2.0497803806734945E-2</v>
      </c>
      <c r="J41" s="17">
        <f t="shared" si="5"/>
        <v>3.0684500393390886E-2</v>
      </c>
      <c r="K41" s="17">
        <f t="shared" si="6"/>
        <v>1.0192307692307714E-2</v>
      </c>
      <c r="L41" s="17">
        <f t="shared" si="7"/>
        <v>-9.6153846153845413E-3</v>
      </c>
      <c r="M41" s="17">
        <f t="shared" si="8"/>
        <v>4.6052631578947407E-2</v>
      </c>
      <c r="N41" s="17">
        <f t="shared" si="9"/>
        <v>-1.2473999028131816E-2</v>
      </c>
      <c r="O41" s="17">
        <f t="shared" si="10"/>
        <v>-5.5335346496671756E-3</v>
      </c>
      <c r="P41" s="17">
        <f t="shared" si="11"/>
        <v>3.6250481562901944E-3</v>
      </c>
      <c r="Q41" s="22">
        <f t="shared" si="14"/>
        <v>2.0103329936350212E-2</v>
      </c>
      <c r="R41" s="22">
        <f t="shared" si="15"/>
        <v>3.0253775679313723E-2</v>
      </c>
      <c r="S41" s="22">
        <f t="shared" si="16"/>
        <v>9.7803483054702666E-3</v>
      </c>
      <c r="T41" s="22">
        <f t="shared" si="17"/>
        <v>-9.7468361246174588E-3</v>
      </c>
      <c r="U41" s="22">
        <f t="shared" si="18"/>
        <v>4.5359403631993644E-2</v>
      </c>
      <c r="V41" s="22">
        <f t="shared" si="19"/>
        <v>-1.2239395218628636E-2</v>
      </c>
      <c r="W41" s="22">
        <f t="shared" si="20"/>
        <v>-5.2792860955764723E-3</v>
      </c>
      <c r="X41" s="22">
        <f t="shared" si="21"/>
        <v>3.9409925408965332E-3</v>
      </c>
      <c r="AK41" t="s">
        <v>81</v>
      </c>
    </row>
    <row r="42" spans="1:37" x14ac:dyDescent="0.35">
      <c r="A42" s="3">
        <v>14.07</v>
      </c>
      <c r="B42" s="3">
        <v>39.700000000000003</v>
      </c>
      <c r="C42" s="3">
        <v>105.34</v>
      </c>
      <c r="D42" s="3">
        <v>13.42</v>
      </c>
      <c r="E42" s="3">
        <v>27.17</v>
      </c>
      <c r="F42" s="3">
        <v>119.09139999999999</v>
      </c>
      <c r="G42" s="3">
        <v>113.305125</v>
      </c>
      <c r="H42" s="3">
        <v>112.33257500000001</v>
      </c>
      <c r="I42" s="17">
        <f t="shared" si="4"/>
        <v>9.3256814921090954E-3</v>
      </c>
      <c r="J42" s="17">
        <f t="shared" si="5"/>
        <v>1.0178117048346201E-2</v>
      </c>
      <c r="K42" s="17">
        <f t="shared" si="6"/>
        <v>2.6651437273938808E-3</v>
      </c>
      <c r="L42" s="17">
        <f t="shared" si="7"/>
        <v>2.2404779686332607E-3</v>
      </c>
      <c r="M42" s="17">
        <f t="shared" si="8"/>
        <v>6.8003144654088063E-2</v>
      </c>
      <c r="N42" s="17">
        <f t="shared" si="9"/>
        <v>3.795336822393529E-3</v>
      </c>
      <c r="O42" s="17">
        <f t="shared" si="10"/>
        <v>3.0331927533325093E-3</v>
      </c>
      <c r="P42" s="17">
        <f t="shared" si="11"/>
        <v>1.9017859433146489E-3</v>
      </c>
      <c r="Q42" s="22">
        <f t="shared" si="14"/>
        <v>8.9312076217243613E-3</v>
      </c>
      <c r="R42" s="22">
        <f t="shared" si="15"/>
        <v>9.7473923342690366E-3</v>
      </c>
      <c r="S42" s="22">
        <f t="shared" si="16"/>
        <v>2.2531843405564338E-3</v>
      </c>
      <c r="T42" s="22">
        <f t="shared" si="17"/>
        <v>2.1090264594003424E-3</v>
      </c>
      <c r="U42" s="22">
        <f t="shared" si="18"/>
        <v>6.7309916707134307E-2</v>
      </c>
      <c r="V42" s="22">
        <f t="shared" si="19"/>
        <v>4.0299406318967095E-3</v>
      </c>
      <c r="W42" s="22">
        <f t="shared" si="20"/>
        <v>3.2874413074232122E-3</v>
      </c>
      <c r="X42" s="22">
        <f t="shared" si="21"/>
        <v>2.2177303279209875E-3</v>
      </c>
      <c r="AK42" t="s">
        <v>82</v>
      </c>
    </row>
    <row r="43" spans="1:37" x14ac:dyDescent="0.35">
      <c r="A43" s="3">
        <v>14.37</v>
      </c>
      <c r="B43" s="3">
        <v>40.590000000000003</v>
      </c>
      <c r="C43" s="3">
        <v>107.8</v>
      </c>
      <c r="D43" s="3">
        <v>13.54</v>
      </c>
      <c r="E43" s="3">
        <v>27.45</v>
      </c>
      <c r="F43" s="3">
        <v>119.833123</v>
      </c>
      <c r="G43" s="3">
        <v>114.629279</v>
      </c>
      <c r="H43" s="3">
        <v>114.208924</v>
      </c>
      <c r="I43" s="17">
        <f t="shared" si="4"/>
        <v>2.1321961620469006E-2</v>
      </c>
      <c r="J43" s="17">
        <f t="shared" si="5"/>
        <v>2.2418136020151146E-2</v>
      </c>
      <c r="K43" s="17">
        <f t="shared" si="6"/>
        <v>2.3352952344788243E-2</v>
      </c>
      <c r="L43" s="17">
        <f t="shared" si="7"/>
        <v>8.9418777943367517E-3</v>
      </c>
      <c r="M43" s="17">
        <f t="shared" si="8"/>
        <v>1.0305483989694426E-2</v>
      </c>
      <c r="N43" s="17">
        <f t="shared" si="9"/>
        <v>6.2281827235216606E-3</v>
      </c>
      <c r="O43" s="17">
        <f t="shared" si="10"/>
        <v>1.1686620530183369E-2</v>
      </c>
      <c r="P43" s="17">
        <f t="shared" si="11"/>
        <v>1.6703516321957282E-2</v>
      </c>
      <c r="Q43" s="22">
        <f t="shared" si="14"/>
        <v>2.0927487750084274E-2</v>
      </c>
      <c r="R43" s="22">
        <f t="shared" si="15"/>
        <v>2.1987411306073984E-2</v>
      </c>
      <c r="S43" s="22">
        <f t="shared" si="16"/>
        <v>2.2940992957950795E-2</v>
      </c>
      <c r="T43" s="22">
        <f t="shared" si="17"/>
        <v>8.8104262851038343E-3</v>
      </c>
      <c r="U43" s="22">
        <f t="shared" si="18"/>
        <v>9.612256042740663E-3</v>
      </c>
      <c r="V43" s="22">
        <f t="shared" si="19"/>
        <v>6.4627865330248412E-3</v>
      </c>
      <c r="W43" s="22">
        <f t="shared" si="20"/>
        <v>1.1940869084274072E-2</v>
      </c>
      <c r="X43" s="22">
        <f t="shared" si="21"/>
        <v>1.701946070656362E-2</v>
      </c>
      <c r="AA43" t="s">
        <v>84</v>
      </c>
      <c r="AB43">
        <f t="array" ref="AB43:AI43">MMULT(AB37:AI37,AB28:AI35)</f>
        <v>7.0724018795959576E-5</v>
      </c>
      <c r="AC43">
        <v>5.121855227627534E-5</v>
      </c>
      <c r="AD43">
        <v>7.607141354170313E-5</v>
      </c>
      <c r="AE43">
        <v>3.4465353853066887E-5</v>
      </c>
      <c r="AF43">
        <v>7.9313796037163288E-5</v>
      </c>
      <c r="AG43">
        <v>1.5414731270490608E-5</v>
      </c>
      <c r="AH43">
        <v>1.6709642883813586E-5</v>
      </c>
      <c r="AI43">
        <v>2.1302513364692441E-5</v>
      </c>
      <c r="AK43" t="s">
        <v>143</v>
      </c>
    </row>
    <row r="44" spans="1:37" x14ac:dyDescent="0.35">
      <c r="A44" s="3">
        <v>15.18</v>
      </c>
      <c r="B44" s="3">
        <v>40.79</v>
      </c>
      <c r="C44" s="3">
        <v>112.82</v>
      </c>
      <c r="D44" s="3">
        <v>13.76</v>
      </c>
      <c r="E44" s="3">
        <v>26.57</v>
      </c>
      <c r="F44" s="3">
        <v>120.36109399999999</v>
      </c>
      <c r="G44" s="3">
        <v>114.895126</v>
      </c>
      <c r="H44" s="3">
        <v>114.228877</v>
      </c>
      <c r="I44" s="17">
        <f t="shared" si="4"/>
        <v>5.6367432150313188E-2</v>
      </c>
      <c r="J44" s="17">
        <f t="shared" si="5"/>
        <v>4.9273220004926264E-3</v>
      </c>
      <c r="K44" s="17">
        <f t="shared" si="6"/>
        <v>4.6567717996289386E-2</v>
      </c>
      <c r="L44" s="17">
        <f t="shared" si="7"/>
        <v>1.6248153618906989E-2</v>
      </c>
      <c r="M44" s="17">
        <f t="shared" si="8"/>
        <v>-3.2058287795992679E-2</v>
      </c>
      <c r="N44" s="17">
        <f t="shared" si="9"/>
        <v>4.4058853410671251E-3</v>
      </c>
      <c r="O44" s="17">
        <f t="shared" si="10"/>
        <v>2.3191893233491241E-3</v>
      </c>
      <c r="P44" s="17">
        <f t="shared" si="11"/>
        <v>1.7470613767450429E-4</v>
      </c>
      <c r="Q44" s="22">
        <f t="shared" si="14"/>
        <v>5.5972958279928452E-2</v>
      </c>
      <c r="R44" s="22">
        <f t="shared" si="15"/>
        <v>4.4965972864154631E-3</v>
      </c>
      <c r="S44" s="22">
        <f t="shared" si="16"/>
        <v>4.6155758609451938E-2</v>
      </c>
      <c r="T44" s="22">
        <f t="shared" si="17"/>
        <v>1.6116702109674072E-2</v>
      </c>
      <c r="U44" s="22">
        <f t="shared" si="18"/>
        <v>-3.2751515742946442E-2</v>
      </c>
      <c r="V44" s="22">
        <f t="shared" si="19"/>
        <v>4.6404891505703056E-3</v>
      </c>
      <c r="W44" s="22">
        <f t="shared" si="20"/>
        <v>2.573437877439827E-3</v>
      </c>
      <c r="X44" s="22">
        <f t="shared" si="21"/>
        <v>4.9065052228084306E-4</v>
      </c>
    </row>
    <row r="45" spans="1:37" x14ac:dyDescent="0.35">
      <c r="A45" s="3">
        <v>14.34</v>
      </c>
      <c r="B45" s="3">
        <v>40.619999999999997</v>
      </c>
      <c r="C45" s="3">
        <v>108.25</v>
      </c>
      <c r="D45" s="3">
        <v>13.83</v>
      </c>
      <c r="E45" s="3">
        <v>26.56</v>
      </c>
      <c r="F45" s="3">
        <v>119.909232</v>
      </c>
      <c r="G45" s="3">
        <v>114.541534</v>
      </c>
      <c r="H45" s="3">
        <v>113.89474300000001</v>
      </c>
      <c r="I45" s="17">
        <f t="shared" si="4"/>
        <v>-5.5335968379446633E-2</v>
      </c>
      <c r="J45" s="17">
        <f t="shared" si="5"/>
        <v>-4.1676881588625083E-3</v>
      </c>
      <c r="K45" s="17">
        <f t="shared" si="6"/>
        <v>-4.0507002304555874E-2</v>
      </c>
      <c r="L45" s="17">
        <f t="shared" si="7"/>
        <v>5.0872093023256017E-3</v>
      </c>
      <c r="M45" s="17">
        <f t="shared" si="8"/>
        <v>-3.7636432066246004E-4</v>
      </c>
      <c r="N45" s="17">
        <f t="shared" si="9"/>
        <v>-3.7542197813521978E-3</v>
      </c>
      <c r="O45" s="17">
        <f t="shared" si="10"/>
        <v>-3.0775195807697369E-3</v>
      </c>
      <c r="P45" s="17">
        <f t="shared" si="11"/>
        <v>-2.9251272425622438E-3</v>
      </c>
      <c r="Q45" s="22">
        <f t="shared" si="14"/>
        <v>-5.5730442249831369E-2</v>
      </c>
      <c r="R45" s="22">
        <f t="shared" si="15"/>
        <v>-4.5984128729396716E-3</v>
      </c>
      <c r="S45" s="22">
        <f t="shared" si="16"/>
        <v>-4.0918961691393321E-2</v>
      </c>
      <c r="T45" s="22">
        <f t="shared" si="17"/>
        <v>4.9557577930926834E-3</v>
      </c>
      <c r="U45" s="22">
        <f t="shared" si="18"/>
        <v>-1.0695922676162224E-3</v>
      </c>
      <c r="V45" s="22">
        <f t="shared" si="19"/>
        <v>-3.5196159718490177E-3</v>
      </c>
      <c r="W45" s="22">
        <f t="shared" si="20"/>
        <v>-2.823271026679034E-3</v>
      </c>
      <c r="X45" s="22">
        <f t="shared" si="21"/>
        <v>-2.6091828579559049E-3</v>
      </c>
    </row>
    <row r="46" spans="1:37" x14ac:dyDescent="0.35">
      <c r="A46" s="3">
        <v>14.63</v>
      </c>
      <c r="B46" s="3">
        <v>41.48</v>
      </c>
      <c r="C46" s="3">
        <v>105.64</v>
      </c>
      <c r="D46" s="3">
        <v>14.05</v>
      </c>
      <c r="E46" s="3">
        <v>26.98</v>
      </c>
      <c r="F46" s="3">
        <v>119.13496000000001</v>
      </c>
      <c r="G46" s="3">
        <v>113.340356</v>
      </c>
      <c r="H46" s="3">
        <v>112.550422</v>
      </c>
      <c r="I46" s="17">
        <f t="shared" si="4"/>
        <v>2.0223152022315265E-2</v>
      </c>
      <c r="J46" s="17">
        <f t="shared" si="5"/>
        <v>2.1171836533727215E-2</v>
      </c>
      <c r="K46" s="17">
        <f t="shared" si="6"/>
        <v>-2.4110854503464198E-2</v>
      </c>
      <c r="L46" s="17">
        <f t="shared" si="7"/>
        <v>1.5907447577729619E-2</v>
      </c>
      <c r="M46" s="17">
        <f t="shared" si="8"/>
        <v>1.5813253012048258E-2</v>
      </c>
      <c r="N46" s="17">
        <f t="shared" si="9"/>
        <v>-6.4571508555737915E-3</v>
      </c>
      <c r="O46" s="17">
        <f t="shared" si="10"/>
        <v>-1.0486833535859566E-2</v>
      </c>
      <c r="P46" s="17">
        <f t="shared" si="11"/>
        <v>-1.1803187439476533E-2</v>
      </c>
      <c r="Q46" s="22">
        <f t="shared" si="14"/>
        <v>1.9828678151930533E-2</v>
      </c>
      <c r="R46" s="22">
        <f t="shared" si="15"/>
        <v>2.0741111819650052E-2</v>
      </c>
      <c r="S46" s="22">
        <f t="shared" si="16"/>
        <v>-2.4522813890301646E-2</v>
      </c>
      <c r="T46" s="22">
        <f t="shared" si="17"/>
        <v>1.5775996068496702E-2</v>
      </c>
      <c r="U46" s="22">
        <f t="shared" si="18"/>
        <v>1.5120025065094495E-2</v>
      </c>
      <c r="V46" s="22">
        <f t="shared" si="19"/>
        <v>-6.222547046070611E-3</v>
      </c>
      <c r="W46" s="22">
        <f t="shared" si="20"/>
        <v>-1.0232584981768864E-2</v>
      </c>
      <c r="X46" s="22">
        <f t="shared" si="21"/>
        <v>-1.1487243054870195E-2</v>
      </c>
      <c r="AA46" s="68" t="s">
        <v>149</v>
      </c>
      <c r="AB46" s="69">
        <f t="array" ref="AB46">MMULT(AB43:AI43,TRANSPOSE(AB37:AI37))</f>
        <v>3.9379812601097153E-5</v>
      </c>
      <c r="AK46" t="s">
        <v>83</v>
      </c>
    </row>
    <row r="47" spans="1:37" ht="15" thickBot="1" x14ac:dyDescent="0.4">
      <c r="A47" s="3">
        <v>14.91</v>
      </c>
      <c r="B47" s="3">
        <v>41.81</v>
      </c>
      <c r="C47" s="3">
        <v>112.22</v>
      </c>
      <c r="D47" s="3">
        <v>13.93</v>
      </c>
      <c r="E47" s="3">
        <v>26.89</v>
      </c>
      <c r="F47" s="3">
        <v>118.867502</v>
      </c>
      <c r="G47" s="3">
        <v>113.11775799999999</v>
      </c>
      <c r="H47" s="3">
        <v>112.76413700000001</v>
      </c>
      <c r="I47" s="17">
        <f t="shared" si="4"/>
        <v>1.9138755980861198E-2</v>
      </c>
      <c r="J47" s="17">
        <f t="shared" si="5"/>
        <v>7.9556412729027345E-3</v>
      </c>
      <c r="K47" s="17">
        <f t="shared" si="6"/>
        <v>6.2287012495266927E-2</v>
      </c>
      <c r="L47" s="17">
        <f t="shared" si="7"/>
        <v>-8.5409252669039846E-3</v>
      </c>
      <c r="M47" s="17">
        <f t="shared" si="8"/>
        <v>-3.3358042994810918E-3</v>
      </c>
      <c r="N47" s="17">
        <f t="shared" si="9"/>
        <v>-2.2450001242288985E-3</v>
      </c>
      <c r="O47" s="17">
        <f t="shared" si="10"/>
        <v>-1.96397830266216E-3</v>
      </c>
      <c r="P47" s="17">
        <f t="shared" si="11"/>
        <v>1.898837838209151E-3</v>
      </c>
      <c r="Q47" s="22">
        <f t="shared" si="14"/>
        <v>1.8744282110476466E-2</v>
      </c>
      <c r="R47" s="22">
        <f t="shared" si="15"/>
        <v>7.5249165588255713E-3</v>
      </c>
      <c r="S47" s="22">
        <f t="shared" si="16"/>
        <v>6.187505310842948E-2</v>
      </c>
      <c r="T47" s="22">
        <f t="shared" si="17"/>
        <v>-8.672376776136902E-3</v>
      </c>
      <c r="U47" s="22">
        <f t="shared" si="18"/>
        <v>-4.0290322464348544E-3</v>
      </c>
      <c r="V47" s="22">
        <f t="shared" si="19"/>
        <v>-2.0103963147257184E-3</v>
      </c>
      <c r="W47" s="22">
        <f t="shared" si="20"/>
        <v>-1.7097297485714571E-3</v>
      </c>
      <c r="X47" s="22">
        <f t="shared" si="21"/>
        <v>2.2147822228154898E-3</v>
      </c>
      <c r="AA47" s="66" t="s">
        <v>85</v>
      </c>
      <c r="AB47" s="67">
        <f>SQRT(AB46)</f>
        <v>6.2753336645231189E-3</v>
      </c>
      <c r="AC47" t="s">
        <v>146</v>
      </c>
    </row>
    <row r="48" spans="1:37" ht="45.5" customHeight="1" thickBot="1" x14ac:dyDescent="0.4">
      <c r="A48" s="3">
        <v>14.91</v>
      </c>
      <c r="B48" s="3">
        <v>42.37</v>
      </c>
      <c r="C48" s="3">
        <v>113.68</v>
      </c>
      <c r="D48" s="3">
        <v>13.85</v>
      </c>
      <c r="E48" s="3">
        <v>27.18</v>
      </c>
      <c r="F48" s="3">
        <v>119.030061</v>
      </c>
      <c r="G48" s="3">
        <v>113.29838599999999</v>
      </c>
      <c r="H48" s="3">
        <v>112.881235</v>
      </c>
      <c r="I48" s="17">
        <f t="shared" si="4"/>
        <v>0</v>
      </c>
      <c r="J48" s="17">
        <f t="shared" si="5"/>
        <v>1.3393924898349561E-2</v>
      </c>
      <c r="K48" s="17">
        <f t="shared" si="6"/>
        <v>1.3010158617002388E-2</v>
      </c>
      <c r="L48" s="17">
        <f t="shared" si="7"/>
        <v>-5.7430007178750951E-3</v>
      </c>
      <c r="M48" s="17">
        <f t="shared" si="8"/>
        <v>1.0784678319077692E-2</v>
      </c>
      <c r="N48" s="17">
        <f t="shared" si="9"/>
        <v>1.3675647024196881E-3</v>
      </c>
      <c r="O48" s="17">
        <f t="shared" si="10"/>
        <v>1.5968138265257934E-3</v>
      </c>
      <c r="P48" s="17">
        <f t="shared" si="11"/>
        <v>1.0384329904462319E-3</v>
      </c>
      <c r="Q48" s="22">
        <f t="shared" si="14"/>
        <v>-3.9447387038473331E-4</v>
      </c>
      <c r="R48" s="22">
        <f t="shared" si="15"/>
        <v>1.2963200184272397E-2</v>
      </c>
      <c r="S48" s="22">
        <f t="shared" si="16"/>
        <v>1.259819923016494E-2</v>
      </c>
      <c r="T48" s="22">
        <f t="shared" si="17"/>
        <v>-5.8744522271080134E-3</v>
      </c>
      <c r="U48" s="22">
        <f t="shared" si="18"/>
        <v>1.0091450372123929E-2</v>
      </c>
      <c r="V48" s="22">
        <f t="shared" si="19"/>
        <v>1.6021685119228684E-3</v>
      </c>
      <c r="W48" s="22">
        <f t="shared" si="20"/>
        <v>1.8510623806164963E-3</v>
      </c>
      <c r="X48" s="22">
        <f t="shared" si="21"/>
        <v>1.3543773750525707E-3</v>
      </c>
      <c r="AA48" s="70" t="s">
        <v>147</v>
      </c>
      <c r="AB48" s="57">
        <f>AB47*AB6</f>
        <v>-1.229942797343707E-2</v>
      </c>
      <c r="AC48" s="46" t="s">
        <v>123</v>
      </c>
      <c r="AD48" s="47"/>
      <c r="AE48" s="47"/>
      <c r="AF48" s="79" t="s">
        <v>136</v>
      </c>
      <c r="AG48" s="78">
        <f>-1.23%</f>
        <v>-1.23E-2</v>
      </c>
      <c r="AH48" s="80" t="s">
        <v>86</v>
      </c>
    </row>
    <row r="49" spans="1:36" x14ac:dyDescent="0.35">
      <c r="A49" s="3">
        <v>14.61</v>
      </c>
      <c r="B49" s="3">
        <v>42.75</v>
      </c>
      <c r="C49" s="3">
        <v>119.45</v>
      </c>
      <c r="D49" s="3">
        <v>13.95</v>
      </c>
      <c r="E49" s="3">
        <v>27.74</v>
      </c>
      <c r="F49" s="3">
        <v>119.12104100000001</v>
      </c>
      <c r="G49" s="3">
        <v>113.15660800000001</v>
      </c>
      <c r="H49" s="3">
        <v>112.707729</v>
      </c>
      <c r="I49" s="17">
        <f t="shared" si="4"/>
        <v>-2.0120724346076507E-2</v>
      </c>
      <c r="J49" s="17">
        <f t="shared" si="5"/>
        <v>8.9686098654709126E-3</v>
      </c>
      <c r="K49" s="17">
        <f t="shared" si="6"/>
        <v>5.0756509500351828E-2</v>
      </c>
      <c r="L49" s="17">
        <f t="shared" si="7"/>
        <v>7.2202166064981692E-3</v>
      </c>
      <c r="M49" s="17">
        <f t="shared" si="8"/>
        <v>2.0603384841795393E-2</v>
      </c>
      <c r="N49" s="17">
        <f t="shared" si="9"/>
        <v>7.6434473137001785E-4</v>
      </c>
      <c r="O49" s="17">
        <f t="shared" si="10"/>
        <v>-1.2513682233742322E-3</v>
      </c>
      <c r="P49" s="17">
        <f t="shared" si="11"/>
        <v>-1.537066811857642E-3</v>
      </c>
      <c r="Q49" s="22">
        <f t="shared" si="14"/>
        <v>-2.051519821646124E-2</v>
      </c>
      <c r="R49" s="22">
        <f t="shared" si="15"/>
        <v>8.5378851513937485E-3</v>
      </c>
      <c r="S49" s="22">
        <f t="shared" si="16"/>
        <v>5.034455011351438E-2</v>
      </c>
      <c r="T49" s="22">
        <f t="shared" si="17"/>
        <v>7.0887650972652509E-3</v>
      </c>
      <c r="U49" s="22">
        <f t="shared" si="18"/>
        <v>1.991015689484163E-2</v>
      </c>
      <c r="V49" s="22">
        <f t="shared" si="19"/>
        <v>9.9894854087319816E-4</v>
      </c>
      <c r="W49" s="22">
        <f t="shared" si="20"/>
        <v>-9.9711966928352908E-4</v>
      </c>
      <c r="X49" s="22">
        <f t="shared" si="21"/>
        <v>-1.2211224272513032E-3</v>
      </c>
    </row>
    <row r="50" spans="1:36" x14ac:dyDescent="0.35">
      <c r="A50" s="3">
        <v>15.2</v>
      </c>
      <c r="B50" s="3">
        <v>43.21</v>
      </c>
      <c r="C50" s="3">
        <v>117.8</v>
      </c>
      <c r="D50" s="3">
        <v>14.01</v>
      </c>
      <c r="E50" s="3">
        <v>28.18</v>
      </c>
      <c r="F50" s="3">
        <v>118.98364599999999</v>
      </c>
      <c r="G50" s="3">
        <v>113.71836500000001</v>
      </c>
      <c r="H50" s="3">
        <v>113.273377</v>
      </c>
      <c r="I50" s="17">
        <f t="shared" si="4"/>
        <v>4.0383299110198487E-2</v>
      </c>
      <c r="J50" s="17">
        <f t="shared" si="5"/>
        <v>1.0760233918128675E-2</v>
      </c>
      <c r="K50" s="17">
        <f t="shared" si="6"/>
        <v>-1.3813311008790337E-2</v>
      </c>
      <c r="L50" s="17">
        <f t="shared" si="7"/>
        <v>4.3010752688172399E-3</v>
      </c>
      <c r="M50" s="17">
        <f t="shared" si="8"/>
        <v>1.5861571737563133E-2</v>
      </c>
      <c r="N50" s="17">
        <f t="shared" si="9"/>
        <v>-1.153406642912163E-3</v>
      </c>
      <c r="O50" s="17">
        <f t="shared" si="10"/>
        <v>4.9644206372817402E-3</v>
      </c>
      <c r="P50" s="17">
        <f t="shared" si="11"/>
        <v>5.0187152648599274E-3</v>
      </c>
      <c r="Q50" s="22">
        <f t="shared" si="14"/>
        <v>3.9988825239813751E-2</v>
      </c>
      <c r="R50" s="22">
        <f t="shared" si="15"/>
        <v>1.0329509204051511E-2</v>
      </c>
      <c r="S50" s="22">
        <f t="shared" si="16"/>
        <v>-1.4225270395627784E-2</v>
      </c>
      <c r="T50" s="22">
        <f t="shared" si="17"/>
        <v>4.1696237595843216E-3</v>
      </c>
      <c r="U50" s="22">
        <f t="shared" si="18"/>
        <v>1.516834379060937E-2</v>
      </c>
      <c r="V50" s="22">
        <f t="shared" si="19"/>
        <v>-9.188028334089827E-4</v>
      </c>
      <c r="W50" s="22">
        <f t="shared" si="20"/>
        <v>5.2186691913724435E-3</v>
      </c>
      <c r="X50" s="22">
        <f t="shared" si="21"/>
        <v>5.3346596494662658E-3</v>
      </c>
    </row>
    <row r="51" spans="1:36" x14ac:dyDescent="0.35">
      <c r="A51" s="3">
        <v>15.1</v>
      </c>
      <c r="B51" s="3">
        <v>43.03</v>
      </c>
      <c r="C51" s="3">
        <v>118.35</v>
      </c>
      <c r="D51" s="3">
        <v>14.17</v>
      </c>
      <c r="E51" s="3">
        <v>28.56</v>
      </c>
      <c r="F51" s="3">
        <v>119.145979</v>
      </c>
      <c r="G51" s="3">
        <v>113.737708</v>
      </c>
      <c r="H51" s="3">
        <v>113.293532</v>
      </c>
      <c r="I51" s="17">
        <f t="shared" si="4"/>
        <v>-6.5789473684210297E-3</v>
      </c>
      <c r="J51" s="17">
        <f t="shared" si="5"/>
        <v>-4.1657023837074689E-3</v>
      </c>
      <c r="K51" s="17">
        <f t="shared" si="6"/>
        <v>4.6689303904923363E-3</v>
      </c>
      <c r="L51" s="17">
        <f t="shared" si="7"/>
        <v>1.1420413990007148E-2</v>
      </c>
      <c r="M51" s="17">
        <f t="shared" si="8"/>
        <v>1.3484740951029063E-2</v>
      </c>
      <c r="N51" s="17">
        <f t="shared" si="9"/>
        <v>1.3643303551145495E-3</v>
      </c>
      <c r="O51" s="17">
        <f t="shared" si="10"/>
        <v>1.7009565693274008E-4</v>
      </c>
      <c r="P51" s="17">
        <f t="shared" si="11"/>
        <v>1.7793236622584837E-4</v>
      </c>
      <c r="Q51" s="22">
        <f t="shared" si="14"/>
        <v>-6.973421238805763E-3</v>
      </c>
      <c r="R51" s="22">
        <f t="shared" si="15"/>
        <v>-4.5964270977846321E-3</v>
      </c>
      <c r="S51" s="22">
        <f t="shared" si="16"/>
        <v>4.2569710036548898E-3</v>
      </c>
      <c r="T51" s="22">
        <f t="shared" si="17"/>
        <v>1.1288962480774231E-2</v>
      </c>
      <c r="U51" s="22">
        <f t="shared" si="18"/>
        <v>1.27915130040753E-2</v>
      </c>
      <c r="V51" s="22">
        <f t="shared" si="19"/>
        <v>1.5989341646177298E-3</v>
      </c>
      <c r="W51" s="22">
        <f t="shared" si="20"/>
        <v>4.2434421102344308E-4</v>
      </c>
      <c r="X51" s="22">
        <f t="shared" si="21"/>
        <v>4.9387675083218709E-4</v>
      </c>
    </row>
    <row r="52" spans="1:36" x14ac:dyDescent="0.35">
      <c r="A52" s="3">
        <v>14.68</v>
      </c>
      <c r="B52" s="3">
        <v>43.91</v>
      </c>
      <c r="C52" s="3">
        <v>119.9</v>
      </c>
      <c r="D52" s="3">
        <v>14.3</v>
      </c>
      <c r="E52" s="3">
        <v>29.05</v>
      </c>
      <c r="F52" s="3">
        <v>118.38195</v>
      </c>
      <c r="G52" s="3">
        <v>112.55255699999999</v>
      </c>
      <c r="H52" s="3">
        <v>111.868177</v>
      </c>
      <c r="I52" s="17">
        <f t="shared" si="4"/>
        <v>-2.7814569536423837E-2</v>
      </c>
      <c r="J52" s="17">
        <f t="shared" si="5"/>
        <v>2.0450848245410071E-2</v>
      </c>
      <c r="K52" s="17">
        <f t="shared" si="6"/>
        <v>1.3096746937051216E-2</v>
      </c>
      <c r="L52" s="17">
        <f t="shared" si="7"/>
        <v>9.1743119266055606E-3</v>
      </c>
      <c r="M52" s="17">
        <f t="shared" si="8"/>
        <v>1.715686274509811E-2</v>
      </c>
      <c r="N52" s="17">
        <f t="shared" si="9"/>
        <v>-6.4125454036513783E-3</v>
      </c>
      <c r="O52" s="17">
        <f t="shared" si="10"/>
        <v>-1.0420035895219594E-2</v>
      </c>
      <c r="P52" s="17">
        <f t="shared" si="11"/>
        <v>-1.258108009202146E-2</v>
      </c>
      <c r="Q52" s="22">
        <f t="shared" si="14"/>
        <v>-2.8209043406808569E-2</v>
      </c>
      <c r="R52" s="22">
        <f t="shared" si="15"/>
        <v>2.0020123531332909E-2</v>
      </c>
      <c r="S52" s="22">
        <f t="shared" si="16"/>
        <v>1.2684787550213768E-2</v>
      </c>
      <c r="T52" s="22">
        <f t="shared" si="17"/>
        <v>9.0428604173726432E-3</v>
      </c>
      <c r="U52" s="22">
        <f t="shared" si="18"/>
        <v>1.6463634798144347E-2</v>
      </c>
      <c r="V52" s="22">
        <f t="shared" si="19"/>
        <v>-6.1779415941481978E-3</v>
      </c>
      <c r="W52" s="22">
        <f t="shared" si="20"/>
        <v>-1.0165787341128892E-2</v>
      </c>
      <c r="X52" s="22">
        <f t="shared" si="21"/>
        <v>-1.2265135707415121E-2</v>
      </c>
      <c r="AJ52" s="9" t="s">
        <v>122</v>
      </c>
    </row>
    <row r="53" spans="1:36" x14ac:dyDescent="0.35">
      <c r="A53" s="3">
        <v>14.56</v>
      </c>
      <c r="B53" s="3">
        <v>43.62</v>
      </c>
      <c r="C53" s="3">
        <v>116.44</v>
      </c>
      <c r="D53" s="3">
        <v>14.18</v>
      </c>
      <c r="E53" s="3">
        <v>29.28</v>
      </c>
      <c r="F53" s="3">
        <v>118.401507</v>
      </c>
      <c r="G53" s="3">
        <v>110.99234</v>
      </c>
      <c r="H53" s="3">
        <v>110.28093699999999</v>
      </c>
      <c r="I53" s="17">
        <f t="shared" si="4"/>
        <v>-8.1743869209808737E-3</v>
      </c>
      <c r="J53" s="17">
        <f t="shared" si="5"/>
        <v>-6.6044181279890498E-3</v>
      </c>
      <c r="K53" s="17">
        <f t="shared" si="6"/>
        <v>-2.8857381150959198E-2</v>
      </c>
      <c r="L53" s="17">
        <f t="shared" si="7"/>
        <v>-8.391608391608461E-3</v>
      </c>
      <c r="M53" s="17">
        <f t="shared" si="8"/>
        <v>7.9173838209982937E-3</v>
      </c>
      <c r="N53" s="17">
        <f t="shared" si="9"/>
        <v>1.6520254988190201E-4</v>
      </c>
      <c r="O53" s="17">
        <f t="shared" si="10"/>
        <v>-1.3862119542961557E-2</v>
      </c>
      <c r="P53" s="17">
        <f t="shared" si="11"/>
        <v>-1.4188485434959831E-2</v>
      </c>
      <c r="Q53" s="22">
        <f t="shared" si="14"/>
        <v>-8.5688607913656078E-3</v>
      </c>
      <c r="R53" s="22">
        <f t="shared" si="15"/>
        <v>-7.0351428420662131E-3</v>
      </c>
      <c r="S53" s="22">
        <f t="shared" si="16"/>
        <v>-2.9269340537796645E-2</v>
      </c>
      <c r="T53" s="22">
        <f t="shared" si="17"/>
        <v>-8.5230599008413784E-3</v>
      </c>
      <c r="U53" s="22">
        <f t="shared" si="18"/>
        <v>7.2241558740445315E-3</v>
      </c>
      <c r="V53" s="22">
        <f t="shared" si="19"/>
        <v>3.998063593850823E-4</v>
      </c>
      <c r="W53" s="22">
        <f t="shared" si="20"/>
        <v>-1.3607870988870854E-2</v>
      </c>
      <c r="X53" s="22">
        <f t="shared" si="21"/>
        <v>-1.3872541050353493E-2</v>
      </c>
      <c r="AJ53" s="49" t="s">
        <v>100</v>
      </c>
    </row>
    <row r="54" spans="1:36" x14ac:dyDescent="0.35">
      <c r="A54" s="3">
        <v>14.18</v>
      </c>
      <c r="B54" s="3">
        <v>43.58</v>
      </c>
      <c r="C54" s="3">
        <v>116.42</v>
      </c>
      <c r="D54" s="3">
        <v>14.18</v>
      </c>
      <c r="E54" s="3">
        <v>30.03</v>
      </c>
      <c r="F54" s="3">
        <v>118.247946</v>
      </c>
      <c r="G54" s="3">
        <v>110.817802</v>
      </c>
      <c r="H54" s="3">
        <v>109.96917500000001</v>
      </c>
      <c r="I54" s="17">
        <f t="shared" si="4"/>
        <v>-2.6098901098901152E-2</v>
      </c>
      <c r="J54" s="17">
        <f t="shared" si="5"/>
        <v>-9.170105456212551E-4</v>
      </c>
      <c r="K54" s="17">
        <f t="shared" si="6"/>
        <v>-1.7176228100305755E-4</v>
      </c>
      <c r="L54" s="17">
        <f t="shared" si="7"/>
        <v>0</v>
      </c>
      <c r="M54" s="17">
        <f t="shared" si="8"/>
        <v>2.5614754098360656E-2</v>
      </c>
      <c r="N54" s="17">
        <f t="shared" si="9"/>
        <v>-1.2969513977554043E-3</v>
      </c>
      <c r="O54" s="17">
        <f t="shared" si="10"/>
        <v>-1.5725229326636263E-3</v>
      </c>
      <c r="P54" s="17">
        <f t="shared" si="11"/>
        <v>-2.8269799702553078E-3</v>
      </c>
      <c r="Q54" s="22">
        <f t="shared" si="14"/>
        <v>-2.6493374969285884E-2</v>
      </c>
      <c r="R54" s="22">
        <f t="shared" si="15"/>
        <v>-1.3477352596984187E-3</v>
      </c>
      <c r="S54" s="22">
        <f t="shared" si="16"/>
        <v>-5.8372166784050451E-4</v>
      </c>
      <c r="T54" s="22">
        <f t="shared" si="17"/>
        <v>-1.3145150923291827E-4</v>
      </c>
      <c r="U54" s="22">
        <f t="shared" si="18"/>
        <v>2.4921526151406893E-2</v>
      </c>
      <c r="V54" s="22">
        <f t="shared" si="19"/>
        <v>-1.062347588252224E-3</v>
      </c>
      <c r="W54" s="22">
        <f t="shared" si="20"/>
        <v>-1.3182743785729234E-3</v>
      </c>
      <c r="X54" s="22">
        <f t="shared" si="21"/>
        <v>-2.511035585648969E-3</v>
      </c>
      <c r="AJ54" s="49" t="s">
        <v>101</v>
      </c>
    </row>
    <row r="55" spans="1:36" x14ac:dyDescent="0.35">
      <c r="A55" s="3">
        <v>13.89</v>
      </c>
      <c r="B55" s="3">
        <v>42.92</v>
      </c>
      <c r="C55" s="3">
        <v>111.33</v>
      </c>
      <c r="D55" s="3">
        <v>14.33</v>
      </c>
      <c r="E55" s="3">
        <v>30.8</v>
      </c>
      <c r="F55" s="3">
        <v>117.985416</v>
      </c>
      <c r="G55" s="3">
        <v>110.216233</v>
      </c>
      <c r="H55" s="3">
        <v>109.248141</v>
      </c>
      <c r="I55" s="17">
        <f t="shared" si="4"/>
        <v>-2.0451339915373706E-2</v>
      </c>
      <c r="J55" s="17">
        <f t="shared" si="5"/>
        <v>-1.5144561725562106E-2</v>
      </c>
      <c r="K55" s="17">
        <f t="shared" si="6"/>
        <v>-4.3721010135715541E-2</v>
      </c>
      <c r="L55" s="17">
        <f t="shared" si="7"/>
        <v>1.0578279266572663E-2</v>
      </c>
      <c r="M55" s="17">
        <f t="shared" si="8"/>
        <v>2.5641025641025626E-2</v>
      </c>
      <c r="N55" s="17">
        <f t="shared" si="9"/>
        <v>-2.2201654141205816E-3</v>
      </c>
      <c r="O55" s="17">
        <f t="shared" si="10"/>
        <v>-5.4284509270450775E-3</v>
      </c>
      <c r="P55" s="17">
        <f t="shared" si="11"/>
        <v>-6.5566919093464418E-3</v>
      </c>
      <c r="Q55" s="22">
        <f t="shared" si="14"/>
        <v>-2.0845813785758439E-2</v>
      </c>
      <c r="R55" s="22">
        <f t="shared" si="15"/>
        <v>-1.557528643963927E-2</v>
      </c>
      <c r="S55" s="22">
        <f t="shared" si="16"/>
        <v>-4.4132969522552988E-2</v>
      </c>
      <c r="T55" s="22">
        <f t="shared" si="17"/>
        <v>1.0446827757339745E-2</v>
      </c>
      <c r="U55" s="22">
        <f t="shared" si="18"/>
        <v>2.4947797694071863E-2</v>
      </c>
      <c r="V55" s="22">
        <f t="shared" si="19"/>
        <v>-1.9855616046174016E-3</v>
      </c>
      <c r="W55" s="22">
        <f t="shared" si="20"/>
        <v>-5.1742023729543741E-3</v>
      </c>
      <c r="X55" s="22">
        <f t="shared" si="21"/>
        <v>-6.2407475247401034E-3</v>
      </c>
      <c r="AJ55" s="49" t="s">
        <v>102</v>
      </c>
    </row>
    <row r="56" spans="1:36" x14ac:dyDescent="0.35">
      <c r="A56" s="3">
        <v>13.82</v>
      </c>
      <c r="B56" s="3">
        <v>42.13</v>
      </c>
      <c r="C56" s="3">
        <v>115.95</v>
      </c>
      <c r="D56" s="3">
        <v>14.26</v>
      </c>
      <c r="E56" s="3">
        <v>30.81</v>
      </c>
      <c r="F56" s="3">
        <v>116.261661</v>
      </c>
      <c r="G56" s="3">
        <v>110.00448900000001</v>
      </c>
      <c r="H56" s="3">
        <v>108.992563</v>
      </c>
      <c r="I56" s="17">
        <f t="shared" si="4"/>
        <v>-5.0395968322534401E-3</v>
      </c>
      <c r="J56" s="17">
        <f t="shared" si="5"/>
        <v>-1.8406337371854594E-2</v>
      </c>
      <c r="K56" s="17">
        <f t="shared" si="6"/>
        <v>4.1498248450552451E-2</v>
      </c>
      <c r="L56" s="17">
        <f t="shared" si="7"/>
        <v>-4.8848569434752466E-3</v>
      </c>
      <c r="M56" s="17">
        <f t="shared" si="8"/>
        <v>3.2467532467526006E-4</v>
      </c>
      <c r="N56" s="17">
        <f t="shared" si="9"/>
        <v>-1.4609898904793429E-2</v>
      </c>
      <c r="O56" s="17">
        <f t="shared" si="10"/>
        <v>-1.921168908031868E-3</v>
      </c>
      <c r="P56" s="17">
        <f t="shared" si="11"/>
        <v>-2.3394265354135394E-3</v>
      </c>
      <c r="Q56" s="22">
        <f t="shared" si="14"/>
        <v>-5.4340707026381734E-3</v>
      </c>
      <c r="R56" s="22">
        <f t="shared" si="15"/>
        <v>-1.8837062085931756E-2</v>
      </c>
      <c r="S56" s="22">
        <f t="shared" si="16"/>
        <v>4.1086289063715004E-2</v>
      </c>
      <c r="T56" s="22">
        <f t="shared" si="17"/>
        <v>-5.0163084527081649E-3</v>
      </c>
      <c r="U56" s="22">
        <f t="shared" si="18"/>
        <v>-3.6855262227850245E-4</v>
      </c>
      <c r="V56" s="22">
        <f t="shared" si="19"/>
        <v>-1.4375295095290249E-2</v>
      </c>
      <c r="W56" s="22">
        <f t="shared" si="20"/>
        <v>-1.6669203539411651E-3</v>
      </c>
      <c r="X56" s="22">
        <f t="shared" si="21"/>
        <v>-2.0234821508072006E-3</v>
      </c>
      <c r="AI56" t="s">
        <v>104</v>
      </c>
      <c r="AJ56" s="49" t="s">
        <v>103</v>
      </c>
    </row>
    <row r="57" spans="1:36" x14ac:dyDescent="0.35">
      <c r="A57" s="3">
        <v>13.26</v>
      </c>
      <c r="B57" s="3">
        <v>42.53</v>
      </c>
      <c r="C57" s="3">
        <v>112.36</v>
      </c>
      <c r="D57" s="3">
        <v>14.07</v>
      </c>
      <c r="E57" s="3">
        <v>30.69</v>
      </c>
      <c r="F57" s="3">
        <v>116.28186700000001</v>
      </c>
      <c r="G57" s="3">
        <v>110.411349</v>
      </c>
      <c r="H57" s="3">
        <v>109.105317</v>
      </c>
      <c r="I57" s="17">
        <f t="shared" si="4"/>
        <v>-4.0520984081042002E-2</v>
      </c>
      <c r="J57" s="17">
        <f t="shared" si="5"/>
        <v>9.4944220270590692E-3</v>
      </c>
      <c r="K57" s="17">
        <f t="shared" si="6"/>
        <v>-3.0961621388529568E-2</v>
      </c>
      <c r="L57" s="17">
        <f t="shared" si="7"/>
        <v>-1.3323983169705435E-2</v>
      </c>
      <c r="M57" s="17">
        <f t="shared" si="8"/>
        <v>-3.8948393378772299E-3</v>
      </c>
      <c r="N57" s="17">
        <f t="shared" si="9"/>
        <v>1.7379762018023914E-4</v>
      </c>
      <c r="O57" s="17">
        <f t="shared" si="10"/>
        <v>3.6985763371892456E-3</v>
      </c>
      <c r="P57" s="17">
        <f t="shared" si="11"/>
        <v>1.0345109509902557E-3</v>
      </c>
      <c r="Q57" s="22">
        <f t="shared" si="14"/>
        <v>-4.0915457951426738E-2</v>
      </c>
      <c r="R57" s="22">
        <f t="shared" si="15"/>
        <v>9.063697312981905E-3</v>
      </c>
      <c r="S57" s="22">
        <f t="shared" si="16"/>
        <v>-3.1373580775367012E-2</v>
      </c>
      <c r="T57" s="22">
        <f t="shared" si="17"/>
        <v>-1.3455434678938352E-2</v>
      </c>
      <c r="U57" s="22">
        <f t="shared" si="18"/>
        <v>-4.5880672848309925E-3</v>
      </c>
      <c r="V57" s="22">
        <f t="shared" si="19"/>
        <v>4.0840142968341946E-4</v>
      </c>
      <c r="W57" s="22">
        <f t="shared" si="20"/>
        <v>3.9528248912799489E-3</v>
      </c>
      <c r="X57" s="22">
        <f t="shared" si="21"/>
        <v>1.3504553355965945E-3</v>
      </c>
    </row>
    <row r="58" spans="1:36" x14ac:dyDescent="0.35">
      <c r="A58" s="3">
        <v>13.44</v>
      </c>
      <c r="B58" s="3">
        <v>43.26</v>
      </c>
      <c r="C58" s="3">
        <v>112.41</v>
      </c>
      <c r="D58" s="3">
        <v>14.06</v>
      </c>
      <c r="E58" s="3">
        <v>30.81</v>
      </c>
      <c r="F58" s="3">
        <v>115.614394</v>
      </c>
      <c r="G58" s="3">
        <v>109.353368</v>
      </c>
      <c r="H58" s="3">
        <v>108.029456</v>
      </c>
      <c r="I58" s="17">
        <f t="shared" si="4"/>
        <v>1.3574660633484142E-2</v>
      </c>
      <c r="J58" s="17">
        <f t="shared" si="5"/>
        <v>1.7164354573242342E-2</v>
      </c>
      <c r="K58" s="17">
        <f t="shared" si="6"/>
        <v>4.4499822000709468E-4</v>
      </c>
      <c r="L58" s="17">
        <f t="shared" si="7"/>
        <v>-7.1073205401562091E-4</v>
      </c>
      <c r="M58" s="17">
        <f t="shared" si="8"/>
        <v>3.9100684261973752E-3</v>
      </c>
      <c r="N58" s="17">
        <f t="shared" si="9"/>
        <v>-5.7401297142915765E-3</v>
      </c>
      <c r="O58" s="17">
        <f t="shared" si="10"/>
        <v>-9.5821761945866449E-3</v>
      </c>
      <c r="P58" s="17">
        <f t="shared" si="11"/>
        <v>-9.8607568318600219E-3</v>
      </c>
      <c r="Q58" s="22">
        <f t="shared" si="14"/>
        <v>1.3180186763099408E-2</v>
      </c>
      <c r="R58" s="22">
        <f t="shared" si="15"/>
        <v>1.673362985916518E-2</v>
      </c>
      <c r="S58" s="22">
        <f t="shared" si="16"/>
        <v>3.303883316964774E-5</v>
      </c>
      <c r="T58" s="22">
        <f t="shared" si="17"/>
        <v>-8.4218356324853921E-4</v>
      </c>
      <c r="U58" s="22">
        <f t="shared" si="18"/>
        <v>3.2168404792436126E-3</v>
      </c>
      <c r="V58" s="22">
        <f t="shared" si="19"/>
        <v>-5.5055259047883959E-3</v>
      </c>
      <c r="W58" s="22">
        <f t="shared" si="20"/>
        <v>-9.3279276404959425E-3</v>
      </c>
      <c r="X58" s="22">
        <f t="shared" si="21"/>
        <v>-9.5448124472536835E-3</v>
      </c>
    </row>
    <row r="59" spans="1:36" x14ac:dyDescent="0.35">
      <c r="A59" s="3">
        <v>13.57</v>
      </c>
      <c r="B59" s="3">
        <v>43.12</v>
      </c>
      <c r="C59" s="3">
        <v>117.63</v>
      </c>
      <c r="D59" s="3">
        <v>14.13</v>
      </c>
      <c r="E59" s="3">
        <v>31.22</v>
      </c>
      <c r="F59" s="3">
        <v>114.24970500000001</v>
      </c>
      <c r="G59" s="3">
        <v>108.728966</v>
      </c>
      <c r="H59" s="3">
        <v>105.856953</v>
      </c>
      <c r="I59" s="17">
        <f t="shared" si="4"/>
        <v>9.6726190476191069E-3</v>
      </c>
      <c r="J59" s="17">
        <f t="shared" si="5"/>
        <v>-3.2362459546925698E-3</v>
      </c>
      <c r="K59" s="17">
        <f t="shared" si="6"/>
        <v>4.6437149719775812E-2</v>
      </c>
      <c r="L59" s="17">
        <f t="shared" si="7"/>
        <v>4.9786628733997354E-3</v>
      </c>
      <c r="M59" s="17">
        <f t="shared" si="8"/>
        <v>1.330736773774749E-2</v>
      </c>
      <c r="N59" s="17">
        <f t="shared" si="9"/>
        <v>-1.1803798409391813E-2</v>
      </c>
      <c r="O59" s="17">
        <f t="shared" si="10"/>
        <v>-5.709947589360059E-3</v>
      </c>
      <c r="P59" s="17">
        <f t="shared" si="11"/>
        <v>-2.0110283624866093E-2</v>
      </c>
      <c r="Q59" s="22">
        <f t="shared" si="14"/>
        <v>9.2781451772343728E-3</v>
      </c>
      <c r="R59" s="22">
        <f t="shared" si="15"/>
        <v>-3.6669706687697335E-3</v>
      </c>
      <c r="S59" s="22">
        <f t="shared" si="16"/>
        <v>4.6025190332938365E-2</v>
      </c>
      <c r="T59" s="22">
        <f t="shared" si="17"/>
        <v>4.8472113641668171E-3</v>
      </c>
      <c r="U59" s="22">
        <f t="shared" si="18"/>
        <v>1.2614139790793727E-2</v>
      </c>
      <c r="V59" s="22">
        <f t="shared" si="19"/>
        <v>-1.1569194599888633E-2</v>
      </c>
      <c r="W59" s="22">
        <f t="shared" si="20"/>
        <v>-5.4556990352693556E-3</v>
      </c>
      <c r="X59" s="22">
        <f t="shared" si="21"/>
        <v>-1.9794339240259754E-2</v>
      </c>
    </row>
    <row r="60" spans="1:36" x14ac:dyDescent="0.35">
      <c r="A60" s="3">
        <v>13.83</v>
      </c>
      <c r="B60" s="3">
        <v>42.71</v>
      </c>
      <c r="C60" s="3">
        <v>115.12</v>
      </c>
      <c r="D60" s="3">
        <v>14.05</v>
      </c>
      <c r="E60" s="3">
        <v>31.45</v>
      </c>
      <c r="F60" s="3">
        <v>114.946472</v>
      </c>
      <c r="G60" s="3">
        <v>109.434601</v>
      </c>
      <c r="H60" s="3">
        <v>107.48076</v>
      </c>
      <c r="I60" s="17">
        <f t="shared" si="4"/>
        <v>1.9159911569638893E-2</v>
      </c>
      <c r="J60" s="17">
        <f t="shared" si="5"/>
        <v>-9.5083487940630009E-3</v>
      </c>
      <c r="K60" s="17">
        <f t="shared" si="6"/>
        <v>-2.1338094023633351E-2</v>
      </c>
      <c r="L60" s="17">
        <f t="shared" si="7"/>
        <v>-5.6617126680820994E-3</v>
      </c>
      <c r="M60" s="17">
        <f t="shared" si="8"/>
        <v>7.3670723894939281E-3</v>
      </c>
      <c r="N60" s="17">
        <f t="shared" si="9"/>
        <v>6.0986328148505426E-3</v>
      </c>
      <c r="O60" s="17">
        <f t="shared" si="10"/>
        <v>6.4898529431430523E-3</v>
      </c>
      <c r="P60" s="17">
        <f t="shared" si="11"/>
        <v>1.5339634799425969E-2</v>
      </c>
      <c r="Q60" s="22">
        <f t="shared" si="14"/>
        <v>1.8765437699254161E-2</v>
      </c>
      <c r="R60" s="22">
        <f t="shared" si="15"/>
        <v>-9.939073508140165E-3</v>
      </c>
      <c r="S60" s="22">
        <f t="shared" si="16"/>
        <v>-2.1750053410470798E-2</v>
      </c>
      <c r="T60" s="22">
        <f t="shared" si="17"/>
        <v>-5.7931641773150177E-3</v>
      </c>
      <c r="U60" s="22">
        <f t="shared" si="18"/>
        <v>6.6738444425401659E-3</v>
      </c>
      <c r="V60" s="22">
        <f t="shared" si="19"/>
        <v>6.3332366243537231E-3</v>
      </c>
      <c r="W60" s="22">
        <f t="shared" si="20"/>
        <v>6.7441014972337556E-3</v>
      </c>
      <c r="X60" s="22">
        <f t="shared" si="21"/>
        <v>1.565557918403231E-2</v>
      </c>
    </row>
    <row r="61" spans="1:36" x14ac:dyDescent="0.35">
      <c r="A61" s="3">
        <v>13.93</v>
      </c>
      <c r="B61" s="3">
        <v>44.22</v>
      </c>
      <c r="C61" s="3">
        <v>117.1</v>
      </c>
      <c r="D61" s="3">
        <v>14.27</v>
      </c>
      <c r="E61" s="3">
        <v>31.98</v>
      </c>
      <c r="F61" s="3">
        <v>115.78488400000001</v>
      </c>
      <c r="G61" s="3">
        <v>109.761214</v>
      </c>
      <c r="H61" s="3">
        <v>108.315617</v>
      </c>
      <c r="I61" s="17">
        <f t="shared" si="4"/>
        <v>7.2306579898770533E-3</v>
      </c>
      <c r="J61" s="17">
        <f t="shared" si="5"/>
        <v>3.535471786466865E-2</v>
      </c>
      <c r="K61" s="17">
        <f t="shared" si="6"/>
        <v>1.7199444058373783E-2</v>
      </c>
      <c r="L61" s="17">
        <f t="shared" si="7"/>
        <v>1.565836298932376E-2</v>
      </c>
      <c r="M61" s="17">
        <f t="shared" si="8"/>
        <v>1.6852146263911006E-2</v>
      </c>
      <c r="N61" s="17">
        <f t="shared" si="9"/>
        <v>7.2939341713767888E-3</v>
      </c>
      <c r="O61" s="17">
        <f t="shared" si="10"/>
        <v>2.984549648972492E-3</v>
      </c>
      <c r="P61" s="17">
        <f t="shared" si="11"/>
        <v>7.7675018300949819E-3</v>
      </c>
      <c r="Q61" s="22">
        <f t="shared" si="14"/>
        <v>6.83618411949232E-3</v>
      </c>
      <c r="R61" s="22">
        <f t="shared" si="15"/>
        <v>3.4923993150591484E-2</v>
      </c>
      <c r="S61" s="22">
        <f t="shared" si="16"/>
        <v>1.6787484671536335E-2</v>
      </c>
      <c r="T61" s="22">
        <f t="shared" si="17"/>
        <v>1.5526911480090843E-2</v>
      </c>
      <c r="U61" s="22">
        <f t="shared" si="18"/>
        <v>1.6158918316957243E-2</v>
      </c>
      <c r="V61" s="22">
        <f t="shared" si="19"/>
        <v>7.5285379808799693E-3</v>
      </c>
      <c r="W61" s="22">
        <f t="shared" si="20"/>
        <v>3.2387982030631949E-3</v>
      </c>
      <c r="X61" s="22">
        <f t="shared" si="21"/>
        <v>8.0834462147013203E-3</v>
      </c>
      <c r="AD61" t="s">
        <v>87</v>
      </c>
    </row>
    <row r="62" spans="1:36" x14ac:dyDescent="0.35">
      <c r="A62" s="3">
        <v>14.9</v>
      </c>
      <c r="B62" s="3">
        <v>42.89</v>
      </c>
      <c r="C62" s="3">
        <v>117.32</v>
      </c>
      <c r="D62" s="3">
        <v>14.28</v>
      </c>
      <c r="E62" s="3">
        <v>30.93</v>
      </c>
      <c r="F62" s="3">
        <v>115.13804399999999</v>
      </c>
      <c r="G62" s="3">
        <v>109.25169699999999</v>
      </c>
      <c r="H62" s="3">
        <v>107.78683700000001</v>
      </c>
      <c r="I62" s="17">
        <f t="shared" si="4"/>
        <v>6.9633883704235511E-2</v>
      </c>
      <c r="J62" s="17">
        <f t="shared" si="5"/>
        <v>-3.0076888285843473E-2</v>
      </c>
      <c r="K62" s="17">
        <f t="shared" si="6"/>
        <v>1.8787361229718094E-3</v>
      </c>
      <c r="L62" s="17">
        <f t="shared" si="7"/>
        <v>7.0077084793271111E-4</v>
      </c>
      <c r="M62" s="17">
        <f t="shared" si="8"/>
        <v>-3.2833020637898711E-2</v>
      </c>
      <c r="N62" s="17">
        <f t="shared" si="9"/>
        <v>-5.5865668958999136E-3</v>
      </c>
      <c r="O62" s="17">
        <f t="shared" si="10"/>
        <v>-4.6420496041525419E-3</v>
      </c>
      <c r="P62" s="17">
        <f t="shared" si="11"/>
        <v>-4.8818445081654071E-3</v>
      </c>
      <c r="Q62" s="22">
        <f t="shared" si="14"/>
        <v>6.9239409833850782E-2</v>
      </c>
      <c r="R62" s="22">
        <f t="shared" si="15"/>
        <v>-3.0507612999920636E-2</v>
      </c>
      <c r="S62" s="22">
        <f t="shared" si="16"/>
        <v>1.4667767361343624E-3</v>
      </c>
      <c r="T62" s="22">
        <f t="shared" si="17"/>
        <v>5.6931933869979281E-4</v>
      </c>
      <c r="U62" s="22">
        <f t="shared" si="18"/>
        <v>-3.3526248584852474E-2</v>
      </c>
      <c r="V62" s="22">
        <f t="shared" si="19"/>
        <v>-5.351963086396733E-3</v>
      </c>
      <c r="W62" s="22">
        <f t="shared" si="20"/>
        <v>-4.3878010500618386E-3</v>
      </c>
      <c r="X62" s="22">
        <f t="shared" si="21"/>
        <v>-4.5659001235590687E-3</v>
      </c>
      <c r="AD62" t="s">
        <v>88</v>
      </c>
    </row>
    <row r="63" spans="1:36" x14ac:dyDescent="0.35">
      <c r="A63" s="3">
        <v>14.42</v>
      </c>
      <c r="B63" s="3">
        <v>42.9</v>
      </c>
      <c r="C63" s="3">
        <v>115.13</v>
      </c>
      <c r="D63" s="3">
        <v>13.96</v>
      </c>
      <c r="E63" s="3">
        <v>30.28</v>
      </c>
      <c r="F63" s="3">
        <v>114.95557700000001</v>
      </c>
      <c r="G63" s="3">
        <v>109.120115</v>
      </c>
      <c r="H63" s="3">
        <v>107.627853</v>
      </c>
      <c r="I63" s="17">
        <f t="shared" si="4"/>
        <v>-3.2214765100671172E-2</v>
      </c>
      <c r="J63" s="17">
        <f t="shared" si="5"/>
        <v>2.3315458148747984E-4</v>
      </c>
      <c r="K63" s="17">
        <f t="shared" si="6"/>
        <v>-1.8666893965223301E-2</v>
      </c>
      <c r="L63" s="17">
        <f t="shared" si="7"/>
        <v>-2.240896358543407E-2</v>
      </c>
      <c r="M63" s="17">
        <f t="shared" si="8"/>
        <v>-2.1015195602974414E-2</v>
      </c>
      <c r="N63" s="17">
        <f t="shared" si="9"/>
        <v>-1.5847672381857417E-3</v>
      </c>
      <c r="O63" s="17">
        <f t="shared" si="10"/>
        <v>-1.2043931912562836E-3</v>
      </c>
      <c r="P63" s="17">
        <f t="shared" si="11"/>
        <v>-1.4749852989934548E-3</v>
      </c>
      <c r="Q63" s="22">
        <f t="shared" si="14"/>
        <v>-3.2609238971055908E-2</v>
      </c>
      <c r="R63" s="22">
        <f t="shared" si="15"/>
        <v>-1.9757013258968367E-4</v>
      </c>
      <c r="S63" s="22">
        <f t="shared" si="16"/>
        <v>-1.9078853352060748E-2</v>
      </c>
      <c r="T63" s="22">
        <f t="shared" si="17"/>
        <v>-2.2540415094666987E-2</v>
      </c>
      <c r="U63" s="22">
        <f t="shared" si="18"/>
        <v>-2.1708423549928177E-2</v>
      </c>
      <c r="V63" s="22">
        <f t="shared" si="19"/>
        <v>-1.3501634286825614E-3</v>
      </c>
      <c r="W63" s="22">
        <f t="shared" si="20"/>
        <v>-9.5014463716558059E-4</v>
      </c>
      <c r="X63" s="22">
        <f t="shared" si="21"/>
        <v>-1.159040914387116E-3</v>
      </c>
      <c r="AD63" t="s">
        <v>89</v>
      </c>
      <c r="AF63" s="48" t="s">
        <v>90</v>
      </c>
    </row>
    <row r="64" spans="1:36" x14ac:dyDescent="0.35">
      <c r="A64" s="3">
        <v>14.66</v>
      </c>
      <c r="B64" s="3">
        <v>43.05</v>
      </c>
      <c r="C64" s="3">
        <v>122.72</v>
      </c>
      <c r="D64" s="3">
        <v>14.28</v>
      </c>
      <c r="E64" s="3">
        <v>31.54</v>
      </c>
      <c r="F64" s="3">
        <v>115.31492299999999</v>
      </c>
      <c r="G64" s="3">
        <v>109.44473499999999</v>
      </c>
      <c r="H64" s="3">
        <v>107.828846</v>
      </c>
      <c r="I64" s="17">
        <f t="shared" si="4"/>
        <v>1.6643550624133162E-2</v>
      </c>
      <c r="J64" s="17">
        <f t="shared" si="5"/>
        <v>3.4965034965034635E-3</v>
      </c>
      <c r="K64" s="17">
        <f t="shared" si="6"/>
        <v>6.5925475549378998E-2</v>
      </c>
      <c r="L64" s="17">
        <f t="shared" si="7"/>
        <v>2.2922636103151754E-2</v>
      </c>
      <c r="M64" s="17">
        <f t="shared" si="8"/>
        <v>4.161162483487444E-2</v>
      </c>
      <c r="N64" s="17">
        <f t="shared" si="9"/>
        <v>3.1259553418620822E-3</v>
      </c>
      <c r="O64" s="17">
        <f t="shared" si="10"/>
        <v>2.9748868941349258E-3</v>
      </c>
      <c r="P64" s="17">
        <f t="shared" si="11"/>
        <v>1.8674812736438854E-3</v>
      </c>
      <c r="Q64" s="22">
        <f t="shared" si="14"/>
        <v>1.6249076753748429E-2</v>
      </c>
      <c r="R64" s="22">
        <f t="shared" si="15"/>
        <v>3.0657787824262999E-3</v>
      </c>
      <c r="S64" s="22">
        <f t="shared" si="16"/>
        <v>6.5513516162541557E-2</v>
      </c>
      <c r="T64" s="22">
        <f t="shared" si="17"/>
        <v>2.2791184593918837E-2</v>
      </c>
      <c r="U64" s="22">
        <f t="shared" si="18"/>
        <v>4.0918396887920677E-2</v>
      </c>
      <c r="V64" s="22">
        <f t="shared" si="19"/>
        <v>3.3605591513652623E-3</v>
      </c>
      <c r="W64" s="22">
        <f t="shared" si="20"/>
        <v>3.2291354482256287E-3</v>
      </c>
      <c r="X64" s="22">
        <f t="shared" si="21"/>
        <v>2.183425658250224E-3</v>
      </c>
      <c r="AF64" s="48" t="s">
        <v>154</v>
      </c>
    </row>
    <row r="65" spans="1:37" x14ac:dyDescent="0.35">
      <c r="A65" s="3">
        <v>14.17</v>
      </c>
      <c r="B65" s="3">
        <v>42.58</v>
      </c>
      <c r="C65" s="3">
        <v>120.08</v>
      </c>
      <c r="D65" s="3">
        <v>14.17</v>
      </c>
      <c r="E65" s="3">
        <v>31.13</v>
      </c>
      <c r="F65" s="3">
        <v>115.539281</v>
      </c>
      <c r="G65" s="3">
        <v>110.84761399999999</v>
      </c>
      <c r="H65" s="3">
        <v>109.304531</v>
      </c>
      <c r="I65" s="17">
        <f t="shared" si="4"/>
        <v>-3.3424283765347902E-2</v>
      </c>
      <c r="J65" s="17">
        <f t="shared" si="5"/>
        <v>-1.0917537746806014E-2</v>
      </c>
      <c r="K65" s="17">
        <f t="shared" si="6"/>
        <v>-2.1512385919165586E-2</v>
      </c>
      <c r="L65" s="17">
        <f t="shared" si="7"/>
        <v>-7.7030812324929577E-3</v>
      </c>
      <c r="M65" s="17">
        <f t="shared" si="8"/>
        <v>-1.2999365884591E-2</v>
      </c>
      <c r="N65" s="17">
        <f t="shared" si="9"/>
        <v>1.9456111504320165E-3</v>
      </c>
      <c r="O65" s="17">
        <f t="shared" si="10"/>
        <v>1.2818149726434979E-2</v>
      </c>
      <c r="P65" s="17">
        <f t="shared" si="11"/>
        <v>1.368543812478526E-2</v>
      </c>
      <c r="Q65" s="22">
        <f t="shared" si="14"/>
        <v>-3.3818757635732638E-2</v>
      </c>
      <c r="R65" s="22">
        <f t="shared" si="15"/>
        <v>-1.1348262460883178E-2</v>
      </c>
      <c r="S65" s="22">
        <f t="shared" si="16"/>
        <v>-2.1924345306003033E-2</v>
      </c>
      <c r="T65" s="22">
        <f t="shared" si="17"/>
        <v>-7.8345327417258751E-3</v>
      </c>
      <c r="U65" s="22">
        <f t="shared" si="18"/>
        <v>-1.3692593831544763E-2</v>
      </c>
      <c r="V65" s="22">
        <f t="shared" si="19"/>
        <v>2.1802149599351966E-3</v>
      </c>
      <c r="W65" s="22">
        <f t="shared" si="20"/>
        <v>1.3072398280525682E-2</v>
      </c>
      <c r="X65" s="22">
        <f t="shared" si="21"/>
        <v>1.4001382509391598E-2</v>
      </c>
      <c r="AF65" s="48" t="s">
        <v>91</v>
      </c>
    </row>
    <row r="66" spans="1:37" x14ac:dyDescent="0.35">
      <c r="A66" s="3">
        <v>14.44</v>
      </c>
      <c r="B66" s="3">
        <v>42.44</v>
      </c>
      <c r="C66" s="3">
        <v>118.51</v>
      </c>
      <c r="D66" s="3">
        <v>14.1</v>
      </c>
      <c r="E66" s="3">
        <v>30.36</v>
      </c>
      <c r="F66" s="3">
        <v>116.585376</v>
      </c>
      <c r="G66" s="3">
        <v>111.72376</v>
      </c>
      <c r="H66" s="3">
        <v>110.62043</v>
      </c>
      <c r="I66" s="17">
        <f t="shared" si="4"/>
        <v>1.9054340155257556E-2</v>
      </c>
      <c r="J66" s="17">
        <f t="shared" si="5"/>
        <v>-3.2879286049788767E-3</v>
      </c>
      <c r="K66" s="17">
        <f t="shared" si="6"/>
        <v>-1.3074616922051909E-2</v>
      </c>
      <c r="L66" s="17">
        <f t="shared" si="7"/>
        <v>-4.9400141143260612E-3</v>
      </c>
      <c r="M66" s="17">
        <f t="shared" si="8"/>
        <v>-2.4734982332155465E-2</v>
      </c>
      <c r="N66" s="17">
        <f t="shared" si="9"/>
        <v>9.0540203378969789E-3</v>
      </c>
      <c r="O66" s="17">
        <f t="shared" si="10"/>
        <v>7.904058268678708E-3</v>
      </c>
      <c r="P66" s="17">
        <f t="shared" si="11"/>
        <v>1.2038833047094834E-2</v>
      </c>
      <c r="Q66" s="22">
        <f t="shared" si="14"/>
        <v>1.8659866284872824E-2</v>
      </c>
      <c r="R66" s="22">
        <f t="shared" si="15"/>
        <v>-3.7186533190560404E-3</v>
      </c>
      <c r="S66" s="22">
        <f t="shared" si="16"/>
        <v>-1.3486576308889357E-2</v>
      </c>
      <c r="T66" s="22">
        <f t="shared" si="17"/>
        <v>-5.0714656235589795E-3</v>
      </c>
      <c r="U66" s="22">
        <f t="shared" si="18"/>
        <v>-2.5428210279109228E-2</v>
      </c>
      <c r="V66" s="22">
        <f t="shared" si="19"/>
        <v>9.2886241474001586E-3</v>
      </c>
      <c r="W66" s="22">
        <f t="shared" si="20"/>
        <v>8.1583068227694105E-3</v>
      </c>
      <c r="X66" s="22">
        <f t="shared" si="21"/>
        <v>1.2354777431701172E-2</v>
      </c>
      <c r="AD66" t="s">
        <v>92</v>
      </c>
      <c r="AE66" s="17">
        <f>datos!J1009/100</f>
        <v>9.9739999999999995E-2</v>
      </c>
      <c r="AF66" s="48" t="s">
        <v>93</v>
      </c>
    </row>
    <row r="67" spans="1:37" x14ac:dyDescent="0.35">
      <c r="A67" s="3">
        <v>14.38</v>
      </c>
      <c r="B67" s="3">
        <v>42.14</v>
      </c>
      <c r="C67" s="3">
        <v>118.89</v>
      </c>
      <c r="D67" s="3">
        <v>14.41</v>
      </c>
      <c r="E67" s="3">
        <v>30.59</v>
      </c>
      <c r="F67" s="3">
        <v>117.613203</v>
      </c>
      <c r="G67" s="3">
        <v>112.568879</v>
      </c>
      <c r="H67" s="3">
        <v>111.808989</v>
      </c>
      <c r="I67" s="17">
        <f t="shared" si="4"/>
        <v>-4.1551246537395239E-3</v>
      </c>
      <c r="J67" s="17">
        <f t="shared" si="5"/>
        <v>-7.0688030160225533E-3</v>
      </c>
      <c r="K67" s="17">
        <f t="shared" si="6"/>
        <v>3.2064804657834399E-3</v>
      </c>
      <c r="L67" s="17">
        <f t="shared" si="7"/>
        <v>2.1985815602836915E-2</v>
      </c>
      <c r="M67" s="17">
        <f t="shared" si="8"/>
        <v>7.5757575757575898E-3</v>
      </c>
      <c r="N67" s="17">
        <f t="shared" si="9"/>
        <v>8.8160885632860338E-3</v>
      </c>
      <c r="O67" s="17">
        <f t="shared" si="10"/>
        <v>7.5643623164848451E-3</v>
      </c>
      <c r="P67" s="17">
        <f t="shared" si="11"/>
        <v>1.0744480020553147E-2</v>
      </c>
      <c r="Q67" s="22">
        <f t="shared" si="14"/>
        <v>-4.5495985241242572E-3</v>
      </c>
      <c r="R67" s="22">
        <f t="shared" si="15"/>
        <v>-7.4995277300997166E-3</v>
      </c>
      <c r="S67" s="22">
        <f t="shared" si="16"/>
        <v>2.7945210789459929E-3</v>
      </c>
      <c r="T67" s="22">
        <f t="shared" si="17"/>
        <v>2.1854364093603997E-2</v>
      </c>
      <c r="U67" s="22">
        <f t="shared" si="18"/>
        <v>6.8825296288038277E-3</v>
      </c>
      <c r="V67" s="22">
        <f t="shared" si="19"/>
        <v>9.0506923727892135E-3</v>
      </c>
      <c r="W67" s="22">
        <f t="shared" si="20"/>
        <v>7.8186108705755476E-3</v>
      </c>
      <c r="X67" s="22">
        <f t="shared" si="21"/>
        <v>1.1060424405159485E-2</v>
      </c>
      <c r="AD67" t="s">
        <v>94</v>
      </c>
    </row>
    <row r="68" spans="1:37" x14ac:dyDescent="0.35">
      <c r="A68" s="3">
        <v>14.42</v>
      </c>
      <c r="B68" s="3">
        <v>42.09</v>
      </c>
      <c r="C68" s="3">
        <v>116.81</v>
      </c>
      <c r="D68" s="3">
        <v>14.11</v>
      </c>
      <c r="E68" s="3">
        <v>30.84</v>
      </c>
      <c r="F68" s="3">
        <v>118.120474</v>
      </c>
      <c r="G68" s="3">
        <v>111.335894</v>
      </c>
      <c r="H68" s="3">
        <v>110.331131</v>
      </c>
      <c r="I68" s="17">
        <f t="shared" ref="I68:I131" si="24">(A68-A67)/A67</f>
        <v>2.7816411682892311E-3</v>
      </c>
      <c r="J68" s="17">
        <f t="shared" ref="J68:J131" si="25">(B68-B67)/B67</f>
        <v>-1.1865211200758699E-3</v>
      </c>
      <c r="K68" s="17">
        <f t="shared" ref="K68:K131" si="26">(C68-C67)/C67</f>
        <v>-1.7495163596601887E-2</v>
      </c>
      <c r="L68" s="17">
        <f t="shared" ref="L68:L131" si="27">(D68-D67)/D67</f>
        <v>-2.0818875780707891E-2</v>
      </c>
      <c r="M68" s="17">
        <f t="shared" ref="M68:M131" si="28">(E68-E67)/E67</f>
        <v>8.1726054266100037E-3</v>
      </c>
      <c r="N68" s="17">
        <f t="shared" ref="N68:N131" si="29">(F68-F67)/F67</f>
        <v>4.3130446842775203E-3</v>
      </c>
      <c r="O68" s="17">
        <f t="shared" ref="O68:O131" si="30">(G68-G67)/G67</f>
        <v>-1.0953160508953806E-2</v>
      </c>
      <c r="P68" s="17">
        <f t="shared" ref="P68:P131" si="31">(H68-H67)/H67</f>
        <v>-1.3217702916533819E-2</v>
      </c>
      <c r="Q68" s="22">
        <f t="shared" si="14"/>
        <v>2.3871672979044979E-3</v>
      </c>
      <c r="R68" s="22">
        <f t="shared" si="15"/>
        <v>-1.6172458341530333E-3</v>
      </c>
      <c r="S68" s="22">
        <f t="shared" si="16"/>
        <v>-1.7907122983439334E-2</v>
      </c>
      <c r="T68" s="22">
        <f t="shared" si="17"/>
        <v>-2.0950327289940809E-2</v>
      </c>
      <c r="U68" s="22">
        <f t="shared" si="18"/>
        <v>7.4793774796562415E-3</v>
      </c>
      <c r="V68" s="22">
        <f t="shared" si="19"/>
        <v>4.5476484937807008E-3</v>
      </c>
      <c r="W68" s="22">
        <f t="shared" si="20"/>
        <v>-1.0698911954863104E-2</v>
      </c>
      <c r="X68" s="22">
        <f t="shared" si="21"/>
        <v>-1.2901758531927481E-2</v>
      </c>
      <c r="AD68" t="s">
        <v>95</v>
      </c>
    </row>
    <row r="69" spans="1:37" x14ac:dyDescent="0.35">
      <c r="A69" s="3">
        <v>14.2</v>
      </c>
      <c r="B69" s="3">
        <v>41.92</v>
      </c>
      <c r="C69" s="3">
        <v>116.79</v>
      </c>
      <c r="D69" s="3">
        <v>14.13</v>
      </c>
      <c r="E69" s="3">
        <v>30.71</v>
      </c>
      <c r="F69" s="3">
        <v>117.168671</v>
      </c>
      <c r="G69" s="3">
        <v>110.81374099999999</v>
      </c>
      <c r="H69" s="3">
        <v>109.79719799999999</v>
      </c>
      <c r="I69" s="17">
        <f t="shared" si="24"/>
        <v>-1.5256588072122098E-2</v>
      </c>
      <c r="J69" s="17">
        <f t="shared" si="25"/>
        <v>-4.0389641244951693E-3</v>
      </c>
      <c r="K69" s="17">
        <f t="shared" si="26"/>
        <v>-1.7121821761832053E-4</v>
      </c>
      <c r="L69" s="17">
        <f t="shared" si="27"/>
        <v>1.4174344436570765E-3</v>
      </c>
      <c r="M69" s="17">
        <f t="shared" si="28"/>
        <v>-4.2153047989623542E-3</v>
      </c>
      <c r="N69" s="17">
        <f t="shared" si="29"/>
        <v>-8.0579002756118144E-3</v>
      </c>
      <c r="O69" s="17">
        <f t="shared" si="30"/>
        <v>-4.6898891385378644E-3</v>
      </c>
      <c r="P69" s="17">
        <f t="shared" si="31"/>
        <v>-4.8393685006274849E-3</v>
      </c>
      <c r="Q69" s="22">
        <f t="shared" ref="Q69:Q132" si="32">I69-AB$2</f>
        <v>-1.565106194250683E-2</v>
      </c>
      <c r="R69" s="22">
        <f t="shared" ref="R69:R132" si="33">J69-AC$2</f>
        <v>-4.4696888385723325E-3</v>
      </c>
      <c r="S69" s="22">
        <f t="shared" ref="S69:S132" si="34">K69-AD$2</f>
        <v>-5.8317760445576749E-4</v>
      </c>
      <c r="T69" s="22">
        <f t="shared" ref="T69:T132" si="35">L69-AE$2</f>
        <v>1.2859829344241582E-3</v>
      </c>
      <c r="U69" s="22">
        <f t="shared" ref="U69:U132" si="36">M69-AF$2</f>
        <v>-4.9085327459161164E-3</v>
      </c>
      <c r="V69" s="22">
        <f t="shared" ref="V69:V132" si="37">N69-AG$2</f>
        <v>-7.8232964661086347E-3</v>
      </c>
      <c r="W69" s="22">
        <f t="shared" ref="W69:W132" si="38">O69-AH$2</f>
        <v>-4.435640584447161E-3</v>
      </c>
      <c r="X69" s="22">
        <f t="shared" ref="X69:X132" si="39">P69-AI$2</f>
        <v>-4.5234241160211465E-3</v>
      </c>
      <c r="AD69" t="s">
        <v>96</v>
      </c>
    </row>
    <row r="70" spans="1:37" x14ac:dyDescent="0.35">
      <c r="A70" s="3">
        <v>13.96</v>
      </c>
      <c r="B70" s="3">
        <v>41.6</v>
      </c>
      <c r="C70" s="3">
        <v>117.21</v>
      </c>
      <c r="D70" s="3">
        <v>14.16</v>
      </c>
      <c r="E70" s="3">
        <v>32.39</v>
      </c>
      <c r="F70" s="3">
        <v>116.707002</v>
      </c>
      <c r="G70" s="3">
        <v>110.756743</v>
      </c>
      <c r="H70" s="3">
        <v>109.818003</v>
      </c>
      <c r="I70" s="17">
        <f t="shared" si="24"/>
        <v>-1.6901408450704116E-2</v>
      </c>
      <c r="J70" s="17">
        <f t="shared" si="25"/>
        <v>-7.6335877862595486E-3</v>
      </c>
      <c r="K70" s="17">
        <f t="shared" si="26"/>
        <v>3.5961983046492634E-3</v>
      </c>
      <c r="L70" s="17">
        <f t="shared" si="27"/>
        <v>2.12314225053074E-3</v>
      </c>
      <c r="M70" s="17">
        <f t="shared" si="28"/>
        <v>5.4705307717355899E-2</v>
      </c>
      <c r="N70" s="17">
        <f t="shared" si="29"/>
        <v>-3.9402085562616007E-3</v>
      </c>
      <c r="O70" s="17">
        <f t="shared" si="30"/>
        <v>-5.1435859384977353E-4</v>
      </c>
      <c r="P70" s="17">
        <f t="shared" si="31"/>
        <v>1.8948570982667477E-4</v>
      </c>
      <c r="Q70" s="22">
        <f t="shared" si="32"/>
        <v>-1.7295882321088848E-2</v>
      </c>
      <c r="R70" s="22">
        <f t="shared" si="33"/>
        <v>-8.0643125003367119E-3</v>
      </c>
      <c r="S70" s="22">
        <f t="shared" si="34"/>
        <v>3.1842389178118164E-3</v>
      </c>
      <c r="T70" s="22">
        <f t="shared" si="35"/>
        <v>1.9916907412978217E-3</v>
      </c>
      <c r="U70" s="22">
        <f t="shared" si="36"/>
        <v>5.4012079770402135E-2</v>
      </c>
      <c r="V70" s="22">
        <f t="shared" si="37"/>
        <v>-3.7056047467584207E-3</v>
      </c>
      <c r="W70" s="22">
        <f t="shared" si="38"/>
        <v>-2.6011003975907052E-4</v>
      </c>
      <c r="X70" s="22">
        <f t="shared" si="39"/>
        <v>5.0543009443301356E-4</v>
      </c>
    </row>
    <row r="71" spans="1:37" x14ac:dyDescent="0.35">
      <c r="A71" s="3">
        <v>14.69</v>
      </c>
      <c r="B71" s="3">
        <v>41.87</v>
      </c>
      <c r="C71" s="3">
        <v>120.99</v>
      </c>
      <c r="D71" s="3">
        <v>14.18</v>
      </c>
      <c r="E71" s="3">
        <v>34.03</v>
      </c>
      <c r="F71" s="3">
        <v>116.52164</v>
      </c>
      <c r="G71" s="3">
        <v>111.16333400000001</v>
      </c>
      <c r="H71" s="3">
        <v>110.115588</v>
      </c>
      <c r="I71" s="17">
        <f t="shared" si="24"/>
        <v>5.2292263610315089E-2</v>
      </c>
      <c r="J71" s="17">
        <f t="shared" si="25"/>
        <v>6.4903846153845195E-3</v>
      </c>
      <c r="K71" s="17">
        <f t="shared" si="26"/>
        <v>3.2249808036856932E-2</v>
      </c>
      <c r="L71" s="17">
        <f t="shared" si="27"/>
        <v>1.4124293785310433E-3</v>
      </c>
      <c r="M71" s="17">
        <f t="shared" si="28"/>
        <v>5.0632911392405083E-2</v>
      </c>
      <c r="N71" s="17">
        <f t="shared" si="29"/>
        <v>-1.5882680286826132E-3</v>
      </c>
      <c r="O71" s="17">
        <f t="shared" si="30"/>
        <v>3.6710270543077084E-3</v>
      </c>
      <c r="P71" s="17">
        <f t="shared" si="31"/>
        <v>2.7098015978308946E-3</v>
      </c>
      <c r="Q71" s="22">
        <f t="shared" si="32"/>
        <v>5.1897789739930353E-2</v>
      </c>
      <c r="R71" s="22">
        <f t="shared" si="33"/>
        <v>6.0596599013073562E-3</v>
      </c>
      <c r="S71" s="22">
        <f t="shared" si="34"/>
        <v>3.1837848650019485E-2</v>
      </c>
      <c r="T71" s="22">
        <f t="shared" si="35"/>
        <v>1.280977869298125E-3</v>
      </c>
      <c r="U71" s="22">
        <f t="shared" si="36"/>
        <v>4.993968344545132E-2</v>
      </c>
      <c r="V71" s="22">
        <f t="shared" si="37"/>
        <v>-1.3536642191794329E-3</v>
      </c>
      <c r="W71" s="22">
        <f t="shared" si="38"/>
        <v>3.9252756083984113E-3</v>
      </c>
      <c r="X71" s="22">
        <f t="shared" si="39"/>
        <v>3.0257459824372334E-3</v>
      </c>
      <c r="AD71" s="9" t="s">
        <v>97</v>
      </c>
      <c r="AF71" t="s">
        <v>98</v>
      </c>
    </row>
    <row r="72" spans="1:37" x14ac:dyDescent="0.35">
      <c r="A72" s="3">
        <v>14.97</v>
      </c>
      <c r="B72" s="3">
        <v>41.88</v>
      </c>
      <c r="C72" s="3">
        <v>121.72</v>
      </c>
      <c r="D72" s="3">
        <v>14.28</v>
      </c>
      <c r="E72" s="3">
        <v>33.99</v>
      </c>
      <c r="F72" s="3">
        <v>116.925399</v>
      </c>
      <c r="G72" s="3">
        <v>111.301102</v>
      </c>
      <c r="H72" s="3">
        <v>110.36291199999999</v>
      </c>
      <c r="I72" s="17">
        <f t="shared" si="24"/>
        <v>1.9060585432266925E-2</v>
      </c>
      <c r="J72" s="17">
        <f t="shared" si="25"/>
        <v>2.3883448770014608E-4</v>
      </c>
      <c r="K72" s="17">
        <f t="shared" si="26"/>
        <v>6.0335564922721213E-3</v>
      </c>
      <c r="L72" s="17">
        <f t="shared" si="27"/>
        <v>7.0521861777150668E-3</v>
      </c>
      <c r="M72" s="17">
        <f t="shared" si="28"/>
        <v>-1.1754334410813737E-3</v>
      </c>
      <c r="N72" s="17">
        <f t="shared" si="29"/>
        <v>3.465098843442246E-3</v>
      </c>
      <c r="O72" s="17">
        <f t="shared" si="30"/>
        <v>1.2393295076953532E-3</v>
      </c>
      <c r="P72" s="17">
        <f t="shared" si="31"/>
        <v>2.2460398613136576E-3</v>
      </c>
      <c r="Q72" s="22">
        <f t="shared" si="32"/>
        <v>1.8666111561882193E-2</v>
      </c>
      <c r="R72" s="22">
        <f t="shared" si="33"/>
        <v>-1.9189022637701743E-4</v>
      </c>
      <c r="S72" s="22">
        <f t="shared" si="34"/>
        <v>5.6215971054346748E-3</v>
      </c>
      <c r="T72" s="22">
        <f t="shared" si="35"/>
        <v>6.9207346684821485E-3</v>
      </c>
      <c r="U72" s="22">
        <f t="shared" si="36"/>
        <v>-1.8686613880351363E-3</v>
      </c>
      <c r="V72" s="22">
        <f t="shared" si="37"/>
        <v>3.6997026529454261E-3</v>
      </c>
      <c r="W72" s="22">
        <f t="shared" si="38"/>
        <v>1.4935780617860561E-3</v>
      </c>
      <c r="X72" s="22">
        <f t="shared" si="39"/>
        <v>2.5619842459199964E-3</v>
      </c>
      <c r="AF72" t="s">
        <v>99</v>
      </c>
    </row>
    <row r="73" spans="1:37" x14ac:dyDescent="0.35">
      <c r="A73" s="3">
        <v>15.04</v>
      </c>
      <c r="B73" s="3">
        <v>41.68</v>
      </c>
      <c r="C73" s="3">
        <v>121.67</v>
      </c>
      <c r="D73" s="3">
        <v>14.48</v>
      </c>
      <c r="E73" s="3">
        <v>34.380000000000003</v>
      </c>
      <c r="F73" s="3">
        <v>117.911965</v>
      </c>
      <c r="G73" s="3">
        <v>112.334335</v>
      </c>
      <c r="H73" s="3">
        <v>111.59643800000001</v>
      </c>
      <c r="I73" s="17">
        <f t="shared" si="24"/>
        <v>4.6760187040747166E-3</v>
      </c>
      <c r="J73" s="17">
        <f t="shared" si="25"/>
        <v>-4.775549188156706E-3</v>
      </c>
      <c r="K73" s="17">
        <f t="shared" si="26"/>
        <v>-4.107788366743112E-4</v>
      </c>
      <c r="L73" s="17">
        <f t="shared" si="27"/>
        <v>1.4005602240896434E-2</v>
      </c>
      <c r="M73" s="17">
        <f t="shared" si="28"/>
        <v>1.1473962930273626E-2</v>
      </c>
      <c r="N73" s="17">
        <f t="shared" si="29"/>
        <v>8.437567957326331E-3</v>
      </c>
      <c r="O73" s="17">
        <f t="shared" si="30"/>
        <v>9.283223449126278E-3</v>
      </c>
      <c r="P73" s="17">
        <f t="shared" si="31"/>
        <v>1.1176997576867236E-2</v>
      </c>
      <c r="Q73" s="22">
        <f t="shared" si="32"/>
        <v>4.2815448336899833E-3</v>
      </c>
      <c r="R73" s="22">
        <f t="shared" si="33"/>
        <v>-5.2062739022338692E-3</v>
      </c>
      <c r="S73" s="22">
        <f t="shared" si="34"/>
        <v>-8.2273822351175809E-4</v>
      </c>
      <c r="T73" s="22">
        <f t="shared" si="35"/>
        <v>1.3874150731663516E-2</v>
      </c>
      <c r="U73" s="22">
        <f t="shared" si="36"/>
        <v>1.0780734983319863E-2</v>
      </c>
      <c r="V73" s="22">
        <f t="shared" si="37"/>
        <v>8.6721717668295107E-3</v>
      </c>
      <c r="W73" s="22">
        <f t="shared" si="38"/>
        <v>9.5374720032169805E-3</v>
      </c>
      <c r="X73" s="22">
        <f t="shared" si="39"/>
        <v>1.1492941961473574E-2</v>
      </c>
    </row>
    <row r="74" spans="1:37" x14ac:dyDescent="0.35">
      <c r="A74" s="3">
        <v>14.56</v>
      </c>
      <c r="B74" s="3">
        <v>41.04</v>
      </c>
      <c r="C74" s="3">
        <v>119.76</v>
      </c>
      <c r="D74" s="3">
        <v>14.34</v>
      </c>
      <c r="E74" s="3">
        <v>34.590000000000003</v>
      </c>
      <c r="F74" s="3">
        <v>117.44764600000001</v>
      </c>
      <c r="G74" s="3">
        <v>111.729455</v>
      </c>
      <c r="H74" s="3">
        <v>110.961828</v>
      </c>
      <c r="I74" s="17">
        <f t="shared" si="24"/>
        <v>-3.1914893617021191E-2</v>
      </c>
      <c r="J74" s="17">
        <f t="shared" si="25"/>
        <v>-1.5355086372360858E-2</v>
      </c>
      <c r="K74" s="17">
        <f t="shared" si="26"/>
        <v>-1.5698200049313688E-2</v>
      </c>
      <c r="L74" s="17">
        <f t="shared" si="27"/>
        <v>-9.6685082872928572E-3</v>
      </c>
      <c r="M74" s="17">
        <f t="shared" si="28"/>
        <v>6.1082024432810014E-3</v>
      </c>
      <c r="N74" s="17">
        <f t="shared" si="29"/>
        <v>-3.9378446453673215E-3</v>
      </c>
      <c r="O74" s="17">
        <f t="shared" si="30"/>
        <v>-5.3846404129244572E-3</v>
      </c>
      <c r="P74" s="17">
        <f t="shared" si="31"/>
        <v>-5.6866510380914597E-3</v>
      </c>
      <c r="Q74" s="22">
        <f t="shared" si="32"/>
        <v>-3.2309367487405927E-2</v>
      </c>
      <c r="R74" s="22">
        <f t="shared" si="33"/>
        <v>-1.578581108643802E-2</v>
      </c>
      <c r="S74" s="22">
        <f t="shared" si="34"/>
        <v>-1.6110159436151135E-2</v>
      </c>
      <c r="T74" s="22">
        <f t="shared" si="35"/>
        <v>-9.7999597965257746E-3</v>
      </c>
      <c r="U74" s="22">
        <f t="shared" si="36"/>
        <v>5.4149744963272392E-3</v>
      </c>
      <c r="V74" s="22">
        <f t="shared" si="37"/>
        <v>-3.7032408358641414E-3</v>
      </c>
      <c r="W74" s="22">
        <f t="shared" si="38"/>
        <v>-5.1303918588337539E-3</v>
      </c>
      <c r="X74" s="22">
        <f t="shared" si="39"/>
        <v>-5.3707066534851213E-3</v>
      </c>
      <c r="AE74" s="9" t="s">
        <v>105</v>
      </c>
      <c r="AF74" s="22">
        <v>3.2500000000000001E-2</v>
      </c>
    </row>
    <row r="75" spans="1:37" x14ac:dyDescent="0.35">
      <c r="A75" s="3">
        <v>14.71</v>
      </c>
      <c r="B75" s="3">
        <v>41.8</v>
      </c>
      <c r="C75" s="3">
        <v>118.6</v>
      </c>
      <c r="D75" s="3">
        <v>14.57</v>
      </c>
      <c r="E75" s="3">
        <v>34.61</v>
      </c>
      <c r="F75" s="3">
        <v>117.261065</v>
      </c>
      <c r="G75" s="3">
        <v>110.590582</v>
      </c>
      <c r="H75" s="3">
        <v>109.23096099999999</v>
      </c>
      <c r="I75" s="17">
        <f t="shared" si="24"/>
        <v>1.0302197802197826E-2</v>
      </c>
      <c r="J75" s="17">
        <f t="shared" si="25"/>
        <v>1.8518518518518469E-2</v>
      </c>
      <c r="K75" s="17">
        <f t="shared" si="26"/>
        <v>-9.6860387441550667E-3</v>
      </c>
      <c r="L75" s="17">
        <f t="shared" si="27"/>
        <v>1.6039051603905192E-2</v>
      </c>
      <c r="M75" s="17">
        <f t="shared" si="28"/>
        <v>5.7820179242544143E-4</v>
      </c>
      <c r="N75" s="17">
        <f t="shared" si="29"/>
        <v>-1.5886312442567293E-3</v>
      </c>
      <c r="O75" s="17">
        <f t="shared" si="30"/>
        <v>-1.0193131256211746E-2</v>
      </c>
      <c r="P75" s="17">
        <f t="shared" si="31"/>
        <v>-1.5598760683719121E-2</v>
      </c>
      <c r="Q75" s="22">
        <f t="shared" si="32"/>
        <v>9.9077239318130922E-3</v>
      </c>
      <c r="R75" s="22">
        <f t="shared" si="33"/>
        <v>1.8087793804441307E-2</v>
      </c>
      <c r="S75" s="22">
        <f t="shared" si="34"/>
        <v>-1.0097998130992514E-2</v>
      </c>
      <c r="T75" s="22">
        <f t="shared" si="35"/>
        <v>1.5907600094672274E-2</v>
      </c>
      <c r="U75" s="22">
        <f t="shared" si="36"/>
        <v>-1.1502615452832108E-4</v>
      </c>
      <c r="V75" s="22">
        <f t="shared" si="37"/>
        <v>-1.354027434753549E-3</v>
      </c>
      <c r="W75" s="22">
        <f t="shared" si="38"/>
        <v>-9.9388827021210432E-3</v>
      </c>
      <c r="X75" s="22">
        <f t="shared" si="39"/>
        <v>-1.5282816299112783E-2</v>
      </c>
      <c r="AE75" t="s">
        <v>106</v>
      </c>
    </row>
    <row r="76" spans="1:37" x14ac:dyDescent="0.35">
      <c r="A76" s="3">
        <v>14.85</v>
      </c>
      <c r="B76" s="3">
        <v>42.23</v>
      </c>
      <c r="C76" s="3">
        <v>118.72</v>
      </c>
      <c r="D76" s="3">
        <v>14.5</v>
      </c>
      <c r="E76" s="3">
        <v>35.799999999999997</v>
      </c>
      <c r="F76" s="3">
        <v>116.255055</v>
      </c>
      <c r="G76" s="3">
        <v>110.53417</v>
      </c>
      <c r="H76" s="3">
        <v>109.343109</v>
      </c>
      <c r="I76" s="17">
        <f t="shared" si="24"/>
        <v>9.5173351461589929E-3</v>
      </c>
      <c r="J76" s="17">
        <f t="shared" si="25"/>
        <v>1.0287081339712912E-2</v>
      </c>
      <c r="K76" s="17">
        <f t="shared" si="26"/>
        <v>1.0118043844857044E-3</v>
      </c>
      <c r="L76" s="17">
        <f t="shared" si="27"/>
        <v>-4.8043925875085984E-3</v>
      </c>
      <c r="M76" s="17">
        <f t="shared" si="28"/>
        <v>3.4383126264085462E-2</v>
      </c>
      <c r="N76" s="17">
        <f t="shared" si="29"/>
        <v>-8.5792330131062976E-3</v>
      </c>
      <c r="O76" s="17">
        <f t="shared" si="30"/>
        <v>-5.1009768625681509E-4</v>
      </c>
      <c r="P76" s="17">
        <f t="shared" si="31"/>
        <v>1.0267052397351407E-3</v>
      </c>
      <c r="Q76" s="22">
        <f t="shared" si="32"/>
        <v>9.1228612757742588E-3</v>
      </c>
      <c r="R76" s="22">
        <f t="shared" si="33"/>
        <v>9.8563566256357482E-3</v>
      </c>
      <c r="S76" s="22">
        <f t="shared" si="34"/>
        <v>5.9984499764825739E-4</v>
      </c>
      <c r="T76" s="22">
        <f t="shared" si="35"/>
        <v>-4.9358440967415167E-3</v>
      </c>
      <c r="U76" s="22">
        <f t="shared" si="36"/>
        <v>3.3689898317131699E-2</v>
      </c>
      <c r="V76" s="22">
        <f t="shared" si="37"/>
        <v>-8.344629203603118E-3</v>
      </c>
      <c r="W76" s="22">
        <f t="shared" si="38"/>
        <v>-2.5584913216611209E-4</v>
      </c>
      <c r="X76" s="22">
        <f t="shared" si="39"/>
        <v>1.3426496243414796E-3</v>
      </c>
    </row>
    <row r="77" spans="1:37" x14ac:dyDescent="0.35">
      <c r="A77" s="3">
        <v>14.7</v>
      </c>
      <c r="B77" s="3">
        <v>42.62</v>
      </c>
      <c r="C77" s="3">
        <v>121.99</v>
      </c>
      <c r="D77" s="3">
        <v>14.56</v>
      </c>
      <c r="E77" s="3">
        <v>36.51</v>
      </c>
      <c r="F77" s="3">
        <v>116.248582</v>
      </c>
      <c r="G77" s="3">
        <v>110.060579</v>
      </c>
      <c r="H77" s="3">
        <v>108.951052</v>
      </c>
      <c r="I77" s="17">
        <f t="shared" si="24"/>
        <v>-1.0101010101010124E-2</v>
      </c>
      <c r="J77" s="17">
        <f t="shared" si="25"/>
        <v>9.2351408950982847E-3</v>
      </c>
      <c r="K77" s="17">
        <f t="shared" si="26"/>
        <v>2.7543800539083525E-2</v>
      </c>
      <c r="L77" s="17">
        <f t="shared" si="27"/>
        <v>4.1379310344827926E-3</v>
      </c>
      <c r="M77" s="17">
        <f t="shared" si="28"/>
        <v>1.9832402234636896E-2</v>
      </c>
      <c r="N77" s="17">
        <f t="shared" si="29"/>
        <v>-5.5679299278639787E-5</v>
      </c>
      <c r="O77" s="17">
        <f t="shared" si="30"/>
        <v>-4.2845664829255876E-3</v>
      </c>
      <c r="P77" s="17">
        <f t="shared" si="31"/>
        <v>-3.5855666039274051E-3</v>
      </c>
      <c r="Q77" s="22">
        <f t="shared" si="32"/>
        <v>-1.0495483971394859E-2</v>
      </c>
      <c r="R77" s="22">
        <f t="shared" si="33"/>
        <v>8.8044161810211206E-3</v>
      </c>
      <c r="S77" s="22">
        <f t="shared" si="34"/>
        <v>2.7131841152246077E-2</v>
      </c>
      <c r="T77" s="22">
        <f t="shared" si="35"/>
        <v>4.0064795252498743E-3</v>
      </c>
      <c r="U77" s="22">
        <f t="shared" si="36"/>
        <v>1.9139174287683133E-2</v>
      </c>
      <c r="V77" s="22">
        <f t="shared" si="37"/>
        <v>1.789245102245405E-4</v>
      </c>
      <c r="W77" s="22">
        <f t="shared" si="38"/>
        <v>-4.0303179288348843E-3</v>
      </c>
      <c r="X77" s="22">
        <f t="shared" si="39"/>
        <v>-3.2696222193210663E-3</v>
      </c>
      <c r="AE77" t="s">
        <v>107</v>
      </c>
      <c r="AF77" s="50">
        <f>datos!G1009</f>
        <v>95.506576999999993</v>
      </c>
    </row>
    <row r="78" spans="1:37" ht="22.5" customHeight="1" x14ac:dyDescent="0.35">
      <c r="A78" s="3">
        <v>15.07</v>
      </c>
      <c r="B78" s="3">
        <v>42.04</v>
      </c>
      <c r="C78" s="3">
        <v>121.96</v>
      </c>
      <c r="D78" s="3">
        <v>14.5</v>
      </c>
      <c r="E78" s="3">
        <v>35.76</v>
      </c>
      <c r="F78" s="3">
        <v>115.862656</v>
      </c>
      <c r="G78" s="3">
        <v>110.61533300000001</v>
      </c>
      <c r="H78" s="3">
        <v>109.518107</v>
      </c>
      <c r="I78" s="17">
        <f t="shared" si="24"/>
        <v>2.5170068027210953E-2</v>
      </c>
      <c r="J78" s="17">
        <f t="shared" si="25"/>
        <v>-1.3608634443923002E-2</v>
      </c>
      <c r="K78" s="17">
        <f t="shared" si="26"/>
        <v>-2.4592179686860514E-4</v>
      </c>
      <c r="L78" s="17">
        <f t="shared" si="27"/>
        <v>-4.1208791208791548E-3</v>
      </c>
      <c r="M78" s="17">
        <f t="shared" si="28"/>
        <v>-2.0542317173377157E-2</v>
      </c>
      <c r="N78" s="17">
        <f t="shared" si="29"/>
        <v>-3.3198340432229771E-3</v>
      </c>
      <c r="O78" s="17">
        <f t="shared" si="30"/>
        <v>5.040442318588953E-3</v>
      </c>
      <c r="P78" s="17">
        <f t="shared" si="31"/>
        <v>5.2046766836174865E-3</v>
      </c>
      <c r="Q78" s="22">
        <f t="shared" si="32"/>
        <v>2.477559415682622E-2</v>
      </c>
      <c r="R78" s="22">
        <f t="shared" si="33"/>
        <v>-1.4039359158000166E-2</v>
      </c>
      <c r="S78" s="22">
        <f t="shared" si="34"/>
        <v>-6.5788118370605202E-4</v>
      </c>
      <c r="T78" s="22">
        <f t="shared" si="35"/>
        <v>-4.2523306301120731E-3</v>
      </c>
      <c r="U78" s="22">
        <f t="shared" si="36"/>
        <v>-2.123554512033092E-2</v>
      </c>
      <c r="V78" s="22">
        <f t="shared" si="37"/>
        <v>-3.085230233719797E-3</v>
      </c>
      <c r="W78" s="22">
        <f t="shared" si="38"/>
        <v>5.2946908726796563E-3</v>
      </c>
      <c r="X78" s="22">
        <f t="shared" si="39"/>
        <v>5.5206210682238249E-3</v>
      </c>
      <c r="AF78" s="54">
        <f>AF74*3</f>
        <v>9.7500000000000003E-2</v>
      </c>
      <c r="AG78" s="53" t="s">
        <v>108</v>
      </c>
      <c r="AH78" s="53"/>
      <c r="AI78" s="53"/>
      <c r="AJ78" s="53"/>
      <c r="AK78" s="53"/>
    </row>
    <row r="79" spans="1:37" x14ac:dyDescent="0.35">
      <c r="A79" s="3">
        <v>15.2</v>
      </c>
      <c r="B79" s="3">
        <v>41.67</v>
      </c>
      <c r="C79" s="3">
        <v>120.67</v>
      </c>
      <c r="D79" s="3">
        <v>14.57</v>
      </c>
      <c r="E79" s="3">
        <v>35.51</v>
      </c>
      <c r="F79" s="3">
        <v>116.28961700000001</v>
      </c>
      <c r="G79" s="3">
        <v>110.712233</v>
      </c>
      <c r="H79" s="3">
        <v>109.813457</v>
      </c>
      <c r="I79" s="17">
        <f t="shared" si="24"/>
        <v>8.6264100862640351E-3</v>
      </c>
      <c r="J79" s="17">
        <f t="shared" si="25"/>
        <v>-8.8011417697430403E-3</v>
      </c>
      <c r="K79" s="17">
        <f t="shared" si="26"/>
        <v>-1.0577238438832339E-2</v>
      </c>
      <c r="L79" s="17">
        <f t="shared" si="27"/>
        <v>4.8275862068965711E-3</v>
      </c>
      <c r="M79" s="17">
        <f t="shared" si="28"/>
        <v>-6.9910514541387031E-3</v>
      </c>
      <c r="N79" s="17">
        <f t="shared" si="29"/>
        <v>3.6850613885461565E-3</v>
      </c>
      <c r="O79" s="17">
        <f t="shared" si="30"/>
        <v>8.7600875368689507E-4</v>
      </c>
      <c r="P79" s="17">
        <f t="shared" si="31"/>
        <v>2.6968143267852422E-3</v>
      </c>
      <c r="Q79" s="22">
        <f t="shared" si="32"/>
        <v>8.231936215879301E-3</v>
      </c>
      <c r="R79" s="22">
        <f t="shared" si="33"/>
        <v>-9.2318664838202044E-3</v>
      </c>
      <c r="S79" s="22">
        <f t="shared" si="34"/>
        <v>-1.0989197825669787E-2</v>
      </c>
      <c r="T79" s="22">
        <f t="shared" si="35"/>
        <v>4.6961346976636528E-3</v>
      </c>
      <c r="U79" s="22">
        <f t="shared" si="36"/>
        <v>-7.6842794010924653E-3</v>
      </c>
      <c r="V79" s="22">
        <f t="shared" si="37"/>
        <v>3.9196651980493366E-3</v>
      </c>
      <c r="W79" s="22">
        <f t="shared" si="38"/>
        <v>1.1302573077775981E-3</v>
      </c>
      <c r="X79" s="22">
        <f t="shared" si="39"/>
        <v>3.012758711391581E-3</v>
      </c>
      <c r="AE79" t="s">
        <v>109</v>
      </c>
      <c r="AF79" s="51">
        <f>AF77*(1+AF78)</f>
        <v>104.81846825749999</v>
      </c>
      <c r="AG79" t="s">
        <v>110</v>
      </c>
    </row>
    <row r="80" spans="1:37" x14ac:dyDescent="0.35">
      <c r="A80" s="3">
        <v>15.4</v>
      </c>
      <c r="B80" s="3">
        <v>40.94</v>
      </c>
      <c r="C80" s="3">
        <v>118.81</v>
      </c>
      <c r="D80" s="3">
        <v>14.59</v>
      </c>
      <c r="E80" s="3">
        <v>34.130000000000003</v>
      </c>
      <c r="F80" s="3">
        <v>116.44595700000001</v>
      </c>
      <c r="G80" s="3">
        <v>110.426603</v>
      </c>
      <c r="H80" s="3">
        <v>109.46871899999999</v>
      </c>
      <c r="I80" s="17">
        <f t="shared" si="24"/>
        <v>1.3157894736842176E-2</v>
      </c>
      <c r="J80" s="17">
        <f t="shared" si="25"/>
        <v>-1.7518598512119125E-2</v>
      </c>
      <c r="K80" s="17">
        <f t="shared" si="26"/>
        <v>-1.5413938841468463E-2</v>
      </c>
      <c r="L80" s="17">
        <f t="shared" si="27"/>
        <v>1.3726835964309933E-3</v>
      </c>
      <c r="M80" s="17">
        <f t="shared" si="28"/>
        <v>-3.8862292312024656E-2</v>
      </c>
      <c r="N80" s="17">
        <f t="shared" si="29"/>
        <v>1.3444020543983744E-3</v>
      </c>
      <c r="O80" s="17">
        <f t="shared" si="30"/>
        <v>-2.5799317045659951E-3</v>
      </c>
      <c r="P80" s="17">
        <f t="shared" si="31"/>
        <v>-3.1393055953061076E-3</v>
      </c>
      <c r="Q80" s="22">
        <f t="shared" si="32"/>
        <v>1.2763420866457442E-2</v>
      </c>
      <c r="R80" s="22">
        <f t="shared" si="33"/>
        <v>-1.7949323226196287E-2</v>
      </c>
      <c r="S80" s="22">
        <f t="shared" si="34"/>
        <v>-1.582589822830591E-2</v>
      </c>
      <c r="T80" s="22">
        <f t="shared" si="35"/>
        <v>1.241232087198075E-3</v>
      </c>
      <c r="U80" s="22">
        <f t="shared" si="36"/>
        <v>-3.9555520258978419E-2</v>
      </c>
      <c r="V80" s="22">
        <f t="shared" si="37"/>
        <v>1.5790058639015548E-3</v>
      </c>
      <c r="W80" s="22">
        <f t="shared" si="38"/>
        <v>-2.3256831504752922E-3</v>
      </c>
      <c r="X80" s="22">
        <f t="shared" si="39"/>
        <v>-2.8233612106997688E-3</v>
      </c>
    </row>
    <row r="81" spans="1:37" x14ac:dyDescent="0.35">
      <c r="A81" s="3">
        <v>15.25</v>
      </c>
      <c r="B81" s="3">
        <v>41.28</v>
      </c>
      <c r="C81" s="3">
        <v>119.23</v>
      </c>
      <c r="D81" s="3">
        <v>14.3</v>
      </c>
      <c r="E81" s="3">
        <v>34.78</v>
      </c>
      <c r="F81" s="3">
        <v>115.857066</v>
      </c>
      <c r="G81" s="3">
        <v>109.838596</v>
      </c>
      <c r="H81" s="3">
        <v>108.673265</v>
      </c>
      <c r="I81" s="17">
        <f t="shared" si="24"/>
        <v>-9.7402597402597626E-3</v>
      </c>
      <c r="J81" s="17">
        <f t="shared" si="25"/>
        <v>8.3048363458720909E-3</v>
      </c>
      <c r="K81" s="17">
        <f t="shared" si="26"/>
        <v>3.5350559717195664E-3</v>
      </c>
      <c r="L81" s="17">
        <f t="shared" si="27"/>
        <v>-1.9876627827278899E-2</v>
      </c>
      <c r="M81" s="17">
        <f t="shared" si="28"/>
        <v>1.9044828596542589E-2</v>
      </c>
      <c r="N81" s="17">
        <f t="shared" si="29"/>
        <v>-5.0572043475927957E-3</v>
      </c>
      <c r="O81" s="17">
        <f t="shared" si="30"/>
        <v>-5.3248672333061318E-3</v>
      </c>
      <c r="P81" s="17">
        <f t="shared" si="31"/>
        <v>-7.2664959201723407E-3</v>
      </c>
      <c r="Q81" s="22">
        <f t="shared" si="32"/>
        <v>-1.0134733610644497E-2</v>
      </c>
      <c r="R81" s="22">
        <f t="shared" si="33"/>
        <v>7.8741116317949267E-3</v>
      </c>
      <c r="S81" s="22">
        <f t="shared" si="34"/>
        <v>3.1230965848821194E-3</v>
      </c>
      <c r="T81" s="22">
        <f t="shared" si="35"/>
        <v>-2.0008079336511816E-2</v>
      </c>
      <c r="U81" s="22">
        <f t="shared" si="36"/>
        <v>1.8351600649588826E-2</v>
      </c>
      <c r="V81" s="22">
        <f t="shared" si="37"/>
        <v>-4.8226005380896152E-3</v>
      </c>
      <c r="W81" s="22">
        <f t="shared" si="38"/>
        <v>-5.0706186792154285E-3</v>
      </c>
      <c r="X81" s="22">
        <f t="shared" si="39"/>
        <v>-6.9505515355660023E-3</v>
      </c>
      <c r="AE81" t="s">
        <v>111</v>
      </c>
      <c r="AF81" s="6">
        <v>1000000</v>
      </c>
      <c r="AG81" t="s">
        <v>112</v>
      </c>
    </row>
    <row r="82" spans="1:37" x14ac:dyDescent="0.35">
      <c r="A82" s="3">
        <v>16.14</v>
      </c>
      <c r="B82" s="3">
        <v>41.83</v>
      </c>
      <c r="C82" s="3">
        <v>121.25</v>
      </c>
      <c r="D82" s="3">
        <v>14.31</v>
      </c>
      <c r="E82" s="3">
        <v>34.18</v>
      </c>
      <c r="F82" s="3">
        <v>115.448375</v>
      </c>
      <c r="G82" s="3">
        <v>109.824365</v>
      </c>
      <c r="H82" s="3">
        <v>108.826711</v>
      </c>
      <c r="I82" s="17">
        <f t="shared" si="24"/>
        <v>5.8360655737704957E-2</v>
      </c>
      <c r="J82" s="17">
        <f t="shared" si="25"/>
        <v>1.3323643410852643E-2</v>
      </c>
      <c r="K82" s="17">
        <f t="shared" si="26"/>
        <v>1.6942044787385691E-2</v>
      </c>
      <c r="L82" s="17">
        <f t="shared" si="27"/>
        <v>6.9930069930068434E-4</v>
      </c>
      <c r="M82" s="17">
        <f t="shared" si="28"/>
        <v>-1.7251293847038569E-2</v>
      </c>
      <c r="N82" s="17">
        <f t="shared" si="29"/>
        <v>-3.5275448801716123E-3</v>
      </c>
      <c r="O82" s="17">
        <f t="shared" si="30"/>
        <v>-1.2956283599979029E-4</v>
      </c>
      <c r="P82" s="17">
        <f t="shared" si="31"/>
        <v>1.4119940171117746E-3</v>
      </c>
      <c r="Q82" s="22">
        <f t="shared" si="32"/>
        <v>5.7966181867320221E-2</v>
      </c>
      <c r="R82" s="22">
        <f t="shared" si="33"/>
        <v>1.2892918696775479E-2</v>
      </c>
      <c r="S82" s="22">
        <f t="shared" si="34"/>
        <v>1.6530085400548244E-2</v>
      </c>
      <c r="T82" s="22">
        <f t="shared" si="35"/>
        <v>5.6784919006776604E-4</v>
      </c>
      <c r="U82" s="22">
        <f t="shared" si="36"/>
        <v>-1.7944521793992332E-2</v>
      </c>
      <c r="V82" s="22">
        <f t="shared" si="37"/>
        <v>-3.2929410706684322E-3</v>
      </c>
      <c r="W82" s="22">
        <f t="shared" si="38"/>
        <v>1.2468571809091272E-4</v>
      </c>
      <c r="X82" s="22">
        <f t="shared" si="39"/>
        <v>1.7279384017181135E-3</v>
      </c>
      <c r="AE82" t="s">
        <v>153</v>
      </c>
      <c r="AF82" s="35">
        <f>AG37</f>
        <v>0.23233746317255852</v>
      </c>
    </row>
    <row r="83" spans="1:37" x14ac:dyDescent="0.35">
      <c r="A83" s="3">
        <v>16.09</v>
      </c>
      <c r="B83" s="3">
        <v>40.54</v>
      </c>
      <c r="C83" s="3">
        <v>115.25</v>
      </c>
      <c r="D83" s="3">
        <v>14.15</v>
      </c>
      <c r="E83" s="3">
        <v>32.950000000000003</v>
      </c>
      <c r="F83" s="3">
        <v>115.268277</v>
      </c>
      <c r="G83" s="3">
        <v>109.241986</v>
      </c>
      <c r="H83" s="3">
        <v>108.12872400000001</v>
      </c>
      <c r="I83" s="17">
        <f t="shared" si="24"/>
        <v>-3.0978934324659671E-3</v>
      </c>
      <c r="J83" s="17">
        <f t="shared" si="25"/>
        <v>-3.0839110686110428E-2</v>
      </c>
      <c r="K83" s="17">
        <f t="shared" si="26"/>
        <v>-4.9484536082474224E-2</v>
      </c>
      <c r="L83" s="17">
        <f t="shared" si="27"/>
        <v>-1.1180992313067795E-2</v>
      </c>
      <c r="M83" s="17">
        <f t="shared" si="28"/>
        <v>-3.5985956699824365E-2</v>
      </c>
      <c r="N83" s="17">
        <f t="shared" si="29"/>
        <v>-1.5599873103454335E-3</v>
      </c>
      <c r="O83" s="17">
        <f t="shared" si="30"/>
        <v>-5.3028214640713205E-3</v>
      </c>
      <c r="P83" s="17">
        <f t="shared" si="31"/>
        <v>-6.4137470808981597E-3</v>
      </c>
      <c r="Q83" s="22">
        <f t="shared" si="32"/>
        <v>-3.4923673028507004E-3</v>
      </c>
      <c r="R83" s="22">
        <f t="shared" si="33"/>
        <v>-3.1269835400187594E-2</v>
      </c>
      <c r="S83" s="22">
        <f t="shared" si="34"/>
        <v>-4.9896495469311672E-2</v>
      </c>
      <c r="T83" s="22">
        <f t="shared" si="35"/>
        <v>-1.1312443822300712E-2</v>
      </c>
      <c r="U83" s="22">
        <f t="shared" si="36"/>
        <v>-3.6679184646778128E-2</v>
      </c>
      <c r="V83" s="22">
        <f t="shared" si="37"/>
        <v>-1.3253835008422532E-3</v>
      </c>
      <c r="W83" s="22">
        <f t="shared" si="38"/>
        <v>-5.0485729099806172E-3</v>
      </c>
      <c r="X83" s="22">
        <f t="shared" si="39"/>
        <v>-6.0978026962918213E-3</v>
      </c>
      <c r="AF83" s="51">
        <f>AF81*AF82</f>
        <v>232337.46317255852</v>
      </c>
      <c r="AG83" t="s">
        <v>151</v>
      </c>
    </row>
    <row r="84" spans="1:37" x14ac:dyDescent="0.35">
      <c r="A84" s="3">
        <v>16.420000000000002</v>
      </c>
      <c r="B84" s="3">
        <v>41.12</v>
      </c>
      <c r="C84" s="3">
        <v>120.29</v>
      </c>
      <c r="D84" s="3">
        <v>14.17</v>
      </c>
      <c r="E84" s="3">
        <v>33.340000000000003</v>
      </c>
      <c r="F84" s="3">
        <v>115.15549900000001</v>
      </c>
      <c r="G84" s="3">
        <v>109.48814</v>
      </c>
      <c r="H84" s="3">
        <v>108.328996</v>
      </c>
      <c r="I84" s="17">
        <f t="shared" si="24"/>
        <v>2.0509633312616647E-2</v>
      </c>
      <c r="J84" s="17">
        <f t="shared" si="25"/>
        <v>1.4306857424765621E-2</v>
      </c>
      <c r="K84" s="17">
        <f t="shared" si="26"/>
        <v>4.3731019522776624E-2</v>
      </c>
      <c r="L84" s="17">
        <f t="shared" si="27"/>
        <v>1.4134275618374256E-3</v>
      </c>
      <c r="M84" s="17">
        <f t="shared" si="28"/>
        <v>1.1836115326251914E-2</v>
      </c>
      <c r="N84" s="17">
        <f t="shared" si="29"/>
        <v>-9.7839581656964996E-4</v>
      </c>
      <c r="O84" s="17">
        <f t="shared" si="30"/>
        <v>2.2532911475996436E-3</v>
      </c>
      <c r="P84" s="17">
        <f t="shared" si="31"/>
        <v>1.8521627981108722E-3</v>
      </c>
      <c r="Q84" s="22">
        <f t="shared" si="32"/>
        <v>2.0115159442231915E-2</v>
      </c>
      <c r="R84" s="22">
        <f t="shared" si="33"/>
        <v>1.3876132710688457E-2</v>
      </c>
      <c r="S84" s="22">
        <f t="shared" si="34"/>
        <v>4.3319060135939176E-2</v>
      </c>
      <c r="T84" s="22">
        <f t="shared" si="35"/>
        <v>1.2819760526045073E-3</v>
      </c>
      <c r="U84" s="22">
        <f t="shared" si="36"/>
        <v>1.1142887379298151E-2</v>
      </c>
      <c r="V84" s="22">
        <f t="shared" si="37"/>
        <v>-7.4379200706646965E-4</v>
      </c>
      <c r="W84" s="22">
        <f t="shared" si="38"/>
        <v>2.5075397016903465E-3</v>
      </c>
      <c r="X84" s="22">
        <f t="shared" si="39"/>
        <v>2.168107182717211E-3</v>
      </c>
      <c r="AF84" s="55">
        <f>AF83/AF77</f>
        <v>2432.6854806298684</v>
      </c>
      <c r="AG84" t="s">
        <v>113</v>
      </c>
    </row>
    <row r="85" spans="1:37" x14ac:dyDescent="0.35">
      <c r="A85" s="3">
        <v>16.600000000000001</v>
      </c>
      <c r="B85" s="3">
        <v>41.21</v>
      </c>
      <c r="C85" s="3">
        <v>119.81</v>
      </c>
      <c r="D85" s="3">
        <v>14.07</v>
      </c>
      <c r="E85" s="3">
        <v>32.39</v>
      </c>
      <c r="F85" s="3">
        <v>115.310017</v>
      </c>
      <c r="G85" s="3">
        <v>109.28325700000001</v>
      </c>
      <c r="H85" s="3">
        <v>108.081649</v>
      </c>
      <c r="I85" s="17">
        <f t="shared" si="24"/>
        <v>1.0962241169305706E-2</v>
      </c>
      <c r="J85" s="17">
        <f t="shared" si="25"/>
        <v>2.1887159533074759E-3</v>
      </c>
      <c r="K85" s="17">
        <f t="shared" si="26"/>
        <v>-3.9903566381245649E-3</v>
      </c>
      <c r="L85" s="17">
        <f t="shared" si="27"/>
        <v>-7.057163020465748E-3</v>
      </c>
      <c r="M85" s="17">
        <f t="shared" si="28"/>
        <v>-2.8494301139772128E-2</v>
      </c>
      <c r="N85" s="17">
        <f t="shared" si="29"/>
        <v>1.341820419709144E-3</v>
      </c>
      <c r="O85" s="17">
        <f t="shared" si="30"/>
        <v>-1.8712803048804671E-3</v>
      </c>
      <c r="P85" s="17">
        <f t="shared" si="31"/>
        <v>-2.2832944930091005E-3</v>
      </c>
      <c r="Q85" s="22">
        <f t="shared" si="32"/>
        <v>1.0567767298920972E-2</v>
      </c>
      <c r="R85" s="22">
        <f t="shared" si="33"/>
        <v>1.7579912392303124E-3</v>
      </c>
      <c r="S85" s="22">
        <f t="shared" si="34"/>
        <v>-4.4023160249620115E-3</v>
      </c>
      <c r="T85" s="22">
        <f t="shared" si="35"/>
        <v>-7.1886145296986663E-3</v>
      </c>
      <c r="U85" s="22">
        <f t="shared" si="36"/>
        <v>-2.9187529086725891E-2</v>
      </c>
      <c r="V85" s="22">
        <f t="shared" si="37"/>
        <v>1.5764242292123243E-3</v>
      </c>
      <c r="W85" s="22">
        <f t="shared" si="38"/>
        <v>-1.6170317507897642E-3</v>
      </c>
      <c r="X85" s="22">
        <f t="shared" si="39"/>
        <v>-1.9673501084027617E-3</v>
      </c>
      <c r="AF85" s="56">
        <f>AF83/AF79</f>
        <v>2216.5699140135475</v>
      </c>
      <c r="AG85" s="52" t="s">
        <v>152</v>
      </c>
      <c r="AH85" s="52"/>
      <c r="AI85" s="52"/>
      <c r="AJ85" s="52"/>
      <c r="AK85" s="52"/>
    </row>
    <row r="86" spans="1:37" x14ac:dyDescent="0.35">
      <c r="A86" s="3">
        <v>16.86</v>
      </c>
      <c r="B86" s="3">
        <v>40.93</v>
      </c>
      <c r="C86" s="3">
        <v>118.08</v>
      </c>
      <c r="D86" s="3">
        <v>14.16</v>
      </c>
      <c r="E86" s="3">
        <v>32.94</v>
      </c>
      <c r="F86" s="3">
        <v>115.063952</v>
      </c>
      <c r="G86" s="3">
        <v>109.454116</v>
      </c>
      <c r="H86" s="3">
        <v>108.192206</v>
      </c>
      <c r="I86" s="17">
        <f t="shared" si="24"/>
        <v>1.5662650602409518E-2</v>
      </c>
      <c r="J86" s="17">
        <f t="shared" si="25"/>
        <v>-6.7944673622907332E-3</v>
      </c>
      <c r="K86" s="17">
        <f t="shared" si="26"/>
        <v>-1.4439529254653234E-2</v>
      </c>
      <c r="L86" s="17">
        <f t="shared" si="27"/>
        <v>6.3965884861407144E-3</v>
      </c>
      <c r="M86" s="17">
        <f t="shared" si="28"/>
        <v>1.698054955233088E-2</v>
      </c>
      <c r="N86" s="17">
        <f t="shared" si="29"/>
        <v>-2.133942968718854E-3</v>
      </c>
      <c r="O86" s="17">
        <f t="shared" si="30"/>
        <v>1.5634508404154992E-3</v>
      </c>
      <c r="P86" s="17">
        <f t="shared" si="31"/>
        <v>1.0229026020874277E-3</v>
      </c>
      <c r="Q86" s="22">
        <f t="shared" si="32"/>
        <v>1.5268176732024784E-2</v>
      </c>
      <c r="R86" s="22">
        <f t="shared" si="33"/>
        <v>-7.2251920763678965E-3</v>
      </c>
      <c r="S86" s="22">
        <f t="shared" si="34"/>
        <v>-1.4851488641490681E-2</v>
      </c>
      <c r="T86" s="22">
        <f t="shared" si="35"/>
        <v>6.2651369769077961E-3</v>
      </c>
      <c r="U86" s="22">
        <f t="shared" si="36"/>
        <v>1.6287321605377117E-2</v>
      </c>
      <c r="V86" s="22">
        <f t="shared" si="37"/>
        <v>-1.8993391592156737E-3</v>
      </c>
      <c r="W86" s="22">
        <f t="shared" si="38"/>
        <v>1.8176993945062023E-3</v>
      </c>
      <c r="X86" s="22">
        <f t="shared" si="39"/>
        <v>1.3388469866937665E-3</v>
      </c>
    </row>
    <row r="87" spans="1:37" x14ac:dyDescent="0.35">
      <c r="A87" s="3">
        <v>17.239999999999998</v>
      </c>
      <c r="B87" s="3">
        <v>41.03</v>
      </c>
      <c r="C87" s="3">
        <v>119.16</v>
      </c>
      <c r="D87" s="3">
        <v>14.45</v>
      </c>
      <c r="E87" s="3">
        <v>32.76</v>
      </c>
      <c r="F87" s="3">
        <v>115.527203</v>
      </c>
      <c r="G87" s="3">
        <v>110.346588</v>
      </c>
      <c r="H87" s="3">
        <v>109.608366</v>
      </c>
      <c r="I87" s="17">
        <f t="shared" si="24"/>
        <v>2.2538552787663049E-2</v>
      </c>
      <c r="J87" s="17">
        <f t="shared" si="25"/>
        <v>2.4431956999756027E-3</v>
      </c>
      <c r="K87" s="17">
        <f t="shared" si="26"/>
        <v>9.1463414634146197E-3</v>
      </c>
      <c r="L87" s="17">
        <f t="shared" si="27"/>
        <v>2.0480225988700505E-2</v>
      </c>
      <c r="M87" s="17">
        <f t="shared" si="28"/>
        <v>-5.4644808743169312E-3</v>
      </c>
      <c r="N87" s="17">
        <f t="shared" si="29"/>
        <v>4.0260306720561762E-3</v>
      </c>
      <c r="O87" s="17">
        <f t="shared" si="30"/>
        <v>8.1538459458207844E-3</v>
      </c>
      <c r="P87" s="17">
        <f t="shared" si="31"/>
        <v>1.3089297763278853E-2</v>
      </c>
      <c r="Q87" s="22">
        <f t="shared" si="32"/>
        <v>2.2144078917278317E-2</v>
      </c>
      <c r="R87" s="22">
        <f t="shared" si="33"/>
        <v>2.012470985898439E-3</v>
      </c>
      <c r="S87" s="22">
        <f t="shared" si="34"/>
        <v>8.7343820765771723E-3</v>
      </c>
      <c r="T87" s="22">
        <f t="shared" si="35"/>
        <v>2.0348774479467587E-2</v>
      </c>
      <c r="U87" s="22">
        <f t="shared" si="36"/>
        <v>-6.1577088212706934E-3</v>
      </c>
      <c r="V87" s="22">
        <f t="shared" si="37"/>
        <v>4.2606344815593567E-3</v>
      </c>
      <c r="W87" s="22">
        <f t="shared" si="38"/>
        <v>8.4080944999114868E-3</v>
      </c>
      <c r="X87" s="22">
        <f t="shared" si="39"/>
        <v>1.3405242147885191E-2</v>
      </c>
    </row>
    <row r="88" spans="1:37" x14ac:dyDescent="0.35">
      <c r="A88" s="3">
        <v>17.13</v>
      </c>
      <c r="B88" s="3">
        <v>41.1</v>
      </c>
      <c r="C88" s="3">
        <v>119.57</v>
      </c>
      <c r="D88" s="3">
        <v>14.75</v>
      </c>
      <c r="E88" s="3">
        <v>32.24</v>
      </c>
      <c r="F88" s="3">
        <v>116.286607</v>
      </c>
      <c r="G88" s="3">
        <v>110.74728899999999</v>
      </c>
      <c r="H88" s="3">
        <v>109.81147799999999</v>
      </c>
      <c r="I88" s="17">
        <f t="shared" si="24"/>
        <v>-6.3805104408352345E-3</v>
      </c>
      <c r="J88" s="17">
        <f t="shared" si="25"/>
        <v>1.7060687301974234E-3</v>
      </c>
      <c r="K88" s="17">
        <f t="shared" si="26"/>
        <v>3.4407519301778836E-3</v>
      </c>
      <c r="L88" s="17">
        <f t="shared" si="27"/>
        <v>2.0761245674740535E-2</v>
      </c>
      <c r="M88" s="17">
        <f t="shared" si="28"/>
        <v>-1.5873015873015754E-2</v>
      </c>
      <c r="N88" s="17">
        <f t="shared" si="29"/>
        <v>6.5733782198466586E-3</v>
      </c>
      <c r="O88" s="17">
        <f t="shared" si="30"/>
        <v>3.6312948797292944E-3</v>
      </c>
      <c r="P88" s="17">
        <f t="shared" si="31"/>
        <v>1.8530702300588093E-3</v>
      </c>
      <c r="Q88" s="22">
        <f t="shared" si="32"/>
        <v>-6.7749843112199677E-3</v>
      </c>
      <c r="R88" s="22">
        <f t="shared" si="33"/>
        <v>1.2753440161202599E-3</v>
      </c>
      <c r="S88" s="22">
        <f t="shared" si="34"/>
        <v>3.0287925433404366E-3</v>
      </c>
      <c r="T88" s="22">
        <f t="shared" si="35"/>
        <v>2.0629794165507618E-2</v>
      </c>
      <c r="U88" s="22">
        <f t="shared" si="36"/>
        <v>-1.6566243819969517E-2</v>
      </c>
      <c r="V88" s="22">
        <f t="shared" si="37"/>
        <v>6.8079820293498391E-3</v>
      </c>
      <c r="W88" s="22">
        <f t="shared" si="38"/>
        <v>3.8855434338199973E-3</v>
      </c>
      <c r="X88" s="22">
        <f t="shared" si="39"/>
        <v>2.1690146146651481E-3</v>
      </c>
      <c r="AE88" t="s">
        <v>119</v>
      </c>
    </row>
    <row r="89" spans="1:37" x14ac:dyDescent="0.35">
      <c r="A89" s="3">
        <v>16.88</v>
      </c>
      <c r="B89" s="3">
        <v>40.65</v>
      </c>
      <c r="C89" s="3">
        <v>120.1</v>
      </c>
      <c r="D89" s="3">
        <v>14.74</v>
      </c>
      <c r="E89" s="3">
        <v>32.35</v>
      </c>
      <c r="F89" s="3">
        <v>116.712583</v>
      </c>
      <c r="G89" s="3">
        <v>110.767672</v>
      </c>
      <c r="H89" s="3">
        <v>109.832463</v>
      </c>
      <c r="I89" s="17">
        <f t="shared" si="24"/>
        <v>-1.4594279042615295E-2</v>
      </c>
      <c r="J89" s="17">
        <f t="shared" si="25"/>
        <v>-1.0948905109489119E-2</v>
      </c>
      <c r="K89" s="17">
        <f t="shared" si="26"/>
        <v>4.4325499707284534E-3</v>
      </c>
      <c r="L89" s="17">
        <f t="shared" si="27"/>
        <v>-6.7796610169490077E-4</v>
      </c>
      <c r="M89" s="17">
        <f t="shared" si="28"/>
        <v>3.4119106699751684E-3</v>
      </c>
      <c r="N89" s="17">
        <f t="shared" si="29"/>
        <v>3.6631561534854265E-3</v>
      </c>
      <c r="O89" s="17">
        <f t="shared" si="30"/>
        <v>1.8404965199653409E-4</v>
      </c>
      <c r="P89" s="17">
        <f t="shared" si="31"/>
        <v>1.9110024181634498E-4</v>
      </c>
      <c r="Q89" s="22">
        <f t="shared" si="32"/>
        <v>-1.4988752913000029E-2</v>
      </c>
      <c r="R89" s="22">
        <f t="shared" si="33"/>
        <v>-1.1379629823566283E-2</v>
      </c>
      <c r="S89" s="22">
        <f t="shared" si="34"/>
        <v>4.0205905838910068E-3</v>
      </c>
      <c r="T89" s="22">
        <f t="shared" si="35"/>
        <v>-8.0941761092781907E-4</v>
      </c>
      <c r="U89" s="22">
        <f t="shared" si="36"/>
        <v>2.7186827230214058E-3</v>
      </c>
      <c r="V89" s="22">
        <f t="shared" si="37"/>
        <v>3.8977599629886066E-3</v>
      </c>
      <c r="W89" s="22">
        <f t="shared" si="38"/>
        <v>4.3829820608723706E-4</v>
      </c>
      <c r="X89" s="22">
        <f t="shared" si="39"/>
        <v>5.070446264226838E-4</v>
      </c>
      <c r="AE89" t="s">
        <v>115</v>
      </c>
    </row>
    <row r="90" spans="1:37" x14ac:dyDescent="0.35">
      <c r="A90" s="3">
        <v>17.100000000000001</v>
      </c>
      <c r="B90" s="3">
        <v>40.51</v>
      </c>
      <c r="C90" s="3">
        <v>117.66</v>
      </c>
      <c r="D90" s="3">
        <v>14.87</v>
      </c>
      <c r="E90" s="3">
        <v>31.91</v>
      </c>
      <c r="F90" s="3">
        <v>116.395313</v>
      </c>
      <c r="G90" s="3">
        <v>109.87875699999999</v>
      </c>
      <c r="H90" s="3">
        <v>108.677558</v>
      </c>
      <c r="I90" s="17">
        <f t="shared" si="24"/>
        <v>1.303317535545038E-2</v>
      </c>
      <c r="J90" s="17">
        <f t="shared" si="25"/>
        <v>-3.4440344403444175E-3</v>
      </c>
      <c r="K90" s="17">
        <f t="shared" si="26"/>
        <v>-2.0316402997502064E-2</v>
      </c>
      <c r="L90" s="17">
        <f t="shared" si="27"/>
        <v>8.819538670284871E-3</v>
      </c>
      <c r="M90" s="17">
        <f t="shared" si="28"/>
        <v>-1.3601236476043315E-2</v>
      </c>
      <c r="N90" s="17">
        <f t="shared" si="29"/>
        <v>-2.7183872710622257E-3</v>
      </c>
      <c r="O90" s="17">
        <f t="shared" si="30"/>
        <v>-8.0250400134798481E-3</v>
      </c>
      <c r="P90" s="17">
        <f t="shared" si="31"/>
        <v>-1.0515151608682393E-2</v>
      </c>
      <c r="Q90" s="22">
        <f t="shared" si="32"/>
        <v>1.2638701485065646E-2</v>
      </c>
      <c r="R90" s="22">
        <f t="shared" si="33"/>
        <v>-3.8747591544215812E-3</v>
      </c>
      <c r="S90" s="22">
        <f t="shared" si="34"/>
        <v>-2.0728362384339512E-2</v>
      </c>
      <c r="T90" s="22">
        <f t="shared" si="35"/>
        <v>8.6880871610519536E-3</v>
      </c>
      <c r="U90" s="22">
        <f t="shared" si="36"/>
        <v>-1.4294464422997078E-2</v>
      </c>
      <c r="V90" s="22">
        <f t="shared" si="37"/>
        <v>-2.4837834615590456E-3</v>
      </c>
      <c r="W90" s="22">
        <f t="shared" si="38"/>
        <v>-7.7707914593891448E-3</v>
      </c>
      <c r="X90" s="22">
        <f t="shared" si="39"/>
        <v>-1.0199207224076055E-2</v>
      </c>
      <c r="AE90" t="s">
        <v>116</v>
      </c>
    </row>
    <row r="91" spans="1:37" x14ac:dyDescent="0.35">
      <c r="A91" s="3">
        <v>15.93</v>
      </c>
      <c r="B91" s="3">
        <v>40.5</v>
      </c>
      <c r="C91" s="3">
        <v>116.58</v>
      </c>
      <c r="D91" s="3">
        <v>14.74</v>
      </c>
      <c r="E91" s="3">
        <v>31.82</v>
      </c>
      <c r="F91" s="3">
        <v>115.677469</v>
      </c>
      <c r="G91" s="3">
        <v>109.000113</v>
      </c>
      <c r="H91" s="3">
        <v>107.80622200000001</v>
      </c>
      <c r="I91" s="17">
        <f t="shared" si="24"/>
        <v>-6.8421052631579035E-2</v>
      </c>
      <c r="J91" s="17">
        <f t="shared" si="25"/>
        <v>-2.4685262898044953E-4</v>
      </c>
      <c r="K91" s="17">
        <f t="shared" si="26"/>
        <v>-9.1789903110657683E-3</v>
      </c>
      <c r="L91" s="17">
        <f t="shared" si="27"/>
        <v>-8.7424344317416948E-3</v>
      </c>
      <c r="M91" s="17">
        <f t="shared" si="28"/>
        <v>-2.8204324663114967E-3</v>
      </c>
      <c r="N91" s="17">
        <f t="shared" si="29"/>
        <v>-6.1672930077519483E-3</v>
      </c>
      <c r="O91" s="17">
        <f t="shared" si="30"/>
        <v>-7.9964865274185278E-3</v>
      </c>
      <c r="P91" s="17">
        <f t="shared" si="31"/>
        <v>-8.0176258653143397E-3</v>
      </c>
      <c r="Q91" s="22">
        <f t="shared" si="32"/>
        <v>-6.8815526501963764E-2</v>
      </c>
      <c r="R91" s="22">
        <f t="shared" si="33"/>
        <v>-6.7757734305761309E-4</v>
      </c>
      <c r="S91" s="22">
        <f t="shared" si="34"/>
        <v>-9.5909496979032158E-3</v>
      </c>
      <c r="T91" s="22">
        <f t="shared" si="35"/>
        <v>-8.8738859409746122E-3</v>
      </c>
      <c r="U91" s="22">
        <f t="shared" si="36"/>
        <v>-3.5136604132652593E-3</v>
      </c>
      <c r="V91" s="22">
        <f t="shared" si="37"/>
        <v>-5.9326891982487678E-3</v>
      </c>
      <c r="W91" s="22">
        <f t="shared" si="38"/>
        <v>-7.7422379733278245E-3</v>
      </c>
      <c r="X91" s="22">
        <f t="shared" si="39"/>
        <v>-7.7016814807080013E-3</v>
      </c>
      <c r="AE91" s="49" t="s">
        <v>117</v>
      </c>
    </row>
    <row r="92" spans="1:37" x14ac:dyDescent="0.35">
      <c r="A92" s="3">
        <v>16.14</v>
      </c>
      <c r="B92" s="3">
        <v>39.78</v>
      </c>
      <c r="C92" s="3">
        <v>118.11</v>
      </c>
      <c r="D92" s="3">
        <v>14.76</v>
      </c>
      <c r="E92" s="3">
        <v>31.97</v>
      </c>
      <c r="F92" s="3">
        <v>114.743695</v>
      </c>
      <c r="G92" s="3">
        <v>109.585446</v>
      </c>
      <c r="H92" s="3">
        <v>108.404082</v>
      </c>
      <c r="I92" s="17">
        <f t="shared" si="24"/>
        <v>1.3182674199623406E-2</v>
      </c>
      <c r="J92" s="17">
        <f t="shared" si="25"/>
        <v>-1.777777777777775E-2</v>
      </c>
      <c r="K92" s="17">
        <f t="shared" si="26"/>
        <v>1.312403499742667E-2</v>
      </c>
      <c r="L92" s="17">
        <f t="shared" si="27"/>
        <v>1.3568521031207309E-3</v>
      </c>
      <c r="M92" s="17">
        <f t="shared" si="28"/>
        <v>4.7140163419232741E-3</v>
      </c>
      <c r="N92" s="17">
        <f t="shared" si="29"/>
        <v>-8.072220183171535E-3</v>
      </c>
      <c r="O92" s="17">
        <f t="shared" si="30"/>
        <v>5.3700219558488497E-3</v>
      </c>
      <c r="P92" s="17">
        <f t="shared" si="31"/>
        <v>5.5456910455502018E-3</v>
      </c>
      <c r="Q92" s="22">
        <f t="shared" si="32"/>
        <v>1.2788200329238672E-2</v>
      </c>
      <c r="R92" s="22">
        <f t="shared" si="33"/>
        <v>-1.8208502491854912E-2</v>
      </c>
      <c r="S92" s="22">
        <f t="shared" si="34"/>
        <v>1.2712075610589223E-2</v>
      </c>
      <c r="T92" s="22">
        <f t="shared" si="35"/>
        <v>1.2254005938878126E-3</v>
      </c>
      <c r="U92" s="22">
        <f t="shared" si="36"/>
        <v>4.0207883949695119E-3</v>
      </c>
      <c r="V92" s="22">
        <f t="shared" si="37"/>
        <v>-7.8376163736683553E-3</v>
      </c>
      <c r="W92" s="22">
        <f t="shared" si="38"/>
        <v>5.624270509939553E-3</v>
      </c>
      <c r="X92" s="22">
        <f t="shared" si="39"/>
        <v>5.8616354301565402E-3</v>
      </c>
      <c r="AE92" t="s">
        <v>118</v>
      </c>
    </row>
    <row r="93" spans="1:37" x14ac:dyDescent="0.35">
      <c r="A93" s="3">
        <v>16.62</v>
      </c>
      <c r="B93" s="3">
        <v>39.01</v>
      </c>
      <c r="C93" s="3">
        <v>123.26</v>
      </c>
      <c r="D93" s="3">
        <v>14.67</v>
      </c>
      <c r="E93" s="3">
        <v>32.130000000000003</v>
      </c>
      <c r="F93" s="3">
        <v>115.294662</v>
      </c>
      <c r="G93" s="3">
        <v>109.53120699999999</v>
      </c>
      <c r="H93" s="3">
        <v>108.51464900000001</v>
      </c>
      <c r="I93" s="17">
        <f t="shared" si="24"/>
        <v>2.9739776951672889E-2</v>
      </c>
      <c r="J93" s="17">
        <f t="shared" si="25"/>
        <v>-1.9356460532931198E-2</v>
      </c>
      <c r="K93" s="17">
        <f t="shared" si="26"/>
        <v>4.3603420540174465E-2</v>
      </c>
      <c r="L93" s="17">
        <f t="shared" si="27"/>
        <v>-6.0975609756097468E-3</v>
      </c>
      <c r="M93" s="17">
        <f t="shared" si="28"/>
        <v>5.0046918986551047E-3</v>
      </c>
      <c r="N93" s="17">
        <f t="shared" si="29"/>
        <v>4.8017191707134758E-3</v>
      </c>
      <c r="O93" s="17">
        <f t="shared" si="30"/>
        <v>-4.9494711186382997E-4</v>
      </c>
      <c r="P93" s="17">
        <f t="shared" si="31"/>
        <v>1.0199523667383963E-3</v>
      </c>
      <c r="Q93" s="22">
        <f t="shared" si="32"/>
        <v>2.9345303081288156E-2</v>
      </c>
      <c r="R93" s="22">
        <f t="shared" si="33"/>
        <v>-1.978718524700836E-2</v>
      </c>
      <c r="S93" s="22">
        <f t="shared" si="34"/>
        <v>4.3191461153337017E-2</v>
      </c>
      <c r="T93" s="22">
        <f t="shared" si="35"/>
        <v>-6.2290124848426651E-3</v>
      </c>
      <c r="U93" s="22">
        <f t="shared" si="36"/>
        <v>4.3114639517013425E-3</v>
      </c>
      <c r="V93" s="22">
        <f t="shared" si="37"/>
        <v>5.0363229802166563E-3</v>
      </c>
      <c r="W93" s="22">
        <f t="shared" si="38"/>
        <v>-2.4069855777312697E-4</v>
      </c>
      <c r="X93" s="22">
        <f t="shared" si="39"/>
        <v>1.3358967513447352E-3</v>
      </c>
      <c r="AE93" t="s">
        <v>120</v>
      </c>
    </row>
    <row r="94" spans="1:37" x14ac:dyDescent="0.35">
      <c r="A94" s="3">
        <v>16.87</v>
      </c>
      <c r="B94" s="3">
        <v>39.5</v>
      </c>
      <c r="C94" s="3">
        <v>125.9</v>
      </c>
      <c r="D94" s="3">
        <v>14.79</v>
      </c>
      <c r="E94" s="3">
        <v>32.229999999999997</v>
      </c>
      <c r="F94" s="3">
        <v>115.648331</v>
      </c>
      <c r="G94" s="3">
        <v>110.077581</v>
      </c>
      <c r="H94" s="3">
        <v>108.984122</v>
      </c>
      <c r="I94" s="17">
        <f t="shared" si="24"/>
        <v>1.5042117930204572E-2</v>
      </c>
      <c r="J94" s="17">
        <f t="shared" si="25"/>
        <v>1.2560881825173084E-2</v>
      </c>
      <c r="K94" s="17">
        <f t="shared" si="26"/>
        <v>2.1418140515982481E-2</v>
      </c>
      <c r="L94" s="17">
        <f t="shared" si="27"/>
        <v>8.179959100204446E-3</v>
      </c>
      <c r="M94" s="17">
        <f t="shared" si="28"/>
        <v>3.1123560535323471E-3</v>
      </c>
      <c r="N94" s="17">
        <f t="shared" si="29"/>
        <v>3.0675227618083174E-3</v>
      </c>
      <c r="O94" s="17">
        <f t="shared" si="30"/>
        <v>4.9882952536074963E-3</v>
      </c>
      <c r="P94" s="17">
        <f t="shared" si="31"/>
        <v>4.3263559742979362E-3</v>
      </c>
      <c r="Q94" s="22">
        <f t="shared" si="32"/>
        <v>1.4647644059819838E-2</v>
      </c>
      <c r="R94" s="22">
        <f t="shared" si="33"/>
        <v>1.213015711109592E-2</v>
      </c>
      <c r="S94" s="22">
        <f t="shared" si="34"/>
        <v>2.1006181129145034E-2</v>
      </c>
      <c r="T94" s="22">
        <f t="shared" si="35"/>
        <v>8.0485075909715285E-3</v>
      </c>
      <c r="U94" s="22">
        <f t="shared" si="36"/>
        <v>2.4191281065785845E-3</v>
      </c>
      <c r="V94" s="22">
        <f t="shared" si="37"/>
        <v>3.3021265713114975E-3</v>
      </c>
      <c r="W94" s="22">
        <f t="shared" si="38"/>
        <v>5.2425438076981997E-3</v>
      </c>
      <c r="X94" s="22">
        <f t="shared" si="39"/>
        <v>4.6423003589042746E-3</v>
      </c>
      <c r="AE94" t="s">
        <v>121</v>
      </c>
    </row>
    <row r="95" spans="1:37" x14ac:dyDescent="0.35">
      <c r="A95" s="3">
        <v>16.61</v>
      </c>
      <c r="B95" s="3">
        <v>39.9</v>
      </c>
      <c r="C95" s="3">
        <v>129.44</v>
      </c>
      <c r="D95" s="3">
        <v>14.9</v>
      </c>
      <c r="E95" s="3">
        <v>33.090000000000003</v>
      </c>
      <c r="F95" s="3">
        <v>115.602621</v>
      </c>
      <c r="G95" s="3">
        <v>110.17352200000001</v>
      </c>
      <c r="H95" s="3">
        <v>109.185281</v>
      </c>
      <c r="I95" s="17">
        <f t="shared" si="24"/>
        <v>-1.5411973918198076E-2</v>
      </c>
      <c r="J95" s="17">
        <f t="shared" si="25"/>
        <v>1.0126582278480976E-2</v>
      </c>
      <c r="K95" s="17">
        <f t="shared" si="26"/>
        <v>2.8117553613979284E-2</v>
      </c>
      <c r="L95" s="17">
        <f t="shared" si="27"/>
        <v>7.4374577417174589E-3</v>
      </c>
      <c r="M95" s="17">
        <f t="shared" si="28"/>
        <v>2.6683214396525181E-2</v>
      </c>
      <c r="N95" s="17">
        <f t="shared" si="29"/>
        <v>-3.9524997554871497E-4</v>
      </c>
      <c r="O95" s="17">
        <f t="shared" si="30"/>
        <v>8.7157620224240294E-4</v>
      </c>
      <c r="P95" s="17">
        <f t="shared" si="31"/>
        <v>1.8457642848194354E-3</v>
      </c>
      <c r="Q95" s="22">
        <f t="shared" si="32"/>
        <v>-1.5806447788582808E-2</v>
      </c>
      <c r="R95" s="22">
        <f t="shared" si="33"/>
        <v>9.6958575644038123E-3</v>
      </c>
      <c r="S95" s="22">
        <f t="shared" si="34"/>
        <v>2.7705594227141837E-2</v>
      </c>
      <c r="T95" s="22">
        <f t="shared" si="35"/>
        <v>7.3060062324845406E-3</v>
      </c>
      <c r="U95" s="22">
        <f t="shared" si="36"/>
        <v>2.5989986449571418E-2</v>
      </c>
      <c r="V95" s="22">
        <f t="shared" si="37"/>
        <v>-1.6064616604553468E-4</v>
      </c>
      <c r="W95" s="22">
        <f t="shared" si="38"/>
        <v>1.125824756333106E-3</v>
      </c>
      <c r="X95" s="22">
        <f t="shared" si="39"/>
        <v>2.161708669425774E-3</v>
      </c>
    </row>
    <row r="96" spans="1:37" x14ac:dyDescent="0.35">
      <c r="A96" s="3">
        <v>16.27</v>
      </c>
      <c r="B96" s="3">
        <v>40.03</v>
      </c>
      <c r="C96" s="3">
        <v>129.29</v>
      </c>
      <c r="D96" s="3">
        <v>14.8</v>
      </c>
      <c r="E96" s="3">
        <v>32.6</v>
      </c>
      <c r="F96" s="3">
        <v>115.55700299999999</v>
      </c>
      <c r="G96" s="3">
        <v>110.269505</v>
      </c>
      <c r="H96" s="3">
        <v>109.20641000000001</v>
      </c>
      <c r="I96" s="17">
        <f t="shared" si="24"/>
        <v>-2.0469596628537017E-2</v>
      </c>
      <c r="J96" s="17">
        <f t="shared" si="25"/>
        <v>3.2581453634085854E-3</v>
      </c>
      <c r="K96" s="17">
        <f t="shared" si="26"/>
        <v>-1.1588380716934926E-3</v>
      </c>
      <c r="L96" s="17">
        <f t="shared" si="27"/>
        <v>-6.7114093959731299E-3</v>
      </c>
      <c r="M96" s="17">
        <f t="shared" si="28"/>
        <v>-1.4808099123602356E-2</v>
      </c>
      <c r="N96" s="17">
        <f t="shared" si="29"/>
        <v>-3.946104301562903E-4</v>
      </c>
      <c r="O96" s="17">
        <f t="shared" si="30"/>
        <v>8.7119843550058894E-4</v>
      </c>
      <c r="P96" s="17">
        <f t="shared" si="31"/>
        <v>1.9351509476814874E-4</v>
      </c>
      <c r="Q96" s="22">
        <f t="shared" si="32"/>
        <v>-2.086407049892175E-2</v>
      </c>
      <c r="R96" s="22">
        <f t="shared" si="33"/>
        <v>2.8274206493314217E-3</v>
      </c>
      <c r="S96" s="22">
        <f t="shared" si="34"/>
        <v>-1.5707974585309396E-3</v>
      </c>
      <c r="T96" s="22">
        <f t="shared" si="35"/>
        <v>-6.8428609052060482E-3</v>
      </c>
      <c r="U96" s="22">
        <f t="shared" si="36"/>
        <v>-1.5501327070556119E-2</v>
      </c>
      <c r="V96" s="22">
        <f t="shared" si="37"/>
        <v>-1.6000662065311001E-4</v>
      </c>
      <c r="W96" s="22">
        <f t="shared" si="38"/>
        <v>1.1254469895912919E-3</v>
      </c>
      <c r="X96" s="22">
        <f t="shared" si="39"/>
        <v>5.0945947937448745E-4</v>
      </c>
      <c r="AE96" s="9" t="s">
        <v>125</v>
      </c>
    </row>
    <row r="97" spans="1:31" x14ac:dyDescent="0.35">
      <c r="A97" s="3">
        <v>16.63</v>
      </c>
      <c r="B97" s="3">
        <v>40.79</v>
      </c>
      <c r="C97" s="3">
        <v>136</v>
      </c>
      <c r="D97" s="3">
        <v>15.07</v>
      </c>
      <c r="E97" s="3">
        <v>32.39</v>
      </c>
      <c r="F97" s="3">
        <v>115.487038</v>
      </c>
      <c r="G97" s="3">
        <v>109.95506899999999</v>
      </c>
      <c r="H97" s="3">
        <v>109.179812</v>
      </c>
      <c r="I97" s="17">
        <f t="shared" si="24"/>
        <v>2.2126613398893633E-2</v>
      </c>
      <c r="J97" s="17">
        <f t="shared" si="25"/>
        <v>1.8985760679490333E-2</v>
      </c>
      <c r="K97" s="17">
        <f t="shared" si="26"/>
        <v>5.1898832082914445E-2</v>
      </c>
      <c r="L97" s="17">
        <f t="shared" si="27"/>
        <v>1.8243243243243213E-2</v>
      </c>
      <c r="M97" s="17">
        <f t="shared" si="28"/>
        <v>-6.4417177914110691E-3</v>
      </c>
      <c r="N97" s="17">
        <f t="shared" si="29"/>
        <v>-6.054587622006455E-4</v>
      </c>
      <c r="O97" s="17">
        <f t="shared" si="30"/>
        <v>-2.8515227306044459E-3</v>
      </c>
      <c r="P97" s="17">
        <f t="shared" si="31"/>
        <v>-2.4355713185706776E-4</v>
      </c>
      <c r="Q97" s="22">
        <f t="shared" si="32"/>
        <v>2.1732139528508901E-2</v>
      </c>
      <c r="R97" s="22">
        <f t="shared" si="33"/>
        <v>1.8555035965413171E-2</v>
      </c>
      <c r="S97" s="22">
        <f t="shared" si="34"/>
        <v>5.1486872696076998E-2</v>
      </c>
      <c r="T97" s="22">
        <f t="shared" si="35"/>
        <v>1.8111791734010296E-2</v>
      </c>
      <c r="U97" s="22">
        <f t="shared" si="36"/>
        <v>-7.1349457383648313E-3</v>
      </c>
      <c r="V97" s="22">
        <f t="shared" si="37"/>
        <v>-3.7085495269746519E-4</v>
      </c>
      <c r="W97" s="22">
        <f t="shared" si="38"/>
        <v>-2.597274176513743E-3</v>
      </c>
      <c r="X97" s="22">
        <f t="shared" si="39"/>
        <v>7.2387252749271013E-5</v>
      </c>
      <c r="AE97" s="48" t="s">
        <v>124</v>
      </c>
    </row>
    <row r="98" spans="1:31" x14ac:dyDescent="0.35">
      <c r="A98" s="3">
        <v>16.54</v>
      </c>
      <c r="B98" s="3">
        <v>40.020000000000003</v>
      </c>
      <c r="C98" s="3">
        <v>137.30000000000001</v>
      </c>
      <c r="D98" s="3">
        <v>14.97</v>
      </c>
      <c r="E98" s="3">
        <v>31.53</v>
      </c>
      <c r="F98" s="3">
        <v>115.57441</v>
      </c>
      <c r="G98" s="3">
        <v>110.050794</v>
      </c>
      <c r="H98" s="3">
        <v>109.29096699999999</v>
      </c>
      <c r="I98" s="17">
        <f t="shared" si="24"/>
        <v>-5.4119061936259687E-3</v>
      </c>
      <c r="J98" s="17">
        <f t="shared" si="25"/>
        <v>-1.8877175778376956E-2</v>
      </c>
      <c r="K98" s="17">
        <f t="shared" si="26"/>
        <v>9.5588235294118487E-3</v>
      </c>
      <c r="L98" s="17">
        <f t="shared" si="27"/>
        <v>-6.6357000663569768E-3</v>
      </c>
      <c r="M98" s="17">
        <f t="shared" si="28"/>
        <v>-2.6551404754553858E-2</v>
      </c>
      <c r="N98" s="17">
        <f t="shared" si="29"/>
        <v>7.5655243664663049E-4</v>
      </c>
      <c r="O98" s="17">
        <f t="shared" si="30"/>
        <v>8.7058287417382844E-4</v>
      </c>
      <c r="P98" s="17">
        <f t="shared" si="31"/>
        <v>1.0180911467405399E-3</v>
      </c>
      <c r="Q98" s="22">
        <f t="shared" si="32"/>
        <v>-5.806380064010702E-3</v>
      </c>
      <c r="R98" s="22">
        <f t="shared" si="33"/>
        <v>-1.9307900492454119E-2</v>
      </c>
      <c r="S98" s="22">
        <f t="shared" si="34"/>
        <v>9.1468641425744013E-3</v>
      </c>
      <c r="T98" s="22">
        <f t="shared" si="35"/>
        <v>-6.7671515755898951E-3</v>
      </c>
      <c r="U98" s="22">
        <f t="shared" si="36"/>
        <v>-2.7244632701507621E-2</v>
      </c>
      <c r="V98" s="22">
        <f t="shared" si="37"/>
        <v>9.911562461498108E-4</v>
      </c>
      <c r="W98" s="22">
        <f t="shared" si="38"/>
        <v>1.1248314282645314E-3</v>
      </c>
      <c r="X98" s="22">
        <f t="shared" si="39"/>
        <v>1.3340355313468787E-3</v>
      </c>
      <c r="AE98" s="48" t="s">
        <v>126</v>
      </c>
    </row>
    <row r="99" spans="1:31" x14ac:dyDescent="0.35">
      <c r="A99" s="3">
        <v>16.59</v>
      </c>
      <c r="B99" s="3">
        <v>40.5</v>
      </c>
      <c r="C99" s="3">
        <v>130.44999999999999</v>
      </c>
      <c r="D99" s="3">
        <v>15.04</v>
      </c>
      <c r="E99" s="3">
        <v>31.91</v>
      </c>
      <c r="F99" s="3">
        <v>115.861305</v>
      </c>
      <c r="G99" s="3">
        <v>110.523223</v>
      </c>
      <c r="H99" s="3">
        <v>109.763605</v>
      </c>
      <c r="I99" s="17">
        <f t="shared" si="24"/>
        <v>3.022974607013344E-3</v>
      </c>
      <c r="J99" s="17">
        <f t="shared" si="25"/>
        <v>1.1994002998500671E-2</v>
      </c>
      <c r="K99" s="17">
        <f t="shared" si="26"/>
        <v>-4.9890750182083193E-2</v>
      </c>
      <c r="L99" s="17">
        <f t="shared" si="27"/>
        <v>4.6760187040747166E-3</v>
      </c>
      <c r="M99" s="17">
        <f t="shared" si="28"/>
        <v>1.2052013954963494E-2</v>
      </c>
      <c r="N99" s="17">
        <f t="shared" si="29"/>
        <v>2.4823401650936505E-3</v>
      </c>
      <c r="O99" s="17">
        <f t="shared" si="30"/>
        <v>4.2928268195866481E-3</v>
      </c>
      <c r="P99" s="17">
        <f t="shared" si="31"/>
        <v>4.3245842998168686E-3</v>
      </c>
      <c r="Q99" s="22">
        <f t="shared" si="32"/>
        <v>2.6285007366286107E-3</v>
      </c>
      <c r="R99" s="22">
        <f t="shared" si="33"/>
        <v>1.1563278284423507E-2</v>
      </c>
      <c r="S99" s="22">
        <f t="shared" si="34"/>
        <v>-5.0302709568920641E-2</v>
      </c>
      <c r="T99" s="22">
        <f t="shared" si="35"/>
        <v>4.5445671948417983E-3</v>
      </c>
      <c r="U99" s="22">
        <f t="shared" si="36"/>
        <v>1.1358786008009731E-2</v>
      </c>
      <c r="V99" s="22">
        <f t="shared" si="37"/>
        <v>2.7169439745968306E-3</v>
      </c>
      <c r="W99" s="22">
        <f t="shared" si="38"/>
        <v>4.5470753736773515E-3</v>
      </c>
      <c r="X99" s="22">
        <f t="shared" si="39"/>
        <v>4.640528684423207E-3</v>
      </c>
      <c r="AE99" s="48" t="s">
        <v>127</v>
      </c>
    </row>
    <row r="100" spans="1:31" x14ac:dyDescent="0.35">
      <c r="A100" s="3">
        <v>15.9</v>
      </c>
      <c r="B100" s="3">
        <v>41.25</v>
      </c>
      <c r="C100" s="3">
        <v>131.11000000000001</v>
      </c>
      <c r="D100" s="3">
        <v>14.9</v>
      </c>
      <c r="E100" s="3">
        <v>31.67</v>
      </c>
      <c r="F100" s="3">
        <v>116.52349599999999</v>
      </c>
      <c r="G100" s="3">
        <v>111.4546</v>
      </c>
      <c r="H100" s="3">
        <v>110.97067699999999</v>
      </c>
      <c r="I100" s="17">
        <f t="shared" si="24"/>
        <v>-4.1591320072332703E-2</v>
      </c>
      <c r="J100" s="17">
        <f t="shared" si="25"/>
        <v>1.8518518518518517E-2</v>
      </c>
      <c r="K100" s="17">
        <f t="shared" si="26"/>
        <v>5.0594097355310466E-3</v>
      </c>
      <c r="L100" s="17">
        <f t="shared" si="27"/>
        <v>-9.3085106382977921E-3</v>
      </c>
      <c r="M100" s="17">
        <f t="shared" si="28"/>
        <v>-7.5211532434972875E-3</v>
      </c>
      <c r="N100" s="17">
        <f t="shared" si="29"/>
        <v>5.7153766738601199E-3</v>
      </c>
      <c r="O100" s="17">
        <f t="shared" si="30"/>
        <v>8.4269800926814967E-3</v>
      </c>
      <c r="P100" s="17">
        <f t="shared" si="31"/>
        <v>1.0997014903072805E-2</v>
      </c>
      <c r="Q100" s="22">
        <f t="shared" si="32"/>
        <v>-4.1985793942717439E-2</v>
      </c>
      <c r="R100" s="22">
        <f t="shared" si="33"/>
        <v>1.8087793804441355E-2</v>
      </c>
      <c r="S100" s="22">
        <f t="shared" si="34"/>
        <v>4.6474503486936001E-3</v>
      </c>
      <c r="T100" s="22">
        <f t="shared" si="35"/>
        <v>-9.4399621475307095E-3</v>
      </c>
      <c r="U100" s="22">
        <f t="shared" si="36"/>
        <v>-8.2143811904510505E-3</v>
      </c>
      <c r="V100" s="22">
        <f t="shared" si="37"/>
        <v>5.9499804833633005E-3</v>
      </c>
      <c r="W100" s="22">
        <f t="shared" si="38"/>
        <v>8.6812286467721992E-3</v>
      </c>
      <c r="X100" s="22">
        <f t="shared" si="39"/>
        <v>1.1312959287679144E-2</v>
      </c>
      <c r="AE100" s="48" t="s">
        <v>128</v>
      </c>
    </row>
    <row r="101" spans="1:31" x14ac:dyDescent="0.35">
      <c r="A101" s="3">
        <v>15.97</v>
      </c>
      <c r="B101" s="3">
        <v>42.55</v>
      </c>
      <c r="C101" s="3">
        <v>131.37</v>
      </c>
      <c r="D101" s="3">
        <v>15.03</v>
      </c>
      <c r="E101" s="3">
        <v>31.61</v>
      </c>
      <c r="F101" s="3">
        <v>116.57104200000001</v>
      </c>
      <c r="G101" s="3">
        <v>111.474965</v>
      </c>
      <c r="H101" s="3">
        <v>111.175634</v>
      </c>
      <c r="I101" s="17">
        <f t="shared" si="24"/>
        <v>4.4025157232704584E-3</v>
      </c>
      <c r="J101" s="17">
        <f t="shared" si="25"/>
        <v>3.1515151515151447E-2</v>
      </c>
      <c r="K101" s="17">
        <f t="shared" si="26"/>
        <v>1.9830676531156347E-3</v>
      </c>
      <c r="L101" s="17">
        <f t="shared" si="27"/>
        <v>8.724832214765034E-3</v>
      </c>
      <c r="M101" s="17">
        <f t="shared" si="28"/>
        <v>-1.8945374171140596E-3</v>
      </c>
      <c r="N101" s="17">
        <f t="shared" si="29"/>
        <v>4.0803787761406674E-4</v>
      </c>
      <c r="O101" s="17">
        <f t="shared" si="30"/>
        <v>1.8272013896239537E-4</v>
      </c>
      <c r="P101" s="17">
        <f t="shared" si="31"/>
        <v>1.8469473697092737E-3</v>
      </c>
      <c r="Q101" s="22">
        <f t="shared" si="32"/>
        <v>4.0080418528857251E-3</v>
      </c>
      <c r="R101" s="22">
        <f t="shared" si="33"/>
        <v>3.1084426801074285E-2</v>
      </c>
      <c r="S101" s="22">
        <f t="shared" si="34"/>
        <v>1.5711082662781877E-3</v>
      </c>
      <c r="T101" s="22">
        <f t="shared" si="35"/>
        <v>8.5933807055321165E-3</v>
      </c>
      <c r="U101" s="22">
        <f t="shared" si="36"/>
        <v>-2.587765364067822E-3</v>
      </c>
      <c r="V101" s="22">
        <f t="shared" si="37"/>
        <v>6.42641687117247E-4</v>
      </c>
      <c r="W101" s="22">
        <f t="shared" si="38"/>
        <v>4.3696869305309834E-4</v>
      </c>
      <c r="X101" s="22">
        <f t="shared" si="39"/>
        <v>2.1628917543156123E-3</v>
      </c>
      <c r="AE101" s="48" t="s">
        <v>133</v>
      </c>
    </row>
    <row r="102" spans="1:31" x14ac:dyDescent="0.35">
      <c r="A102" s="3">
        <v>16.21</v>
      </c>
      <c r="B102" s="3">
        <v>43.24</v>
      </c>
      <c r="C102" s="3">
        <v>138.02000000000001</v>
      </c>
      <c r="D102" s="3">
        <v>15.24</v>
      </c>
      <c r="E102" s="3">
        <v>32</v>
      </c>
      <c r="F102" s="3">
        <v>116.23224</v>
      </c>
      <c r="G102" s="3">
        <v>111.23161899999999</v>
      </c>
      <c r="H102" s="3">
        <v>110.59644900000001</v>
      </c>
      <c r="I102" s="17">
        <f t="shared" si="24"/>
        <v>1.5028177833437708E-2</v>
      </c>
      <c r="J102" s="17">
        <f t="shared" si="25"/>
        <v>1.6216216216216332E-2</v>
      </c>
      <c r="K102" s="17">
        <f t="shared" si="26"/>
        <v>5.0620385171652627E-2</v>
      </c>
      <c r="L102" s="17">
        <f t="shared" si="27"/>
        <v>1.397205588822361E-2</v>
      </c>
      <c r="M102" s="17">
        <f t="shared" si="28"/>
        <v>1.2337867763366041E-2</v>
      </c>
      <c r="N102" s="17">
        <f t="shared" si="29"/>
        <v>-2.9063993440154815E-3</v>
      </c>
      <c r="O102" s="17">
        <f t="shared" si="30"/>
        <v>-2.1829654757012261E-3</v>
      </c>
      <c r="P102" s="17">
        <f t="shared" si="31"/>
        <v>-5.2096397309503569E-3</v>
      </c>
      <c r="Q102" s="22">
        <f t="shared" si="32"/>
        <v>1.4633703963052974E-2</v>
      </c>
      <c r="R102" s="22">
        <f t="shared" si="33"/>
        <v>1.5785491502139169E-2</v>
      </c>
      <c r="S102" s="22">
        <f t="shared" si="34"/>
        <v>5.0208425784815179E-2</v>
      </c>
      <c r="T102" s="22">
        <f t="shared" si="35"/>
        <v>1.3840604378990692E-2</v>
      </c>
      <c r="U102" s="22">
        <f t="shared" si="36"/>
        <v>1.1644639816412278E-2</v>
      </c>
      <c r="V102" s="22">
        <f t="shared" si="37"/>
        <v>-2.6717955345123014E-3</v>
      </c>
      <c r="W102" s="22">
        <f t="shared" si="38"/>
        <v>-1.9287169216105232E-3</v>
      </c>
      <c r="X102" s="22">
        <f t="shared" si="39"/>
        <v>-4.8936953463440186E-3</v>
      </c>
      <c r="AE102" s="48" t="s">
        <v>131</v>
      </c>
    </row>
    <row r="103" spans="1:31" x14ac:dyDescent="0.35">
      <c r="A103" s="3">
        <v>16.47</v>
      </c>
      <c r="B103" s="3">
        <v>43.29</v>
      </c>
      <c r="C103" s="3">
        <v>136.19999999999999</v>
      </c>
      <c r="D103" s="3">
        <v>15.31</v>
      </c>
      <c r="E103" s="3">
        <v>33.03</v>
      </c>
      <c r="F103" s="3">
        <v>116.386523</v>
      </c>
      <c r="G103" s="3">
        <v>111.93852</v>
      </c>
      <c r="H103" s="3">
        <v>111.443673</v>
      </c>
      <c r="I103" s="17">
        <f t="shared" si="24"/>
        <v>1.6039481801357062E-2</v>
      </c>
      <c r="J103" s="17">
        <f t="shared" si="25"/>
        <v>1.1563367252543284E-3</v>
      </c>
      <c r="K103" s="17">
        <f t="shared" si="26"/>
        <v>-1.3186494710911618E-2</v>
      </c>
      <c r="L103" s="17">
        <f t="shared" si="27"/>
        <v>4.5931758530183917E-3</v>
      </c>
      <c r="M103" s="17">
        <f t="shared" si="28"/>
        <v>3.2187500000000036E-2</v>
      </c>
      <c r="N103" s="17">
        <f t="shared" si="29"/>
        <v>1.3273683790314321E-3</v>
      </c>
      <c r="O103" s="17">
        <f t="shared" si="30"/>
        <v>6.3552163166842156E-3</v>
      </c>
      <c r="P103" s="17">
        <f t="shared" si="31"/>
        <v>7.6604991178333137E-3</v>
      </c>
      <c r="Q103" s="22">
        <f t="shared" si="32"/>
        <v>1.5645007930972329E-2</v>
      </c>
      <c r="R103" s="22">
        <f t="shared" si="33"/>
        <v>7.2561201117716492E-4</v>
      </c>
      <c r="S103" s="22">
        <f t="shared" si="34"/>
        <v>-1.3598454097749065E-2</v>
      </c>
      <c r="T103" s="22">
        <f t="shared" si="35"/>
        <v>4.4617243437854734E-3</v>
      </c>
      <c r="U103" s="22">
        <f t="shared" si="36"/>
        <v>3.1494272053046272E-2</v>
      </c>
      <c r="V103" s="22">
        <f t="shared" si="37"/>
        <v>1.5619721885346124E-3</v>
      </c>
      <c r="W103" s="22">
        <f t="shared" si="38"/>
        <v>6.609464870774919E-3</v>
      </c>
      <c r="X103" s="22">
        <f t="shared" si="39"/>
        <v>7.9764435024396521E-3</v>
      </c>
      <c r="AE103" s="48" t="s">
        <v>129</v>
      </c>
    </row>
    <row r="104" spans="1:31" x14ac:dyDescent="0.35">
      <c r="A104" s="3">
        <v>16.809999999999999</v>
      </c>
      <c r="B104" s="3">
        <v>43.85</v>
      </c>
      <c r="C104" s="3">
        <v>137.47999999999999</v>
      </c>
      <c r="D104" s="3">
        <v>15.58</v>
      </c>
      <c r="E104" s="3">
        <v>33.409999999999997</v>
      </c>
      <c r="F104" s="3">
        <v>116.94291</v>
      </c>
      <c r="G104" s="3">
        <v>112.035427</v>
      </c>
      <c r="H104" s="3">
        <v>111.74186</v>
      </c>
      <c r="I104" s="17">
        <f t="shared" si="24"/>
        <v>2.0643594414086211E-2</v>
      </c>
      <c r="J104" s="17">
        <f t="shared" si="25"/>
        <v>1.293601293601299E-2</v>
      </c>
      <c r="K104" s="17">
        <f t="shared" si="26"/>
        <v>9.3979441997063227E-3</v>
      </c>
      <c r="L104" s="17">
        <f t="shared" si="27"/>
        <v>1.7635532331809246E-2</v>
      </c>
      <c r="M104" s="17">
        <f t="shared" si="28"/>
        <v>1.1504692703602647E-2</v>
      </c>
      <c r="N104" s="17">
        <f t="shared" si="29"/>
        <v>4.7805105407264454E-3</v>
      </c>
      <c r="O104" s="17">
        <f t="shared" si="30"/>
        <v>8.6571628783372906E-4</v>
      </c>
      <c r="P104" s="17">
        <f t="shared" si="31"/>
        <v>2.6756745535477695E-3</v>
      </c>
      <c r="Q104" s="22">
        <f t="shared" si="32"/>
        <v>2.0249120543701479E-2</v>
      </c>
      <c r="R104" s="22">
        <f t="shared" si="33"/>
        <v>1.2505288221935825E-2</v>
      </c>
      <c r="S104" s="22">
        <f t="shared" si="34"/>
        <v>8.9859848128688753E-3</v>
      </c>
      <c r="T104" s="22">
        <f t="shared" si="35"/>
        <v>1.7504080822576328E-2</v>
      </c>
      <c r="U104" s="22">
        <f t="shared" si="36"/>
        <v>1.0811464756648884E-2</v>
      </c>
      <c r="V104" s="22">
        <f t="shared" si="37"/>
        <v>5.0151143502296259E-3</v>
      </c>
      <c r="W104" s="22">
        <f t="shared" si="38"/>
        <v>1.1199648419244321E-3</v>
      </c>
      <c r="X104" s="22">
        <f t="shared" si="39"/>
        <v>2.9916189381541084E-3</v>
      </c>
      <c r="AE104" s="48" t="s">
        <v>130</v>
      </c>
    </row>
    <row r="105" spans="1:31" x14ac:dyDescent="0.35">
      <c r="A105" s="3">
        <v>17.64</v>
      </c>
      <c r="B105" s="3">
        <v>43.56</v>
      </c>
      <c r="C105" s="3">
        <v>132.11000000000001</v>
      </c>
      <c r="D105" s="3">
        <v>15.24</v>
      </c>
      <c r="E105" s="3">
        <v>34.06</v>
      </c>
      <c r="F105" s="3">
        <v>117.434715</v>
      </c>
      <c r="G105" s="3">
        <v>112.593794</v>
      </c>
      <c r="H105" s="3">
        <v>112.040937</v>
      </c>
      <c r="I105" s="17">
        <f t="shared" si="24"/>
        <v>4.9375371802498624E-2</v>
      </c>
      <c r="J105" s="17">
        <f t="shared" si="25"/>
        <v>-6.6134549600912005E-3</v>
      </c>
      <c r="K105" s="17">
        <f t="shared" si="26"/>
        <v>-3.9060226942100498E-2</v>
      </c>
      <c r="L105" s="17">
        <f t="shared" si="27"/>
        <v>-2.1822849807445435E-2</v>
      </c>
      <c r="M105" s="17">
        <f t="shared" si="28"/>
        <v>1.9455252918288111E-2</v>
      </c>
      <c r="N105" s="17">
        <f t="shared" si="29"/>
        <v>4.2055136134375257E-3</v>
      </c>
      <c r="O105" s="17">
        <f t="shared" si="30"/>
        <v>4.9838431909578389E-3</v>
      </c>
      <c r="P105" s="17">
        <f t="shared" si="31"/>
        <v>2.6764992098753048E-3</v>
      </c>
      <c r="Q105" s="22">
        <f t="shared" si="32"/>
        <v>4.8980897932113888E-2</v>
      </c>
      <c r="R105" s="22">
        <f t="shared" si="33"/>
        <v>-7.0441796741683637E-3</v>
      </c>
      <c r="S105" s="22">
        <f t="shared" si="34"/>
        <v>-3.9472186328937946E-2</v>
      </c>
      <c r="T105" s="22">
        <f t="shared" si="35"/>
        <v>-2.1954301316678353E-2</v>
      </c>
      <c r="U105" s="22">
        <f t="shared" si="36"/>
        <v>1.8762024971334348E-2</v>
      </c>
      <c r="V105" s="22">
        <f t="shared" si="37"/>
        <v>4.4401174229407063E-3</v>
      </c>
      <c r="W105" s="22">
        <f t="shared" si="38"/>
        <v>5.2380917450485422E-3</v>
      </c>
      <c r="X105" s="22">
        <f t="shared" si="39"/>
        <v>2.9924435944816436E-3</v>
      </c>
      <c r="AE105" s="48" t="s">
        <v>132</v>
      </c>
    </row>
    <row r="106" spans="1:31" x14ac:dyDescent="0.35">
      <c r="A106" s="3">
        <v>16.73</v>
      </c>
      <c r="B106" s="3">
        <v>43.69</v>
      </c>
      <c r="C106" s="3">
        <v>133.91</v>
      </c>
      <c r="D106" s="3">
        <v>15.24</v>
      </c>
      <c r="E106" s="3">
        <v>34.380000000000003</v>
      </c>
      <c r="F106" s="3">
        <v>117.185806</v>
      </c>
      <c r="G106" s="3">
        <v>112.382999</v>
      </c>
      <c r="H106" s="3">
        <v>111.968948</v>
      </c>
      <c r="I106" s="17">
        <f t="shared" si="24"/>
        <v>-5.1587301587301591E-2</v>
      </c>
      <c r="J106" s="17">
        <f t="shared" si="25"/>
        <v>2.9843893480256071E-3</v>
      </c>
      <c r="K106" s="17">
        <f t="shared" si="26"/>
        <v>1.3625009461811995E-2</v>
      </c>
      <c r="L106" s="17">
        <f t="shared" si="27"/>
        <v>0</v>
      </c>
      <c r="M106" s="17">
        <f t="shared" si="28"/>
        <v>9.3951849677040601E-3</v>
      </c>
      <c r="N106" s="17">
        <f t="shared" si="29"/>
        <v>-2.1195521273245106E-3</v>
      </c>
      <c r="O106" s="17">
        <f t="shared" si="30"/>
        <v>-1.8721724573914306E-3</v>
      </c>
      <c r="P106" s="17">
        <f t="shared" si="31"/>
        <v>-6.4252408028328144E-4</v>
      </c>
      <c r="Q106" s="22">
        <f t="shared" si="32"/>
        <v>-5.1981775457686327E-2</v>
      </c>
      <c r="R106" s="22">
        <f t="shared" si="33"/>
        <v>2.5536646339484434E-3</v>
      </c>
      <c r="S106" s="22">
        <f t="shared" si="34"/>
        <v>1.3213050074974548E-2</v>
      </c>
      <c r="T106" s="22">
        <f t="shared" si="35"/>
        <v>-1.3145150923291827E-4</v>
      </c>
      <c r="U106" s="22">
        <f t="shared" si="36"/>
        <v>8.7019570207502971E-3</v>
      </c>
      <c r="V106" s="22">
        <f t="shared" si="37"/>
        <v>-1.8849483178213302E-3</v>
      </c>
      <c r="W106" s="22">
        <f t="shared" si="38"/>
        <v>-1.6179239033007275E-3</v>
      </c>
      <c r="X106" s="22">
        <f t="shared" si="39"/>
        <v>-3.2657969567694267E-4</v>
      </c>
    </row>
    <row r="107" spans="1:31" x14ac:dyDescent="0.35">
      <c r="A107" s="3">
        <v>16.559999999999999</v>
      </c>
      <c r="B107" s="3">
        <v>44.2</v>
      </c>
      <c r="C107" s="3">
        <v>132.96</v>
      </c>
      <c r="D107" s="3">
        <v>15.29</v>
      </c>
      <c r="E107" s="3">
        <v>33.49</v>
      </c>
      <c r="F107" s="3">
        <v>117.18049600000001</v>
      </c>
      <c r="G107" s="3">
        <v>111.907554</v>
      </c>
      <c r="H107" s="3">
        <v>111.384987</v>
      </c>
      <c r="I107" s="17">
        <f t="shared" si="24"/>
        <v>-1.016138673042449E-2</v>
      </c>
      <c r="J107" s="17">
        <f t="shared" si="25"/>
        <v>1.1673151750972881E-2</v>
      </c>
      <c r="K107" s="17">
        <f t="shared" si="26"/>
        <v>-7.0943170786348193E-3</v>
      </c>
      <c r="L107" s="17">
        <f t="shared" si="27"/>
        <v>3.2808398950130535E-3</v>
      </c>
      <c r="M107" s="17">
        <f t="shared" si="28"/>
        <v>-2.5887143688190822E-2</v>
      </c>
      <c r="N107" s="17">
        <f t="shared" si="29"/>
        <v>-4.5312655015526156E-5</v>
      </c>
      <c r="O107" s="17">
        <f t="shared" si="30"/>
        <v>-4.2305776161036014E-3</v>
      </c>
      <c r="P107" s="17">
        <f t="shared" si="31"/>
        <v>-5.2153834650657087E-3</v>
      </c>
      <c r="Q107" s="22">
        <f t="shared" si="32"/>
        <v>-1.0555860600809224E-2</v>
      </c>
      <c r="R107" s="22">
        <f t="shared" si="33"/>
        <v>1.1242427036895717E-2</v>
      </c>
      <c r="S107" s="22">
        <f t="shared" si="34"/>
        <v>-7.5062764654722659E-3</v>
      </c>
      <c r="T107" s="22">
        <f t="shared" si="35"/>
        <v>3.1493883857801352E-3</v>
      </c>
      <c r="U107" s="22">
        <f t="shared" si="36"/>
        <v>-2.6580371635144585E-2</v>
      </c>
      <c r="V107" s="22">
        <f t="shared" si="37"/>
        <v>1.8929115448765413E-4</v>
      </c>
      <c r="W107" s="22">
        <f t="shared" si="38"/>
        <v>-3.9763290620128981E-3</v>
      </c>
      <c r="X107" s="22">
        <f t="shared" si="39"/>
        <v>-4.8994390804593703E-3</v>
      </c>
    </row>
    <row r="108" spans="1:31" x14ac:dyDescent="0.35">
      <c r="A108" s="3">
        <v>16.37</v>
      </c>
      <c r="B108" s="3">
        <v>43.75</v>
      </c>
      <c r="C108" s="3">
        <v>131.83000000000001</v>
      </c>
      <c r="D108" s="3">
        <v>15.35</v>
      </c>
      <c r="E108" s="3">
        <v>33.020000000000003</v>
      </c>
      <c r="F108" s="3">
        <v>116.665707</v>
      </c>
      <c r="G108" s="3">
        <v>111.77538300000001</v>
      </c>
      <c r="H108" s="3">
        <v>111.40594400000001</v>
      </c>
      <c r="I108" s="17">
        <f t="shared" si="24"/>
        <v>-1.1473429951690685E-2</v>
      </c>
      <c r="J108" s="17">
        <f t="shared" si="25"/>
        <v>-1.0180995475113187E-2</v>
      </c>
      <c r="K108" s="17">
        <f t="shared" si="26"/>
        <v>-8.4987966305655489E-3</v>
      </c>
      <c r="L108" s="17">
        <f t="shared" si="27"/>
        <v>3.9241334205363312E-3</v>
      </c>
      <c r="M108" s="17">
        <f t="shared" si="28"/>
        <v>-1.4034040011943829E-2</v>
      </c>
      <c r="N108" s="17">
        <f t="shared" si="29"/>
        <v>-4.393128699506507E-3</v>
      </c>
      <c r="O108" s="17">
        <f t="shared" si="30"/>
        <v>-1.1810730846641469E-3</v>
      </c>
      <c r="P108" s="17">
        <f t="shared" si="31"/>
        <v>1.8814923415136624E-4</v>
      </c>
      <c r="Q108" s="22">
        <f t="shared" si="32"/>
        <v>-1.1867903822075419E-2</v>
      </c>
      <c r="R108" s="22">
        <f t="shared" si="33"/>
        <v>-1.0611720189190351E-2</v>
      </c>
      <c r="S108" s="22">
        <f t="shared" si="34"/>
        <v>-8.9107560174029963E-3</v>
      </c>
      <c r="T108" s="22">
        <f t="shared" si="35"/>
        <v>3.7926819113034129E-3</v>
      </c>
      <c r="U108" s="22">
        <f t="shared" si="36"/>
        <v>-1.4727267958897592E-2</v>
      </c>
      <c r="V108" s="22">
        <f t="shared" si="37"/>
        <v>-4.1585248900033265E-3</v>
      </c>
      <c r="W108" s="22">
        <f t="shared" si="38"/>
        <v>-9.2682453057344393E-4</v>
      </c>
      <c r="X108" s="22">
        <f t="shared" si="39"/>
        <v>5.0409361875770496E-4</v>
      </c>
    </row>
    <row r="109" spans="1:31" x14ac:dyDescent="0.35">
      <c r="A109" s="3">
        <v>16.850000000000001</v>
      </c>
      <c r="B109" s="3">
        <v>44.26</v>
      </c>
      <c r="C109" s="3">
        <v>138.99</v>
      </c>
      <c r="D109" s="3">
        <v>15.99</v>
      </c>
      <c r="E109" s="3">
        <v>35.340000000000003</v>
      </c>
      <c r="F109" s="3">
        <v>117.356122</v>
      </c>
      <c r="G109" s="3">
        <v>112.33073</v>
      </c>
      <c r="H109" s="3">
        <v>112.073269</v>
      </c>
      <c r="I109" s="17">
        <f t="shared" si="24"/>
        <v>2.9321930360415419E-2</v>
      </c>
      <c r="J109" s="17">
        <f t="shared" si="25"/>
        <v>1.1657142857142812E-2</v>
      </c>
      <c r="K109" s="17">
        <f t="shared" si="26"/>
        <v>5.431237199423497E-2</v>
      </c>
      <c r="L109" s="17">
        <f t="shared" si="27"/>
        <v>4.1693811074918603E-2</v>
      </c>
      <c r="M109" s="17">
        <f t="shared" si="28"/>
        <v>7.0260448213204124E-2</v>
      </c>
      <c r="N109" s="17">
        <f t="shared" si="29"/>
        <v>5.91789153602782E-3</v>
      </c>
      <c r="O109" s="17">
        <f t="shared" si="30"/>
        <v>4.9684195669452329E-3</v>
      </c>
      <c r="P109" s="17">
        <f t="shared" si="31"/>
        <v>5.9900304780864388E-3</v>
      </c>
      <c r="Q109" s="22">
        <f t="shared" si="32"/>
        <v>2.8927456490030687E-2</v>
      </c>
      <c r="R109" s="22">
        <f t="shared" si="33"/>
        <v>1.1226418143065648E-2</v>
      </c>
      <c r="S109" s="22">
        <f t="shared" si="34"/>
        <v>5.3900412607397523E-2</v>
      </c>
      <c r="T109" s="22">
        <f t="shared" si="35"/>
        <v>4.1562359565685686E-2</v>
      </c>
      <c r="U109" s="22">
        <f t="shared" si="36"/>
        <v>6.9567220266250368E-2</v>
      </c>
      <c r="V109" s="22">
        <f t="shared" si="37"/>
        <v>6.1524953455310005E-3</v>
      </c>
      <c r="W109" s="22">
        <f t="shared" si="38"/>
        <v>5.2226681210359362E-3</v>
      </c>
      <c r="X109" s="22">
        <f t="shared" si="39"/>
        <v>6.3059748626927772E-3</v>
      </c>
    </row>
    <row r="110" spans="1:31" x14ac:dyDescent="0.35">
      <c r="A110" s="3">
        <v>16.88</v>
      </c>
      <c r="B110" s="3">
        <v>45.27</v>
      </c>
      <c r="C110" s="3">
        <v>132.81</v>
      </c>
      <c r="D110" s="3">
        <v>15.63</v>
      </c>
      <c r="E110" s="3">
        <v>35.200000000000003</v>
      </c>
      <c r="F110" s="3">
        <v>113.416112</v>
      </c>
      <c r="G110" s="3">
        <v>109.28033000000001</v>
      </c>
      <c r="H110" s="3">
        <v>109.10844899999999</v>
      </c>
      <c r="I110" s="17">
        <f t="shared" si="24"/>
        <v>1.7804154302669187E-3</v>
      </c>
      <c r="J110" s="17">
        <f t="shared" si="25"/>
        <v>2.2819701762313717E-2</v>
      </c>
      <c r="K110" s="17">
        <f t="shared" si="26"/>
        <v>-4.446363047701278E-2</v>
      </c>
      <c r="L110" s="17">
        <f t="shared" si="27"/>
        <v>-2.2514071294559065E-2</v>
      </c>
      <c r="M110" s="17">
        <f t="shared" si="28"/>
        <v>-3.9615166949632302E-3</v>
      </c>
      <c r="N110" s="17">
        <f t="shared" si="29"/>
        <v>-3.3573110058970769E-2</v>
      </c>
      <c r="O110" s="17">
        <f t="shared" si="30"/>
        <v>-2.7155525473750559E-2</v>
      </c>
      <c r="P110" s="17">
        <f t="shared" si="31"/>
        <v>-2.6454301069776087E-2</v>
      </c>
      <c r="Q110" s="22">
        <f t="shared" si="32"/>
        <v>1.3859415598821854E-3</v>
      </c>
      <c r="R110" s="22">
        <f t="shared" si="33"/>
        <v>2.2388977048236555E-2</v>
      </c>
      <c r="S110" s="22">
        <f t="shared" si="34"/>
        <v>-4.4875589863850228E-2</v>
      </c>
      <c r="T110" s="22">
        <f t="shared" si="35"/>
        <v>-2.2645522803791982E-2</v>
      </c>
      <c r="U110" s="22">
        <f t="shared" si="36"/>
        <v>-4.6547446419169924E-3</v>
      </c>
      <c r="V110" s="22">
        <f t="shared" si="37"/>
        <v>-3.3338506249467589E-2</v>
      </c>
      <c r="W110" s="22">
        <f t="shared" si="38"/>
        <v>-2.6901276919659857E-2</v>
      </c>
      <c r="X110" s="22">
        <f t="shared" si="39"/>
        <v>-2.6138356685169749E-2</v>
      </c>
    </row>
    <row r="111" spans="1:31" x14ac:dyDescent="0.35">
      <c r="A111" s="3">
        <v>16.63</v>
      </c>
      <c r="B111" s="3">
        <v>45.25</v>
      </c>
      <c r="C111" s="3">
        <v>132.79</v>
      </c>
      <c r="D111" s="3">
        <v>15.66</v>
      </c>
      <c r="E111" s="3">
        <v>36.07</v>
      </c>
      <c r="F111" s="3">
        <v>113.773651</v>
      </c>
      <c r="G111" s="3">
        <v>108.68275300000001</v>
      </c>
      <c r="H111" s="3">
        <v>108.381826</v>
      </c>
      <c r="I111" s="17">
        <f t="shared" si="24"/>
        <v>-1.481042654028436E-2</v>
      </c>
      <c r="J111" s="17">
        <f t="shared" si="25"/>
        <v>-4.4179368235041142E-4</v>
      </c>
      <c r="K111" s="17">
        <f t="shared" si="26"/>
        <v>-1.5059106994962904E-4</v>
      </c>
      <c r="L111" s="17">
        <f t="shared" si="27"/>
        <v>1.9193857965450645E-3</v>
      </c>
      <c r="M111" s="17">
        <f t="shared" si="28"/>
        <v>2.4715909090909018E-2</v>
      </c>
      <c r="N111" s="17">
        <f t="shared" si="29"/>
        <v>3.1524533304404115E-3</v>
      </c>
      <c r="O111" s="17">
        <f t="shared" si="30"/>
        <v>-5.4682942483793842E-3</v>
      </c>
      <c r="P111" s="17">
        <f t="shared" si="31"/>
        <v>-6.6596400797521134E-3</v>
      </c>
      <c r="Q111" s="22">
        <f t="shared" si="32"/>
        <v>-1.5204900410669095E-2</v>
      </c>
      <c r="R111" s="22">
        <f t="shared" si="33"/>
        <v>-8.7251839642757487E-4</v>
      </c>
      <c r="S111" s="22">
        <f t="shared" si="34"/>
        <v>-5.6255045678707603E-4</v>
      </c>
      <c r="T111" s="22">
        <f t="shared" si="35"/>
        <v>1.7879342873121462E-3</v>
      </c>
      <c r="U111" s="22">
        <f t="shared" si="36"/>
        <v>2.4022681143955255E-2</v>
      </c>
      <c r="V111" s="22">
        <f t="shared" si="37"/>
        <v>3.3870571399435916E-3</v>
      </c>
      <c r="W111" s="22">
        <f t="shared" si="38"/>
        <v>-5.2140456942886809E-3</v>
      </c>
      <c r="X111" s="22">
        <f t="shared" si="39"/>
        <v>-6.343695695145775E-3</v>
      </c>
    </row>
    <row r="112" spans="1:31" x14ac:dyDescent="0.35">
      <c r="A112" s="3">
        <v>16.420000000000002</v>
      </c>
      <c r="B112" s="3">
        <v>44.74</v>
      </c>
      <c r="C112" s="3">
        <v>131.63</v>
      </c>
      <c r="D112" s="3">
        <v>15.92</v>
      </c>
      <c r="E112" s="3">
        <v>38.32</v>
      </c>
      <c r="F112" s="3">
        <v>113.024857</v>
      </c>
      <c r="G112" s="3">
        <v>108.66461099999999</v>
      </c>
      <c r="H112" s="3">
        <v>108.164113</v>
      </c>
      <c r="I112" s="17">
        <f t="shared" si="24"/>
        <v>-1.2627781118460451E-2</v>
      </c>
      <c r="J112" s="17">
        <f t="shared" si="25"/>
        <v>-1.1270718232044155E-2</v>
      </c>
      <c r="K112" s="17">
        <f t="shared" si="26"/>
        <v>-8.7355975600572084E-3</v>
      </c>
      <c r="L112" s="17">
        <f t="shared" si="27"/>
        <v>1.6602809706257968E-2</v>
      </c>
      <c r="M112" s="17">
        <f t="shared" si="28"/>
        <v>6.2378708067646241E-2</v>
      </c>
      <c r="N112" s="17">
        <f t="shared" si="29"/>
        <v>-6.5814359776500773E-3</v>
      </c>
      <c r="O112" s="17">
        <f t="shared" si="30"/>
        <v>-1.6692620953401546E-4</v>
      </c>
      <c r="P112" s="17">
        <f t="shared" si="31"/>
        <v>-2.0087592914332644E-3</v>
      </c>
      <c r="Q112" s="22">
        <f t="shared" si="32"/>
        <v>-1.3022254988845185E-2</v>
      </c>
      <c r="R112" s="22">
        <f t="shared" si="33"/>
        <v>-1.170144294612132E-2</v>
      </c>
      <c r="S112" s="22">
        <f t="shared" si="34"/>
        <v>-9.1475569468946558E-3</v>
      </c>
      <c r="T112" s="22">
        <f t="shared" si="35"/>
        <v>1.6471358197025051E-2</v>
      </c>
      <c r="U112" s="22">
        <f t="shared" si="36"/>
        <v>6.1685480120692478E-2</v>
      </c>
      <c r="V112" s="22">
        <f t="shared" si="37"/>
        <v>-6.3468321681468967E-3</v>
      </c>
      <c r="W112" s="22">
        <f t="shared" si="38"/>
        <v>8.7322344556687545E-5</v>
      </c>
      <c r="X112" s="22">
        <f t="shared" si="39"/>
        <v>-1.6928149068269256E-3</v>
      </c>
    </row>
    <row r="113" spans="1:24" x14ac:dyDescent="0.35">
      <c r="A113" s="3">
        <v>16.62</v>
      </c>
      <c r="B113" s="3">
        <v>44.5</v>
      </c>
      <c r="C113" s="3">
        <v>130.69999999999999</v>
      </c>
      <c r="D113" s="3">
        <v>16.239999999999998</v>
      </c>
      <c r="E113" s="3">
        <v>38.06</v>
      </c>
      <c r="F113" s="3">
        <v>113.111797</v>
      </c>
      <c r="G113" s="3">
        <v>108.684173</v>
      </c>
      <c r="H113" s="3">
        <v>108.276876</v>
      </c>
      <c r="I113" s="17">
        <f t="shared" si="24"/>
        <v>1.2180267965895206E-2</v>
      </c>
      <c r="J113" s="17">
        <f t="shared" si="25"/>
        <v>-5.3643272239607062E-3</v>
      </c>
      <c r="K113" s="17">
        <f t="shared" si="26"/>
        <v>-7.0652586796323543E-3</v>
      </c>
      <c r="L113" s="17">
        <f t="shared" si="27"/>
        <v>2.0100502512562721E-2</v>
      </c>
      <c r="M113" s="17">
        <f t="shared" si="28"/>
        <v>-6.7849686847598649E-3</v>
      </c>
      <c r="N113" s="17">
        <f t="shared" si="29"/>
        <v>7.6921132490349853E-4</v>
      </c>
      <c r="O113" s="17">
        <f t="shared" si="30"/>
        <v>1.8002181041266166E-4</v>
      </c>
      <c r="P113" s="17">
        <f t="shared" si="31"/>
        <v>1.0425176786685345E-3</v>
      </c>
      <c r="Q113" s="22">
        <f t="shared" si="32"/>
        <v>1.1785794095510472E-2</v>
      </c>
      <c r="R113" s="22">
        <f t="shared" si="33"/>
        <v>-5.7950519380378695E-3</v>
      </c>
      <c r="S113" s="22">
        <f t="shared" si="34"/>
        <v>-7.4772180664698009E-3</v>
      </c>
      <c r="T113" s="22">
        <f t="shared" si="35"/>
        <v>1.9969051003329803E-2</v>
      </c>
      <c r="U113" s="22">
        <f t="shared" si="36"/>
        <v>-7.478196631713627E-3</v>
      </c>
      <c r="V113" s="22">
        <f t="shared" si="37"/>
        <v>1.0038151344066788E-3</v>
      </c>
      <c r="W113" s="22">
        <f t="shared" si="38"/>
        <v>4.3427036450336467E-4</v>
      </c>
      <c r="X113" s="22">
        <f t="shared" si="39"/>
        <v>1.3584620632748734E-3</v>
      </c>
    </row>
    <row r="114" spans="1:24" x14ac:dyDescent="0.35">
      <c r="A114" s="3">
        <v>16.100000000000001</v>
      </c>
      <c r="B114" s="3">
        <v>44.63</v>
      </c>
      <c r="C114" s="3">
        <v>130.66999999999999</v>
      </c>
      <c r="D114" s="3">
        <v>16.13</v>
      </c>
      <c r="E114" s="3">
        <v>37.68</v>
      </c>
      <c r="F114" s="3">
        <v>112.797169</v>
      </c>
      <c r="G114" s="3">
        <v>108.244809</v>
      </c>
      <c r="H114" s="3">
        <v>107.65126100000001</v>
      </c>
      <c r="I114" s="17">
        <f t="shared" si="24"/>
        <v>-3.1287605294825487E-2</v>
      </c>
      <c r="J114" s="17">
        <f t="shared" si="25"/>
        <v>2.9213483146067992E-3</v>
      </c>
      <c r="K114" s="17">
        <f t="shared" si="26"/>
        <v>-2.2953328232594599E-4</v>
      </c>
      <c r="L114" s="17">
        <f t="shared" si="27"/>
        <v>-6.7733990147782908E-3</v>
      </c>
      <c r="M114" s="17">
        <f t="shared" si="28"/>
        <v>-9.9842354177614966E-3</v>
      </c>
      <c r="N114" s="17">
        <f t="shared" si="29"/>
        <v>-2.7815666300483144E-3</v>
      </c>
      <c r="O114" s="17">
        <f t="shared" si="30"/>
        <v>-4.0425757299546979E-3</v>
      </c>
      <c r="P114" s="17">
        <f t="shared" si="31"/>
        <v>-5.7779188235907017E-3</v>
      </c>
      <c r="Q114" s="22">
        <f t="shared" si="32"/>
        <v>-3.1682079165210222E-2</v>
      </c>
      <c r="R114" s="22">
        <f t="shared" si="33"/>
        <v>2.4906236005296355E-3</v>
      </c>
      <c r="S114" s="22">
        <f t="shared" si="34"/>
        <v>-6.414926691633929E-4</v>
      </c>
      <c r="T114" s="22">
        <f t="shared" si="35"/>
        <v>-6.9048505240112091E-3</v>
      </c>
      <c r="U114" s="22">
        <f t="shared" si="36"/>
        <v>-1.067746336471526E-2</v>
      </c>
      <c r="V114" s="22">
        <f t="shared" si="37"/>
        <v>-2.5469628205451343E-3</v>
      </c>
      <c r="W114" s="22">
        <f t="shared" si="38"/>
        <v>-3.788327175863995E-3</v>
      </c>
      <c r="X114" s="22">
        <f t="shared" si="39"/>
        <v>-5.4619744389843633E-3</v>
      </c>
    </row>
    <row r="115" spans="1:24" x14ac:dyDescent="0.35">
      <c r="A115" s="3">
        <v>16.149999999999999</v>
      </c>
      <c r="B115" s="3">
        <v>44.81</v>
      </c>
      <c r="C115" s="3">
        <v>132.11000000000001</v>
      </c>
      <c r="D115" s="3">
        <v>15.82</v>
      </c>
      <c r="E115" s="3">
        <v>36.42</v>
      </c>
      <c r="F115" s="3">
        <v>112.950789</v>
      </c>
      <c r="G115" s="3">
        <v>107.808122</v>
      </c>
      <c r="H115" s="3">
        <v>107.487984</v>
      </c>
      <c r="I115" s="17">
        <f t="shared" si="24"/>
        <v>3.1055900621116245E-3</v>
      </c>
      <c r="J115" s="17">
        <f t="shared" si="25"/>
        <v>4.0331615505265449E-3</v>
      </c>
      <c r="K115" s="17">
        <f t="shared" si="26"/>
        <v>1.1020127037575773E-2</v>
      </c>
      <c r="L115" s="17">
        <f t="shared" si="27"/>
        <v>-1.9218846869187772E-2</v>
      </c>
      <c r="M115" s="17">
        <f t="shared" si="28"/>
        <v>-3.3439490445859817E-2</v>
      </c>
      <c r="N115" s="17">
        <f t="shared" si="29"/>
        <v>1.3619136132752023E-3</v>
      </c>
      <c r="O115" s="17">
        <f t="shared" si="30"/>
        <v>-4.034253504017973E-3</v>
      </c>
      <c r="P115" s="17">
        <f t="shared" si="31"/>
        <v>-1.5167216666417674E-3</v>
      </c>
      <c r="Q115" s="22">
        <f t="shared" si="32"/>
        <v>2.7111161917268913E-3</v>
      </c>
      <c r="R115" s="22">
        <f t="shared" si="33"/>
        <v>3.6024368364493812E-3</v>
      </c>
      <c r="S115" s="22">
        <f t="shared" si="34"/>
        <v>1.0608167650738326E-2</v>
      </c>
      <c r="T115" s="22">
        <f t="shared" si="35"/>
        <v>-1.9350298378420689E-2</v>
      </c>
      <c r="U115" s="22">
        <f t="shared" si="36"/>
        <v>-3.413271839281358E-2</v>
      </c>
      <c r="V115" s="22">
        <f t="shared" si="37"/>
        <v>1.5965174227783826E-3</v>
      </c>
      <c r="W115" s="22">
        <f t="shared" si="38"/>
        <v>-3.7800049499272701E-3</v>
      </c>
      <c r="X115" s="22">
        <f t="shared" si="39"/>
        <v>-1.2007772820354285E-3</v>
      </c>
    </row>
    <row r="116" spans="1:24" x14ac:dyDescent="0.35">
      <c r="A116" s="3">
        <v>16.21</v>
      </c>
      <c r="B116" s="3">
        <v>44.88</v>
      </c>
      <c r="C116" s="3">
        <v>132.52000000000001</v>
      </c>
      <c r="D116" s="3">
        <v>15.64</v>
      </c>
      <c r="E116" s="3">
        <v>36.5</v>
      </c>
      <c r="F116" s="3">
        <v>112.637159</v>
      </c>
      <c r="G116" s="3">
        <v>107.90374799999999</v>
      </c>
      <c r="H116" s="3">
        <v>107.59996700000001</v>
      </c>
      <c r="I116" s="17">
        <f t="shared" si="24"/>
        <v>3.7151702786379121E-3</v>
      </c>
      <c r="J116" s="17">
        <f t="shared" si="25"/>
        <v>1.5621513055121686E-3</v>
      </c>
      <c r="K116" s="17">
        <f t="shared" si="26"/>
        <v>3.1034743774127358E-3</v>
      </c>
      <c r="L116" s="17">
        <f t="shared" si="27"/>
        <v>-1.1378002528444987E-2</v>
      </c>
      <c r="M116" s="17">
        <f t="shared" si="28"/>
        <v>2.196595277320107E-3</v>
      </c>
      <c r="N116" s="17">
        <f t="shared" si="29"/>
        <v>-2.7766959644700082E-3</v>
      </c>
      <c r="O116" s="17">
        <f t="shared" si="30"/>
        <v>8.8700181605979342E-4</v>
      </c>
      <c r="P116" s="17">
        <f t="shared" si="31"/>
        <v>1.0418187766923722E-3</v>
      </c>
      <c r="Q116" s="22">
        <f t="shared" si="32"/>
        <v>3.3206964082531788E-3</v>
      </c>
      <c r="R116" s="22">
        <f t="shared" si="33"/>
        <v>1.1314265914350052E-3</v>
      </c>
      <c r="S116" s="22">
        <f t="shared" si="34"/>
        <v>2.6915149905752888E-3</v>
      </c>
      <c r="T116" s="22">
        <f t="shared" si="35"/>
        <v>-1.1509454037677905E-2</v>
      </c>
      <c r="U116" s="22">
        <f t="shared" si="36"/>
        <v>1.5033673303663443E-3</v>
      </c>
      <c r="V116" s="22">
        <f t="shared" si="37"/>
        <v>-2.5420921549668281E-3</v>
      </c>
      <c r="W116" s="22">
        <f t="shared" si="38"/>
        <v>1.1412503701504965E-3</v>
      </c>
      <c r="X116" s="22">
        <f t="shared" si="39"/>
        <v>1.357763161298711E-3</v>
      </c>
    </row>
    <row r="117" spans="1:24" x14ac:dyDescent="0.35">
      <c r="A117" s="3">
        <v>15.65</v>
      </c>
      <c r="B117" s="3">
        <v>44.02</v>
      </c>
      <c r="C117" s="3">
        <v>131.24</v>
      </c>
      <c r="D117" s="3">
        <v>15.8</v>
      </c>
      <c r="E117" s="3">
        <v>37.020000000000003</v>
      </c>
      <c r="F117" s="3">
        <v>112.23279100000001</v>
      </c>
      <c r="G117" s="3">
        <v>107.660099</v>
      </c>
      <c r="H117" s="3">
        <v>107.660799</v>
      </c>
      <c r="I117" s="17">
        <f t="shared" si="24"/>
        <v>-3.4546576187538584E-2</v>
      </c>
      <c r="J117" s="17">
        <f t="shared" si="25"/>
        <v>-1.9162210338680912E-2</v>
      </c>
      <c r="K117" s="17">
        <f t="shared" si="26"/>
        <v>-9.6589194083911943E-3</v>
      </c>
      <c r="L117" s="17">
        <f t="shared" si="27"/>
        <v>1.0230179028133002E-2</v>
      </c>
      <c r="M117" s="17">
        <f t="shared" si="28"/>
        <v>1.424657534246584E-2</v>
      </c>
      <c r="N117" s="17">
        <f t="shared" si="29"/>
        <v>-3.590005319647586E-3</v>
      </c>
      <c r="O117" s="17">
        <f t="shared" si="30"/>
        <v>-2.2580216583393442E-3</v>
      </c>
      <c r="P117" s="17">
        <f t="shared" si="31"/>
        <v>5.6535333324024778E-4</v>
      </c>
      <c r="Q117" s="22">
        <f t="shared" si="32"/>
        <v>-3.494105005792332E-2</v>
      </c>
      <c r="R117" s="22">
        <f t="shared" si="33"/>
        <v>-1.9592935052758075E-2</v>
      </c>
      <c r="S117" s="22">
        <f t="shared" si="34"/>
        <v>-1.0070878795228642E-2</v>
      </c>
      <c r="T117" s="22">
        <f t="shared" si="35"/>
        <v>1.0098727518900084E-2</v>
      </c>
      <c r="U117" s="22">
        <f t="shared" si="36"/>
        <v>1.3553347395512077E-2</v>
      </c>
      <c r="V117" s="22">
        <f t="shared" si="37"/>
        <v>-3.3554015101444059E-3</v>
      </c>
      <c r="W117" s="22">
        <f t="shared" si="38"/>
        <v>-2.0037731042486413E-3</v>
      </c>
      <c r="X117" s="22">
        <f t="shared" si="39"/>
        <v>8.812977178465865E-4</v>
      </c>
    </row>
    <row r="118" spans="1:24" x14ac:dyDescent="0.35">
      <c r="A118" s="3">
        <v>15.54</v>
      </c>
      <c r="B118" s="3">
        <v>44.17</v>
      </c>
      <c r="C118" s="3">
        <v>131.69</v>
      </c>
      <c r="D118" s="3">
        <v>15.78</v>
      </c>
      <c r="E118" s="3">
        <v>36.840000000000003</v>
      </c>
      <c r="F118" s="3">
        <v>112.05469100000001</v>
      </c>
      <c r="G118" s="3">
        <v>107.604377</v>
      </c>
      <c r="H118" s="3">
        <v>107.772845</v>
      </c>
      <c r="I118" s="17">
        <f t="shared" si="24"/>
        <v>-7.0287539936103004E-3</v>
      </c>
      <c r="J118" s="17">
        <f t="shared" si="25"/>
        <v>3.4075420263516257E-3</v>
      </c>
      <c r="K118" s="17">
        <f t="shared" si="26"/>
        <v>3.4288326729654726E-3</v>
      </c>
      <c r="L118" s="17">
        <f t="shared" si="27"/>
        <v>-1.265822784810212E-3</v>
      </c>
      <c r="M118" s="17">
        <f t="shared" si="28"/>
        <v>-4.8622366288492624E-3</v>
      </c>
      <c r="N118" s="17">
        <f t="shared" si="29"/>
        <v>-1.5868802549871596E-3</v>
      </c>
      <c r="O118" s="17">
        <f t="shared" si="30"/>
        <v>-5.1757336764108805E-4</v>
      </c>
      <c r="P118" s="17">
        <f t="shared" si="31"/>
        <v>1.0407316408640674E-3</v>
      </c>
      <c r="Q118" s="22">
        <f t="shared" si="32"/>
        <v>-7.4232278639950336E-3</v>
      </c>
      <c r="R118" s="22">
        <f t="shared" si="33"/>
        <v>2.976817312274462E-3</v>
      </c>
      <c r="S118" s="22">
        <f t="shared" si="34"/>
        <v>3.0168732861280256E-3</v>
      </c>
      <c r="T118" s="22">
        <f t="shared" si="35"/>
        <v>-1.3972742940431303E-3</v>
      </c>
      <c r="U118" s="22">
        <f t="shared" si="36"/>
        <v>-5.5554645758030246E-3</v>
      </c>
      <c r="V118" s="22">
        <f t="shared" si="37"/>
        <v>-1.3522764454839793E-3</v>
      </c>
      <c r="W118" s="22">
        <f t="shared" si="38"/>
        <v>-2.6332481355038505E-4</v>
      </c>
      <c r="X118" s="22">
        <f t="shared" si="39"/>
        <v>1.3566760254704062E-3</v>
      </c>
    </row>
    <row r="119" spans="1:24" x14ac:dyDescent="0.35">
      <c r="A119" s="3">
        <v>15.93</v>
      </c>
      <c r="B119" s="3">
        <v>43.81</v>
      </c>
      <c r="C119" s="3">
        <v>129.51</v>
      </c>
      <c r="D119" s="3">
        <v>15.77</v>
      </c>
      <c r="E119" s="3">
        <v>36.700000000000003</v>
      </c>
      <c r="F119" s="3">
        <v>111.943031</v>
      </c>
      <c r="G119" s="3">
        <v>106.947582</v>
      </c>
      <c r="H119" s="3">
        <v>107.153092</v>
      </c>
      <c r="I119" s="17">
        <f t="shared" si="24"/>
        <v>2.5096525096525133E-2</v>
      </c>
      <c r="J119" s="17">
        <f t="shared" si="25"/>
        <v>-8.1503282771111484E-3</v>
      </c>
      <c r="K119" s="17">
        <f t="shared" si="26"/>
        <v>-1.6554028400030427E-2</v>
      </c>
      <c r="L119" s="17">
        <f t="shared" si="27"/>
        <v>-6.3371356147020198E-4</v>
      </c>
      <c r="M119" s="17">
        <f t="shared" si="28"/>
        <v>-3.8002171552660303E-3</v>
      </c>
      <c r="N119" s="17">
        <f t="shared" si="29"/>
        <v>-9.9647769320072941E-4</v>
      </c>
      <c r="O119" s="17">
        <f t="shared" si="30"/>
        <v>-6.1037944581009236E-3</v>
      </c>
      <c r="P119" s="17">
        <f t="shared" si="31"/>
        <v>-5.7505487583630445E-3</v>
      </c>
      <c r="Q119" s="22">
        <f t="shared" si="32"/>
        <v>2.4702051226140401E-2</v>
      </c>
      <c r="R119" s="22">
        <f t="shared" si="33"/>
        <v>-8.5810529911883125E-3</v>
      </c>
      <c r="S119" s="22">
        <f t="shared" si="34"/>
        <v>-1.6965987786867875E-2</v>
      </c>
      <c r="T119" s="22">
        <f t="shared" si="35"/>
        <v>-7.6516507070312028E-4</v>
      </c>
      <c r="U119" s="22">
        <f t="shared" si="36"/>
        <v>-4.493445102219793E-3</v>
      </c>
      <c r="V119" s="22">
        <f t="shared" si="37"/>
        <v>-7.618738836975491E-4</v>
      </c>
      <c r="W119" s="22">
        <f t="shared" si="38"/>
        <v>-5.8495459040102202E-3</v>
      </c>
      <c r="X119" s="22">
        <f t="shared" si="39"/>
        <v>-5.4346043737567061E-3</v>
      </c>
    </row>
    <row r="120" spans="1:24" x14ac:dyDescent="0.35">
      <c r="A120" s="3">
        <v>15.94</v>
      </c>
      <c r="B120" s="3">
        <v>43.84</v>
      </c>
      <c r="C120" s="3">
        <v>128.56</v>
      </c>
      <c r="D120" s="3">
        <v>15.65</v>
      </c>
      <c r="E120" s="3">
        <v>36.270000000000003</v>
      </c>
      <c r="F120" s="3">
        <v>111.56886900000001</v>
      </c>
      <c r="G120" s="3">
        <v>106.668649</v>
      </c>
      <c r="H120" s="3">
        <v>106.62901100000001</v>
      </c>
      <c r="I120" s="17">
        <f t="shared" si="24"/>
        <v>6.2774639045824147E-4</v>
      </c>
      <c r="J120" s="17">
        <f t="shared" si="25"/>
        <v>6.8477516548735753E-4</v>
      </c>
      <c r="K120" s="17">
        <f t="shared" si="26"/>
        <v>-7.3353409003164907E-3</v>
      </c>
      <c r="L120" s="17">
        <f t="shared" si="27"/>
        <v>-7.6093849080532162E-3</v>
      </c>
      <c r="M120" s="17">
        <f t="shared" si="28"/>
        <v>-1.1716621253405985E-2</v>
      </c>
      <c r="N120" s="17">
        <f t="shared" si="29"/>
        <v>-3.3424322770034547E-3</v>
      </c>
      <c r="O120" s="17">
        <f t="shared" si="30"/>
        <v>-2.6081281575865362E-3</v>
      </c>
      <c r="P120" s="17">
        <f t="shared" si="31"/>
        <v>-4.8909554565163211E-3</v>
      </c>
      <c r="Q120" s="22">
        <f t="shared" si="32"/>
        <v>2.3327252007350816E-4</v>
      </c>
      <c r="R120" s="22">
        <f t="shared" si="33"/>
        <v>2.5405045141019402E-4</v>
      </c>
      <c r="S120" s="22">
        <f t="shared" si="34"/>
        <v>-7.7473002871539373E-3</v>
      </c>
      <c r="T120" s="22">
        <f t="shared" si="35"/>
        <v>-7.7408364172861345E-3</v>
      </c>
      <c r="U120" s="22">
        <f t="shared" si="36"/>
        <v>-1.2409849200359748E-2</v>
      </c>
      <c r="V120" s="22">
        <f t="shared" si="37"/>
        <v>-3.1078284675002746E-3</v>
      </c>
      <c r="W120" s="22">
        <f t="shared" si="38"/>
        <v>-2.3538796034958333E-3</v>
      </c>
      <c r="X120" s="22">
        <f t="shared" si="39"/>
        <v>-4.5750110719099827E-3</v>
      </c>
    </row>
    <row r="121" spans="1:24" x14ac:dyDescent="0.35">
      <c r="A121" s="3">
        <v>16.14</v>
      </c>
      <c r="B121" s="3">
        <v>43.42</v>
      </c>
      <c r="C121" s="3">
        <v>129.38</v>
      </c>
      <c r="D121" s="3">
        <v>15.35</v>
      </c>
      <c r="E121" s="3">
        <v>36.47</v>
      </c>
      <c r="F121" s="3">
        <v>111.327355</v>
      </c>
      <c r="G121" s="3">
        <v>106.539664</v>
      </c>
      <c r="H121" s="3">
        <v>106.55907999999999</v>
      </c>
      <c r="I121" s="17">
        <f t="shared" si="24"/>
        <v>1.2547051442910984E-2</v>
      </c>
      <c r="J121" s="17">
        <f t="shared" si="25"/>
        <v>-9.5802919708029583E-3</v>
      </c>
      <c r="K121" s="17">
        <f t="shared" si="26"/>
        <v>6.3783447417547698E-3</v>
      </c>
      <c r="L121" s="17">
        <f t="shared" si="27"/>
        <v>-1.9169329073482472E-2</v>
      </c>
      <c r="M121" s="17">
        <f t="shared" si="28"/>
        <v>5.5141990625860414E-3</v>
      </c>
      <c r="N121" s="17">
        <f t="shared" si="29"/>
        <v>-2.1647077913822836E-3</v>
      </c>
      <c r="O121" s="17">
        <f t="shared" si="30"/>
        <v>-1.2092119025525496E-3</v>
      </c>
      <c r="P121" s="17">
        <f t="shared" si="31"/>
        <v>-6.5583464897757578E-4</v>
      </c>
      <c r="Q121" s="22">
        <f t="shared" si="32"/>
        <v>1.215257757252625E-2</v>
      </c>
      <c r="R121" s="22">
        <f t="shared" si="33"/>
        <v>-1.0011016684880122E-2</v>
      </c>
      <c r="S121" s="22">
        <f t="shared" si="34"/>
        <v>5.9663853549173232E-3</v>
      </c>
      <c r="T121" s="22">
        <f t="shared" si="35"/>
        <v>-1.930078058271539E-2</v>
      </c>
      <c r="U121" s="22">
        <f t="shared" si="36"/>
        <v>4.8209711156322792E-3</v>
      </c>
      <c r="V121" s="22">
        <f t="shared" si="37"/>
        <v>-1.9301039818791033E-3</v>
      </c>
      <c r="W121" s="22">
        <f t="shared" si="38"/>
        <v>-9.5496334846184659E-4</v>
      </c>
      <c r="X121" s="22">
        <f t="shared" si="39"/>
        <v>-3.3989026437123701E-4</v>
      </c>
    </row>
    <row r="122" spans="1:24" x14ac:dyDescent="0.35">
      <c r="A122" s="3">
        <v>17.18</v>
      </c>
      <c r="B122" s="3">
        <v>43.94</v>
      </c>
      <c r="C122" s="3">
        <v>129.58000000000001</v>
      </c>
      <c r="D122" s="3">
        <v>15.32</v>
      </c>
      <c r="E122" s="3">
        <v>36.61</v>
      </c>
      <c r="F122" s="3">
        <v>110.997711</v>
      </c>
      <c r="G122" s="3">
        <v>106.302814</v>
      </c>
      <c r="H122" s="3">
        <v>106.440089</v>
      </c>
      <c r="I122" s="17">
        <f t="shared" si="24"/>
        <v>6.4436183395291141E-2</v>
      </c>
      <c r="J122" s="17">
        <f t="shared" si="25"/>
        <v>1.1976047904191524E-2</v>
      </c>
      <c r="K122" s="17">
        <f t="shared" si="26"/>
        <v>1.5458339774309558E-3</v>
      </c>
      <c r="L122" s="17">
        <f t="shared" si="27"/>
        <v>-1.9543973941367663E-3</v>
      </c>
      <c r="M122" s="17">
        <f t="shared" si="28"/>
        <v>3.838771593090227E-3</v>
      </c>
      <c r="N122" s="17">
        <f t="shared" si="29"/>
        <v>-2.9610332518903537E-3</v>
      </c>
      <c r="O122" s="17">
        <f t="shared" si="30"/>
        <v>-2.2231157027114709E-3</v>
      </c>
      <c r="P122" s="17">
        <f t="shared" si="31"/>
        <v>-1.1166669231753323E-3</v>
      </c>
      <c r="Q122" s="22">
        <f t="shared" si="32"/>
        <v>6.4041709524906412E-2</v>
      </c>
      <c r="R122" s="22">
        <f t="shared" si="33"/>
        <v>1.154532319011436E-2</v>
      </c>
      <c r="S122" s="22">
        <f t="shared" si="34"/>
        <v>1.1338745905935088E-3</v>
      </c>
      <c r="T122" s="22">
        <f t="shared" si="35"/>
        <v>-2.0858489033696846E-3</v>
      </c>
      <c r="U122" s="22">
        <f t="shared" si="36"/>
        <v>3.1455436461364644E-3</v>
      </c>
      <c r="V122" s="22">
        <f t="shared" si="37"/>
        <v>-2.7264294423871736E-3</v>
      </c>
      <c r="W122" s="22">
        <f t="shared" si="38"/>
        <v>-1.968867148620768E-3</v>
      </c>
      <c r="X122" s="22">
        <f t="shared" si="39"/>
        <v>-8.0072253856899346E-4</v>
      </c>
    </row>
    <row r="123" spans="1:24" x14ac:dyDescent="0.35">
      <c r="A123" s="3">
        <v>17.260000000000002</v>
      </c>
      <c r="B123" s="3">
        <v>43.83</v>
      </c>
      <c r="C123" s="3">
        <v>130.71</v>
      </c>
      <c r="D123" s="3">
        <v>15.16</v>
      </c>
      <c r="E123" s="3">
        <v>36.11</v>
      </c>
      <c r="F123" s="3">
        <v>110.048434</v>
      </c>
      <c r="G123" s="3">
        <v>105.58512500000001</v>
      </c>
      <c r="H123" s="3">
        <v>105.83266999999999</v>
      </c>
      <c r="I123" s="17">
        <f t="shared" si="24"/>
        <v>4.6565774155996418E-3</v>
      </c>
      <c r="J123" s="17">
        <f t="shared" si="25"/>
        <v>-2.5034137460172834E-3</v>
      </c>
      <c r="K123" s="17">
        <f t="shared" si="26"/>
        <v>8.7204815557956113E-3</v>
      </c>
      <c r="L123" s="17">
        <f t="shared" si="27"/>
        <v>-1.0443864229765022E-2</v>
      </c>
      <c r="M123" s="17">
        <f t="shared" si="28"/>
        <v>-1.3657470636438131E-2</v>
      </c>
      <c r="N123" s="17">
        <f t="shared" si="29"/>
        <v>-8.5522214057188531E-3</v>
      </c>
      <c r="O123" s="17">
        <f t="shared" si="30"/>
        <v>-6.7513640795999336E-3</v>
      </c>
      <c r="P123" s="17">
        <f t="shared" si="31"/>
        <v>-5.7066750479700112E-3</v>
      </c>
      <c r="Q123" s="22">
        <f t="shared" si="32"/>
        <v>4.2621035452149085E-3</v>
      </c>
      <c r="R123" s="22">
        <f t="shared" si="33"/>
        <v>-2.9341384600944471E-3</v>
      </c>
      <c r="S123" s="22">
        <f t="shared" si="34"/>
        <v>8.3085221689581639E-3</v>
      </c>
      <c r="T123" s="22">
        <f t="shared" si="35"/>
        <v>-1.0575315738997939E-2</v>
      </c>
      <c r="U123" s="22">
        <f t="shared" si="36"/>
        <v>-1.4350698583391894E-2</v>
      </c>
      <c r="V123" s="22">
        <f t="shared" si="37"/>
        <v>-8.3176175962156734E-3</v>
      </c>
      <c r="W123" s="22">
        <f t="shared" si="38"/>
        <v>-6.4971155255092302E-3</v>
      </c>
      <c r="X123" s="22">
        <f t="shared" si="39"/>
        <v>-5.3907306633636728E-3</v>
      </c>
    </row>
    <row r="124" spans="1:24" x14ac:dyDescent="0.35">
      <c r="A124" s="3">
        <v>17.02</v>
      </c>
      <c r="B124" s="3">
        <v>43.65</v>
      </c>
      <c r="C124" s="3">
        <v>129.22999999999999</v>
      </c>
      <c r="D124" s="3">
        <v>15.23</v>
      </c>
      <c r="E124" s="3">
        <v>35.78</v>
      </c>
      <c r="F124" s="3">
        <v>110.326806</v>
      </c>
      <c r="G124" s="3">
        <v>106.269018</v>
      </c>
      <c r="H124" s="3">
        <v>106.75167500000001</v>
      </c>
      <c r="I124" s="17">
        <f t="shared" si="24"/>
        <v>-1.3904982618771841E-2</v>
      </c>
      <c r="J124" s="17">
        <f t="shared" si="25"/>
        <v>-4.106776180698146E-3</v>
      </c>
      <c r="K124" s="17">
        <f t="shared" si="26"/>
        <v>-1.1322775610129432E-2</v>
      </c>
      <c r="L124" s="17">
        <f t="shared" si="27"/>
        <v>4.6174142480211273E-3</v>
      </c>
      <c r="M124" s="17">
        <f t="shared" si="28"/>
        <v>-9.1387427305455078E-3</v>
      </c>
      <c r="N124" s="17">
        <f t="shared" si="29"/>
        <v>2.5295407656596414E-3</v>
      </c>
      <c r="O124" s="17">
        <f t="shared" si="30"/>
        <v>6.4771718554104815E-3</v>
      </c>
      <c r="P124" s="17">
        <f t="shared" si="31"/>
        <v>8.6835662371554344E-3</v>
      </c>
      <c r="Q124" s="22">
        <f t="shared" si="32"/>
        <v>-1.4299456489156575E-2</v>
      </c>
      <c r="R124" s="22">
        <f t="shared" si="33"/>
        <v>-4.5375008947753093E-3</v>
      </c>
      <c r="S124" s="22">
        <f t="shared" si="34"/>
        <v>-1.1734734996966879E-2</v>
      </c>
      <c r="T124" s="22">
        <f t="shared" si="35"/>
        <v>4.485962738788209E-3</v>
      </c>
      <c r="U124" s="22">
        <f t="shared" si="36"/>
        <v>-9.8319706774992709E-3</v>
      </c>
      <c r="V124" s="22">
        <f t="shared" si="37"/>
        <v>2.7641445751628215E-3</v>
      </c>
      <c r="W124" s="22">
        <f t="shared" si="38"/>
        <v>6.7314204095011848E-3</v>
      </c>
      <c r="X124" s="22">
        <f t="shared" si="39"/>
        <v>8.9995106217617728E-3</v>
      </c>
    </row>
    <row r="125" spans="1:24" x14ac:dyDescent="0.35">
      <c r="A125" s="3">
        <v>16.739999999999998</v>
      </c>
      <c r="B125" s="3">
        <v>43.66</v>
      </c>
      <c r="C125" s="3">
        <v>129.35</v>
      </c>
      <c r="D125" s="3">
        <v>15.24</v>
      </c>
      <c r="E125" s="3">
        <v>35.729999999999997</v>
      </c>
      <c r="F125" s="3">
        <v>110.994559</v>
      </c>
      <c r="G125" s="3">
        <v>106.608952</v>
      </c>
      <c r="H125" s="3">
        <v>106.772132</v>
      </c>
      <c r="I125" s="17">
        <f t="shared" si="24"/>
        <v>-1.6451233842538257E-2</v>
      </c>
      <c r="J125" s="17">
        <f t="shared" si="25"/>
        <v>2.2909507445585363E-4</v>
      </c>
      <c r="K125" s="17">
        <f t="shared" si="26"/>
        <v>9.2857695581524842E-4</v>
      </c>
      <c r="L125" s="17">
        <f t="shared" si="27"/>
        <v>6.5659881812211334E-4</v>
      </c>
      <c r="M125" s="17">
        <f t="shared" si="28"/>
        <v>-1.3974287311348313E-3</v>
      </c>
      <c r="N125" s="17">
        <f t="shared" si="29"/>
        <v>6.0525000605926218E-3</v>
      </c>
      <c r="O125" s="17">
        <f t="shared" si="30"/>
        <v>3.1988062597887138E-3</v>
      </c>
      <c r="P125" s="17">
        <f t="shared" si="31"/>
        <v>1.9163165355478765E-4</v>
      </c>
      <c r="Q125" s="22">
        <f t="shared" si="32"/>
        <v>-1.6845707712922989E-2</v>
      </c>
      <c r="R125" s="22">
        <f t="shared" si="33"/>
        <v>-2.0162963962130987E-4</v>
      </c>
      <c r="S125" s="22">
        <f t="shared" si="34"/>
        <v>5.1661756897780154E-4</v>
      </c>
      <c r="T125" s="22">
        <f t="shared" si="35"/>
        <v>5.2514730888919504E-4</v>
      </c>
      <c r="U125" s="22">
        <f t="shared" si="36"/>
        <v>-2.0906566780885937E-3</v>
      </c>
      <c r="V125" s="22">
        <f t="shared" si="37"/>
        <v>6.2871038700958023E-3</v>
      </c>
      <c r="W125" s="22">
        <f t="shared" si="38"/>
        <v>3.4530548138794167E-3</v>
      </c>
      <c r="X125" s="22">
        <f t="shared" si="39"/>
        <v>5.0757603816112642E-4</v>
      </c>
    </row>
    <row r="126" spans="1:24" x14ac:dyDescent="0.35">
      <c r="A126" s="3">
        <v>16.82</v>
      </c>
      <c r="B126" s="3">
        <v>43.89</v>
      </c>
      <c r="C126" s="3">
        <v>128.76</v>
      </c>
      <c r="D126" s="3">
        <v>15</v>
      </c>
      <c r="E126" s="3">
        <v>35.47</v>
      </c>
      <c r="F126" s="3">
        <v>110.950293</v>
      </c>
      <c r="G126" s="3">
        <v>106.183373</v>
      </c>
      <c r="H126" s="3">
        <v>105.983737</v>
      </c>
      <c r="I126" s="17">
        <f t="shared" si="24"/>
        <v>4.7789725209081155E-3</v>
      </c>
      <c r="J126" s="17">
        <f t="shared" si="25"/>
        <v>5.267979844251122E-3</v>
      </c>
      <c r="K126" s="17">
        <f t="shared" si="26"/>
        <v>-4.5612678778508189E-3</v>
      </c>
      <c r="L126" s="17">
        <f t="shared" si="27"/>
        <v>-1.5748031496063006E-2</v>
      </c>
      <c r="M126" s="17">
        <f t="shared" si="28"/>
        <v>-7.2767982087880781E-3</v>
      </c>
      <c r="N126" s="17">
        <f t="shared" si="29"/>
        <v>-3.988123417832874E-4</v>
      </c>
      <c r="O126" s="17">
        <f t="shared" si="30"/>
        <v>-3.9919630764215655E-3</v>
      </c>
      <c r="P126" s="17">
        <f t="shared" si="31"/>
        <v>-7.3839023838167261E-3</v>
      </c>
      <c r="Q126" s="22">
        <f t="shared" si="32"/>
        <v>4.3844986505233823E-3</v>
      </c>
      <c r="R126" s="22">
        <f t="shared" si="33"/>
        <v>4.8372551301739588E-3</v>
      </c>
      <c r="S126" s="22">
        <f t="shared" si="34"/>
        <v>-4.9732272646882654E-3</v>
      </c>
      <c r="T126" s="22">
        <f t="shared" si="35"/>
        <v>-1.5879483005295923E-2</v>
      </c>
      <c r="U126" s="22">
        <f t="shared" si="36"/>
        <v>-7.9700261557418411E-3</v>
      </c>
      <c r="V126" s="22">
        <f t="shared" si="37"/>
        <v>-1.6420853228010711E-4</v>
      </c>
      <c r="W126" s="22">
        <f t="shared" si="38"/>
        <v>-3.7377145223308626E-3</v>
      </c>
      <c r="X126" s="22">
        <f t="shared" si="39"/>
        <v>-7.0679579992103878E-3</v>
      </c>
    </row>
    <row r="127" spans="1:24" x14ac:dyDescent="0.35">
      <c r="A127" s="3">
        <v>16.75</v>
      </c>
      <c r="B127" s="3">
        <v>43.77</v>
      </c>
      <c r="C127" s="3">
        <v>131.78</v>
      </c>
      <c r="D127" s="3">
        <v>14.89</v>
      </c>
      <c r="E127" s="3">
        <v>35.07</v>
      </c>
      <c r="F127" s="3">
        <v>110.75336799999999</v>
      </c>
      <c r="G127" s="3">
        <v>105.874521</v>
      </c>
      <c r="H127" s="3">
        <v>105.777777</v>
      </c>
      <c r="I127" s="17">
        <f t="shared" si="24"/>
        <v>-4.1617122473246301E-3</v>
      </c>
      <c r="J127" s="17">
        <f t="shared" si="25"/>
        <v>-2.7341079972658337E-3</v>
      </c>
      <c r="K127" s="17">
        <f t="shared" si="26"/>
        <v>2.3454488971730431E-2</v>
      </c>
      <c r="L127" s="17">
        <f t="shared" si="27"/>
        <v>-7.333333333333295E-3</v>
      </c>
      <c r="M127" s="17">
        <f t="shared" si="28"/>
        <v>-1.1277135607555642E-2</v>
      </c>
      <c r="N127" s="17">
        <f t="shared" si="29"/>
        <v>-1.7748939157826949E-3</v>
      </c>
      <c r="O127" s="17">
        <f t="shared" si="30"/>
        <v>-2.9086663125685568E-3</v>
      </c>
      <c r="P127" s="17">
        <f t="shared" si="31"/>
        <v>-1.9433170204217708E-3</v>
      </c>
      <c r="Q127" s="22">
        <f t="shared" si="32"/>
        <v>-4.5561861177093634E-3</v>
      </c>
      <c r="R127" s="22">
        <f t="shared" si="33"/>
        <v>-3.1648327113429973E-3</v>
      </c>
      <c r="S127" s="22">
        <f t="shared" si="34"/>
        <v>2.3042529584892984E-2</v>
      </c>
      <c r="T127" s="22">
        <f t="shared" si="35"/>
        <v>-7.4647848425662133E-3</v>
      </c>
      <c r="U127" s="22">
        <f t="shared" si="36"/>
        <v>-1.1970363554509405E-2</v>
      </c>
      <c r="V127" s="22">
        <f t="shared" si="37"/>
        <v>-1.5402901062795146E-3</v>
      </c>
      <c r="W127" s="22">
        <f t="shared" si="38"/>
        <v>-2.6544177584778539E-3</v>
      </c>
      <c r="X127" s="22">
        <f t="shared" si="39"/>
        <v>-1.627372635815432E-3</v>
      </c>
    </row>
    <row r="128" spans="1:24" x14ac:dyDescent="0.35">
      <c r="A128" s="3">
        <v>16.47</v>
      </c>
      <c r="B128" s="3">
        <v>43.38</v>
      </c>
      <c r="C128" s="3">
        <v>130.38</v>
      </c>
      <c r="D128" s="3">
        <v>14.8</v>
      </c>
      <c r="E128" s="3">
        <v>36.07</v>
      </c>
      <c r="F128" s="3">
        <v>110.066311</v>
      </c>
      <c r="G128" s="3">
        <v>105.747522</v>
      </c>
      <c r="H128" s="3">
        <v>105.798389</v>
      </c>
      <c r="I128" s="17">
        <f t="shared" si="24"/>
        <v>-1.6716417910447829E-2</v>
      </c>
      <c r="J128" s="17">
        <f t="shared" si="25"/>
        <v>-8.910212474297477E-3</v>
      </c>
      <c r="K128" s="17">
        <f t="shared" si="26"/>
        <v>-1.0623766884200985E-2</v>
      </c>
      <c r="L128" s="17">
        <f t="shared" si="27"/>
        <v>-6.0443250503693655E-3</v>
      </c>
      <c r="M128" s="17">
        <f t="shared" si="28"/>
        <v>2.8514399771884802E-2</v>
      </c>
      <c r="N128" s="17">
        <f t="shared" si="29"/>
        <v>-6.2034862903672227E-3</v>
      </c>
      <c r="O128" s="17">
        <f t="shared" si="30"/>
        <v>-1.1995237267708428E-3</v>
      </c>
      <c r="P128" s="17">
        <f t="shared" si="31"/>
        <v>1.9486134597061774E-4</v>
      </c>
      <c r="Q128" s="22">
        <f t="shared" si="32"/>
        <v>-1.7110891780832561E-2</v>
      </c>
      <c r="R128" s="22">
        <f t="shared" si="33"/>
        <v>-9.3409371883746411E-3</v>
      </c>
      <c r="S128" s="22">
        <f t="shared" si="34"/>
        <v>-1.1035726271038432E-2</v>
      </c>
      <c r="T128" s="22">
        <f t="shared" si="35"/>
        <v>-6.1757765596022838E-3</v>
      </c>
      <c r="U128" s="22">
        <f t="shared" si="36"/>
        <v>2.7821171824931039E-2</v>
      </c>
      <c r="V128" s="22">
        <f t="shared" si="37"/>
        <v>-5.9688824808640422E-3</v>
      </c>
      <c r="W128" s="22">
        <f t="shared" si="38"/>
        <v>-9.4527517268013981E-4</v>
      </c>
      <c r="X128" s="22">
        <f t="shared" si="39"/>
        <v>5.1080573057695649E-4</v>
      </c>
    </row>
    <row r="129" spans="1:24" x14ac:dyDescent="0.35">
      <c r="A129" s="3">
        <v>16.48</v>
      </c>
      <c r="B129" s="3">
        <v>43.81</v>
      </c>
      <c r="C129" s="3">
        <v>130.03</v>
      </c>
      <c r="D129" s="3">
        <v>15.01</v>
      </c>
      <c r="E129" s="3">
        <v>37.44</v>
      </c>
      <c r="F129" s="3">
        <v>110.343878</v>
      </c>
      <c r="G129" s="3">
        <v>106.06245800000001</v>
      </c>
      <c r="H129" s="3">
        <v>106.44484799999999</v>
      </c>
      <c r="I129" s="17">
        <f t="shared" si="24"/>
        <v>6.07164541590866E-4</v>
      </c>
      <c r="J129" s="17">
        <f t="shared" si="25"/>
        <v>9.9124020285845937E-3</v>
      </c>
      <c r="K129" s="17">
        <f t="shared" si="26"/>
        <v>-2.6844608068721763E-3</v>
      </c>
      <c r="L129" s="17">
        <f t="shared" si="27"/>
        <v>1.4189189189189126E-2</v>
      </c>
      <c r="M129" s="17">
        <f t="shared" si="28"/>
        <v>3.7981702245633422E-2</v>
      </c>
      <c r="N129" s="17">
        <f t="shared" si="29"/>
        <v>2.5218161440879469E-3</v>
      </c>
      <c r="O129" s="17">
        <f t="shared" si="30"/>
        <v>2.9781879900694316E-3</v>
      </c>
      <c r="P129" s="17">
        <f t="shared" si="31"/>
        <v>6.1102915281629954E-3</v>
      </c>
      <c r="Q129" s="22">
        <f t="shared" si="32"/>
        <v>2.1269067120613269E-4</v>
      </c>
      <c r="R129" s="22">
        <f t="shared" si="33"/>
        <v>9.4816773145074296E-3</v>
      </c>
      <c r="S129" s="22">
        <f t="shared" si="34"/>
        <v>-3.0964201937096233E-3</v>
      </c>
      <c r="T129" s="22">
        <f t="shared" si="35"/>
        <v>1.4057737679956208E-2</v>
      </c>
      <c r="U129" s="22">
        <f t="shared" si="36"/>
        <v>3.7288474298679659E-2</v>
      </c>
      <c r="V129" s="22">
        <f t="shared" si="37"/>
        <v>2.756419953591127E-3</v>
      </c>
      <c r="W129" s="22">
        <f t="shared" si="38"/>
        <v>3.2324365441601345E-3</v>
      </c>
      <c r="X129" s="22">
        <f t="shared" si="39"/>
        <v>6.4262359127693338E-3</v>
      </c>
    </row>
    <row r="130" spans="1:24" x14ac:dyDescent="0.35">
      <c r="A130" s="3">
        <v>16.34</v>
      </c>
      <c r="B130" s="3">
        <v>43.64</v>
      </c>
      <c r="C130" s="3">
        <v>128.63999999999999</v>
      </c>
      <c r="D130" s="3">
        <v>14.98</v>
      </c>
      <c r="E130" s="3">
        <v>37.869999999999997</v>
      </c>
      <c r="F130" s="3">
        <v>110.686526</v>
      </c>
      <c r="G130" s="3">
        <v>106.304326</v>
      </c>
      <c r="H130" s="3">
        <v>106.465389</v>
      </c>
      <c r="I130" s="17">
        <f t="shared" si="24"/>
        <v>-8.4951456310679956E-3</v>
      </c>
      <c r="J130" s="17">
        <f t="shared" si="25"/>
        <v>-3.8803926044282517E-3</v>
      </c>
      <c r="K130" s="17">
        <f t="shared" si="26"/>
        <v>-1.0689840805967967E-2</v>
      </c>
      <c r="L130" s="17">
        <f t="shared" si="27"/>
        <v>-1.9986675549633153E-3</v>
      </c>
      <c r="M130" s="17">
        <f t="shared" si="28"/>
        <v>1.1485042735042729E-2</v>
      </c>
      <c r="N130" s="17">
        <f t="shared" si="29"/>
        <v>3.1052742228254563E-3</v>
      </c>
      <c r="O130" s="17">
        <f t="shared" si="30"/>
        <v>2.2804298953735037E-3</v>
      </c>
      <c r="P130" s="17">
        <f t="shared" si="31"/>
        <v>1.9297317236066308E-4</v>
      </c>
      <c r="Q130" s="22">
        <f t="shared" si="32"/>
        <v>-8.8896195014527297E-3</v>
      </c>
      <c r="R130" s="22">
        <f t="shared" si="33"/>
        <v>-4.3111173185054153E-3</v>
      </c>
      <c r="S130" s="22">
        <f t="shared" si="34"/>
        <v>-1.1101800192805414E-2</v>
      </c>
      <c r="T130" s="22">
        <f t="shared" si="35"/>
        <v>-2.1301190641962336E-3</v>
      </c>
      <c r="U130" s="22">
        <f t="shared" si="36"/>
        <v>1.0791814788088966E-2</v>
      </c>
      <c r="V130" s="22">
        <f t="shared" si="37"/>
        <v>3.3398780323286364E-3</v>
      </c>
      <c r="W130" s="22">
        <f t="shared" si="38"/>
        <v>2.5346784494642066E-3</v>
      </c>
      <c r="X130" s="22">
        <f t="shared" si="39"/>
        <v>5.0891755696700182E-4</v>
      </c>
    </row>
    <row r="131" spans="1:24" x14ac:dyDescent="0.35">
      <c r="A131" s="3">
        <v>16.579999999999998</v>
      </c>
      <c r="B131" s="3">
        <v>45.19</v>
      </c>
      <c r="C131" s="3">
        <v>129.26</v>
      </c>
      <c r="D131" s="3">
        <v>14.73</v>
      </c>
      <c r="E131" s="3">
        <v>36.909999999999997</v>
      </c>
      <c r="F131" s="3">
        <v>110.642869</v>
      </c>
      <c r="G131" s="3">
        <v>106.918401</v>
      </c>
      <c r="H131" s="3">
        <v>107.29779600000001</v>
      </c>
      <c r="I131" s="17">
        <f t="shared" si="24"/>
        <v>1.468788249693993E-2</v>
      </c>
      <c r="J131" s="17">
        <f t="shared" si="25"/>
        <v>3.5517873510540719E-2</v>
      </c>
      <c r="K131" s="17">
        <f t="shared" si="26"/>
        <v>4.8196517412935685E-3</v>
      </c>
      <c r="L131" s="17">
        <f t="shared" si="27"/>
        <v>-1.6688918558077435E-2</v>
      </c>
      <c r="M131" s="17">
        <f t="shared" si="28"/>
        <v>-2.5349881172432028E-2</v>
      </c>
      <c r="N131" s="17">
        <f t="shared" si="29"/>
        <v>-3.9442018444048066E-4</v>
      </c>
      <c r="O131" s="17">
        <f t="shared" si="30"/>
        <v>5.776575828155852E-3</v>
      </c>
      <c r="P131" s="17">
        <f t="shared" si="31"/>
        <v>7.8185690938489261E-3</v>
      </c>
      <c r="Q131" s="22">
        <f t="shared" si="32"/>
        <v>1.4293408626555195E-2</v>
      </c>
      <c r="R131" s="22">
        <f t="shared" si="33"/>
        <v>3.5087148796463553E-2</v>
      </c>
      <c r="S131" s="22">
        <f t="shared" si="34"/>
        <v>4.407692354456122E-3</v>
      </c>
      <c r="T131" s="22">
        <f t="shared" si="35"/>
        <v>-1.6820370067310353E-2</v>
      </c>
      <c r="U131" s="22">
        <f t="shared" si="36"/>
        <v>-2.6043109119385791E-2</v>
      </c>
      <c r="V131" s="22">
        <f t="shared" si="37"/>
        <v>-1.5981637493730038E-4</v>
      </c>
      <c r="W131" s="22">
        <f t="shared" si="38"/>
        <v>6.0308243822465553E-3</v>
      </c>
      <c r="X131" s="22">
        <f t="shared" si="39"/>
        <v>8.1345134784552645E-3</v>
      </c>
    </row>
    <row r="132" spans="1:24" x14ac:dyDescent="0.35">
      <c r="A132" s="3">
        <v>16.28</v>
      </c>
      <c r="B132" s="3">
        <v>44.36</v>
      </c>
      <c r="C132" s="3">
        <v>125.02</v>
      </c>
      <c r="D132" s="3">
        <v>14.69</v>
      </c>
      <c r="E132" s="3">
        <v>36.89</v>
      </c>
      <c r="F132" s="3">
        <v>111.221682</v>
      </c>
      <c r="G132" s="3">
        <v>107.42656700000001</v>
      </c>
      <c r="H132" s="3">
        <v>107.63153200000001</v>
      </c>
      <c r="I132" s="17">
        <f t="shared" ref="I132:I195" si="40">(A132-A131)/A131</f>
        <v>-1.8094089264173534E-2</v>
      </c>
      <c r="J132" s="17">
        <f t="shared" ref="J132:J195" si="41">(B132-B131)/B131</f>
        <v>-1.8366895330825368E-2</v>
      </c>
      <c r="K132" s="17">
        <f t="shared" ref="K132:K195" si="42">(C132-C131)/C131</f>
        <v>-3.2802104285935288E-2</v>
      </c>
      <c r="L132" s="17">
        <f t="shared" ref="L132:L195" si="43">(D132-D131)/D131</f>
        <v>-2.7155465037339392E-3</v>
      </c>
      <c r="M132" s="17">
        <f t="shared" ref="M132:M195" si="44">(E132-E131)/E131</f>
        <v>-5.4185857491184024E-4</v>
      </c>
      <c r="N132" s="17">
        <f t="shared" ref="N132:N195" si="45">(F132-F131)/F131</f>
        <v>5.2313628996731518E-3</v>
      </c>
      <c r="O132" s="17">
        <f t="shared" ref="O132:O195" si="46">(G132-G131)/G131</f>
        <v>4.7528395042122145E-3</v>
      </c>
      <c r="P132" s="17">
        <f t="shared" ref="P132:P195" si="47">(H132-H131)/H131</f>
        <v>3.1103714376388663E-3</v>
      </c>
      <c r="Q132" s="22">
        <f t="shared" si="32"/>
        <v>-1.8488563134558267E-2</v>
      </c>
      <c r="R132" s="22">
        <f t="shared" si="33"/>
        <v>-1.8797620044902531E-2</v>
      </c>
      <c r="S132" s="22">
        <f t="shared" si="34"/>
        <v>-3.3214063672772735E-2</v>
      </c>
      <c r="T132" s="22">
        <f t="shared" si="35"/>
        <v>-2.8469980129668575E-3</v>
      </c>
      <c r="U132" s="22">
        <f t="shared" si="36"/>
        <v>-1.2350865218656026E-3</v>
      </c>
      <c r="V132" s="22">
        <f t="shared" si="37"/>
        <v>5.4659667091763323E-3</v>
      </c>
      <c r="W132" s="22">
        <f t="shared" si="38"/>
        <v>5.0070880583029179E-3</v>
      </c>
      <c r="X132" s="22">
        <f t="shared" si="39"/>
        <v>3.4263158222452052E-3</v>
      </c>
    </row>
    <row r="133" spans="1:24" x14ac:dyDescent="0.35">
      <c r="A133" s="3">
        <v>16.71</v>
      </c>
      <c r="B133" s="3">
        <v>45.13</v>
      </c>
      <c r="C133" s="3">
        <v>127.52</v>
      </c>
      <c r="D133" s="3">
        <v>14.78</v>
      </c>
      <c r="E133" s="3">
        <v>37.03</v>
      </c>
      <c r="F133" s="3">
        <v>111.56657300000001</v>
      </c>
      <c r="G133" s="3">
        <v>107.972151</v>
      </c>
      <c r="H133" s="3">
        <v>108.199471</v>
      </c>
      <c r="I133" s="17">
        <f t="shared" si="40"/>
        <v>2.6412776412776392E-2</v>
      </c>
      <c r="J133" s="17">
        <f t="shared" si="41"/>
        <v>1.7357980162308457E-2</v>
      </c>
      <c r="K133" s="17">
        <f t="shared" si="42"/>
        <v>1.9996800511918093E-2</v>
      </c>
      <c r="L133" s="17">
        <f t="shared" si="43"/>
        <v>6.1266167460857631E-3</v>
      </c>
      <c r="M133" s="17">
        <f t="shared" si="44"/>
        <v>3.7950664136622543E-3</v>
      </c>
      <c r="N133" s="17">
        <f t="shared" si="45"/>
        <v>3.1009331435933873E-3</v>
      </c>
      <c r="O133" s="17">
        <f t="shared" si="46"/>
        <v>5.0786692271381148E-3</v>
      </c>
      <c r="P133" s="17">
        <f t="shared" si="47"/>
        <v>5.2766971671461063E-3</v>
      </c>
      <c r="Q133" s="22">
        <f t="shared" ref="Q133:Q196" si="48">I133-AB$2</f>
        <v>2.6018302542391659E-2</v>
      </c>
      <c r="R133" s="22">
        <f t="shared" ref="R133:R196" si="49">J133-AC$2</f>
        <v>1.6927255448231295E-2</v>
      </c>
      <c r="S133" s="22">
        <f t="shared" ref="S133:S196" si="50">K133-AD$2</f>
        <v>1.9584841125080646E-2</v>
      </c>
      <c r="T133" s="22">
        <f t="shared" ref="T133:T196" si="51">L133-AE$2</f>
        <v>5.9951652368528448E-3</v>
      </c>
      <c r="U133" s="22">
        <f t="shared" ref="U133:U196" si="52">M133-AF$2</f>
        <v>3.1018384667084917E-3</v>
      </c>
      <c r="V133" s="22">
        <f t="shared" ref="V133:V196" si="53">N133-AG$2</f>
        <v>3.3355369530965674E-3</v>
      </c>
      <c r="W133" s="22">
        <f t="shared" ref="W133:W196" si="54">O133-AH$2</f>
        <v>5.3329177812288181E-3</v>
      </c>
      <c r="X133" s="22">
        <f t="shared" ref="X133:X196" si="55">P133-AI$2</f>
        <v>5.5926415517524447E-3</v>
      </c>
    </row>
    <row r="134" spans="1:24" x14ac:dyDescent="0.35">
      <c r="A134" s="3">
        <v>16.579999999999998</v>
      </c>
      <c r="B134" s="3">
        <v>44.62</v>
      </c>
      <c r="C134" s="3">
        <v>127.5</v>
      </c>
      <c r="D134" s="3">
        <v>14.93</v>
      </c>
      <c r="E134" s="3">
        <v>36.950000000000003</v>
      </c>
      <c r="F134" s="3">
        <v>112.108276</v>
      </c>
      <c r="G134" s="3">
        <v>108.21826</v>
      </c>
      <c r="H134" s="3">
        <v>108.77105299999999</v>
      </c>
      <c r="I134" s="17">
        <f t="shared" si="40"/>
        <v>-7.7797725912628693E-3</v>
      </c>
      <c r="J134" s="17">
        <f t="shared" si="41"/>
        <v>-1.1300686904498229E-2</v>
      </c>
      <c r="K134" s="17">
        <f t="shared" si="42"/>
        <v>-1.5683814303635524E-4</v>
      </c>
      <c r="L134" s="17">
        <f t="shared" si="43"/>
        <v>1.0148849797023029E-2</v>
      </c>
      <c r="M134" s="17">
        <f t="shared" si="44"/>
        <v>-2.1604104779907722E-3</v>
      </c>
      <c r="N134" s="17">
        <f t="shared" si="45"/>
        <v>4.8554238553155009E-3</v>
      </c>
      <c r="O134" s="17">
        <f t="shared" si="46"/>
        <v>2.2793747991554244E-3</v>
      </c>
      <c r="P134" s="17">
        <f t="shared" si="47"/>
        <v>5.2826690807018109E-3</v>
      </c>
      <c r="Q134" s="22">
        <f t="shared" si="48"/>
        <v>-8.1742464616476034E-3</v>
      </c>
      <c r="R134" s="22">
        <f t="shared" si="49"/>
        <v>-1.1731411618575393E-2</v>
      </c>
      <c r="S134" s="22">
        <f t="shared" si="50"/>
        <v>-5.6879752987380218E-4</v>
      </c>
      <c r="T134" s="22">
        <f t="shared" si="51"/>
        <v>1.0017398287790111E-2</v>
      </c>
      <c r="U134" s="22">
        <f t="shared" si="52"/>
        <v>-2.8536384249445348E-3</v>
      </c>
      <c r="V134" s="22">
        <f t="shared" si="53"/>
        <v>5.0900276648186814E-3</v>
      </c>
      <c r="W134" s="22">
        <f t="shared" si="54"/>
        <v>2.5336233532461273E-3</v>
      </c>
      <c r="X134" s="22">
        <f t="shared" si="55"/>
        <v>5.5986134653081493E-3</v>
      </c>
    </row>
    <row r="135" spans="1:24" x14ac:dyDescent="0.35">
      <c r="A135" s="3">
        <v>15.93</v>
      </c>
      <c r="B135" s="3">
        <v>44.24</v>
      </c>
      <c r="C135" s="3">
        <v>126.06</v>
      </c>
      <c r="D135" s="3">
        <v>15.04</v>
      </c>
      <c r="E135" s="3">
        <v>36.06</v>
      </c>
      <c r="F135" s="3">
        <v>112.324884</v>
      </c>
      <c r="G135" s="3">
        <v>107.113263</v>
      </c>
      <c r="H135" s="3">
        <v>107.149193</v>
      </c>
      <c r="I135" s="17">
        <f t="shared" si="40"/>
        <v>-3.9203860072376279E-2</v>
      </c>
      <c r="J135" s="17">
        <f t="shared" si="41"/>
        <v>-8.5163603765126723E-3</v>
      </c>
      <c r="K135" s="17">
        <f t="shared" si="42"/>
        <v>-1.1294117647058805E-2</v>
      </c>
      <c r="L135" s="17">
        <f t="shared" si="43"/>
        <v>7.3677160080374707E-3</v>
      </c>
      <c r="M135" s="17">
        <f t="shared" si="44"/>
        <v>-2.4086603518267944E-2</v>
      </c>
      <c r="N135" s="17">
        <f t="shared" si="45"/>
        <v>1.9321321112813624E-3</v>
      </c>
      <c r="O135" s="17">
        <f t="shared" si="46"/>
        <v>-1.0210818396082115E-2</v>
      </c>
      <c r="P135" s="17">
        <f t="shared" si="47"/>
        <v>-1.491076858472629E-2</v>
      </c>
      <c r="Q135" s="22">
        <f t="shared" si="48"/>
        <v>-3.9598333942761015E-2</v>
      </c>
      <c r="R135" s="22">
        <f t="shared" si="49"/>
        <v>-8.9470850905898364E-3</v>
      </c>
      <c r="S135" s="22">
        <f t="shared" si="50"/>
        <v>-1.1706077033896253E-2</v>
      </c>
      <c r="T135" s="22">
        <f t="shared" si="51"/>
        <v>7.2362644988045524E-3</v>
      </c>
      <c r="U135" s="22">
        <f t="shared" si="52"/>
        <v>-2.4779831465221707E-2</v>
      </c>
      <c r="V135" s="22">
        <f t="shared" si="53"/>
        <v>2.1667359207845427E-3</v>
      </c>
      <c r="W135" s="22">
        <f t="shared" si="54"/>
        <v>-9.9565698419914125E-3</v>
      </c>
      <c r="X135" s="22">
        <f t="shared" si="55"/>
        <v>-1.4594824200119951E-2</v>
      </c>
    </row>
    <row r="136" spans="1:24" x14ac:dyDescent="0.35">
      <c r="A136" s="3">
        <v>15.66</v>
      </c>
      <c r="B136" s="3">
        <v>43.62</v>
      </c>
      <c r="C136" s="3">
        <v>125.81</v>
      </c>
      <c r="D136" s="3">
        <v>15.94</v>
      </c>
      <c r="E136" s="3">
        <v>36.200000000000003</v>
      </c>
      <c r="F136" s="3">
        <v>111.23974</v>
      </c>
      <c r="G136" s="3">
        <v>106.984526</v>
      </c>
      <c r="H136" s="3">
        <v>107.260031</v>
      </c>
      <c r="I136" s="17">
        <f t="shared" si="40"/>
        <v>-1.6949152542372854E-2</v>
      </c>
      <c r="J136" s="17">
        <f t="shared" si="41"/>
        <v>-1.4014466546112218E-2</v>
      </c>
      <c r="K136" s="17">
        <f t="shared" si="42"/>
        <v>-1.9831826114548629E-3</v>
      </c>
      <c r="L136" s="17">
        <f t="shared" si="43"/>
        <v>5.9840425531914918E-2</v>
      </c>
      <c r="M136" s="17">
        <f t="shared" si="44"/>
        <v>3.8824181919024005E-3</v>
      </c>
      <c r="N136" s="17">
        <f t="shared" si="45"/>
        <v>-9.6607622581653379E-3</v>
      </c>
      <c r="O136" s="17">
        <f t="shared" si="46"/>
        <v>-1.2018773062678614E-3</v>
      </c>
      <c r="P136" s="17">
        <f t="shared" si="47"/>
        <v>1.0344268295142559E-3</v>
      </c>
      <c r="Q136" s="22">
        <f t="shared" si="48"/>
        <v>-1.7343626412757586E-2</v>
      </c>
      <c r="R136" s="22">
        <f t="shared" si="49"/>
        <v>-1.4445191260189382E-2</v>
      </c>
      <c r="S136" s="22">
        <f t="shared" si="50"/>
        <v>-2.3951419982923099E-3</v>
      </c>
      <c r="T136" s="22">
        <f t="shared" si="51"/>
        <v>5.9708974022682E-2</v>
      </c>
      <c r="U136" s="22">
        <f t="shared" si="52"/>
        <v>3.1891902449486379E-3</v>
      </c>
      <c r="V136" s="22">
        <f t="shared" si="53"/>
        <v>-9.4261584486621582E-3</v>
      </c>
      <c r="W136" s="22">
        <f t="shared" si="54"/>
        <v>-9.476287521771584E-4</v>
      </c>
      <c r="X136" s="22">
        <f t="shared" si="55"/>
        <v>1.3503712141205947E-3</v>
      </c>
    </row>
    <row r="137" spans="1:24" x14ac:dyDescent="0.35">
      <c r="A137" s="3">
        <v>15.98</v>
      </c>
      <c r="B137" s="3">
        <v>45.14</v>
      </c>
      <c r="C137" s="3">
        <v>126.78</v>
      </c>
      <c r="D137" s="3">
        <v>15.91</v>
      </c>
      <c r="E137" s="3">
        <v>36.28</v>
      </c>
      <c r="F137" s="3">
        <v>111.49578700000001</v>
      </c>
      <c r="G137" s="3">
        <v>107.268012</v>
      </c>
      <c r="H137" s="3">
        <v>107.502443</v>
      </c>
      <c r="I137" s="17">
        <f t="shared" si="40"/>
        <v>2.0434227330779074E-2</v>
      </c>
      <c r="J137" s="17">
        <f t="shared" si="41"/>
        <v>3.4846400733608507E-2</v>
      </c>
      <c r="K137" s="17">
        <f t="shared" si="42"/>
        <v>7.7100389476194168E-3</v>
      </c>
      <c r="L137" s="17">
        <f t="shared" si="43"/>
        <v>-1.8820577164365972E-3</v>
      </c>
      <c r="M137" s="17">
        <f t="shared" si="44"/>
        <v>2.2099447513811684E-3</v>
      </c>
      <c r="N137" s="17">
        <f t="shared" si="45"/>
        <v>2.3017583464327537E-3</v>
      </c>
      <c r="O137" s="17">
        <f t="shared" si="46"/>
        <v>2.649785072656174E-3</v>
      </c>
      <c r="P137" s="17">
        <f t="shared" si="47"/>
        <v>2.2600403686253048E-3</v>
      </c>
      <c r="Q137" s="22">
        <f t="shared" si="48"/>
        <v>2.0039753460394341E-2</v>
      </c>
      <c r="R137" s="22">
        <f t="shared" si="49"/>
        <v>3.4415676019531341E-2</v>
      </c>
      <c r="S137" s="22">
        <f t="shared" si="50"/>
        <v>7.2980795607819702E-3</v>
      </c>
      <c r="T137" s="22">
        <f t="shared" si="51"/>
        <v>-2.0135092256695153E-3</v>
      </c>
      <c r="U137" s="22">
        <f t="shared" si="52"/>
        <v>1.5167168044274057E-3</v>
      </c>
      <c r="V137" s="22">
        <f t="shared" si="53"/>
        <v>2.5363621559359338E-3</v>
      </c>
      <c r="W137" s="22">
        <f t="shared" si="54"/>
        <v>2.9040336267468769E-3</v>
      </c>
      <c r="X137" s="22">
        <f t="shared" si="55"/>
        <v>2.5759847532316436E-3</v>
      </c>
    </row>
    <row r="138" spans="1:24" x14ac:dyDescent="0.35">
      <c r="A138" s="3">
        <v>15.71</v>
      </c>
      <c r="B138" s="3">
        <v>44.87</v>
      </c>
      <c r="C138" s="3">
        <v>126.8</v>
      </c>
      <c r="D138" s="3">
        <v>16.04</v>
      </c>
      <c r="E138" s="3">
        <v>36.29</v>
      </c>
      <c r="F138" s="3">
        <v>111.51644899999999</v>
      </c>
      <c r="G138" s="3">
        <v>107.064949</v>
      </c>
      <c r="H138" s="3">
        <v>107.161574</v>
      </c>
      <c r="I138" s="17">
        <f t="shared" si="40"/>
        <v>-1.6896120150187707E-2</v>
      </c>
      <c r="J138" s="17">
        <f t="shared" si="41"/>
        <v>-5.9813912272929362E-3</v>
      </c>
      <c r="K138" s="17">
        <f t="shared" si="42"/>
        <v>1.5775358889411596E-4</v>
      </c>
      <c r="L138" s="17">
        <f t="shared" si="43"/>
        <v>8.1709616593336892E-3</v>
      </c>
      <c r="M138" s="17">
        <f t="shared" si="44"/>
        <v>2.7563395810358351E-4</v>
      </c>
      <c r="N138" s="17">
        <f t="shared" si="45"/>
        <v>1.8531641917543754E-4</v>
      </c>
      <c r="O138" s="17">
        <f t="shared" si="46"/>
        <v>-1.8930433799779958E-3</v>
      </c>
      <c r="P138" s="17">
        <f t="shared" si="47"/>
        <v>-3.1708023602775044E-3</v>
      </c>
      <c r="Q138" s="22">
        <f t="shared" si="48"/>
        <v>-1.7290594020572439E-2</v>
      </c>
      <c r="R138" s="22">
        <f t="shared" si="49"/>
        <v>-6.4121159413700994E-3</v>
      </c>
      <c r="S138" s="22">
        <f t="shared" si="50"/>
        <v>-2.5420579794333095E-4</v>
      </c>
      <c r="T138" s="22">
        <f t="shared" si="51"/>
        <v>8.0395101501007718E-3</v>
      </c>
      <c r="U138" s="22">
        <f t="shared" si="52"/>
        <v>-4.17593988850179E-4</v>
      </c>
      <c r="V138" s="22">
        <f t="shared" si="53"/>
        <v>4.1992022867861782E-4</v>
      </c>
      <c r="W138" s="22">
        <f t="shared" si="54"/>
        <v>-1.6387948258872929E-3</v>
      </c>
      <c r="X138" s="22">
        <f t="shared" si="55"/>
        <v>-2.8548579756711655E-3</v>
      </c>
    </row>
    <row r="139" spans="1:24" x14ac:dyDescent="0.35">
      <c r="A139" s="3">
        <v>15.37</v>
      </c>
      <c r="B139" s="3">
        <v>44.84</v>
      </c>
      <c r="C139" s="3">
        <v>123.18</v>
      </c>
      <c r="D139" s="3">
        <v>15.75</v>
      </c>
      <c r="E139" s="3">
        <v>35.369999999999997</v>
      </c>
      <c r="F139" s="3">
        <v>111.27878800000001</v>
      </c>
      <c r="G139" s="3">
        <v>107.606533</v>
      </c>
      <c r="H139" s="3">
        <v>107.634005</v>
      </c>
      <c r="I139" s="17">
        <f t="shared" si="40"/>
        <v>-2.1642266072565346E-2</v>
      </c>
      <c r="J139" s="17">
        <f t="shared" si="41"/>
        <v>-6.6859817249819548E-4</v>
      </c>
      <c r="K139" s="17">
        <f t="shared" si="42"/>
        <v>-2.8548895899053552E-2</v>
      </c>
      <c r="L139" s="17">
        <f t="shared" si="43"/>
        <v>-1.8079800498753067E-2</v>
      </c>
      <c r="M139" s="17">
        <f t="shared" si="44"/>
        <v>-2.5351336456324102E-2</v>
      </c>
      <c r="N139" s="17">
        <f t="shared" si="45"/>
        <v>-2.1311743884526719E-3</v>
      </c>
      <c r="O139" s="17">
        <f t="shared" si="46"/>
        <v>5.0584622237105845E-3</v>
      </c>
      <c r="P139" s="17">
        <f t="shared" si="47"/>
        <v>4.408585861196853E-3</v>
      </c>
      <c r="Q139" s="22">
        <f t="shared" si="48"/>
        <v>-2.2036739942950079E-2</v>
      </c>
      <c r="R139" s="22">
        <f t="shared" si="49"/>
        <v>-1.0993228865753589E-3</v>
      </c>
      <c r="S139" s="22">
        <f t="shared" si="50"/>
        <v>-2.8960855285890999E-2</v>
      </c>
      <c r="T139" s="22">
        <f t="shared" si="51"/>
        <v>-1.8211252007985984E-2</v>
      </c>
      <c r="U139" s="22">
        <f t="shared" si="52"/>
        <v>-2.6044564403277865E-2</v>
      </c>
      <c r="V139" s="22">
        <f t="shared" si="53"/>
        <v>-1.8965705789494916E-3</v>
      </c>
      <c r="W139" s="22">
        <f t="shared" si="54"/>
        <v>5.3127107778012878E-3</v>
      </c>
      <c r="X139" s="22">
        <f t="shared" si="55"/>
        <v>4.7245302458031914E-3</v>
      </c>
    </row>
    <row r="140" spans="1:24" x14ac:dyDescent="0.35">
      <c r="A140" s="3">
        <v>15.88</v>
      </c>
      <c r="B140" s="3">
        <v>43.74</v>
      </c>
      <c r="C140" s="3">
        <v>124.17</v>
      </c>
      <c r="D140" s="3">
        <v>15.77</v>
      </c>
      <c r="E140" s="3">
        <v>36.9</v>
      </c>
      <c r="F140" s="3">
        <v>111.557784</v>
      </c>
      <c r="G140" s="3">
        <v>107.701296</v>
      </c>
      <c r="H140" s="3">
        <v>107.745166</v>
      </c>
      <c r="I140" s="17">
        <f t="shared" si="40"/>
        <v>3.3181522446324115E-2</v>
      </c>
      <c r="J140" s="17">
        <f t="shared" si="41"/>
        <v>-2.4531668153434463E-2</v>
      </c>
      <c r="K140" s="17">
        <f t="shared" si="42"/>
        <v>8.0370189965903137E-3</v>
      </c>
      <c r="L140" s="17">
        <f t="shared" si="43"/>
        <v>1.2698412698412427E-3</v>
      </c>
      <c r="M140" s="17">
        <f t="shared" si="44"/>
        <v>4.3256997455470771E-2</v>
      </c>
      <c r="N140" s="17">
        <f t="shared" si="45"/>
        <v>2.5071804340643269E-3</v>
      </c>
      <c r="O140" s="17">
        <f t="shared" si="46"/>
        <v>8.8064355720856072E-4</v>
      </c>
      <c r="P140" s="17">
        <f t="shared" si="47"/>
        <v>1.032768408088091E-3</v>
      </c>
      <c r="Q140" s="22">
        <f t="shared" si="48"/>
        <v>3.2787048575939379E-2</v>
      </c>
      <c r="R140" s="22">
        <f t="shared" si="49"/>
        <v>-2.4962392867511625E-2</v>
      </c>
      <c r="S140" s="22">
        <f t="shared" si="50"/>
        <v>7.6250596097528671E-3</v>
      </c>
      <c r="T140" s="22">
        <f t="shared" si="51"/>
        <v>1.1383897606083244E-3</v>
      </c>
      <c r="U140" s="22">
        <f t="shared" si="52"/>
        <v>4.2563769508517008E-2</v>
      </c>
      <c r="V140" s="22">
        <f t="shared" si="53"/>
        <v>2.741784243567507E-3</v>
      </c>
      <c r="W140" s="22">
        <f t="shared" si="54"/>
        <v>1.1348921112992638E-3</v>
      </c>
      <c r="X140" s="22">
        <f t="shared" si="55"/>
        <v>1.3487127926944298E-3</v>
      </c>
    </row>
    <row r="141" spans="1:24" x14ac:dyDescent="0.35">
      <c r="A141" s="3">
        <v>16.55</v>
      </c>
      <c r="B141" s="3">
        <v>44.42</v>
      </c>
      <c r="C141" s="3">
        <v>127.44</v>
      </c>
      <c r="D141" s="3">
        <v>15.88</v>
      </c>
      <c r="E141" s="3">
        <v>37.94</v>
      </c>
      <c r="F141" s="3">
        <v>111.384748</v>
      </c>
      <c r="G141" s="3">
        <v>107.49730099999999</v>
      </c>
      <c r="H141" s="3">
        <v>107.76564</v>
      </c>
      <c r="I141" s="17">
        <f t="shared" si="40"/>
        <v>4.219143576826196E-2</v>
      </c>
      <c r="J141" s="17">
        <f t="shared" si="41"/>
        <v>1.5546410608138996E-2</v>
      </c>
      <c r="K141" s="17">
        <f t="shared" si="42"/>
        <v>2.6334863493597455E-2</v>
      </c>
      <c r="L141" s="17">
        <f t="shared" si="43"/>
        <v>6.9752694990489039E-3</v>
      </c>
      <c r="M141" s="17">
        <f t="shared" si="44"/>
        <v>2.8184281842818407E-2</v>
      </c>
      <c r="N141" s="17">
        <f t="shared" si="45"/>
        <v>-1.5510885372193857E-3</v>
      </c>
      <c r="O141" s="17">
        <f t="shared" si="46"/>
        <v>-1.8940812002857064E-3</v>
      </c>
      <c r="P141" s="17">
        <f t="shared" si="47"/>
        <v>1.900224461114776E-4</v>
      </c>
      <c r="Q141" s="22">
        <f t="shared" si="48"/>
        <v>4.1796961897877224E-2</v>
      </c>
      <c r="R141" s="22">
        <f t="shared" si="49"/>
        <v>1.5115685894061832E-2</v>
      </c>
      <c r="S141" s="22">
        <f t="shared" si="50"/>
        <v>2.5922904106760007E-2</v>
      </c>
      <c r="T141" s="22">
        <f t="shared" si="51"/>
        <v>6.8438179898159856E-3</v>
      </c>
      <c r="U141" s="22">
        <f t="shared" si="52"/>
        <v>2.7491053895864644E-2</v>
      </c>
      <c r="V141" s="22">
        <f t="shared" si="53"/>
        <v>-1.3164847277162054E-3</v>
      </c>
      <c r="W141" s="22">
        <f t="shared" si="54"/>
        <v>-1.6398326461950032E-3</v>
      </c>
      <c r="X141" s="22">
        <f t="shared" si="55"/>
        <v>5.0596683071781642E-4</v>
      </c>
    </row>
    <row r="142" spans="1:24" x14ac:dyDescent="0.35">
      <c r="A142" s="3">
        <v>16.32</v>
      </c>
      <c r="B142" s="3">
        <v>44.79</v>
      </c>
      <c r="C142" s="3">
        <v>127.45</v>
      </c>
      <c r="D142" s="3">
        <v>15.92</v>
      </c>
      <c r="E142" s="3">
        <v>39.380000000000003</v>
      </c>
      <c r="F142" s="3">
        <v>111.125321</v>
      </c>
      <c r="G142" s="3">
        <v>106.88948000000001</v>
      </c>
      <c r="H142" s="3">
        <v>107.015123</v>
      </c>
      <c r="I142" s="17">
        <f t="shared" si="40"/>
        <v>-1.3897280966767397E-2</v>
      </c>
      <c r="J142" s="17">
        <f t="shared" si="41"/>
        <v>8.3295812696982767E-3</v>
      </c>
      <c r="K142" s="17">
        <f t="shared" si="42"/>
        <v>7.8468298807322006E-5</v>
      </c>
      <c r="L142" s="17">
        <f t="shared" si="43"/>
        <v>2.5188916876573769E-3</v>
      </c>
      <c r="M142" s="17">
        <f t="shared" si="44"/>
        <v>3.795466526093845E-2</v>
      </c>
      <c r="N142" s="17">
        <f t="shared" si="45"/>
        <v>-2.3291070335770053E-3</v>
      </c>
      <c r="O142" s="17">
        <f t="shared" si="46"/>
        <v>-5.6542907993567867E-3</v>
      </c>
      <c r="P142" s="17">
        <f t="shared" si="47"/>
        <v>-6.9643441081962869E-3</v>
      </c>
      <c r="Q142" s="22">
        <f t="shared" si="48"/>
        <v>-1.4291754837152131E-2</v>
      </c>
      <c r="R142" s="22">
        <f t="shared" si="49"/>
        <v>7.8988565556211126E-3</v>
      </c>
      <c r="S142" s="22">
        <f t="shared" si="50"/>
        <v>-3.3349108803012496E-4</v>
      </c>
      <c r="T142" s="22">
        <f t="shared" si="51"/>
        <v>2.3874401784244586E-3</v>
      </c>
      <c r="U142" s="22">
        <f t="shared" si="52"/>
        <v>3.7261437313984687E-2</v>
      </c>
      <c r="V142" s="22">
        <f t="shared" si="53"/>
        <v>-2.0945032240738252E-3</v>
      </c>
      <c r="W142" s="22">
        <f t="shared" si="54"/>
        <v>-5.4000422452660833E-3</v>
      </c>
      <c r="X142" s="22">
        <f t="shared" si="55"/>
        <v>-6.6483997235899485E-3</v>
      </c>
    </row>
    <row r="143" spans="1:24" x14ac:dyDescent="0.35">
      <c r="A143" s="3">
        <v>16.3</v>
      </c>
      <c r="B143" s="3">
        <v>44.79</v>
      </c>
      <c r="C143" s="3">
        <v>127.32</v>
      </c>
      <c r="D143" s="3">
        <v>15.87</v>
      </c>
      <c r="E143" s="3">
        <v>39.57</v>
      </c>
      <c r="F143" s="3">
        <v>111.081987</v>
      </c>
      <c r="G143" s="3">
        <v>106.909677</v>
      </c>
      <c r="H143" s="3">
        <v>107.21540899999999</v>
      </c>
      <c r="I143" s="17">
        <f t="shared" si="40"/>
        <v>-1.2254901960784053E-3</v>
      </c>
      <c r="J143" s="17">
        <f t="shared" si="41"/>
        <v>0</v>
      </c>
      <c r="K143" s="17">
        <f t="shared" si="42"/>
        <v>-1.0200078462142775E-3</v>
      </c>
      <c r="L143" s="17">
        <f t="shared" si="43"/>
        <v>-3.1407035175879845E-3</v>
      </c>
      <c r="M143" s="17">
        <f t="shared" si="44"/>
        <v>4.8247841543930352E-3</v>
      </c>
      <c r="N143" s="17">
        <f t="shared" si="45"/>
        <v>-3.8995612890064488E-4</v>
      </c>
      <c r="O143" s="17">
        <f t="shared" si="46"/>
        <v>1.8895217752014533E-4</v>
      </c>
      <c r="P143" s="17">
        <f t="shared" si="47"/>
        <v>1.8715672550317145E-3</v>
      </c>
      <c r="Q143" s="22">
        <f t="shared" si="48"/>
        <v>-1.6199640664631386E-3</v>
      </c>
      <c r="R143" s="22">
        <f t="shared" si="49"/>
        <v>-4.3072471407716351E-4</v>
      </c>
      <c r="S143" s="22">
        <f t="shared" si="50"/>
        <v>-1.4319672330517245E-3</v>
      </c>
      <c r="T143" s="22">
        <f t="shared" si="51"/>
        <v>-3.2721550268209028E-3</v>
      </c>
      <c r="U143" s="22">
        <f t="shared" si="52"/>
        <v>4.131556207439273E-3</v>
      </c>
      <c r="V143" s="22">
        <f t="shared" si="53"/>
        <v>-1.553523193974646E-4</v>
      </c>
      <c r="W143" s="22">
        <f t="shared" si="54"/>
        <v>4.4320073161084833E-4</v>
      </c>
      <c r="X143" s="22">
        <f t="shared" si="55"/>
        <v>2.1875116396380531E-3</v>
      </c>
    </row>
    <row r="144" spans="1:24" x14ac:dyDescent="0.35">
      <c r="A144" s="3">
        <v>16.47</v>
      </c>
      <c r="B144" s="3">
        <v>45.34</v>
      </c>
      <c r="C144" s="3">
        <v>129.46</v>
      </c>
      <c r="D144" s="3">
        <v>16.14</v>
      </c>
      <c r="E144" s="3">
        <v>40.18</v>
      </c>
      <c r="F144" s="3">
        <v>110.718942</v>
      </c>
      <c r="G144" s="3">
        <v>106.561243</v>
      </c>
      <c r="H144" s="3">
        <v>106.16409400000001</v>
      </c>
      <c r="I144" s="17">
        <f t="shared" si="40"/>
        <v>1.0429447852760622E-2</v>
      </c>
      <c r="J144" s="17">
        <f t="shared" si="41"/>
        <v>1.2279526680062609E-2</v>
      </c>
      <c r="K144" s="17">
        <f t="shared" si="42"/>
        <v>1.6808042726987237E-2</v>
      </c>
      <c r="L144" s="17">
        <f t="shared" si="43"/>
        <v>1.701323251417778E-2</v>
      </c>
      <c r="M144" s="17">
        <f t="shared" si="44"/>
        <v>1.5415718979024499E-2</v>
      </c>
      <c r="N144" s="17">
        <f t="shared" si="45"/>
        <v>-3.268261666943351E-3</v>
      </c>
      <c r="O144" s="17">
        <f t="shared" si="46"/>
        <v>-3.2591436975344845E-3</v>
      </c>
      <c r="P144" s="17">
        <f t="shared" si="47"/>
        <v>-9.8056334421108091E-3</v>
      </c>
      <c r="Q144" s="22">
        <f t="shared" si="48"/>
        <v>1.0034973982375888E-2</v>
      </c>
      <c r="R144" s="22">
        <f t="shared" si="49"/>
        <v>1.1848801965985445E-2</v>
      </c>
      <c r="S144" s="22">
        <f t="shared" si="50"/>
        <v>1.6396083340149789E-2</v>
      </c>
      <c r="T144" s="22">
        <f t="shared" si="51"/>
        <v>1.6881781004944862E-2</v>
      </c>
      <c r="U144" s="22">
        <f t="shared" si="52"/>
        <v>1.4722491032070736E-2</v>
      </c>
      <c r="V144" s="22">
        <f t="shared" si="53"/>
        <v>-3.0336578574401709E-3</v>
      </c>
      <c r="W144" s="22">
        <f t="shared" si="54"/>
        <v>-3.0048951434437816E-3</v>
      </c>
      <c r="X144" s="22">
        <f t="shared" si="55"/>
        <v>-9.4896890575044707E-3</v>
      </c>
    </row>
    <row r="145" spans="1:24" x14ac:dyDescent="0.35">
      <c r="A145" s="3">
        <v>16.079999999999998</v>
      </c>
      <c r="B145" s="3">
        <v>45.67</v>
      </c>
      <c r="C145" s="3">
        <v>129.91999999999999</v>
      </c>
      <c r="D145" s="3">
        <v>16.39</v>
      </c>
      <c r="E145" s="3">
        <v>39.65</v>
      </c>
      <c r="F145" s="3">
        <v>110.803752</v>
      </c>
      <c r="G145" s="3">
        <v>107.023994</v>
      </c>
      <c r="H145" s="3">
        <v>106.451374</v>
      </c>
      <c r="I145" s="17">
        <f t="shared" si="40"/>
        <v>-2.3679417122040108E-2</v>
      </c>
      <c r="J145" s="17">
        <f t="shared" si="41"/>
        <v>7.278341420379318E-3</v>
      </c>
      <c r="K145" s="17">
        <f t="shared" si="42"/>
        <v>3.5532210721456784E-3</v>
      </c>
      <c r="L145" s="17">
        <f t="shared" si="43"/>
        <v>1.5489467162329615E-2</v>
      </c>
      <c r="M145" s="17">
        <f t="shared" si="44"/>
        <v>-1.3190642110502766E-2</v>
      </c>
      <c r="N145" s="17">
        <f t="shared" si="45"/>
        <v>7.6599359123215337E-4</v>
      </c>
      <c r="O145" s="17">
        <f t="shared" si="46"/>
        <v>4.342582602945024E-3</v>
      </c>
      <c r="P145" s="17">
        <f t="shared" si="47"/>
        <v>2.7059996386348431E-3</v>
      </c>
      <c r="Q145" s="22">
        <f t="shared" si="48"/>
        <v>-2.4073890992424841E-2</v>
      </c>
      <c r="R145" s="22">
        <f t="shared" si="49"/>
        <v>6.8476167063021547E-3</v>
      </c>
      <c r="S145" s="22">
        <f t="shared" si="50"/>
        <v>3.1412616853082314E-3</v>
      </c>
      <c r="T145" s="22">
        <f t="shared" si="51"/>
        <v>1.5358015653096697E-2</v>
      </c>
      <c r="U145" s="22">
        <f t="shared" si="52"/>
        <v>-1.3883870057456529E-2</v>
      </c>
      <c r="V145" s="22">
        <f t="shared" si="53"/>
        <v>1.0005974007353336E-3</v>
      </c>
      <c r="W145" s="22">
        <f t="shared" si="54"/>
        <v>4.5968311570357273E-3</v>
      </c>
      <c r="X145" s="22">
        <f t="shared" si="55"/>
        <v>3.0219440232411819E-3</v>
      </c>
    </row>
    <row r="146" spans="1:24" x14ac:dyDescent="0.35">
      <c r="A146" s="3">
        <v>16.760000000000002</v>
      </c>
      <c r="B146" s="3">
        <v>45.06</v>
      </c>
      <c r="C146" s="3">
        <v>129.97999999999999</v>
      </c>
      <c r="D146" s="3">
        <v>16.61</v>
      </c>
      <c r="E146" s="3">
        <v>39.159999999999997</v>
      </c>
      <c r="F146" s="3">
        <v>111.20867</v>
      </c>
      <c r="G146" s="3">
        <v>107.41466200000001</v>
      </c>
      <c r="H146" s="3">
        <v>106.561106</v>
      </c>
      <c r="I146" s="17">
        <f t="shared" si="40"/>
        <v>4.2288557213930558E-2</v>
      </c>
      <c r="J146" s="17">
        <f t="shared" si="41"/>
        <v>-1.3356689292752341E-2</v>
      </c>
      <c r="K146" s="17">
        <f t="shared" si="42"/>
        <v>4.6182266009853971E-4</v>
      </c>
      <c r="L146" s="17">
        <f t="shared" si="43"/>
        <v>1.3422818791946239E-2</v>
      </c>
      <c r="M146" s="17">
        <f t="shared" si="44"/>
        <v>-1.2358133669609131E-2</v>
      </c>
      <c r="N146" s="17">
        <f t="shared" si="45"/>
        <v>3.6543708375506544E-3</v>
      </c>
      <c r="O146" s="17">
        <f t="shared" si="46"/>
        <v>3.6502842530807167E-3</v>
      </c>
      <c r="P146" s="17">
        <f t="shared" si="47"/>
        <v>1.0308180709813473E-3</v>
      </c>
      <c r="Q146" s="22">
        <f t="shared" si="48"/>
        <v>4.1894083343545822E-2</v>
      </c>
      <c r="R146" s="22">
        <f t="shared" si="49"/>
        <v>-1.3787414006829505E-2</v>
      </c>
      <c r="S146" s="22">
        <f t="shared" si="50"/>
        <v>4.986327326109277E-5</v>
      </c>
      <c r="T146" s="22">
        <f t="shared" si="51"/>
        <v>1.3291367282713322E-2</v>
      </c>
      <c r="U146" s="22">
        <f t="shared" si="52"/>
        <v>-1.3051361616562894E-2</v>
      </c>
      <c r="V146" s="22">
        <f t="shared" si="53"/>
        <v>3.8889746470538345E-3</v>
      </c>
      <c r="W146" s="22">
        <f t="shared" si="54"/>
        <v>3.9045328071714196E-3</v>
      </c>
      <c r="X146" s="22">
        <f t="shared" si="55"/>
        <v>1.3467624555876861E-3</v>
      </c>
    </row>
    <row r="147" spans="1:24" x14ac:dyDescent="0.35">
      <c r="A147" s="3">
        <v>16.97</v>
      </c>
      <c r="B147" s="3">
        <v>46.74</v>
      </c>
      <c r="C147" s="3">
        <v>131.63</v>
      </c>
      <c r="D147" s="3">
        <v>16.73</v>
      </c>
      <c r="E147" s="3">
        <v>40.99</v>
      </c>
      <c r="F147" s="3">
        <v>111.527934</v>
      </c>
      <c r="G147" s="3">
        <v>107.475044</v>
      </c>
      <c r="H147" s="3">
        <v>106.890801</v>
      </c>
      <c r="I147" s="17">
        <f t="shared" si="40"/>
        <v>1.2529832935560698E-2</v>
      </c>
      <c r="J147" s="17">
        <f t="shared" si="41"/>
        <v>3.7283621837549928E-2</v>
      </c>
      <c r="K147" s="17">
        <f t="shared" si="42"/>
        <v>1.2694260655485503E-2</v>
      </c>
      <c r="L147" s="17">
        <f t="shared" si="43"/>
        <v>7.2245635159543043E-3</v>
      </c>
      <c r="M147" s="17">
        <f t="shared" si="44"/>
        <v>4.6731358529111477E-2</v>
      </c>
      <c r="N147" s="17">
        <f t="shared" si="45"/>
        <v>2.8708553029184146E-3</v>
      </c>
      <c r="O147" s="17">
        <f t="shared" si="46"/>
        <v>5.6213927294199314E-4</v>
      </c>
      <c r="P147" s="17">
        <f t="shared" si="47"/>
        <v>3.0939524970771321E-3</v>
      </c>
      <c r="Q147" s="22">
        <f t="shared" si="48"/>
        <v>1.2135359065175964E-2</v>
      </c>
      <c r="R147" s="22">
        <f t="shared" si="49"/>
        <v>3.6852897123472762E-2</v>
      </c>
      <c r="S147" s="22">
        <f t="shared" si="50"/>
        <v>1.2282301268648056E-2</v>
      </c>
      <c r="T147" s="22">
        <f t="shared" si="51"/>
        <v>7.093112006721386E-3</v>
      </c>
      <c r="U147" s="22">
        <f t="shared" si="52"/>
        <v>4.6038130582157714E-2</v>
      </c>
      <c r="V147" s="22">
        <f t="shared" si="53"/>
        <v>3.1054591124215947E-3</v>
      </c>
      <c r="W147" s="22">
        <f t="shared" si="54"/>
        <v>8.1638782703269614E-4</v>
      </c>
      <c r="X147" s="22">
        <f t="shared" si="55"/>
        <v>3.409896881683471E-3</v>
      </c>
    </row>
    <row r="148" spans="1:24" x14ac:dyDescent="0.35">
      <c r="A148" s="3">
        <v>16.239999999999998</v>
      </c>
      <c r="B148" s="3">
        <v>45.88</v>
      </c>
      <c r="C148" s="3">
        <v>129.05000000000001</v>
      </c>
      <c r="D148" s="3">
        <v>16.68</v>
      </c>
      <c r="E148" s="3">
        <v>40.369999999999997</v>
      </c>
      <c r="F148" s="3">
        <v>111.677325</v>
      </c>
      <c r="G148" s="3">
        <v>107.49517899999999</v>
      </c>
      <c r="H148" s="3">
        <v>106.82215100000001</v>
      </c>
      <c r="I148" s="17">
        <f t="shared" si="40"/>
        <v>-4.3017088980553946E-2</v>
      </c>
      <c r="J148" s="17">
        <f t="shared" si="41"/>
        <v>-1.8399657680787322E-2</v>
      </c>
      <c r="K148" s="17">
        <f t="shared" si="42"/>
        <v>-1.9600395046721751E-2</v>
      </c>
      <c r="L148" s="17">
        <f t="shared" si="43"/>
        <v>-2.988643156007215E-3</v>
      </c>
      <c r="M148" s="17">
        <f t="shared" si="44"/>
        <v>-1.5125640400097696E-2</v>
      </c>
      <c r="N148" s="17">
        <f t="shared" si="45"/>
        <v>1.3394940141184205E-3</v>
      </c>
      <c r="O148" s="17">
        <f t="shared" si="46"/>
        <v>1.8734581769509431E-4</v>
      </c>
      <c r="P148" s="17">
        <f t="shared" si="47"/>
        <v>-6.4224422829417289E-4</v>
      </c>
      <c r="Q148" s="22">
        <f t="shared" si="48"/>
        <v>-4.3411562850938681E-2</v>
      </c>
      <c r="R148" s="22">
        <f t="shared" si="49"/>
        <v>-1.8830382394864485E-2</v>
      </c>
      <c r="S148" s="22">
        <f t="shared" si="50"/>
        <v>-2.0012354433559199E-2</v>
      </c>
      <c r="T148" s="22">
        <f t="shared" si="51"/>
        <v>-3.1200946652401333E-3</v>
      </c>
      <c r="U148" s="22">
        <f t="shared" si="52"/>
        <v>-1.5818868347051457E-2</v>
      </c>
      <c r="V148" s="22">
        <f t="shared" si="53"/>
        <v>1.5740978236216008E-3</v>
      </c>
      <c r="W148" s="22">
        <f t="shared" si="54"/>
        <v>4.4159437178579731E-4</v>
      </c>
      <c r="X148" s="22">
        <f t="shared" si="55"/>
        <v>-3.2629984368783411E-4</v>
      </c>
    </row>
    <row r="149" spans="1:24" x14ac:dyDescent="0.35">
      <c r="A149" s="3">
        <v>16.100000000000001</v>
      </c>
      <c r="B149" s="3">
        <v>47.71</v>
      </c>
      <c r="C149" s="3">
        <v>129.18</v>
      </c>
      <c r="D149" s="3">
        <v>16.670000000000002</v>
      </c>
      <c r="E149" s="3">
        <v>40.15</v>
      </c>
      <c r="F149" s="3">
        <v>111.698081</v>
      </c>
      <c r="G149" s="3">
        <v>107.738175</v>
      </c>
      <c r="H149" s="3">
        <v>107.111013</v>
      </c>
      <c r="I149" s="17">
        <f t="shared" si="40"/>
        <v>-8.6206896551722315E-3</v>
      </c>
      <c r="J149" s="17">
        <f t="shared" si="41"/>
        <v>3.9886660854402747E-2</v>
      </c>
      <c r="K149" s="17">
        <f t="shared" si="42"/>
        <v>1.0073614877953929E-3</v>
      </c>
      <c r="L149" s="17">
        <f t="shared" si="43"/>
        <v>-5.9952038369292626E-4</v>
      </c>
      <c r="M149" s="17">
        <f t="shared" si="44"/>
        <v>-5.449591280653923E-3</v>
      </c>
      <c r="N149" s="17">
        <f t="shared" si="45"/>
        <v>1.8585688724193357E-4</v>
      </c>
      <c r="O149" s="17">
        <f t="shared" si="46"/>
        <v>2.2605292838296042E-3</v>
      </c>
      <c r="P149" s="17">
        <f t="shared" si="47"/>
        <v>2.7041395187782226E-3</v>
      </c>
      <c r="Q149" s="22">
        <f t="shared" si="48"/>
        <v>-9.0151635255569657E-3</v>
      </c>
      <c r="R149" s="22">
        <f t="shared" si="49"/>
        <v>3.9455936140325581E-2</v>
      </c>
      <c r="S149" s="22">
        <f t="shared" si="50"/>
        <v>5.9540210095794586E-4</v>
      </c>
      <c r="T149" s="22">
        <f t="shared" si="51"/>
        <v>-7.3097189292584456E-4</v>
      </c>
      <c r="U149" s="22">
        <f t="shared" si="52"/>
        <v>-6.1428192276076852E-3</v>
      </c>
      <c r="V149" s="22">
        <f t="shared" si="53"/>
        <v>4.2046069674511386E-4</v>
      </c>
      <c r="W149" s="22">
        <f t="shared" si="54"/>
        <v>2.5147778379203071E-3</v>
      </c>
      <c r="X149" s="22">
        <f t="shared" si="55"/>
        <v>3.0200839033845614E-3</v>
      </c>
    </row>
    <row r="150" spans="1:24" x14ac:dyDescent="0.35">
      <c r="A150" s="3">
        <v>16.5</v>
      </c>
      <c r="B150" s="3">
        <v>48.33</v>
      </c>
      <c r="C150" s="3">
        <v>133.28</v>
      </c>
      <c r="D150" s="3">
        <v>16.98</v>
      </c>
      <c r="E150" s="3">
        <v>39.86</v>
      </c>
      <c r="F150" s="3">
        <v>111.59030799999999</v>
      </c>
      <c r="G150" s="3">
        <v>107.68393500000001</v>
      </c>
      <c r="H150" s="3">
        <v>107.13165499999999</v>
      </c>
      <c r="I150" s="17">
        <f t="shared" si="40"/>
        <v>2.4844720496894318E-2</v>
      </c>
      <c r="J150" s="17">
        <f t="shared" si="41"/>
        <v>1.2995179207713214E-2</v>
      </c>
      <c r="K150" s="17">
        <f t="shared" si="42"/>
        <v>3.173865923517568E-2</v>
      </c>
      <c r="L150" s="17">
        <f t="shared" si="43"/>
        <v>1.8596280743851151E-2</v>
      </c>
      <c r="M150" s="17">
        <f t="shared" si="44"/>
        <v>-7.2229140722291198E-3</v>
      </c>
      <c r="N150" s="17">
        <f t="shared" si="45"/>
        <v>-9.6485990659059555E-4</v>
      </c>
      <c r="O150" s="17">
        <f t="shared" si="46"/>
        <v>-5.0344272120808587E-4</v>
      </c>
      <c r="P150" s="17">
        <f t="shared" si="47"/>
        <v>1.9271594415781656E-4</v>
      </c>
      <c r="Q150" s="22">
        <f t="shared" si="48"/>
        <v>2.4450246626509586E-2</v>
      </c>
      <c r="R150" s="22">
        <f t="shared" si="49"/>
        <v>1.256445449363605E-2</v>
      </c>
      <c r="S150" s="22">
        <f t="shared" si="50"/>
        <v>3.1326699848338233E-2</v>
      </c>
      <c r="T150" s="22">
        <f t="shared" si="51"/>
        <v>1.8464829234618233E-2</v>
      </c>
      <c r="U150" s="22">
        <f t="shared" si="52"/>
        <v>-7.916142019182882E-3</v>
      </c>
      <c r="V150" s="22">
        <f t="shared" si="53"/>
        <v>-7.3025609708741524E-4</v>
      </c>
      <c r="W150" s="22">
        <f t="shared" si="54"/>
        <v>-2.4919416711738287E-4</v>
      </c>
      <c r="X150" s="22">
        <f t="shared" si="55"/>
        <v>5.086603287641553E-4</v>
      </c>
    </row>
    <row r="151" spans="1:24" x14ac:dyDescent="0.35">
      <c r="A151" s="3">
        <v>16.32</v>
      </c>
      <c r="B151" s="3">
        <v>48.75</v>
      </c>
      <c r="C151" s="3">
        <v>129.09</v>
      </c>
      <c r="D151" s="3">
        <v>16.87</v>
      </c>
      <c r="E151" s="3">
        <v>39.01</v>
      </c>
      <c r="F151" s="3">
        <v>111.418717</v>
      </c>
      <c r="G151" s="3">
        <v>107.185652</v>
      </c>
      <c r="H151" s="3">
        <v>106.350677</v>
      </c>
      <c r="I151" s="17">
        <f t="shared" si="40"/>
        <v>-1.0909090909090893E-2</v>
      </c>
      <c r="J151" s="17">
        <f t="shared" si="41"/>
        <v>8.6902545003104022E-3</v>
      </c>
      <c r="K151" s="17">
        <f t="shared" si="42"/>
        <v>-3.1437575030011988E-2</v>
      </c>
      <c r="L151" s="17">
        <f t="shared" si="43"/>
        <v>-6.4782096584216388E-3</v>
      </c>
      <c r="M151" s="17">
        <f t="shared" si="44"/>
        <v>-2.1324636226793814E-2</v>
      </c>
      <c r="N151" s="17">
        <f t="shared" si="45"/>
        <v>-1.5376873052451139E-3</v>
      </c>
      <c r="O151" s="17">
        <f t="shared" si="46"/>
        <v>-4.6272733254036514E-3</v>
      </c>
      <c r="P151" s="17">
        <f t="shared" si="47"/>
        <v>-7.2898901823181062E-3</v>
      </c>
      <c r="Q151" s="22">
        <f t="shared" si="48"/>
        <v>-1.1303564779475627E-2</v>
      </c>
      <c r="R151" s="22">
        <f t="shared" si="49"/>
        <v>8.2595297862332381E-3</v>
      </c>
      <c r="S151" s="22">
        <f t="shared" si="50"/>
        <v>-3.1849534416849436E-2</v>
      </c>
      <c r="T151" s="22">
        <f t="shared" si="51"/>
        <v>-6.6096611676545571E-3</v>
      </c>
      <c r="U151" s="22">
        <f t="shared" si="52"/>
        <v>-2.2017864173747577E-2</v>
      </c>
      <c r="V151" s="22">
        <f t="shared" si="53"/>
        <v>-1.3030834957419336E-3</v>
      </c>
      <c r="W151" s="22">
        <f t="shared" si="54"/>
        <v>-4.3730247713129481E-3</v>
      </c>
      <c r="X151" s="22">
        <f t="shared" si="55"/>
        <v>-6.9739457977117678E-3</v>
      </c>
    </row>
    <row r="152" spans="1:24" x14ac:dyDescent="0.35">
      <c r="A152" s="3">
        <v>16.079999999999998</v>
      </c>
      <c r="B152" s="3">
        <v>48.4</v>
      </c>
      <c r="C152" s="3">
        <v>128.34</v>
      </c>
      <c r="D152" s="3">
        <v>17.059999999999999</v>
      </c>
      <c r="E152" s="3">
        <v>38.92</v>
      </c>
      <c r="F152" s="3">
        <v>111.28949299999999</v>
      </c>
      <c r="G152" s="3">
        <v>107.246337</v>
      </c>
      <c r="H152" s="3">
        <v>106.412944</v>
      </c>
      <c r="I152" s="17">
        <f t="shared" si="40"/>
        <v>-1.4705882352941298E-2</v>
      </c>
      <c r="J152" s="17">
        <f t="shared" si="41"/>
        <v>-7.179487179487209E-3</v>
      </c>
      <c r="K152" s="17">
        <f t="shared" si="42"/>
        <v>-5.8099000697188008E-3</v>
      </c>
      <c r="L152" s="17">
        <f t="shared" si="43"/>
        <v>1.1262596324836853E-2</v>
      </c>
      <c r="M152" s="17">
        <f t="shared" si="44"/>
        <v>-2.307100743399034E-3</v>
      </c>
      <c r="N152" s="17">
        <f t="shared" si="45"/>
        <v>-1.1598051339974393E-3</v>
      </c>
      <c r="O152" s="17">
        <f t="shared" si="46"/>
        <v>5.6616719558689002E-4</v>
      </c>
      <c r="P152" s="17">
        <f t="shared" si="47"/>
        <v>5.8548757522240702E-4</v>
      </c>
      <c r="Q152" s="22">
        <f t="shared" si="48"/>
        <v>-1.5100356223326032E-2</v>
      </c>
      <c r="R152" s="22">
        <f t="shared" si="49"/>
        <v>-7.6102118935643722E-3</v>
      </c>
      <c r="S152" s="22">
        <f t="shared" si="50"/>
        <v>-6.2218594565562474E-3</v>
      </c>
      <c r="T152" s="22">
        <f t="shared" si="51"/>
        <v>1.1131144815603936E-2</v>
      </c>
      <c r="U152" s="22">
        <f t="shared" si="52"/>
        <v>-3.0003286903527967E-3</v>
      </c>
      <c r="V152" s="22">
        <f t="shared" si="53"/>
        <v>-9.25201324494259E-4</v>
      </c>
      <c r="W152" s="22">
        <f t="shared" si="54"/>
        <v>8.2041574967759302E-4</v>
      </c>
      <c r="X152" s="22">
        <f t="shared" si="55"/>
        <v>9.0143195982874584E-4</v>
      </c>
    </row>
    <row r="153" spans="1:24" x14ac:dyDescent="0.35">
      <c r="A153" s="3">
        <v>16.02</v>
      </c>
      <c r="B153" s="3">
        <v>49</v>
      </c>
      <c r="C153" s="3">
        <v>129.22</v>
      </c>
      <c r="D153" s="3">
        <v>16.850000000000001</v>
      </c>
      <c r="E153" s="3">
        <v>38.619999999999997</v>
      </c>
      <c r="F153" s="3">
        <v>111.055401</v>
      </c>
      <c r="G153" s="3">
        <v>106.97203500000001</v>
      </c>
      <c r="H153" s="3">
        <v>106.08023900000001</v>
      </c>
      <c r="I153" s="17">
        <f t="shared" si="40"/>
        <v>-3.7313432835820106E-3</v>
      </c>
      <c r="J153" s="17">
        <f t="shared" si="41"/>
        <v>1.2396694214876063E-2</v>
      </c>
      <c r="K153" s="17">
        <f t="shared" si="42"/>
        <v>6.8567866604331883E-3</v>
      </c>
      <c r="L153" s="17">
        <f t="shared" si="43"/>
        <v>-1.2309495896834544E-2</v>
      </c>
      <c r="M153" s="17">
        <f t="shared" si="44"/>
        <v>-7.7081192189106954E-3</v>
      </c>
      <c r="N153" s="17">
        <f t="shared" si="45"/>
        <v>-2.1034510418696021E-3</v>
      </c>
      <c r="O153" s="17">
        <f t="shared" si="46"/>
        <v>-2.557681760263678E-3</v>
      </c>
      <c r="P153" s="17">
        <f t="shared" si="47"/>
        <v>-3.1265463344383186E-3</v>
      </c>
      <c r="Q153" s="22">
        <f t="shared" si="48"/>
        <v>-4.1258171539667442E-3</v>
      </c>
      <c r="R153" s="22">
        <f t="shared" si="49"/>
        <v>1.1965969500798899E-2</v>
      </c>
      <c r="S153" s="22">
        <f t="shared" si="50"/>
        <v>6.4448272735957417E-3</v>
      </c>
      <c r="T153" s="22">
        <f t="shared" si="51"/>
        <v>-1.2440947406067462E-2</v>
      </c>
      <c r="U153" s="22">
        <f t="shared" si="52"/>
        <v>-8.4013471658644576E-3</v>
      </c>
      <c r="V153" s="22">
        <f t="shared" si="53"/>
        <v>-1.8688472323664218E-3</v>
      </c>
      <c r="W153" s="22">
        <f t="shared" si="54"/>
        <v>-2.3034332061729751E-3</v>
      </c>
      <c r="X153" s="22">
        <f t="shared" si="55"/>
        <v>-2.8106019498319798E-3</v>
      </c>
    </row>
    <row r="154" spans="1:24" x14ac:dyDescent="0.35">
      <c r="A154" s="3">
        <v>15.99</v>
      </c>
      <c r="B154" s="3">
        <v>49.44</v>
      </c>
      <c r="C154" s="3">
        <v>129.03</v>
      </c>
      <c r="D154" s="3">
        <v>16.57</v>
      </c>
      <c r="E154" s="3">
        <v>37.68</v>
      </c>
      <c r="F154" s="3">
        <v>110.822204</v>
      </c>
      <c r="G154" s="3">
        <v>106.55258499999999</v>
      </c>
      <c r="H154" s="3">
        <v>105.66152599999999</v>
      </c>
      <c r="I154" s="17">
        <f t="shared" si="40"/>
        <v>-1.8726591760299227E-3</v>
      </c>
      <c r="J154" s="17">
        <f t="shared" si="41"/>
        <v>8.9795918367346472E-3</v>
      </c>
      <c r="K154" s="17">
        <f t="shared" si="42"/>
        <v>-1.4703606252901851E-3</v>
      </c>
      <c r="L154" s="17">
        <f t="shared" si="43"/>
        <v>-1.6617210682492646E-2</v>
      </c>
      <c r="M154" s="17">
        <f t="shared" si="44"/>
        <v>-2.433972035214909E-2</v>
      </c>
      <c r="N154" s="17">
        <f t="shared" si="45"/>
        <v>-2.0998258337746587E-3</v>
      </c>
      <c r="O154" s="17">
        <f t="shared" si="46"/>
        <v>-3.9211182623571841E-3</v>
      </c>
      <c r="P154" s="17">
        <f t="shared" si="47"/>
        <v>-3.9471347721983449E-3</v>
      </c>
      <c r="Q154" s="22">
        <f t="shared" si="48"/>
        <v>-2.2671330464146561E-3</v>
      </c>
      <c r="R154" s="22">
        <f t="shared" si="49"/>
        <v>8.5488671226574831E-3</v>
      </c>
      <c r="S154" s="22">
        <f t="shared" si="50"/>
        <v>-1.8823200121276321E-3</v>
      </c>
      <c r="T154" s="22">
        <f t="shared" si="51"/>
        <v>-1.6748662191725563E-2</v>
      </c>
      <c r="U154" s="22">
        <f t="shared" si="52"/>
        <v>-2.5032948299102853E-2</v>
      </c>
      <c r="V154" s="22">
        <f t="shared" si="53"/>
        <v>-1.8652220242714784E-3</v>
      </c>
      <c r="W154" s="22">
        <f t="shared" si="54"/>
        <v>-3.6668697082664812E-3</v>
      </c>
      <c r="X154" s="22">
        <f t="shared" si="55"/>
        <v>-3.6311903875920061E-3</v>
      </c>
    </row>
    <row r="155" spans="1:24" x14ac:dyDescent="0.35">
      <c r="A155" s="3">
        <v>16.04</v>
      </c>
      <c r="B155" s="3">
        <v>49.16</v>
      </c>
      <c r="C155" s="3">
        <v>129.62</v>
      </c>
      <c r="D155" s="3">
        <v>16.79</v>
      </c>
      <c r="E155" s="3">
        <v>38.67</v>
      </c>
      <c r="F155" s="3">
        <v>110.906736</v>
      </c>
      <c r="G155" s="3">
        <v>106.499928</v>
      </c>
      <c r="H155" s="3">
        <v>105.68239800000001</v>
      </c>
      <c r="I155" s="17">
        <f t="shared" si="40"/>
        <v>3.1269543464664748E-3</v>
      </c>
      <c r="J155" s="17">
        <f t="shared" si="41"/>
        <v>-5.663430420711997E-3</v>
      </c>
      <c r="K155" s="17">
        <f t="shared" si="42"/>
        <v>4.5725800201503793E-3</v>
      </c>
      <c r="L155" s="17">
        <f t="shared" si="43"/>
        <v>1.3277006638503251E-2</v>
      </c>
      <c r="M155" s="17">
        <f t="shared" si="44"/>
        <v>2.6273885350318524E-2</v>
      </c>
      <c r="N155" s="17">
        <f t="shared" si="45"/>
        <v>7.6277133055390085E-4</v>
      </c>
      <c r="O155" s="17">
        <f t="shared" si="46"/>
        <v>-4.9418791669856156E-4</v>
      </c>
      <c r="P155" s="17">
        <f t="shared" si="47"/>
        <v>1.9753642399610364E-4</v>
      </c>
      <c r="Q155" s="22">
        <f t="shared" si="48"/>
        <v>2.7324804760817415E-3</v>
      </c>
      <c r="R155" s="22">
        <f t="shared" si="49"/>
        <v>-6.0941551347891603E-3</v>
      </c>
      <c r="S155" s="22">
        <f t="shared" si="50"/>
        <v>4.1606206333129328E-3</v>
      </c>
      <c r="T155" s="22">
        <f t="shared" si="51"/>
        <v>1.3145555129270334E-2</v>
      </c>
      <c r="U155" s="22">
        <f t="shared" si="52"/>
        <v>2.5580657403364761E-2</v>
      </c>
      <c r="V155" s="22">
        <f t="shared" si="53"/>
        <v>9.9737514005708116E-4</v>
      </c>
      <c r="W155" s="22">
        <f t="shared" si="54"/>
        <v>-2.3993936260785856E-4</v>
      </c>
      <c r="X155" s="22">
        <f t="shared" si="55"/>
        <v>5.1348080860244235E-4</v>
      </c>
    </row>
    <row r="156" spans="1:24" x14ac:dyDescent="0.35">
      <c r="A156" s="3">
        <v>16.27</v>
      </c>
      <c r="B156" s="3">
        <v>49.69</v>
      </c>
      <c r="C156" s="3">
        <v>129.57</v>
      </c>
      <c r="D156" s="3">
        <v>16.87</v>
      </c>
      <c r="E156" s="3">
        <v>39.08</v>
      </c>
      <c r="F156" s="3">
        <v>110.73760299999999</v>
      </c>
      <c r="G156" s="3">
        <v>106.593371</v>
      </c>
      <c r="H156" s="3">
        <v>105.87873999999999</v>
      </c>
      <c r="I156" s="17">
        <f t="shared" si="40"/>
        <v>1.4339152119700776E-2</v>
      </c>
      <c r="J156" s="17">
        <f t="shared" si="41"/>
        <v>1.0781122864117192E-2</v>
      </c>
      <c r="K156" s="17">
        <f t="shared" si="42"/>
        <v>-3.8574294090426916E-4</v>
      </c>
      <c r="L156" s="17">
        <f t="shared" si="43"/>
        <v>4.7647409172127371E-3</v>
      </c>
      <c r="M156" s="17">
        <f t="shared" si="44"/>
        <v>1.0602534264287472E-2</v>
      </c>
      <c r="N156" s="17">
        <f t="shared" si="45"/>
        <v>-1.5250020521747408E-3</v>
      </c>
      <c r="O156" s="17">
        <f t="shared" si="46"/>
        <v>8.7739965420453349E-4</v>
      </c>
      <c r="P156" s="17">
        <f t="shared" si="47"/>
        <v>1.8578495919442245E-3</v>
      </c>
      <c r="Q156" s="22">
        <f t="shared" si="48"/>
        <v>1.3944678249316042E-2</v>
      </c>
      <c r="R156" s="22">
        <f t="shared" si="49"/>
        <v>1.0350398150040028E-2</v>
      </c>
      <c r="S156" s="22">
        <f t="shared" si="50"/>
        <v>-7.977023277417161E-4</v>
      </c>
      <c r="T156" s="22">
        <f t="shared" si="51"/>
        <v>4.6332894079798188E-3</v>
      </c>
      <c r="U156" s="22">
        <f t="shared" si="52"/>
        <v>9.9093063173337093E-3</v>
      </c>
      <c r="V156" s="22">
        <f t="shared" si="53"/>
        <v>-1.2903982426715605E-3</v>
      </c>
      <c r="W156" s="22">
        <f t="shared" si="54"/>
        <v>1.1316482082952364E-3</v>
      </c>
      <c r="X156" s="22">
        <f t="shared" si="55"/>
        <v>2.1737939765505633E-3</v>
      </c>
    </row>
    <row r="157" spans="1:24" x14ac:dyDescent="0.35">
      <c r="A157" s="3">
        <v>16.02</v>
      </c>
      <c r="B157" s="3">
        <v>48.95</v>
      </c>
      <c r="C157" s="3">
        <v>130.08000000000001</v>
      </c>
      <c r="D157" s="3">
        <v>16.98</v>
      </c>
      <c r="E157" s="3">
        <v>39.200000000000003</v>
      </c>
      <c r="F157" s="3">
        <v>110.99099</v>
      </c>
      <c r="G157" s="3">
        <v>106.94718899999999</v>
      </c>
      <c r="H157" s="3">
        <v>106.29332599999999</v>
      </c>
      <c r="I157" s="17">
        <f t="shared" si="40"/>
        <v>-1.5365703749231715E-2</v>
      </c>
      <c r="J157" s="17">
        <f t="shared" si="41"/>
        <v>-1.4892332461259709E-2</v>
      </c>
      <c r="K157" s="17">
        <f t="shared" si="42"/>
        <v>3.9360963185924164E-3</v>
      </c>
      <c r="L157" s="17">
        <f t="shared" si="43"/>
        <v>6.520450503852959E-3</v>
      </c>
      <c r="M157" s="17">
        <f t="shared" si="44"/>
        <v>3.0706243602867081E-3</v>
      </c>
      <c r="N157" s="17">
        <f t="shared" si="45"/>
        <v>2.2881748668517198E-3</v>
      </c>
      <c r="O157" s="17">
        <f t="shared" si="46"/>
        <v>3.3193246135352051E-3</v>
      </c>
      <c r="P157" s="17">
        <f t="shared" si="47"/>
        <v>3.9156680557399905E-3</v>
      </c>
      <c r="Q157" s="22">
        <f t="shared" si="48"/>
        <v>-1.5760177619616449E-2</v>
      </c>
      <c r="R157" s="22">
        <f t="shared" si="49"/>
        <v>-1.5323057175336873E-2</v>
      </c>
      <c r="S157" s="22">
        <f t="shared" si="50"/>
        <v>3.5241369317549694E-3</v>
      </c>
      <c r="T157" s="22">
        <f t="shared" si="51"/>
        <v>6.3889989946200407E-3</v>
      </c>
      <c r="U157" s="22">
        <f t="shared" si="52"/>
        <v>2.3773964133329455E-3</v>
      </c>
      <c r="V157" s="22">
        <f t="shared" si="53"/>
        <v>2.5227786763548999E-3</v>
      </c>
      <c r="W157" s="22">
        <f t="shared" si="54"/>
        <v>3.573573167625908E-3</v>
      </c>
      <c r="X157" s="22">
        <f t="shared" si="55"/>
        <v>4.2316124403463289E-3</v>
      </c>
    </row>
    <row r="158" spans="1:24" x14ac:dyDescent="0.35">
      <c r="A158" s="3">
        <v>16.100000000000001</v>
      </c>
      <c r="B158" s="3">
        <v>48.89</v>
      </c>
      <c r="C158" s="3">
        <v>131.29</v>
      </c>
      <c r="D158" s="3">
        <v>17.239999999999998</v>
      </c>
      <c r="E158" s="3">
        <v>38.83</v>
      </c>
      <c r="F158" s="3">
        <v>111.45697699999999</v>
      </c>
      <c r="G158" s="3">
        <v>107.48202499999999</v>
      </c>
      <c r="H158" s="3">
        <v>107.022875</v>
      </c>
      <c r="I158" s="17">
        <f t="shared" si="40"/>
        <v>4.9937578027466822E-3</v>
      </c>
      <c r="J158" s="17">
        <f t="shared" si="41"/>
        <v>-1.2257405515832946E-3</v>
      </c>
      <c r="K158" s="17">
        <f t="shared" si="42"/>
        <v>9.3019680196800378E-3</v>
      </c>
      <c r="L158" s="17">
        <f t="shared" si="43"/>
        <v>1.5312131919905655E-2</v>
      </c>
      <c r="M158" s="17">
        <f t="shared" si="44"/>
        <v>-9.4387755102041965E-3</v>
      </c>
      <c r="N158" s="17">
        <f t="shared" si="45"/>
        <v>4.1984218719014798E-3</v>
      </c>
      <c r="O158" s="17">
        <f t="shared" si="46"/>
        <v>5.0009355552112604E-3</v>
      </c>
      <c r="P158" s="17">
        <f t="shared" si="47"/>
        <v>6.8635447535060276E-3</v>
      </c>
      <c r="Q158" s="22">
        <f t="shared" si="48"/>
        <v>4.5992839323619489E-3</v>
      </c>
      <c r="R158" s="22">
        <f t="shared" si="49"/>
        <v>-1.656465265660458E-3</v>
      </c>
      <c r="S158" s="22">
        <f t="shared" si="50"/>
        <v>8.8900086328425904E-3</v>
      </c>
      <c r="T158" s="22">
        <f t="shared" si="51"/>
        <v>1.5180680410672737E-2</v>
      </c>
      <c r="U158" s="22">
        <f t="shared" si="52"/>
        <v>-1.013200345715796E-2</v>
      </c>
      <c r="V158" s="22">
        <f t="shared" si="53"/>
        <v>4.4330256814046603E-3</v>
      </c>
      <c r="W158" s="22">
        <f t="shared" si="54"/>
        <v>5.2551841093019637E-3</v>
      </c>
      <c r="X158" s="22">
        <f t="shared" si="55"/>
        <v>7.179489138112366E-3</v>
      </c>
    </row>
    <row r="159" spans="1:24" x14ac:dyDescent="0.35">
      <c r="A159" s="3">
        <v>16</v>
      </c>
      <c r="B159" s="3">
        <v>49.63</v>
      </c>
      <c r="C159" s="3">
        <v>130.55000000000001</v>
      </c>
      <c r="D159" s="3">
        <v>17.29</v>
      </c>
      <c r="E159" s="3">
        <v>38.81</v>
      </c>
      <c r="F159" s="3">
        <v>111.797037</v>
      </c>
      <c r="G159" s="3">
        <v>106.622443</v>
      </c>
      <c r="H159" s="3">
        <v>106.158827</v>
      </c>
      <c r="I159" s="17">
        <f t="shared" si="40"/>
        <v>-6.2111801242236905E-3</v>
      </c>
      <c r="J159" s="17">
        <f t="shared" si="41"/>
        <v>1.5136019635917406E-2</v>
      </c>
      <c r="K159" s="17">
        <f t="shared" si="42"/>
        <v>-5.6363774849568183E-3</v>
      </c>
      <c r="L159" s="17">
        <f t="shared" si="43"/>
        <v>2.9002320185615264E-3</v>
      </c>
      <c r="M159" s="17">
        <f t="shared" si="44"/>
        <v>-5.1506567087293391E-4</v>
      </c>
      <c r="N159" s="17">
        <f t="shared" si="45"/>
        <v>3.0510427355302152E-3</v>
      </c>
      <c r="O159" s="17">
        <f t="shared" si="46"/>
        <v>-7.9974488757537741E-3</v>
      </c>
      <c r="P159" s="17">
        <f t="shared" si="47"/>
        <v>-8.0734889620559802E-3</v>
      </c>
      <c r="Q159" s="22">
        <f t="shared" si="48"/>
        <v>-6.6056539946084238E-3</v>
      </c>
      <c r="R159" s="22">
        <f t="shared" si="49"/>
        <v>1.4705294921840242E-2</v>
      </c>
      <c r="S159" s="22">
        <f t="shared" si="50"/>
        <v>-6.0483368717942649E-3</v>
      </c>
      <c r="T159" s="22">
        <f t="shared" si="51"/>
        <v>2.7687805093286081E-3</v>
      </c>
      <c r="U159" s="22">
        <f t="shared" si="52"/>
        <v>-1.2082936178266965E-3</v>
      </c>
      <c r="V159" s="22">
        <f t="shared" si="53"/>
        <v>3.2856465450333953E-3</v>
      </c>
      <c r="W159" s="22">
        <f t="shared" si="54"/>
        <v>-7.7432003216630707E-3</v>
      </c>
      <c r="X159" s="22">
        <f t="shared" si="55"/>
        <v>-7.7575445774496418E-3</v>
      </c>
    </row>
    <row r="160" spans="1:24" x14ac:dyDescent="0.35">
      <c r="A160" s="3">
        <v>15.81</v>
      </c>
      <c r="B160" s="3">
        <v>51.43</v>
      </c>
      <c r="C160" s="3">
        <v>132.91</v>
      </c>
      <c r="D160" s="3">
        <v>17.78</v>
      </c>
      <c r="E160" s="3">
        <v>37.880000000000003</v>
      </c>
      <c r="F160" s="3">
        <v>110.801151</v>
      </c>
      <c r="G160" s="3">
        <v>106.788832</v>
      </c>
      <c r="H160" s="3">
        <v>106.2677</v>
      </c>
      <c r="I160" s="17">
        <f t="shared" si="40"/>
        <v>-1.1874999999999969E-2</v>
      </c>
      <c r="J160" s="17">
        <f t="shared" si="41"/>
        <v>3.6268386056820409E-2</v>
      </c>
      <c r="K160" s="17">
        <f t="shared" si="42"/>
        <v>1.8077364994254962E-2</v>
      </c>
      <c r="L160" s="17">
        <f t="shared" si="43"/>
        <v>2.8340080971660034E-2</v>
      </c>
      <c r="M160" s="17">
        <f t="shared" si="44"/>
        <v>-2.3962896160783294E-2</v>
      </c>
      <c r="N160" s="17">
        <f t="shared" si="45"/>
        <v>-8.9079820603832158E-3</v>
      </c>
      <c r="O160" s="17">
        <f t="shared" si="46"/>
        <v>1.5605438716124263E-3</v>
      </c>
      <c r="P160" s="17">
        <f t="shared" si="47"/>
        <v>1.0255670967427198E-3</v>
      </c>
      <c r="Q160" s="22">
        <f t="shared" si="48"/>
        <v>-1.2269473870384703E-2</v>
      </c>
      <c r="R160" s="22">
        <f t="shared" si="49"/>
        <v>3.5837661342743243E-2</v>
      </c>
      <c r="S160" s="22">
        <f t="shared" si="50"/>
        <v>1.7665405607417514E-2</v>
      </c>
      <c r="T160" s="22">
        <f t="shared" si="51"/>
        <v>2.8208629462427116E-2</v>
      </c>
      <c r="U160" s="22">
        <f t="shared" si="52"/>
        <v>-2.4656124107737057E-2</v>
      </c>
      <c r="V160" s="22">
        <f t="shared" si="53"/>
        <v>-8.6733782508800362E-3</v>
      </c>
      <c r="W160" s="22">
        <f t="shared" si="54"/>
        <v>1.8147924257031294E-3</v>
      </c>
      <c r="X160" s="22">
        <f t="shared" si="55"/>
        <v>1.3415114813490586E-3</v>
      </c>
    </row>
    <row r="161" spans="1:24" x14ac:dyDescent="0.35">
      <c r="A161" s="3">
        <v>15.88</v>
      </c>
      <c r="B161" s="3">
        <v>50.99</v>
      </c>
      <c r="C161" s="3">
        <v>130.99</v>
      </c>
      <c r="D161" s="3">
        <v>18.010000000000002</v>
      </c>
      <c r="E161" s="3">
        <v>38.06</v>
      </c>
      <c r="F161" s="3">
        <v>110.94871500000001</v>
      </c>
      <c r="G161" s="3">
        <v>106.882301</v>
      </c>
      <c r="H161" s="3">
        <v>106.376654</v>
      </c>
      <c r="I161" s="17">
        <f t="shared" si="40"/>
        <v>4.4275774826059633E-3</v>
      </c>
      <c r="J161" s="17">
        <f t="shared" si="41"/>
        <v>-8.5553179078358497E-3</v>
      </c>
      <c r="K161" s="17">
        <f t="shared" si="42"/>
        <v>-1.4445865623354056E-2</v>
      </c>
      <c r="L161" s="17">
        <f t="shared" si="43"/>
        <v>1.2935883014623195E-2</v>
      </c>
      <c r="M161" s="17">
        <f t="shared" si="44"/>
        <v>4.7518479408658843E-3</v>
      </c>
      <c r="N161" s="17">
        <f t="shared" si="45"/>
        <v>1.3317912193890719E-3</v>
      </c>
      <c r="O161" s="17">
        <f t="shared" si="46"/>
        <v>8.7526942892304424E-4</v>
      </c>
      <c r="P161" s="17">
        <f t="shared" si="47"/>
        <v>1.0252786124099525E-3</v>
      </c>
      <c r="Q161" s="22">
        <f t="shared" si="48"/>
        <v>4.03310361222123E-3</v>
      </c>
      <c r="R161" s="22">
        <f t="shared" si="49"/>
        <v>-8.9860426219130138E-3</v>
      </c>
      <c r="S161" s="22">
        <f t="shared" si="50"/>
        <v>-1.4857825010191504E-2</v>
      </c>
      <c r="T161" s="22">
        <f t="shared" si="51"/>
        <v>1.2804431505390278E-2</v>
      </c>
      <c r="U161" s="22">
        <f t="shared" si="52"/>
        <v>4.0586199939121222E-3</v>
      </c>
      <c r="V161" s="22">
        <f t="shared" si="53"/>
        <v>1.5663950288922522E-3</v>
      </c>
      <c r="W161" s="22">
        <f t="shared" si="54"/>
        <v>1.1295179830137472E-3</v>
      </c>
      <c r="X161" s="22">
        <f t="shared" si="55"/>
        <v>1.3412229970162913E-3</v>
      </c>
    </row>
    <row r="162" spans="1:24" x14ac:dyDescent="0.35">
      <c r="A162" s="3">
        <v>15.54</v>
      </c>
      <c r="B162" s="3">
        <v>49.81</v>
      </c>
      <c r="C162" s="3">
        <v>126.59</v>
      </c>
      <c r="D162" s="3">
        <v>18.16</v>
      </c>
      <c r="E162" s="3">
        <v>37.9</v>
      </c>
      <c r="F162" s="3">
        <v>111.201903</v>
      </c>
      <c r="G162" s="3">
        <v>106.870486</v>
      </c>
      <c r="H162" s="3">
        <v>106.26315099999999</v>
      </c>
      <c r="I162" s="17">
        <f t="shared" si="40"/>
        <v>-2.1410579345088263E-2</v>
      </c>
      <c r="J162" s="17">
        <f t="shared" si="41"/>
        <v>-2.3141792508334962E-2</v>
      </c>
      <c r="K162" s="17">
        <f t="shared" si="42"/>
        <v>-3.3590350408428164E-2</v>
      </c>
      <c r="L162" s="17">
        <f t="shared" si="43"/>
        <v>8.3287062742919797E-3</v>
      </c>
      <c r="M162" s="17">
        <f t="shared" si="44"/>
        <v>-4.2038885969522778E-3</v>
      </c>
      <c r="N162" s="17">
        <f t="shared" si="45"/>
        <v>2.2820273312763864E-3</v>
      </c>
      <c r="O162" s="17">
        <f t="shared" si="46"/>
        <v>-1.1054215608624086E-4</v>
      </c>
      <c r="P162" s="17">
        <f t="shared" si="47"/>
        <v>-1.066991635213574E-3</v>
      </c>
      <c r="Q162" s="22">
        <f t="shared" si="48"/>
        <v>-2.1805053215472995E-2</v>
      </c>
      <c r="R162" s="22">
        <f t="shared" si="49"/>
        <v>-2.3572517222412125E-2</v>
      </c>
      <c r="S162" s="22">
        <f t="shared" si="50"/>
        <v>-3.4002309795265612E-2</v>
      </c>
      <c r="T162" s="22">
        <f t="shared" si="51"/>
        <v>8.1972547650590623E-3</v>
      </c>
      <c r="U162" s="22">
        <f t="shared" si="52"/>
        <v>-4.89711654390604E-3</v>
      </c>
      <c r="V162" s="22">
        <f t="shared" si="53"/>
        <v>2.5166311407795665E-3</v>
      </c>
      <c r="W162" s="22">
        <f t="shared" si="54"/>
        <v>1.4370639800446213E-4</v>
      </c>
      <c r="X162" s="22">
        <f t="shared" si="55"/>
        <v>-7.5104725060723518E-4</v>
      </c>
    </row>
    <row r="163" spans="1:24" x14ac:dyDescent="0.35">
      <c r="A163" s="3">
        <v>15.79</v>
      </c>
      <c r="B163" s="3">
        <v>49.82</v>
      </c>
      <c r="C163" s="3">
        <v>125.03</v>
      </c>
      <c r="D163" s="3">
        <v>18.649999999999999</v>
      </c>
      <c r="E163" s="3">
        <v>38.42</v>
      </c>
      <c r="F163" s="3">
        <v>111.159691</v>
      </c>
      <c r="G163" s="3">
        <v>107.110111</v>
      </c>
      <c r="H163" s="3">
        <v>106.548207</v>
      </c>
      <c r="I163" s="17">
        <f t="shared" si="40"/>
        <v>1.6087516087516088E-2</v>
      </c>
      <c r="J163" s="17">
        <f t="shared" si="41"/>
        <v>2.0076289901622185E-4</v>
      </c>
      <c r="K163" s="17">
        <f t="shared" si="42"/>
        <v>-1.2323248281854824E-2</v>
      </c>
      <c r="L163" s="17">
        <f t="shared" si="43"/>
        <v>2.6982378854625465E-2</v>
      </c>
      <c r="M163" s="17">
        <f t="shared" si="44"/>
        <v>1.3720316622691376E-2</v>
      </c>
      <c r="N163" s="17">
        <f t="shared" si="45"/>
        <v>-3.7959782037189018E-4</v>
      </c>
      <c r="O163" s="17">
        <f t="shared" si="46"/>
        <v>2.2421999652926044E-3</v>
      </c>
      <c r="P163" s="17">
        <f t="shared" si="47"/>
        <v>2.6825479699920771E-3</v>
      </c>
      <c r="Q163" s="22">
        <f t="shared" si="48"/>
        <v>1.5693042217131355E-2</v>
      </c>
      <c r="R163" s="22">
        <f t="shared" si="49"/>
        <v>-2.2996181506094166E-4</v>
      </c>
      <c r="S163" s="22">
        <f t="shared" si="50"/>
        <v>-1.2735207668692272E-2</v>
      </c>
      <c r="T163" s="22">
        <f t="shared" si="51"/>
        <v>2.6850927345392548E-2</v>
      </c>
      <c r="U163" s="22">
        <f t="shared" si="52"/>
        <v>1.3027088675737613E-2</v>
      </c>
      <c r="V163" s="22">
        <f t="shared" si="53"/>
        <v>-1.4499401086870989E-4</v>
      </c>
      <c r="W163" s="22">
        <f t="shared" si="54"/>
        <v>2.4964485193833073E-3</v>
      </c>
      <c r="X163" s="22">
        <f t="shared" si="55"/>
        <v>2.9984923545984159E-3</v>
      </c>
    </row>
    <row r="164" spans="1:24" x14ac:dyDescent="0.35">
      <c r="A164" s="3">
        <v>16.21</v>
      </c>
      <c r="B164" s="3">
        <v>49.93</v>
      </c>
      <c r="C164" s="3">
        <v>127.94</v>
      </c>
      <c r="D164" s="3">
        <v>18.78</v>
      </c>
      <c r="E164" s="3">
        <v>39.659999999999997</v>
      </c>
      <c r="F164" s="3">
        <v>111.434185</v>
      </c>
      <c r="G164" s="3">
        <v>107.203676</v>
      </c>
      <c r="H164" s="3">
        <v>106.657303</v>
      </c>
      <c r="I164" s="17">
        <f t="shared" si="40"/>
        <v>2.6599113362888012E-2</v>
      </c>
      <c r="J164" s="17">
        <f t="shared" si="41"/>
        <v>2.2079486150140392E-3</v>
      </c>
      <c r="K164" s="17">
        <f t="shared" si="42"/>
        <v>2.3274414140606228E-2</v>
      </c>
      <c r="L164" s="17">
        <f t="shared" si="43"/>
        <v>6.9705093833781536E-3</v>
      </c>
      <c r="M164" s="17">
        <f t="shared" si="44"/>
        <v>3.2274856845392892E-2</v>
      </c>
      <c r="N164" s="17">
        <f t="shared" si="45"/>
        <v>2.4693663461155561E-3</v>
      </c>
      <c r="O164" s="17">
        <f t="shared" si="46"/>
        <v>8.7354031404185655E-4</v>
      </c>
      <c r="P164" s="17">
        <f t="shared" si="47"/>
        <v>1.0239121151986524E-3</v>
      </c>
      <c r="Q164" s="22">
        <f t="shared" si="48"/>
        <v>2.620463949250328E-2</v>
      </c>
      <c r="R164" s="22">
        <f t="shared" si="49"/>
        <v>1.7772239009368758E-3</v>
      </c>
      <c r="S164" s="22">
        <f t="shared" si="50"/>
        <v>2.2862454753768781E-2</v>
      </c>
      <c r="T164" s="22">
        <f t="shared" si="51"/>
        <v>6.8390578741452353E-3</v>
      </c>
      <c r="U164" s="22">
        <f t="shared" si="52"/>
        <v>3.1581628898439129E-2</v>
      </c>
      <c r="V164" s="22">
        <f t="shared" si="53"/>
        <v>2.7039701556187362E-3</v>
      </c>
      <c r="W164" s="22">
        <f t="shared" si="54"/>
        <v>1.1277888681325596E-3</v>
      </c>
      <c r="X164" s="22">
        <f t="shared" si="55"/>
        <v>1.3398564998049912E-3</v>
      </c>
    </row>
    <row r="165" spans="1:24" x14ac:dyDescent="0.35">
      <c r="A165" s="3">
        <v>16.41</v>
      </c>
      <c r="B165" s="3">
        <v>49.3</v>
      </c>
      <c r="C165" s="3">
        <v>125.58</v>
      </c>
      <c r="D165" s="3">
        <v>18.72</v>
      </c>
      <c r="E165" s="3">
        <v>39.54</v>
      </c>
      <c r="F165" s="3">
        <v>111.836592</v>
      </c>
      <c r="G165" s="3">
        <v>107.224048</v>
      </c>
      <c r="H165" s="3">
        <v>106.501769</v>
      </c>
      <c r="I165" s="17">
        <f t="shared" si="40"/>
        <v>1.2338062924120869E-2</v>
      </c>
      <c r="J165" s="17">
        <f t="shared" si="41"/>
        <v>-1.2617664730622924E-2</v>
      </c>
      <c r="K165" s="17">
        <f t="shared" si="42"/>
        <v>-1.8446146631233385E-2</v>
      </c>
      <c r="L165" s="17">
        <f t="shared" si="43"/>
        <v>-3.1948881789138589E-3</v>
      </c>
      <c r="M165" s="17">
        <f t="shared" si="44"/>
        <v>-3.0257186081693761E-3</v>
      </c>
      <c r="N165" s="17">
        <f t="shared" si="45"/>
        <v>3.6111629478871015E-3</v>
      </c>
      <c r="O165" s="17">
        <f t="shared" si="46"/>
        <v>1.9003079707821519E-4</v>
      </c>
      <c r="P165" s="17">
        <f t="shared" si="47"/>
        <v>-1.4582592623779635E-3</v>
      </c>
      <c r="Q165" s="22">
        <f t="shared" si="48"/>
        <v>1.1943589053736135E-2</v>
      </c>
      <c r="R165" s="22">
        <f t="shared" si="49"/>
        <v>-1.3048389444700088E-2</v>
      </c>
      <c r="S165" s="22">
        <f t="shared" si="50"/>
        <v>-1.8858106018070833E-2</v>
      </c>
      <c r="T165" s="22">
        <f t="shared" si="51"/>
        <v>-3.3263396881467772E-3</v>
      </c>
      <c r="U165" s="22">
        <f t="shared" si="52"/>
        <v>-3.7189465551231387E-3</v>
      </c>
      <c r="V165" s="22">
        <f t="shared" si="53"/>
        <v>3.8457667573902816E-3</v>
      </c>
      <c r="W165" s="22">
        <f t="shared" si="54"/>
        <v>4.4427935116891817E-4</v>
      </c>
      <c r="X165" s="22">
        <f t="shared" si="55"/>
        <v>-1.1423148777716247E-3</v>
      </c>
    </row>
    <row r="166" spans="1:24" x14ac:dyDescent="0.35">
      <c r="A166" s="3">
        <v>16.71</v>
      </c>
      <c r="B166" s="3">
        <v>49.03</v>
      </c>
      <c r="C166" s="3">
        <v>128.33000000000001</v>
      </c>
      <c r="D166" s="3">
        <v>18.77</v>
      </c>
      <c r="E166" s="3">
        <v>39.4</v>
      </c>
      <c r="F166" s="3">
        <v>111.730254</v>
      </c>
      <c r="G166" s="3">
        <v>107.244424</v>
      </c>
      <c r="H166" s="3">
        <v>106.52263600000001</v>
      </c>
      <c r="I166" s="17">
        <f t="shared" si="40"/>
        <v>1.8281535648994558E-2</v>
      </c>
      <c r="J166" s="17">
        <f t="shared" si="41"/>
        <v>-5.4766734279918057E-3</v>
      </c>
      <c r="K166" s="17">
        <f t="shared" si="42"/>
        <v>2.1898391463608967E-2</v>
      </c>
      <c r="L166" s="17">
        <f t="shared" si="43"/>
        <v>2.6709401709402092E-3</v>
      </c>
      <c r="M166" s="17">
        <f t="shared" si="44"/>
        <v>-3.5407182599898981E-3</v>
      </c>
      <c r="N166" s="17">
        <f t="shared" si="45"/>
        <v>-9.5083369493227968E-4</v>
      </c>
      <c r="O166" s="17">
        <f t="shared" si="46"/>
        <v>1.900319972996994E-4</v>
      </c>
      <c r="P166" s="17">
        <f t="shared" si="47"/>
        <v>1.9593101782196444E-4</v>
      </c>
      <c r="Q166" s="22">
        <f t="shared" si="48"/>
        <v>1.7887061778609825E-2</v>
      </c>
      <c r="R166" s="22">
        <f t="shared" si="49"/>
        <v>-5.9073981420689689E-3</v>
      </c>
      <c r="S166" s="22">
        <f t="shared" si="50"/>
        <v>2.1486432076771519E-2</v>
      </c>
      <c r="T166" s="22">
        <f t="shared" si="51"/>
        <v>2.5394886617072909E-3</v>
      </c>
      <c r="U166" s="22">
        <f t="shared" si="52"/>
        <v>-4.2339462069436607E-3</v>
      </c>
      <c r="V166" s="22">
        <f t="shared" si="53"/>
        <v>-7.1622988542909937E-4</v>
      </c>
      <c r="W166" s="22">
        <f t="shared" si="54"/>
        <v>4.4428055139040243E-4</v>
      </c>
      <c r="X166" s="22">
        <f t="shared" si="55"/>
        <v>5.1187540242830321E-4</v>
      </c>
    </row>
    <row r="167" spans="1:24" x14ac:dyDescent="0.35">
      <c r="A167" s="3">
        <v>16.399999999999999</v>
      </c>
      <c r="B167" s="3">
        <v>49.68</v>
      </c>
      <c r="C167" s="3">
        <v>129.11000000000001</v>
      </c>
      <c r="D167" s="3">
        <v>19.07</v>
      </c>
      <c r="E167" s="3">
        <v>39.06</v>
      </c>
      <c r="F167" s="3">
        <v>111.60279199999999</v>
      </c>
      <c r="G167" s="3">
        <v>107.15942200000001</v>
      </c>
      <c r="H167" s="3">
        <v>106.585261</v>
      </c>
      <c r="I167" s="17">
        <f t="shared" si="40"/>
        <v>-1.8551765409934307E-2</v>
      </c>
      <c r="J167" s="17">
        <f t="shared" si="41"/>
        <v>1.3257189475831094E-2</v>
      </c>
      <c r="K167" s="17">
        <f t="shared" si="42"/>
        <v>6.0780799501285827E-3</v>
      </c>
      <c r="L167" s="17">
        <f t="shared" si="43"/>
        <v>1.5982951518380431E-2</v>
      </c>
      <c r="M167" s="17">
        <f t="shared" si="44"/>
        <v>-8.6294416243653891E-3</v>
      </c>
      <c r="N167" s="17">
        <f t="shared" si="45"/>
        <v>-1.140801129835509E-3</v>
      </c>
      <c r="O167" s="17">
        <f t="shared" si="46"/>
        <v>-7.9260064840283627E-4</v>
      </c>
      <c r="P167" s="17">
        <f t="shared" si="47"/>
        <v>5.8790321336018236E-4</v>
      </c>
      <c r="Q167" s="22">
        <f t="shared" si="48"/>
        <v>-1.8946239280319039E-2</v>
      </c>
      <c r="R167" s="22">
        <f t="shared" si="49"/>
        <v>1.282646476175393E-2</v>
      </c>
      <c r="S167" s="22">
        <f t="shared" si="50"/>
        <v>5.6661205632911361E-3</v>
      </c>
      <c r="T167" s="22">
        <f t="shared" si="51"/>
        <v>1.5851500009147514E-2</v>
      </c>
      <c r="U167" s="22">
        <f t="shared" si="52"/>
        <v>-9.3226695713191522E-3</v>
      </c>
      <c r="V167" s="22">
        <f t="shared" si="53"/>
        <v>-9.0619732033232867E-4</v>
      </c>
      <c r="W167" s="22">
        <f t="shared" si="54"/>
        <v>-5.3835209431213327E-4</v>
      </c>
      <c r="X167" s="22">
        <f t="shared" si="55"/>
        <v>9.0384759796652107E-4</v>
      </c>
    </row>
    <row r="168" spans="1:24" x14ac:dyDescent="0.35">
      <c r="A168" s="3">
        <v>16.71</v>
      </c>
      <c r="B168" s="3">
        <v>49.7</v>
      </c>
      <c r="C168" s="3">
        <v>128.43</v>
      </c>
      <c r="D168" s="3">
        <v>19.11</v>
      </c>
      <c r="E168" s="3">
        <v>39.65</v>
      </c>
      <c r="F168" s="3">
        <v>111.497167</v>
      </c>
      <c r="G168" s="3">
        <v>107.252871</v>
      </c>
      <c r="H168" s="3">
        <v>106.782405</v>
      </c>
      <c r="I168" s="17">
        <f t="shared" si="40"/>
        <v>1.8902439024390386E-2</v>
      </c>
      <c r="J168" s="17">
        <f t="shared" si="41"/>
        <v>4.0257648953307421E-4</v>
      </c>
      <c r="K168" s="17">
        <f t="shared" si="42"/>
        <v>-5.2668267368910756E-3</v>
      </c>
      <c r="L168" s="17">
        <f t="shared" si="43"/>
        <v>2.0975353959097613E-3</v>
      </c>
      <c r="M168" s="17">
        <f t="shared" si="44"/>
        <v>1.5104966717869848E-2</v>
      </c>
      <c r="N168" s="17">
        <f t="shared" si="45"/>
        <v>-9.4643689559298122E-4</v>
      </c>
      <c r="O168" s="17">
        <f t="shared" si="46"/>
        <v>8.7205584218243138E-4</v>
      </c>
      <c r="P168" s="17">
        <f t="shared" si="47"/>
        <v>1.8496366021939416E-3</v>
      </c>
      <c r="Q168" s="22">
        <f t="shared" si="48"/>
        <v>1.8507965154005653E-2</v>
      </c>
      <c r="R168" s="22">
        <f t="shared" si="49"/>
        <v>-2.8148224544089298E-5</v>
      </c>
      <c r="S168" s="22">
        <f t="shared" si="50"/>
        <v>-5.6787861237285221E-3</v>
      </c>
      <c r="T168" s="22">
        <f t="shared" si="51"/>
        <v>1.966083886676843E-3</v>
      </c>
      <c r="U168" s="22">
        <f t="shared" si="52"/>
        <v>1.4411738770916085E-2</v>
      </c>
      <c r="V168" s="22">
        <f t="shared" si="53"/>
        <v>-7.1183308608980091E-4</v>
      </c>
      <c r="W168" s="22">
        <f t="shared" si="54"/>
        <v>1.1263043962731344E-3</v>
      </c>
      <c r="X168" s="22">
        <f t="shared" si="55"/>
        <v>2.1655809868002802E-3</v>
      </c>
    </row>
    <row r="169" spans="1:24" x14ac:dyDescent="0.35">
      <c r="A169" s="3">
        <v>16.45</v>
      </c>
      <c r="B169" s="3">
        <v>49.82</v>
      </c>
      <c r="C169" s="3">
        <v>128.53</v>
      </c>
      <c r="D169" s="3">
        <v>19.440000000000001</v>
      </c>
      <c r="E169" s="3">
        <v>39.74</v>
      </c>
      <c r="F169" s="3">
        <v>111.70826099999999</v>
      </c>
      <c r="G169" s="3">
        <v>107.565985</v>
      </c>
      <c r="H169" s="3">
        <v>106.979907</v>
      </c>
      <c r="I169" s="17">
        <f t="shared" si="40"/>
        <v>-1.5559545182525527E-2</v>
      </c>
      <c r="J169" s="17">
        <f t="shared" si="41"/>
        <v>2.4144869215291234E-3</v>
      </c>
      <c r="K169" s="17">
        <f t="shared" si="42"/>
        <v>7.7863427548076239E-4</v>
      </c>
      <c r="L169" s="17">
        <f t="shared" si="43"/>
        <v>1.7268445839874507E-2</v>
      </c>
      <c r="M169" s="17">
        <f t="shared" si="44"/>
        <v>2.2698612862548152E-3</v>
      </c>
      <c r="N169" s="17">
        <f t="shared" si="45"/>
        <v>1.8932678352265987E-3</v>
      </c>
      <c r="O169" s="17">
        <f t="shared" si="46"/>
        <v>2.919399705393423E-3</v>
      </c>
      <c r="P169" s="17">
        <f t="shared" si="47"/>
        <v>1.8495743751042138E-3</v>
      </c>
      <c r="Q169" s="22">
        <f t="shared" si="48"/>
        <v>-1.5954019052910259E-2</v>
      </c>
      <c r="R169" s="22">
        <f t="shared" si="49"/>
        <v>1.9837622074519597E-3</v>
      </c>
      <c r="S169" s="22">
        <f t="shared" si="50"/>
        <v>3.6667488864331545E-4</v>
      </c>
      <c r="T169" s="22">
        <f t="shared" si="51"/>
        <v>1.713699433064159E-2</v>
      </c>
      <c r="U169" s="22">
        <f t="shared" si="52"/>
        <v>1.5766333393010526E-3</v>
      </c>
      <c r="V169" s="22">
        <f t="shared" si="53"/>
        <v>2.127871644729779E-3</v>
      </c>
      <c r="W169" s="22">
        <f t="shared" si="54"/>
        <v>3.1736482594841259E-3</v>
      </c>
      <c r="X169" s="22">
        <f t="shared" si="55"/>
        <v>2.1655187597105527E-3</v>
      </c>
    </row>
    <row r="170" spans="1:24" x14ac:dyDescent="0.35">
      <c r="A170" s="3">
        <v>16.5</v>
      </c>
      <c r="B170" s="3">
        <v>50.82</v>
      </c>
      <c r="C170" s="3">
        <v>132.58000000000001</v>
      </c>
      <c r="D170" s="3">
        <v>19.77</v>
      </c>
      <c r="E170" s="3">
        <v>39.26</v>
      </c>
      <c r="F170" s="3">
        <v>111.792704</v>
      </c>
      <c r="G170" s="3">
        <v>107.586339</v>
      </c>
      <c r="H170" s="3">
        <v>107.000753</v>
      </c>
      <c r="I170" s="17">
        <f t="shared" si="40"/>
        <v>3.0395136778115935E-3</v>
      </c>
      <c r="J170" s="17">
        <f t="shared" si="41"/>
        <v>2.0072260136491368E-2</v>
      </c>
      <c r="K170" s="17">
        <f t="shared" si="42"/>
        <v>3.1510153271609831E-2</v>
      </c>
      <c r="L170" s="17">
        <f t="shared" si="43"/>
        <v>1.6975308641975221E-2</v>
      </c>
      <c r="M170" s="17">
        <f t="shared" si="44"/>
        <v>-1.2078510317060996E-2</v>
      </c>
      <c r="N170" s="17">
        <f t="shared" si="45"/>
        <v>7.5592439846509994E-4</v>
      </c>
      <c r="O170" s="17">
        <f t="shared" si="46"/>
        <v>1.8922338692847502E-4</v>
      </c>
      <c r="P170" s="17">
        <f t="shared" si="47"/>
        <v>1.9485902151705848E-4</v>
      </c>
      <c r="Q170" s="22">
        <f t="shared" si="48"/>
        <v>2.6450398074268603E-3</v>
      </c>
      <c r="R170" s="22">
        <f t="shared" si="49"/>
        <v>1.9641535422414206E-2</v>
      </c>
      <c r="S170" s="22">
        <f t="shared" si="50"/>
        <v>3.1098193884772383E-2</v>
      </c>
      <c r="T170" s="22">
        <f t="shared" si="51"/>
        <v>1.6843857132742304E-2</v>
      </c>
      <c r="U170" s="22">
        <f t="shared" si="52"/>
        <v>-1.2771738264014759E-2</v>
      </c>
      <c r="V170" s="22">
        <f t="shared" si="53"/>
        <v>9.9052820796828025E-4</v>
      </c>
      <c r="W170" s="22">
        <f t="shared" si="54"/>
        <v>4.4347194101917802E-4</v>
      </c>
      <c r="X170" s="22">
        <f t="shared" si="55"/>
        <v>5.1080340612339728E-4</v>
      </c>
    </row>
    <row r="171" spans="1:24" x14ac:dyDescent="0.35">
      <c r="A171" s="3">
        <v>16.21</v>
      </c>
      <c r="B171" s="3">
        <v>50.65</v>
      </c>
      <c r="C171" s="3">
        <v>128.06</v>
      </c>
      <c r="D171" s="3">
        <v>18.989999999999998</v>
      </c>
      <c r="E171" s="3">
        <v>40.159999999999997</v>
      </c>
      <c r="F171" s="3">
        <v>111.686978</v>
      </c>
      <c r="G171" s="3">
        <v>107.606697</v>
      </c>
      <c r="H171" s="3">
        <v>107.19859599999999</v>
      </c>
      <c r="I171" s="17">
        <f t="shared" si="40"/>
        <v>-1.7575757575757522E-2</v>
      </c>
      <c r="J171" s="17">
        <f t="shared" si="41"/>
        <v>-3.345139708776106E-3</v>
      </c>
      <c r="K171" s="17">
        <f t="shared" si="42"/>
        <v>-3.4092623321768066E-2</v>
      </c>
      <c r="L171" s="17">
        <f t="shared" si="43"/>
        <v>-3.945371775417305E-2</v>
      </c>
      <c r="M171" s="17">
        <f t="shared" si="44"/>
        <v>2.2924095771777855E-2</v>
      </c>
      <c r="N171" s="17">
        <f t="shared" si="45"/>
        <v>-9.4573255871871747E-4</v>
      </c>
      <c r="O171" s="17">
        <f t="shared" si="46"/>
        <v>1.8922476765383431E-4</v>
      </c>
      <c r="P171" s="17">
        <f t="shared" si="47"/>
        <v>1.8489869879699983E-3</v>
      </c>
      <c r="Q171" s="22">
        <f t="shared" si="48"/>
        <v>-1.7970231446142255E-2</v>
      </c>
      <c r="R171" s="22">
        <f t="shared" si="49"/>
        <v>-3.7758644228532696E-3</v>
      </c>
      <c r="S171" s="22">
        <f t="shared" si="50"/>
        <v>-3.4504582708605513E-2</v>
      </c>
      <c r="T171" s="22">
        <f t="shared" si="51"/>
        <v>-3.9585169263405967E-2</v>
      </c>
      <c r="U171" s="22">
        <f t="shared" si="52"/>
        <v>2.2230867824824092E-2</v>
      </c>
      <c r="V171" s="22">
        <f t="shared" si="53"/>
        <v>-7.1112874921553716E-4</v>
      </c>
      <c r="W171" s="22">
        <f t="shared" si="54"/>
        <v>4.4347332174453732E-4</v>
      </c>
      <c r="X171" s="22">
        <f t="shared" si="55"/>
        <v>2.1649313725763371E-3</v>
      </c>
    </row>
    <row r="172" spans="1:24" x14ac:dyDescent="0.35">
      <c r="A172" s="3">
        <v>16.16</v>
      </c>
      <c r="B172" s="3">
        <v>50.37</v>
      </c>
      <c r="C172" s="3">
        <v>126.28</v>
      </c>
      <c r="D172" s="3">
        <v>19.04</v>
      </c>
      <c r="E172" s="3">
        <v>42.01</v>
      </c>
      <c r="F172" s="3">
        <v>111.68691099999999</v>
      </c>
      <c r="G172" s="3">
        <v>107.667793</v>
      </c>
      <c r="H172" s="3">
        <v>107.34971299999999</v>
      </c>
      <c r="I172" s="17">
        <f t="shared" si="40"/>
        <v>-3.0845157310302718E-3</v>
      </c>
      <c r="J172" s="17">
        <f t="shared" si="41"/>
        <v>-5.5281342546890646E-3</v>
      </c>
      <c r="K172" s="17">
        <f t="shared" si="42"/>
        <v>-1.389973449945339E-2</v>
      </c>
      <c r="L172" s="17">
        <f t="shared" si="43"/>
        <v>2.632964718272813E-3</v>
      </c>
      <c r="M172" s="17">
        <f t="shared" si="44"/>
        <v>4.6065737051792871E-2</v>
      </c>
      <c r="N172" s="17">
        <f t="shared" si="45"/>
        <v>-5.9989088433721899E-7</v>
      </c>
      <c r="O172" s="17">
        <f t="shared" si="46"/>
        <v>5.6777135348747172E-4</v>
      </c>
      <c r="P172" s="17">
        <f t="shared" si="47"/>
        <v>1.4096919702194541E-3</v>
      </c>
      <c r="Q172" s="22">
        <f t="shared" si="48"/>
        <v>-3.4789896014150051E-3</v>
      </c>
      <c r="R172" s="22">
        <f t="shared" si="49"/>
        <v>-5.9588589687662279E-3</v>
      </c>
      <c r="S172" s="22">
        <f t="shared" si="50"/>
        <v>-1.4311693886290838E-2</v>
      </c>
      <c r="T172" s="22">
        <f t="shared" si="51"/>
        <v>2.5015132090398947E-3</v>
      </c>
      <c r="U172" s="22">
        <f t="shared" si="52"/>
        <v>4.5372509104839108E-2</v>
      </c>
      <c r="V172" s="22">
        <f t="shared" si="53"/>
        <v>2.3400391861884306E-4</v>
      </c>
      <c r="W172" s="22">
        <f t="shared" si="54"/>
        <v>8.2201990757817473E-4</v>
      </c>
      <c r="X172" s="22">
        <f t="shared" si="55"/>
        <v>1.7256363548257929E-3</v>
      </c>
    </row>
    <row r="173" spans="1:24" x14ac:dyDescent="0.35">
      <c r="A173" s="3">
        <v>16.11</v>
      </c>
      <c r="B173" s="3">
        <v>49.41</v>
      </c>
      <c r="C173" s="3">
        <v>125.91</v>
      </c>
      <c r="D173" s="3">
        <v>18.77</v>
      </c>
      <c r="E173" s="3">
        <v>40.96</v>
      </c>
      <c r="F173" s="3">
        <v>111.834504</v>
      </c>
      <c r="G173" s="3">
        <v>107.761415</v>
      </c>
      <c r="H173" s="3">
        <v>107.54804799999999</v>
      </c>
      <c r="I173" s="17">
        <f t="shared" si="40"/>
        <v>-3.094059405940638E-3</v>
      </c>
      <c r="J173" s="17">
        <f t="shared" si="41"/>
        <v>-1.9058963668850525E-2</v>
      </c>
      <c r="K173" s="17">
        <f t="shared" si="42"/>
        <v>-2.9299968324358926E-3</v>
      </c>
      <c r="L173" s="17">
        <f t="shared" si="43"/>
        <v>-1.4180672268907542E-2</v>
      </c>
      <c r="M173" s="17">
        <f t="shared" si="44"/>
        <v>-2.4994049035943756E-2</v>
      </c>
      <c r="N173" s="17">
        <f t="shared" si="45"/>
        <v>1.3214887821546119E-3</v>
      </c>
      <c r="O173" s="17">
        <f t="shared" si="46"/>
        <v>8.6954508299428332E-4</v>
      </c>
      <c r="P173" s="17">
        <f t="shared" si="47"/>
        <v>1.8475596669736804E-3</v>
      </c>
      <c r="Q173" s="22">
        <f t="shared" si="48"/>
        <v>-3.4885332763253713E-3</v>
      </c>
      <c r="R173" s="22">
        <f t="shared" si="49"/>
        <v>-1.9489688382927688E-2</v>
      </c>
      <c r="S173" s="22">
        <f t="shared" si="50"/>
        <v>-3.3419562192733396E-3</v>
      </c>
      <c r="T173" s="22">
        <f t="shared" si="51"/>
        <v>-1.431212377814046E-2</v>
      </c>
      <c r="U173" s="22">
        <f t="shared" si="52"/>
        <v>-2.5687276982897519E-2</v>
      </c>
      <c r="V173" s="22">
        <f t="shared" si="53"/>
        <v>1.5560925916577922E-3</v>
      </c>
      <c r="W173" s="22">
        <f t="shared" si="54"/>
        <v>1.1237936370849864E-3</v>
      </c>
      <c r="X173" s="22">
        <f t="shared" si="55"/>
        <v>2.163504051580019E-3</v>
      </c>
    </row>
    <row r="174" spans="1:24" x14ac:dyDescent="0.35">
      <c r="A174" s="3">
        <v>16.170000000000002</v>
      </c>
      <c r="B174" s="3">
        <v>49.97</v>
      </c>
      <c r="C174" s="3">
        <v>127.38</v>
      </c>
      <c r="D174" s="3">
        <v>19.09</v>
      </c>
      <c r="E174" s="3">
        <v>41.96</v>
      </c>
      <c r="F174" s="3">
        <v>111.729088</v>
      </c>
      <c r="G174" s="3">
        <v>107.635375</v>
      </c>
      <c r="H174" s="3">
        <v>107.48007</v>
      </c>
      <c r="I174" s="17">
        <f t="shared" si="40"/>
        <v>3.7243947858474412E-3</v>
      </c>
      <c r="J174" s="17">
        <f t="shared" si="41"/>
        <v>1.133373810969444E-2</v>
      </c>
      <c r="K174" s="17">
        <f t="shared" si="42"/>
        <v>1.1675005956635684E-2</v>
      </c>
      <c r="L174" s="17">
        <f t="shared" si="43"/>
        <v>1.704848161960577E-2</v>
      </c>
      <c r="M174" s="17">
        <f t="shared" si="44"/>
        <v>2.44140625E-2</v>
      </c>
      <c r="N174" s="17">
        <f t="shared" si="45"/>
        <v>-9.4260712239570602E-4</v>
      </c>
      <c r="O174" s="17">
        <f t="shared" si="46"/>
        <v>-1.1696208703273177E-3</v>
      </c>
      <c r="P174" s="17">
        <f t="shared" si="47"/>
        <v>-6.3207097910318697E-4</v>
      </c>
      <c r="Q174" s="22">
        <f t="shared" si="48"/>
        <v>3.3299209154627079E-3</v>
      </c>
      <c r="R174" s="22">
        <f t="shared" si="49"/>
        <v>1.0903013395617276E-2</v>
      </c>
      <c r="S174" s="22">
        <f t="shared" si="50"/>
        <v>1.1263046569798237E-2</v>
      </c>
      <c r="T174" s="22">
        <f t="shared" si="51"/>
        <v>1.6917030110372853E-2</v>
      </c>
      <c r="U174" s="22">
        <f t="shared" si="52"/>
        <v>2.3720834553046237E-2</v>
      </c>
      <c r="V174" s="22">
        <f t="shared" si="53"/>
        <v>-7.0800331289252571E-4</v>
      </c>
      <c r="W174" s="22">
        <f t="shared" si="54"/>
        <v>-9.1537231623661471E-4</v>
      </c>
      <c r="X174" s="22">
        <f t="shared" si="55"/>
        <v>-3.161265944968482E-4</v>
      </c>
    </row>
    <row r="175" spans="1:24" x14ac:dyDescent="0.35">
      <c r="A175" s="3">
        <v>15.78</v>
      </c>
      <c r="B175" s="3">
        <v>49.45</v>
      </c>
      <c r="C175" s="3">
        <v>128.79</v>
      </c>
      <c r="D175" s="3">
        <v>19.010000000000002</v>
      </c>
      <c r="E175" s="3">
        <v>41.7</v>
      </c>
      <c r="F175" s="3">
        <v>111.81337600000001</v>
      </c>
      <c r="G175" s="3">
        <v>107.363805</v>
      </c>
      <c r="H175" s="3">
        <v>107.146787</v>
      </c>
      <c r="I175" s="17">
        <f t="shared" si="40"/>
        <v>-2.4118738404452833E-2</v>
      </c>
      <c r="J175" s="17">
        <f t="shared" si="41"/>
        <v>-1.0406243746247669E-2</v>
      </c>
      <c r="K175" s="17">
        <f t="shared" si="42"/>
        <v>1.1069241639189799E-2</v>
      </c>
      <c r="L175" s="17">
        <f t="shared" si="43"/>
        <v>-4.1906757464640282E-3</v>
      </c>
      <c r="M175" s="17">
        <f t="shared" si="44"/>
        <v>-6.1963775023831744E-3</v>
      </c>
      <c r="N175" s="17">
        <f t="shared" si="45"/>
        <v>7.5439620522097883E-4</v>
      </c>
      <c r="O175" s="17">
        <f t="shared" si="46"/>
        <v>-2.5230552687719719E-3</v>
      </c>
      <c r="P175" s="17">
        <f t="shared" si="47"/>
        <v>-3.1008818658193509E-3</v>
      </c>
      <c r="Q175" s="22">
        <f t="shared" si="48"/>
        <v>-2.4513212274837565E-2</v>
      </c>
      <c r="R175" s="22">
        <f t="shared" si="49"/>
        <v>-1.0836968460324833E-2</v>
      </c>
      <c r="S175" s="22">
        <f t="shared" si="50"/>
        <v>1.0657282252352351E-2</v>
      </c>
      <c r="T175" s="22">
        <f t="shared" si="51"/>
        <v>-4.3221272556969465E-3</v>
      </c>
      <c r="U175" s="22">
        <f t="shared" si="52"/>
        <v>-6.8896054493369366E-3</v>
      </c>
      <c r="V175" s="22">
        <f t="shared" si="53"/>
        <v>9.8900001472415904E-4</v>
      </c>
      <c r="W175" s="22">
        <f t="shared" si="54"/>
        <v>-2.268806714681269E-3</v>
      </c>
      <c r="X175" s="22">
        <f t="shared" si="55"/>
        <v>-2.7849374812130121E-3</v>
      </c>
    </row>
    <row r="176" spans="1:24" x14ac:dyDescent="0.35">
      <c r="A176" s="3">
        <v>15.43</v>
      </c>
      <c r="B176" s="3">
        <v>49.77</v>
      </c>
      <c r="C176" s="3">
        <v>125.45</v>
      </c>
      <c r="D176" s="3">
        <v>18.78</v>
      </c>
      <c r="E176" s="3">
        <v>41.5</v>
      </c>
      <c r="F176" s="3">
        <v>111.519035</v>
      </c>
      <c r="G176" s="3">
        <v>107.60309700000001</v>
      </c>
      <c r="H176" s="3">
        <v>107.433063</v>
      </c>
      <c r="I176" s="17">
        <f t="shared" si="40"/>
        <v>-2.2179974651457518E-2</v>
      </c>
      <c r="J176" s="17">
        <f t="shared" si="41"/>
        <v>6.4711830131445958E-3</v>
      </c>
      <c r="K176" s="17">
        <f t="shared" si="42"/>
        <v>-2.5933690503921029E-2</v>
      </c>
      <c r="L176" s="17">
        <f t="shared" si="43"/>
        <v>-1.2098895318253573E-2</v>
      </c>
      <c r="M176" s="17">
        <f t="shared" si="44"/>
        <v>-4.7961630695444327E-3</v>
      </c>
      <c r="N176" s="17">
        <f t="shared" si="45"/>
        <v>-2.6324310250680815E-3</v>
      </c>
      <c r="O176" s="17">
        <f t="shared" si="46"/>
        <v>2.2287958218321908E-3</v>
      </c>
      <c r="P176" s="17">
        <f t="shared" si="47"/>
        <v>2.6718113348559937E-3</v>
      </c>
      <c r="Q176" s="22">
        <f t="shared" si="48"/>
        <v>-2.257444852184225E-2</v>
      </c>
      <c r="R176" s="22">
        <f t="shared" si="49"/>
        <v>6.0404582990674326E-3</v>
      </c>
      <c r="S176" s="22">
        <f t="shared" si="50"/>
        <v>-2.6345649890758476E-2</v>
      </c>
      <c r="T176" s="22">
        <f t="shared" si="51"/>
        <v>-1.223034682748649E-2</v>
      </c>
      <c r="U176" s="22">
        <f t="shared" si="52"/>
        <v>-5.4893910164981949E-3</v>
      </c>
      <c r="V176" s="22">
        <f t="shared" si="53"/>
        <v>-2.3978272155649014E-3</v>
      </c>
      <c r="W176" s="22">
        <f t="shared" si="54"/>
        <v>2.4830443759228937E-3</v>
      </c>
      <c r="X176" s="22">
        <f t="shared" si="55"/>
        <v>2.9877557194623325E-3</v>
      </c>
    </row>
    <row r="177" spans="1:24" x14ac:dyDescent="0.35">
      <c r="A177" s="3">
        <v>15.28</v>
      </c>
      <c r="B177" s="3">
        <v>50.08</v>
      </c>
      <c r="C177" s="3">
        <v>126.11</v>
      </c>
      <c r="D177" s="3">
        <v>18.7</v>
      </c>
      <c r="E177" s="3">
        <v>40.96</v>
      </c>
      <c r="F177" s="3">
        <v>111.897722</v>
      </c>
      <c r="G177" s="3">
        <v>107.883645</v>
      </c>
      <c r="H177" s="3">
        <v>107.761814</v>
      </c>
      <c r="I177" s="17">
        <f t="shared" si="40"/>
        <v>-9.7213220998055971E-3</v>
      </c>
      <c r="J177" s="17">
        <f t="shared" si="41"/>
        <v>6.2286517982719537E-3</v>
      </c>
      <c r="K177" s="17">
        <f t="shared" si="42"/>
        <v>5.2610601833399488E-3</v>
      </c>
      <c r="L177" s="17">
        <f t="shared" si="43"/>
        <v>-4.2598509052184158E-3</v>
      </c>
      <c r="M177" s="17">
        <f t="shared" si="44"/>
        <v>-1.3012048192771063E-2</v>
      </c>
      <c r="N177" s="17">
        <f t="shared" si="45"/>
        <v>3.3957162559736936E-3</v>
      </c>
      <c r="O177" s="17">
        <f t="shared" si="46"/>
        <v>2.607248376875212E-3</v>
      </c>
      <c r="P177" s="17">
        <f t="shared" si="47"/>
        <v>3.0600542404715472E-3</v>
      </c>
      <c r="Q177" s="22">
        <f t="shared" si="48"/>
        <v>-1.0115795970190331E-2</v>
      </c>
      <c r="R177" s="22">
        <f t="shared" si="49"/>
        <v>5.7979270841947905E-3</v>
      </c>
      <c r="S177" s="22">
        <f t="shared" si="50"/>
        <v>4.8491007965025023E-3</v>
      </c>
      <c r="T177" s="22">
        <f t="shared" si="51"/>
        <v>-4.3913024144513341E-3</v>
      </c>
      <c r="U177" s="22">
        <f t="shared" si="52"/>
        <v>-1.3705276139724826E-2</v>
      </c>
      <c r="V177" s="22">
        <f t="shared" si="53"/>
        <v>3.6303200654768737E-3</v>
      </c>
      <c r="W177" s="22">
        <f t="shared" si="54"/>
        <v>2.8614969309659149E-3</v>
      </c>
      <c r="X177" s="22">
        <f t="shared" si="55"/>
        <v>3.375998625077886E-3</v>
      </c>
    </row>
    <row r="178" spans="1:24" x14ac:dyDescent="0.35">
      <c r="A178" s="3">
        <v>15.35</v>
      </c>
      <c r="B178" s="3">
        <v>50.31</v>
      </c>
      <c r="C178" s="3">
        <v>127.48</v>
      </c>
      <c r="D178" s="3">
        <v>18.809999999999999</v>
      </c>
      <c r="E178" s="3">
        <v>40.11</v>
      </c>
      <c r="F178" s="3">
        <v>112.171694</v>
      </c>
      <c r="G178" s="3">
        <v>107.90403000000001</v>
      </c>
      <c r="H178" s="3">
        <v>107.782639</v>
      </c>
      <c r="I178" s="17">
        <f t="shared" si="40"/>
        <v>4.5811518324607517E-3</v>
      </c>
      <c r="J178" s="17">
        <f t="shared" si="41"/>
        <v>4.592651757188578E-3</v>
      </c>
      <c r="K178" s="17">
        <f t="shared" si="42"/>
        <v>1.0863531837284945E-2</v>
      </c>
      <c r="L178" s="17">
        <f t="shared" si="43"/>
        <v>5.8823529411764401E-3</v>
      </c>
      <c r="M178" s="17">
        <f t="shared" si="44"/>
        <v>-2.0751953125000035E-2</v>
      </c>
      <c r="N178" s="17">
        <f t="shared" si="45"/>
        <v>2.4484144547643298E-3</v>
      </c>
      <c r="O178" s="17">
        <f t="shared" si="46"/>
        <v>1.8895357122949023E-4</v>
      </c>
      <c r="P178" s="17">
        <f t="shared" si="47"/>
        <v>1.9325027323688232E-4</v>
      </c>
      <c r="Q178" s="22">
        <f t="shared" si="48"/>
        <v>4.1866779620760184E-3</v>
      </c>
      <c r="R178" s="22">
        <f t="shared" si="49"/>
        <v>4.1619270431114148E-3</v>
      </c>
      <c r="S178" s="22">
        <f t="shared" si="50"/>
        <v>1.0451572450447498E-2</v>
      </c>
      <c r="T178" s="22">
        <f t="shared" si="51"/>
        <v>5.7509014319435219E-3</v>
      </c>
      <c r="U178" s="22">
        <f t="shared" si="52"/>
        <v>-2.1445181071953798E-2</v>
      </c>
      <c r="V178" s="22">
        <f t="shared" si="53"/>
        <v>2.6830182642675099E-3</v>
      </c>
      <c r="W178" s="22">
        <f t="shared" si="54"/>
        <v>4.432021253201932E-4</v>
      </c>
      <c r="X178" s="22">
        <f t="shared" si="55"/>
        <v>5.0919465784322112E-4</v>
      </c>
    </row>
    <row r="179" spans="1:24" x14ac:dyDescent="0.35">
      <c r="A179" s="3">
        <v>15.22</v>
      </c>
      <c r="B179" s="3">
        <v>51.34</v>
      </c>
      <c r="C179" s="3">
        <v>127.58</v>
      </c>
      <c r="D179" s="3">
        <v>18.87</v>
      </c>
      <c r="E179" s="3">
        <v>40.450000000000003</v>
      </c>
      <c r="F179" s="3">
        <v>112.066228</v>
      </c>
      <c r="G179" s="3">
        <v>107.705229</v>
      </c>
      <c r="H179" s="3">
        <v>107.44883400000001</v>
      </c>
      <c r="I179" s="17">
        <f t="shared" si="40"/>
        <v>-8.4690553745927696E-3</v>
      </c>
      <c r="J179" s="17">
        <f t="shared" si="41"/>
        <v>2.0473066984694914E-2</v>
      </c>
      <c r="K179" s="17">
        <f t="shared" si="42"/>
        <v>7.8443677439593909E-4</v>
      </c>
      <c r="L179" s="17">
        <f t="shared" si="43"/>
        <v>3.189792663476995E-3</v>
      </c>
      <c r="M179" s="17">
        <f t="shared" si="44"/>
        <v>8.4766891049614414E-3</v>
      </c>
      <c r="N179" s="17">
        <f t="shared" si="45"/>
        <v>-9.4021937477387963E-4</v>
      </c>
      <c r="O179" s="17">
        <f t="shared" si="46"/>
        <v>-1.842387165706444E-3</v>
      </c>
      <c r="P179" s="17">
        <f t="shared" si="47"/>
        <v>-3.0970201054364432E-3</v>
      </c>
      <c r="Q179" s="22">
        <f t="shared" si="48"/>
        <v>-8.8635292449775038E-3</v>
      </c>
      <c r="R179" s="22">
        <f t="shared" si="49"/>
        <v>2.0042342270617752E-2</v>
      </c>
      <c r="S179" s="22">
        <f t="shared" si="50"/>
        <v>3.7247738755849215E-4</v>
      </c>
      <c r="T179" s="22">
        <f t="shared" si="51"/>
        <v>3.0583411542440767E-3</v>
      </c>
      <c r="U179" s="22">
        <f t="shared" si="52"/>
        <v>7.7834611580076792E-3</v>
      </c>
      <c r="V179" s="22">
        <f t="shared" si="53"/>
        <v>-7.0561556527069932E-4</v>
      </c>
      <c r="W179" s="22">
        <f t="shared" si="54"/>
        <v>-1.5881386116157409E-3</v>
      </c>
      <c r="X179" s="22">
        <f t="shared" si="55"/>
        <v>-2.7810757208301044E-3</v>
      </c>
    </row>
    <row r="180" spans="1:24" x14ac:dyDescent="0.35">
      <c r="A180" s="3">
        <v>15.28</v>
      </c>
      <c r="B180" s="3">
        <v>55.35</v>
      </c>
      <c r="C180" s="3">
        <v>128.52000000000001</v>
      </c>
      <c r="D180" s="3">
        <v>18.86</v>
      </c>
      <c r="E180" s="3">
        <v>40.76</v>
      </c>
      <c r="F180" s="3">
        <v>111.982131</v>
      </c>
      <c r="G180" s="3">
        <v>107.746109</v>
      </c>
      <c r="H180" s="3">
        <v>107.49059699999999</v>
      </c>
      <c r="I180" s="17">
        <f t="shared" si="40"/>
        <v>3.9421813403415712E-3</v>
      </c>
      <c r="J180" s="17">
        <f t="shared" si="41"/>
        <v>7.8106739384495472E-2</v>
      </c>
      <c r="K180" s="17">
        <f t="shared" si="42"/>
        <v>7.3679260072112554E-3</v>
      </c>
      <c r="L180" s="17">
        <f t="shared" si="43"/>
        <v>-5.2994170641237741E-4</v>
      </c>
      <c r="M180" s="17">
        <f t="shared" si="44"/>
        <v>7.6637824474658873E-3</v>
      </c>
      <c r="N180" s="17">
        <f t="shared" si="45"/>
        <v>-7.5042233062399383E-4</v>
      </c>
      <c r="O180" s="17">
        <f t="shared" si="46"/>
        <v>3.7955445970038615E-4</v>
      </c>
      <c r="P180" s="17">
        <f t="shared" si="47"/>
        <v>3.8867801953056921E-4</v>
      </c>
      <c r="Q180" s="22">
        <f t="shared" si="48"/>
        <v>3.547707469956838E-3</v>
      </c>
      <c r="R180" s="22">
        <f t="shared" si="49"/>
        <v>7.7676014670418306E-2</v>
      </c>
      <c r="S180" s="22">
        <f t="shared" si="50"/>
        <v>6.9559666203738088E-3</v>
      </c>
      <c r="T180" s="22">
        <f t="shared" si="51"/>
        <v>-6.613932156452957E-4</v>
      </c>
      <c r="U180" s="22">
        <f t="shared" si="52"/>
        <v>6.9705545005121251E-3</v>
      </c>
      <c r="V180" s="22">
        <f t="shared" si="53"/>
        <v>-5.1581852112081352E-4</v>
      </c>
      <c r="W180" s="22">
        <f t="shared" si="54"/>
        <v>6.338030137910892E-4</v>
      </c>
      <c r="X180" s="22">
        <f t="shared" si="55"/>
        <v>7.0462240413690798E-4</v>
      </c>
    </row>
    <row r="181" spans="1:24" x14ac:dyDescent="0.35">
      <c r="A181" s="3">
        <v>15.16</v>
      </c>
      <c r="B181" s="3">
        <v>56</v>
      </c>
      <c r="C181" s="3">
        <v>130.75</v>
      </c>
      <c r="D181" s="3">
        <v>18.829999999999998</v>
      </c>
      <c r="E181" s="3">
        <v>40.81</v>
      </c>
      <c r="F181" s="3">
        <v>112.045479</v>
      </c>
      <c r="G181" s="3">
        <v>107.953369</v>
      </c>
      <c r="H181" s="3">
        <v>107.730271</v>
      </c>
      <c r="I181" s="17">
        <f t="shared" si="40"/>
        <v>-7.8534031413612058E-3</v>
      </c>
      <c r="J181" s="17">
        <f t="shared" si="41"/>
        <v>1.1743450767840986E-2</v>
      </c>
      <c r="K181" s="17">
        <f t="shared" si="42"/>
        <v>1.7351384998443742E-2</v>
      </c>
      <c r="L181" s="17">
        <f t="shared" si="43"/>
        <v>-1.5906680805939097E-3</v>
      </c>
      <c r="M181" s="17">
        <f t="shared" si="44"/>
        <v>1.2266928361139417E-3</v>
      </c>
      <c r="N181" s="17">
        <f t="shared" si="45"/>
        <v>5.6569739684633118E-4</v>
      </c>
      <c r="O181" s="17">
        <f t="shared" si="46"/>
        <v>1.9235961458245409E-3</v>
      </c>
      <c r="P181" s="17">
        <f t="shared" si="47"/>
        <v>2.229720614539037E-3</v>
      </c>
      <c r="Q181" s="22">
        <f t="shared" si="48"/>
        <v>-8.24787701174594E-3</v>
      </c>
      <c r="R181" s="22">
        <f t="shared" si="49"/>
        <v>1.1312726053763822E-2</v>
      </c>
      <c r="S181" s="22">
        <f t="shared" si="50"/>
        <v>1.6939425611606294E-2</v>
      </c>
      <c r="T181" s="22">
        <f t="shared" si="51"/>
        <v>-1.722119589826828E-3</v>
      </c>
      <c r="U181" s="22">
        <f t="shared" si="52"/>
        <v>5.3346488916017917E-4</v>
      </c>
      <c r="V181" s="22">
        <f t="shared" si="53"/>
        <v>8.0030120634951149E-4</v>
      </c>
      <c r="W181" s="22">
        <f t="shared" si="54"/>
        <v>2.1778446999152438E-3</v>
      </c>
      <c r="X181" s="22">
        <f t="shared" si="55"/>
        <v>2.5456649991453758E-3</v>
      </c>
    </row>
    <row r="182" spans="1:24" x14ac:dyDescent="0.35">
      <c r="A182" s="3">
        <v>14.6</v>
      </c>
      <c r="B182" s="3">
        <v>56.23</v>
      </c>
      <c r="C182" s="3">
        <v>126.08</v>
      </c>
      <c r="D182" s="3">
        <v>18.239999999999998</v>
      </c>
      <c r="E182" s="3">
        <v>41.35</v>
      </c>
      <c r="F182" s="3">
        <v>112.003626</v>
      </c>
      <c r="G182" s="3">
        <v>107.97379599999999</v>
      </c>
      <c r="H182" s="3">
        <v>107.751148</v>
      </c>
      <c r="I182" s="17">
        <f t="shared" si="40"/>
        <v>-3.6939313984168901E-2</v>
      </c>
      <c r="J182" s="17">
        <f t="shared" si="41"/>
        <v>4.1071428571428014E-3</v>
      </c>
      <c r="K182" s="17">
        <f t="shared" si="42"/>
        <v>-3.5717017208413013E-2</v>
      </c>
      <c r="L182" s="17">
        <f t="shared" si="43"/>
        <v>-3.1332979288369617E-2</v>
      </c>
      <c r="M182" s="17">
        <f t="shared" si="44"/>
        <v>1.3232050967900004E-2</v>
      </c>
      <c r="N182" s="17">
        <f t="shared" si="45"/>
        <v>-3.7353582111066924E-4</v>
      </c>
      <c r="O182" s="17">
        <f t="shared" si="46"/>
        <v>1.8922058838198903E-4</v>
      </c>
      <c r="P182" s="17">
        <f t="shared" si="47"/>
        <v>1.9378954314520105E-4</v>
      </c>
      <c r="Q182" s="22">
        <f t="shared" si="48"/>
        <v>-3.7333787854553636E-2</v>
      </c>
      <c r="R182" s="22">
        <f t="shared" si="49"/>
        <v>3.6764181430656378E-3</v>
      </c>
      <c r="S182" s="22">
        <f t="shared" si="50"/>
        <v>-3.612897659525046E-2</v>
      </c>
      <c r="T182" s="22">
        <f t="shared" si="51"/>
        <v>-3.1464430797602534E-2</v>
      </c>
      <c r="U182" s="22">
        <f t="shared" si="52"/>
        <v>1.2538823020946241E-2</v>
      </c>
      <c r="V182" s="22">
        <f t="shared" si="53"/>
        <v>-1.3893201160748895E-4</v>
      </c>
      <c r="W182" s="22">
        <f t="shared" si="54"/>
        <v>4.43469142472692E-4</v>
      </c>
      <c r="X182" s="22">
        <f t="shared" si="55"/>
        <v>5.0973392775153982E-4</v>
      </c>
    </row>
    <row r="183" spans="1:24" x14ac:dyDescent="0.35">
      <c r="A183" s="3">
        <v>14.19</v>
      </c>
      <c r="B183" s="3">
        <v>57.91</v>
      </c>
      <c r="C183" s="3">
        <v>122.93</v>
      </c>
      <c r="D183" s="3">
        <v>18.09</v>
      </c>
      <c r="E183" s="3">
        <v>40.049999999999997</v>
      </c>
      <c r="F183" s="3">
        <v>111.710658</v>
      </c>
      <c r="G183" s="3">
        <v>107.412372</v>
      </c>
      <c r="H183" s="3">
        <v>107.154439</v>
      </c>
      <c r="I183" s="17">
        <f t="shared" si="40"/>
        <v>-2.8082191780821927E-2</v>
      </c>
      <c r="J183" s="17">
        <f t="shared" si="41"/>
        <v>2.9877289703005509E-2</v>
      </c>
      <c r="K183" s="17">
        <f t="shared" si="42"/>
        <v>-2.4984137055837498E-2</v>
      </c>
      <c r="L183" s="17">
        <f t="shared" si="43"/>
        <v>-8.223684210526239E-3</v>
      </c>
      <c r="M183" s="17">
        <f t="shared" si="44"/>
        <v>-3.1438935912938434E-2</v>
      </c>
      <c r="N183" s="17">
        <f t="shared" si="45"/>
        <v>-2.6157010309648537E-3</v>
      </c>
      <c r="O183" s="17">
        <f t="shared" si="46"/>
        <v>-5.1996319551457486E-3</v>
      </c>
      <c r="P183" s="17">
        <f t="shared" si="47"/>
        <v>-5.5378435504000768E-3</v>
      </c>
      <c r="Q183" s="22">
        <f t="shared" si="48"/>
        <v>-2.847666565120666E-2</v>
      </c>
      <c r="R183" s="22">
        <f t="shared" si="49"/>
        <v>2.9446564988928347E-2</v>
      </c>
      <c r="S183" s="22">
        <f t="shared" si="50"/>
        <v>-2.5396096442674945E-2</v>
      </c>
      <c r="T183" s="22">
        <f t="shared" si="51"/>
        <v>-8.3551357197591564E-3</v>
      </c>
      <c r="U183" s="22">
        <f t="shared" si="52"/>
        <v>-3.2132163859892197E-2</v>
      </c>
      <c r="V183" s="22">
        <f t="shared" si="53"/>
        <v>-2.3810972214616736E-3</v>
      </c>
      <c r="W183" s="22">
        <f t="shared" si="54"/>
        <v>-4.9453834010550453E-3</v>
      </c>
      <c r="X183" s="22">
        <f t="shared" si="55"/>
        <v>-5.2218991657937384E-3</v>
      </c>
    </row>
    <row r="184" spans="1:24" x14ac:dyDescent="0.35">
      <c r="A184" s="3">
        <v>14.36</v>
      </c>
      <c r="B184" s="3">
        <v>57.88</v>
      </c>
      <c r="C184" s="3">
        <v>123.14</v>
      </c>
      <c r="D184" s="3">
        <v>18.14</v>
      </c>
      <c r="E184" s="3">
        <v>40.869999999999997</v>
      </c>
      <c r="F184" s="3">
        <v>111.231821</v>
      </c>
      <c r="G184" s="3">
        <v>106.927272</v>
      </c>
      <c r="H184" s="3">
        <v>106.649984</v>
      </c>
      <c r="I184" s="17">
        <f t="shared" si="40"/>
        <v>1.1980267794221278E-2</v>
      </c>
      <c r="J184" s="17">
        <f t="shared" si="41"/>
        <v>-5.1804524261775224E-4</v>
      </c>
      <c r="K184" s="17">
        <f t="shared" si="42"/>
        <v>1.7082892703163893E-3</v>
      </c>
      <c r="L184" s="17">
        <f t="shared" si="43"/>
        <v>2.7639579878386243E-3</v>
      </c>
      <c r="M184" s="17">
        <f t="shared" si="44"/>
        <v>2.0474406991260932E-2</v>
      </c>
      <c r="N184" s="17">
        <f t="shared" si="45"/>
        <v>-4.2864038989010216E-3</v>
      </c>
      <c r="O184" s="17">
        <f t="shared" si="46"/>
        <v>-4.5162395259272618E-3</v>
      </c>
      <c r="P184" s="17">
        <f t="shared" si="47"/>
        <v>-4.7077377727673328E-3</v>
      </c>
      <c r="Q184" s="22">
        <f t="shared" si="48"/>
        <v>1.1585793923836544E-2</v>
      </c>
      <c r="R184" s="22">
        <f t="shared" si="49"/>
        <v>-9.4876995669491569E-4</v>
      </c>
      <c r="S184" s="22">
        <f t="shared" si="50"/>
        <v>1.2963298834789423E-3</v>
      </c>
      <c r="T184" s="22">
        <f t="shared" si="51"/>
        <v>2.632506478605706E-3</v>
      </c>
      <c r="U184" s="22">
        <f t="shared" si="52"/>
        <v>1.9781179044307168E-2</v>
      </c>
      <c r="V184" s="22">
        <f t="shared" si="53"/>
        <v>-4.0518000893978411E-3</v>
      </c>
      <c r="W184" s="22">
        <f t="shared" si="54"/>
        <v>-4.2619909718365585E-3</v>
      </c>
      <c r="X184" s="22">
        <f t="shared" si="55"/>
        <v>-4.3917933881609944E-3</v>
      </c>
    </row>
    <row r="185" spans="1:24" x14ac:dyDescent="0.35">
      <c r="A185" s="3">
        <v>14.69</v>
      </c>
      <c r="B185" s="3">
        <v>58.28</v>
      </c>
      <c r="C185" s="3">
        <v>126.35</v>
      </c>
      <c r="D185" s="3">
        <v>18.309999999999999</v>
      </c>
      <c r="E185" s="3">
        <v>42.18</v>
      </c>
      <c r="F185" s="3">
        <v>111.19092000000001</v>
      </c>
      <c r="G185" s="3">
        <v>106.947935</v>
      </c>
      <c r="H185" s="3">
        <v>106.758335</v>
      </c>
      <c r="I185" s="17">
        <f t="shared" si="40"/>
        <v>2.2980501392757667E-2</v>
      </c>
      <c r="J185" s="17">
        <f t="shared" si="41"/>
        <v>6.9108500345542254E-3</v>
      </c>
      <c r="K185" s="17">
        <f t="shared" si="42"/>
        <v>2.6067890206269238E-2</v>
      </c>
      <c r="L185" s="17">
        <f t="shared" si="43"/>
        <v>9.3715545755236017E-3</v>
      </c>
      <c r="M185" s="17">
        <f t="shared" si="44"/>
        <v>3.2052850501590464E-2</v>
      </c>
      <c r="N185" s="17">
        <f t="shared" si="45"/>
        <v>-3.6770952441739647E-4</v>
      </c>
      <c r="O185" s="17">
        <f t="shared" si="46"/>
        <v>1.9324349731842955E-4</v>
      </c>
      <c r="P185" s="17">
        <f t="shared" si="47"/>
        <v>1.015949519504841E-3</v>
      </c>
      <c r="Q185" s="22">
        <f t="shared" si="48"/>
        <v>2.2586027522372935E-2</v>
      </c>
      <c r="R185" s="22">
        <f t="shared" si="49"/>
        <v>6.4801253204770622E-3</v>
      </c>
      <c r="S185" s="22">
        <f t="shared" si="50"/>
        <v>2.565593081943179E-2</v>
      </c>
      <c r="T185" s="22">
        <f t="shared" si="51"/>
        <v>9.2401030662906843E-3</v>
      </c>
      <c r="U185" s="22">
        <f t="shared" si="52"/>
        <v>3.1359622554636701E-2</v>
      </c>
      <c r="V185" s="22">
        <f t="shared" si="53"/>
        <v>-1.3310571491421619E-4</v>
      </c>
      <c r="W185" s="22">
        <f t="shared" si="54"/>
        <v>4.4749205140913256E-4</v>
      </c>
      <c r="X185" s="22">
        <f t="shared" si="55"/>
        <v>1.3318939041111798E-3</v>
      </c>
    </row>
    <row r="186" spans="1:24" x14ac:dyDescent="0.35">
      <c r="A186" s="3">
        <v>15.11</v>
      </c>
      <c r="B186" s="3">
        <v>58.31</v>
      </c>
      <c r="C186" s="3">
        <v>126.05</v>
      </c>
      <c r="D186" s="3">
        <v>18.2</v>
      </c>
      <c r="E186" s="3">
        <v>42.39</v>
      </c>
      <c r="F186" s="3">
        <v>111.317395</v>
      </c>
      <c r="G186" s="3">
        <v>106.93802700000001</v>
      </c>
      <c r="H186" s="3">
        <v>106.646985</v>
      </c>
      <c r="I186" s="17">
        <f t="shared" si="40"/>
        <v>2.8590878148400268E-2</v>
      </c>
      <c r="J186" s="17">
        <f t="shared" si="41"/>
        <v>5.1475634866165294E-4</v>
      </c>
      <c r="K186" s="17">
        <f t="shared" si="42"/>
        <v>-2.3743569449940416E-3</v>
      </c>
      <c r="L186" s="17">
        <f t="shared" si="43"/>
        <v>-6.0076460950300075E-3</v>
      </c>
      <c r="M186" s="17">
        <f t="shared" si="44"/>
        <v>4.9786628733997354E-3</v>
      </c>
      <c r="N186" s="17">
        <f t="shared" si="45"/>
        <v>1.1374579866773224E-3</v>
      </c>
      <c r="O186" s="17">
        <f t="shared" si="46"/>
        <v>-9.2643209988073249E-5</v>
      </c>
      <c r="P186" s="17">
        <f t="shared" si="47"/>
        <v>-1.0430098970726886E-3</v>
      </c>
      <c r="Q186" s="22">
        <f t="shared" si="48"/>
        <v>2.8196404278015536E-2</v>
      </c>
      <c r="R186" s="22">
        <f t="shared" si="49"/>
        <v>8.403163458448943E-5</v>
      </c>
      <c r="S186" s="22">
        <f t="shared" si="50"/>
        <v>-2.7863163318314886E-3</v>
      </c>
      <c r="T186" s="22">
        <f t="shared" si="51"/>
        <v>-6.1390976042629258E-3</v>
      </c>
      <c r="U186" s="22">
        <f t="shared" si="52"/>
        <v>4.2854349264459732E-3</v>
      </c>
      <c r="V186" s="22">
        <f t="shared" si="53"/>
        <v>1.3720617961805028E-3</v>
      </c>
      <c r="W186" s="22">
        <f t="shared" si="54"/>
        <v>1.6160534410262974E-4</v>
      </c>
      <c r="X186" s="22">
        <f t="shared" si="55"/>
        <v>-7.2706551246634978E-4</v>
      </c>
    </row>
    <row r="187" spans="1:24" x14ac:dyDescent="0.35">
      <c r="A187" s="3">
        <v>14.79</v>
      </c>
      <c r="B187" s="3">
        <v>56.62</v>
      </c>
      <c r="C187" s="3">
        <v>128.46</v>
      </c>
      <c r="D187" s="3">
        <v>18.059999999999999</v>
      </c>
      <c r="E187" s="3">
        <v>42.02</v>
      </c>
      <c r="F187" s="3">
        <v>111.0902</v>
      </c>
      <c r="G187" s="3">
        <v>106.815096</v>
      </c>
      <c r="H187" s="3">
        <v>106.494011</v>
      </c>
      <c r="I187" s="17">
        <f t="shared" si="40"/>
        <v>-2.1178027796161503E-2</v>
      </c>
      <c r="J187" s="17">
        <f t="shared" si="41"/>
        <v>-2.898302178014071E-2</v>
      </c>
      <c r="K187" s="17">
        <f t="shared" si="42"/>
        <v>1.9119397064656967E-2</v>
      </c>
      <c r="L187" s="17">
        <f t="shared" si="43"/>
        <v>-7.692307692307724E-3</v>
      </c>
      <c r="M187" s="17">
        <f t="shared" si="44"/>
        <v>-8.7284736966265018E-3</v>
      </c>
      <c r="N187" s="17">
        <f t="shared" si="45"/>
        <v>-2.0409658346748853E-3</v>
      </c>
      <c r="O187" s="17">
        <f t="shared" si="46"/>
        <v>-1.1495536569045576E-3</v>
      </c>
      <c r="P187" s="17">
        <f t="shared" si="47"/>
        <v>-1.4343959184593955E-3</v>
      </c>
      <c r="Q187" s="22">
        <f t="shared" si="48"/>
        <v>-2.1572501666546236E-2</v>
      </c>
      <c r="R187" s="22">
        <f t="shared" si="49"/>
        <v>-2.9413746494217873E-2</v>
      </c>
      <c r="S187" s="22">
        <f t="shared" si="50"/>
        <v>1.870743767781952E-2</v>
      </c>
      <c r="T187" s="22">
        <f t="shared" si="51"/>
        <v>-7.8237592015406414E-3</v>
      </c>
      <c r="U187" s="22">
        <f t="shared" si="52"/>
        <v>-9.4217016435802648E-3</v>
      </c>
      <c r="V187" s="22">
        <f t="shared" si="53"/>
        <v>-1.8063620251717049E-3</v>
      </c>
      <c r="W187" s="22">
        <f t="shared" si="54"/>
        <v>-8.9530510281385465E-4</v>
      </c>
      <c r="X187" s="22">
        <f t="shared" si="55"/>
        <v>-1.1184515338530567E-3</v>
      </c>
    </row>
    <row r="188" spans="1:24" x14ac:dyDescent="0.35">
      <c r="A188" s="3">
        <v>15.18</v>
      </c>
      <c r="B188" s="3">
        <v>56.31</v>
      </c>
      <c r="C188" s="3">
        <v>132.62</v>
      </c>
      <c r="D188" s="3">
        <v>18.12</v>
      </c>
      <c r="E188" s="3">
        <v>42.36</v>
      </c>
      <c r="F188" s="3">
        <v>110.802027</v>
      </c>
      <c r="G188" s="3">
        <v>106.620904</v>
      </c>
      <c r="H188" s="3">
        <v>106.254811</v>
      </c>
      <c r="I188" s="17">
        <f t="shared" si="40"/>
        <v>2.6369168356998013E-2</v>
      </c>
      <c r="J188" s="17">
        <f t="shared" si="41"/>
        <v>-5.4750971388201194E-3</v>
      </c>
      <c r="K188" s="17">
        <f t="shared" si="42"/>
        <v>3.2383621360734832E-2</v>
      </c>
      <c r="L188" s="17">
        <f t="shared" si="43"/>
        <v>3.3222591362127509E-3</v>
      </c>
      <c r="M188" s="17">
        <f t="shared" si="44"/>
        <v>8.0913850547357519E-3</v>
      </c>
      <c r="N188" s="17">
        <f t="shared" si="45"/>
        <v>-2.5940451993065137E-3</v>
      </c>
      <c r="O188" s="17">
        <f t="shared" si="46"/>
        <v>-1.8180201794697731E-3</v>
      </c>
      <c r="P188" s="17">
        <f t="shared" si="47"/>
        <v>-2.2461357005324621E-3</v>
      </c>
      <c r="Q188" s="22">
        <f t="shared" si="48"/>
        <v>2.597469448661328E-2</v>
      </c>
      <c r="R188" s="22">
        <f t="shared" si="49"/>
        <v>-5.9058218528972826E-3</v>
      </c>
      <c r="S188" s="22">
        <f t="shared" si="50"/>
        <v>3.1971661973897385E-2</v>
      </c>
      <c r="T188" s="22">
        <f t="shared" si="51"/>
        <v>3.1908076269798326E-3</v>
      </c>
      <c r="U188" s="22">
        <f t="shared" si="52"/>
        <v>7.3981571077819898E-3</v>
      </c>
      <c r="V188" s="22">
        <f t="shared" si="53"/>
        <v>-2.3594413898033336E-3</v>
      </c>
      <c r="W188" s="22">
        <f t="shared" si="54"/>
        <v>-1.56377162537907E-3</v>
      </c>
      <c r="X188" s="22">
        <f t="shared" si="55"/>
        <v>-1.9301913159261233E-3</v>
      </c>
    </row>
    <row r="189" spans="1:24" x14ac:dyDescent="0.35">
      <c r="A189" s="3">
        <v>14.9</v>
      </c>
      <c r="B189" s="3">
        <v>55.32</v>
      </c>
      <c r="C189" s="3">
        <v>130.58000000000001</v>
      </c>
      <c r="D189" s="3">
        <v>17.93</v>
      </c>
      <c r="E189" s="3">
        <v>41.55</v>
      </c>
      <c r="F189" s="3">
        <v>110.576752</v>
      </c>
      <c r="G189" s="3">
        <v>105.575776</v>
      </c>
      <c r="H189" s="3">
        <v>104.987748</v>
      </c>
      <c r="I189" s="17">
        <f t="shared" si="40"/>
        <v>-1.8445322793148838E-2</v>
      </c>
      <c r="J189" s="17">
        <f t="shared" si="41"/>
        <v>-1.7581246670218469E-2</v>
      </c>
      <c r="K189" s="17">
        <f t="shared" si="42"/>
        <v>-1.5382295279746584E-2</v>
      </c>
      <c r="L189" s="17">
        <f t="shared" si="43"/>
        <v>-1.0485651214128104E-2</v>
      </c>
      <c r="M189" s="17">
        <f t="shared" si="44"/>
        <v>-1.9121813031161526E-2</v>
      </c>
      <c r="N189" s="17">
        <f t="shared" si="45"/>
        <v>-2.0331306754884219E-3</v>
      </c>
      <c r="O189" s="17">
        <f t="shared" si="46"/>
        <v>-9.8022804233585496E-3</v>
      </c>
      <c r="P189" s="17">
        <f t="shared" si="47"/>
        <v>-1.1924758870447827E-2</v>
      </c>
      <c r="Q189" s="22">
        <f t="shared" si="48"/>
        <v>-1.8839796663533571E-2</v>
      </c>
      <c r="R189" s="22">
        <f t="shared" si="49"/>
        <v>-1.8011971384295632E-2</v>
      </c>
      <c r="S189" s="22">
        <f t="shared" si="50"/>
        <v>-1.5794254666584032E-2</v>
      </c>
      <c r="T189" s="22">
        <f t="shared" si="51"/>
        <v>-1.0617102723361022E-2</v>
      </c>
      <c r="U189" s="22">
        <f t="shared" si="52"/>
        <v>-1.9815040978115289E-2</v>
      </c>
      <c r="V189" s="22">
        <f t="shared" si="53"/>
        <v>-1.7985268659852416E-3</v>
      </c>
      <c r="W189" s="22">
        <f t="shared" si="54"/>
        <v>-9.5480318692678472E-3</v>
      </c>
      <c r="X189" s="22">
        <f t="shared" si="55"/>
        <v>-1.1608814485841489E-2</v>
      </c>
    </row>
    <row r="190" spans="1:24" x14ac:dyDescent="0.35">
      <c r="A190" s="3">
        <v>14.66</v>
      </c>
      <c r="B190" s="3">
        <v>57.83</v>
      </c>
      <c r="C190" s="3">
        <v>131.88999999999999</v>
      </c>
      <c r="D190" s="3">
        <v>18.100000000000001</v>
      </c>
      <c r="E190" s="3">
        <v>42</v>
      </c>
      <c r="F190" s="3">
        <v>110.106978</v>
      </c>
      <c r="G190" s="3">
        <v>105.385317</v>
      </c>
      <c r="H190" s="3">
        <v>104.75404</v>
      </c>
      <c r="I190" s="17">
        <f t="shared" si="40"/>
        <v>-1.6107382550335586E-2</v>
      </c>
      <c r="J190" s="17">
        <f t="shared" si="41"/>
        <v>4.5372378886478631E-2</v>
      </c>
      <c r="K190" s="17">
        <f t="shared" si="42"/>
        <v>1.0032164190534336E-2</v>
      </c>
      <c r="L190" s="17">
        <f t="shared" si="43"/>
        <v>9.4813162297825819E-3</v>
      </c>
      <c r="M190" s="17">
        <f t="shared" si="44"/>
        <v>1.0830324909747361E-2</v>
      </c>
      <c r="N190" s="17">
        <f t="shared" si="45"/>
        <v>-4.2483975293468651E-3</v>
      </c>
      <c r="O190" s="17">
        <f t="shared" si="46"/>
        <v>-1.8040028424702666E-3</v>
      </c>
      <c r="P190" s="17">
        <f t="shared" si="47"/>
        <v>-2.2260502244508848E-3</v>
      </c>
      <c r="Q190" s="22">
        <f t="shared" si="48"/>
        <v>-1.6501856420720318E-2</v>
      </c>
      <c r="R190" s="22">
        <f t="shared" si="49"/>
        <v>4.4941654172401466E-2</v>
      </c>
      <c r="S190" s="22">
        <f t="shared" si="50"/>
        <v>9.6202048036968888E-3</v>
      </c>
      <c r="T190" s="22">
        <f t="shared" si="51"/>
        <v>9.3498647205496645E-3</v>
      </c>
      <c r="U190" s="22">
        <f t="shared" si="52"/>
        <v>1.0137096962793598E-2</v>
      </c>
      <c r="V190" s="22">
        <f t="shared" si="53"/>
        <v>-4.0137937198436845E-3</v>
      </c>
      <c r="W190" s="22">
        <f t="shared" si="54"/>
        <v>-1.5497542883795637E-3</v>
      </c>
      <c r="X190" s="22">
        <f t="shared" si="55"/>
        <v>-1.910105839844546E-3</v>
      </c>
    </row>
    <row r="191" spans="1:24" x14ac:dyDescent="0.35">
      <c r="A191" s="3">
        <v>14.89</v>
      </c>
      <c r="B191" s="3">
        <v>58.04</v>
      </c>
      <c r="C191" s="3">
        <v>132.57</v>
      </c>
      <c r="D191" s="3">
        <v>18.260000000000002</v>
      </c>
      <c r="E191" s="3">
        <v>41.61</v>
      </c>
      <c r="F191" s="3">
        <v>109.92791699999999</v>
      </c>
      <c r="G191" s="3">
        <v>105.378142</v>
      </c>
      <c r="H191" s="3">
        <v>104.987914</v>
      </c>
      <c r="I191" s="17">
        <f t="shared" si="40"/>
        <v>1.5688949522510261E-2</v>
      </c>
      <c r="J191" s="17">
        <f t="shared" si="41"/>
        <v>3.6313332180529286E-3</v>
      </c>
      <c r="K191" s="17">
        <f t="shared" si="42"/>
        <v>5.155811661232898E-3</v>
      </c>
      <c r="L191" s="17">
        <f t="shared" si="43"/>
        <v>8.8397790055248695E-3</v>
      </c>
      <c r="M191" s="17">
        <f t="shared" si="44"/>
        <v>-9.2857142857142999E-3</v>
      </c>
      <c r="N191" s="17">
        <f t="shared" si="45"/>
        <v>-1.626245704427601E-3</v>
      </c>
      <c r="O191" s="17">
        <f t="shared" si="46"/>
        <v>-6.8083488328869439E-5</v>
      </c>
      <c r="P191" s="17">
        <f t="shared" si="47"/>
        <v>2.2326012438279243E-3</v>
      </c>
      <c r="Q191" s="22">
        <f t="shared" si="48"/>
        <v>1.5294475652125527E-2</v>
      </c>
      <c r="R191" s="22">
        <f t="shared" si="49"/>
        <v>3.200608503975765E-3</v>
      </c>
      <c r="S191" s="22">
        <f t="shared" si="50"/>
        <v>4.7438522743954515E-3</v>
      </c>
      <c r="T191" s="22">
        <f t="shared" si="51"/>
        <v>8.7083274962919521E-3</v>
      </c>
      <c r="U191" s="22">
        <f t="shared" si="52"/>
        <v>-9.978942232668063E-3</v>
      </c>
      <c r="V191" s="22">
        <f t="shared" si="53"/>
        <v>-1.3916418949244207E-3</v>
      </c>
      <c r="W191" s="22">
        <f t="shared" si="54"/>
        <v>1.8616506576183355E-4</v>
      </c>
      <c r="X191" s="22">
        <f t="shared" si="55"/>
        <v>2.5485456284342631E-3</v>
      </c>
    </row>
    <row r="192" spans="1:24" x14ac:dyDescent="0.35">
      <c r="A192" s="3">
        <v>14.67</v>
      </c>
      <c r="B192" s="3">
        <v>57.3</v>
      </c>
      <c r="C192" s="3">
        <v>133.56</v>
      </c>
      <c r="D192" s="3">
        <v>18.059999999999999</v>
      </c>
      <c r="E192" s="3">
        <v>41.99</v>
      </c>
      <c r="F192" s="3">
        <v>110.19416</v>
      </c>
      <c r="G192" s="3">
        <v>105.188669</v>
      </c>
      <c r="H192" s="3">
        <v>104.75465</v>
      </c>
      <c r="I192" s="17">
        <f t="shared" si="40"/>
        <v>-1.4775016789791848E-2</v>
      </c>
      <c r="J192" s="17">
        <f t="shared" si="41"/>
        <v>-1.2749827705031047E-2</v>
      </c>
      <c r="K192" s="17">
        <f t="shared" si="42"/>
        <v>7.4677528852682296E-3</v>
      </c>
      <c r="L192" s="17">
        <f t="shared" si="43"/>
        <v>-1.0952902519167734E-2</v>
      </c>
      <c r="M192" s="17">
        <f t="shared" si="44"/>
        <v>9.1324200913242629E-3</v>
      </c>
      <c r="N192" s="17">
        <f t="shared" si="45"/>
        <v>2.421978031294843E-3</v>
      </c>
      <c r="O192" s="17">
        <f t="shared" si="46"/>
        <v>-1.7980294243562622E-3</v>
      </c>
      <c r="P192" s="17">
        <f t="shared" si="47"/>
        <v>-2.2218176465531592E-3</v>
      </c>
      <c r="Q192" s="22">
        <f t="shared" si="48"/>
        <v>-1.5169490660176583E-2</v>
      </c>
      <c r="R192" s="22">
        <f t="shared" si="49"/>
        <v>-1.3180552419108212E-2</v>
      </c>
      <c r="S192" s="22">
        <f t="shared" si="50"/>
        <v>7.0557934984307831E-3</v>
      </c>
      <c r="T192" s="22">
        <f t="shared" si="51"/>
        <v>-1.1084354028400651E-2</v>
      </c>
      <c r="U192" s="22">
        <f t="shared" si="52"/>
        <v>8.4391921443704998E-3</v>
      </c>
      <c r="V192" s="22">
        <f t="shared" si="53"/>
        <v>2.6565818407980231E-3</v>
      </c>
      <c r="W192" s="22">
        <f t="shared" si="54"/>
        <v>-1.5437808702655591E-3</v>
      </c>
      <c r="X192" s="22">
        <f t="shared" si="55"/>
        <v>-1.9058732619468203E-3</v>
      </c>
    </row>
    <row r="193" spans="1:24" x14ac:dyDescent="0.35">
      <c r="A193" s="3">
        <v>14.46</v>
      </c>
      <c r="B193" s="3">
        <v>57.29</v>
      </c>
      <c r="C193" s="3">
        <v>134.1</v>
      </c>
      <c r="D193" s="3">
        <v>18.100000000000001</v>
      </c>
      <c r="E193" s="3">
        <v>41</v>
      </c>
      <c r="F193" s="3">
        <v>109.910698</v>
      </c>
      <c r="G193" s="3">
        <v>105.27989100000001</v>
      </c>
      <c r="H193" s="3">
        <v>104.860775</v>
      </c>
      <c r="I193" s="17">
        <f t="shared" si="40"/>
        <v>-1.4314928425357811E-2</v>
      </c>
      <c r="J193" s="17">
        <f t="shared" si="41"/>
        <v>-1.7452006980799321E-4</v>
      </c>
      <c r="K193" s="17">
        <f t="shared" si="42"/>
        <v>4.043126684636059E-3</v>
      </c>
      <c r="L193" s="17">
        <f t="shared" si="43"/>
        <v>2.2148394241418993E-3</v>
      </c>
      <c r="M193" s="17">
        <f t="shared" si="44"/>
        <v>-2.3577042152893593E-2</v>
      </c>
      <c r="N193" s="17">
        <f t="shared" si="45"/>
        <v>-2.5723867762139129E-3</v>
      </c>
      <c r="O193" s="17">
        <f t="shared" si="46"/>
        <v>8.6722268536359092E-4</v>
      </c>
      <c r="P193" s="17">
        <f t="shared" si="47"/>
        <v>1.0130815195316465E-3</v>
      </c>
      <c r="Q193" s="22">
        <f t="shared" si="48"/>
        <v>-1.4709402295742545E-2</v>
      </c>
      <c r="R193" s="22">
        <f t="shared" si="49"/>
        <v>-6.0524478388515666E-4</v>
      </c>
      <c r="S193" s="22">
        <f t="shared" si="50"/>
        <v>3.631167297798612E-3</v>
      </c>
      <c r="T193" s="22">
        <f t="shared" si="51"/>
        <v>2.083387914908981E-3</v>
      </c>
      <c r="U193" s="22">
        <f t="shared" si="52"/>
        <v>-2.4270270099847356E-2</v>
      </c>
      <c r="V193" s="22">
        <f t="shared" si="53"/>
        <v>-2.3377829667107328E-3</v>
      </c>
      <c r="W193" s="22">
        <f t="shared" si="54"/>
        <v>1.1214712394542938E-3</v>
      </c>
      <c r="X193" s="22">
        <f t="shared" si="55"/>
        <v>1.3290259041379854E-3</v>
      </c>
    </row>
    <row r="194" spans="1:24" x14ac:dyDescent="0.35">
      <c r="A194" s="3">
        <v>14.08</v>
      </c>
      <c r="B194" s="3">
        <v>57.98</v>
      </c>
      <c r="C194" s="3">
        <v>135.32</v>
      </c>
      <c r="D194" s="3">
        <v>18.059999999999999</v>
      </c>
      <c r="E194" s="3">
        <v>41.16</v>
      </c>
      <c r="F194" s="3">
        <v>109.325515</v>
      </c>
      <c r="G194" s="3">
        <v>103.979725</v>
      </c>
      <c r="H194" s="3">
        <v>103.62084299999999</v>
      </c>
      <c r="I194" s="17">
        <f t="shared" si="40"/>
        <v>-2.6279391424619693E-2</v>
      </c>
      <c r="J194" s="17">
        <f t="shared" si="41"/>
        <v>1.20439867341595E-2</v>
      </c>
      <c r="K194" s="17">
        <f t="shared" si="42"/>
        <v>9.0976882923191563E-3</v>
      </c>
      <c r="L194" s="17">
        <f t="shared" si="43"/>
        <v>-2.2099447513813644E-3</v>
      </c>
      <c r="M194" s="17">
        <f t="shared" si="44"/>
        <v>3.9024390243901606E-3</v>
      </c>
      <c r="N194" s="17">
        <f t="shared" si="45"/>
        <v>-5.324167807577755E-3</v>
      </c>
      <c r="O194" s="17">
        <f t="shared" si="46"/>
        <v>-1.2349613849809213E-2</v>
      </c>
      <c r="P194" s="17">
        <f t="shared" si="47"/>
        <v>-1.1824554987315421E-2</v>
      </c>
      <c r="Q194" s="22">
        <f t="shared" si="48"/>
        <v>-2.6673865295004425E-2</v>
      </c>
      <c r="R194" s="22">
        <f t="shared" si="49"/>
        <v>1.1613262020082336E-2</v>
      </c>
      <c r="S194" s="22">
        <f t="shared" si="50"/>
        <v>8.6857289054817089E-3</v>
      </c>
      <c r="T194" s="22">
        <f t="shared" si="51"/>
        <v>-2.3413962606142827E-3</v>
      </c>
      <c r="U194" s="22">
        <f t="shared" si="52"/>
        <v>3.209211077436398E-3</v>
      </c>
      <c r="V194" s="22">
        <f t="shared" si="53"/>
        <v>-5.0895639980745744E-3</v>
      </c>
      <c r="W194" s="22">
        <f t="shared" si="54"/>
        <v>-1.2095365295718511E-2</v>
      </c>
      <c r="X194" s="22">
        <f t="shared" si="55"/>
        <v>-1.1508610602709083E-2</v>
      </c>
    </row>
    <row r="195" spans="1:24" x14ac:dyDescent="0.35">
      <c r="A195" s="3">
        <v>13.88</v>
      </c>
      <c r="B195" s="3">
        <v>59.34</v>
      </c>
      <c r="C195" s="3">
        <v>135.47</v>
      </c>
      <c r="D195" s="3">
        <v>17.78</v>
      </c>
      <c r="E195" s="3">
        <v>41.22</v>
      </c>
      <c r="F195" s="3">
        <v>108.865193</v>
      </c>
      <c r="G195" s="3">
        <v>104.20822099999999</v>
      </c>
      <c r="H195" s="3">
        <v>103.97659899999999</v>
      </c>
      <c r="I195" s="17">
        <f t="shared" si="40"/>
        <v>-1.4204545454545404E-2</v>
      </c>
      <c r="J195" s="17">
        <f t="shared" si="41"/>
        <v>2.3456364263539264E-2</v>
      </c>
      <c r="K195" s="17">
        <f t="shared" si="42"/>
        <v>1.1084835944428443E-3</v>
      </c>
      <c r="L195" s="17">
        <f t="shared" si="43"/>
        <v>-1.5503875968992116E-2</v>
      </c>
      <c r="M195" s="17">
        <f t="shared" si="44"/>
        <v>1.4577259475219212E-3</v>
      </c>
      <c r="N195" s="17">
        <f t="shared" si="45"/>
        <v>-4.2105632889082737E-3</v>
      </c>
      <c r="O195" s="17">
        <f t="shared" si="46"/>
        <v>2.1975053309670968E-3</v>
      </c>
      <c r="P195" s="17">
        <f t="shared" si="47"/>
        <v>3.4332474982856445E-3</v>
      </c>
      <c r="Q195" s="22">
        <f t="shared" si="48"/>
        <v>-1.4599019324930138E-2</v>
      </c>
      <c r="R195" s="22">
        <f t="shared" si="49"/>
        <v>2.3025639549462101E-2</v>
      </c>
      <c r="S195" s="22">
        <f t="shared" si="50"/>
        <v>6.965242076053973E-4</v>
      </c>
      <c r="T195" s="22">
        <f t="shared" si="51"/>
        <v>-1.5635327478225033E-2</v>
      </c>
      <c r="U195" s="22">
        <f t="shared" si="52"/>
        <v>7.6449800056815865E-4</v>
      </c>
      <c r="V195" s="22">
        <f t="shared" si="53"/>
        <v>-3.9759594794050931E-3</v>
      </c>
      <c r="W195" s="22">
        <f t="shared" si="54"/>
        <v>2.4517538850577997E-3</v>
      </c>
      <c r="X195" s="22">
        <f t="shared" si="55"/>
        <v>3.7491918828919833E-3</v>
      </c>
    </row>
    <row r="196" spans="1:24" x14ac:dyDescent="0.35">
      <c r="A196" s="3">
        <v>13.78</v>
      </c>
      <c r="B196" s="3">
        <v>58.3</v>
      </c>
      <c r="C196" s="3">
        <v>132.82</v>
      </c>
      <c r="D196" s="3">
        <v>17.84</v>
      </c>
      <c r="E196" s="3">
        <v>41.91</v>
      </c>
      <c r="F196" s="3">
        <v>109.17249099999999</v>
      </c>
      <c r="G196" s="3">
        <v>104.61845599999999</v>
      </c>
      <c r="H196" s="3">
        <v>104.29263400000001</v>
      </c>
      <c r="I196" s="17">
        <f t="shared" ref="I196:I259" si="56">(A196-A195)/A195</f>
        <v>-7.2046109510087476E-3</v>
      </c>
      <c r="J196" s="17">
        <f t="shared" ref="J196:J259" si="57">(B196-B195)/B195</f>
        <v>-1.7526120660600036E-2</v>
      </c>
      <c r="K196" s="17">
        <f t="shared" ref="K196:K259" si="58">(C196-C195)/C195</f>
        <v>-1.9561526537240758E-2</v>
      </c>
      <c r="L196" s="17">
        <f t="shared" ref="L196:L259" si="59">(D196-D195)/D195</f>
        <v>3.3745781777277119E-3</v>
      </c>
      <c r="M196" s="17">
        <f t="shared" ref="M196:M259" si="60">(E196-E195)/E195</f>
        <v>1.6739446870451181E-2</v>
      </c>
      <c r="N196" s="17">
        <f t="shared" ref="N196:N259" si="61">(F196-F195)/F195</f>
        <v>2.8227387609553838E-3</v>
      </c>
      <c r="O196" s="17">
        <f t="shared" ref="O196:O259" si="62">(G196-G195)/G195</f>
        <v>3.9366855710932843E-3</v>
      </c>
      <c r="P196" s="17">
        <f t="shared" ref="P196:P259" si="63">(H196-H195)/H195</f>
        <v>3.0394819895966556E-3</v>
      </c>
      <c r="Q196" s="22">
        <f t="shared" si="48"/>
        <v>-7.5990848213934809E-3</v>
      </c>
      <c r="R196" s="22">
        <f t="shared" si="49"/>
        <v>-1.7956845374677198E-2</v>
      </c>
      <c r="S196" s="22">
        <f t="shared" si="50"/>
        <v>-1.9973485924078205E-2</v>
      </c>
      <c r="T196" s="22">
        <f t="shared" si="51"/>
        <v>3.2431266684947936E-3</v>
      </c>
      <c r="U196" s="22">
        <f t="shared" si="52"/>
        <v>1.6046218923497418E-2</v>
      </c>
      <c r="V196" s="22">
        <f t="shared" si="53"/>
        <v>3.0573425704585639E-3</v>
      </c>
      <c r="W196" s="22">
        <f t="shared" si="54"/>
        <v>4.1909341251839876E-3</v>
      </c>
      <c r="X196" s="22">
        <f t="shared" si="55"/>
        <v>3.3554263742029944E-3</v>
      </c>
    </row>
    <row r="197" spans="1:24" x14ac:dyDescent="0.35">
      <c r="A197" s="3">
        <v>13.61</v>
      </c>
      <c r="B197" s="3">
        <v>58.75</v>
      </c>
      <c r="C197" s="3">
        <v>134.96</v>
      </c>
      <c r="D197" s="3">
        <v>17.95</v>
      </c>
      <c r="E197" s="3">
        <v>41.96</v>
      </c>
      <c r="F197" s="3">
        <v>109.617332</v>
      </c>
      <c r="G197" s="3">
        <v>104.57039</v>
      </c>
      <c r="H197" s="3">
        <v>104.06256999999999</v>
      </c>
      <c r="I197" s="17">
        <f t="shared" si="56"/>
        <v>-1.233671988388969E-2</v>
      </c>
      <c r="J197" s="17">
        <f t="shared" si="57"/>
        <v>7.7186963979417305E-3</v>
      </c>
      <c r="K197" s="17">
        <f t="shared" si="58"/>
        <v>1.611203132058436E-2</v>
      </c>
      <c r="L197" s="17">
        <f t="shared" si="59"/>
        <v>6.1659192825111791E-3</v>
      </c>
      <c r="M197" s="17">
        <f t="shared" si="60"/>
        <v>1.1930326890957829E-3</v>
      </c>
      <c r="N197" s="17">
        <f t="shared" si="61"/>
        <v>4.0746619952091315E-3</v>
      </c>
      <c r="O197" s="17">
        <f t="shared" si="62"/>
        <v>-4.5944092311964066E-4</v>
      </c>
      <c r="P197" s="17">
        <f t="shared" si="63"/>
        <v>-2.2059467785616855E-3</v>
      </c>
      <c r="Q197" s="22">
        <f t="shared" ref="Q197:Q260" si="64">I197-AB$2</f>
        <v>-1.2731193754274424E-2</v>
      </c>
      <c r="R197" s="22">
        <f t="shared" ref="R197:R260" si="65">J197-AC$2</f>
        <v>7.2879716838645673E-3</v>
      </c>
      <c r="S197" s="22">
        <f t="shared" ref="S197:S260" si="66">K197-AD$2</f>
        <v>1.5700071933746913E-2</v>
      </c>
      <c r="T197" s="22">
        <f t="shared" ref="T197:T260" si="67">L197-AE$2</f>
        <v>6.0344677732782608E-3</v>
      </c>
      <c r="U197" s="22">
        <f t="shared" ref="U197:U260" si="68">M197-AF$2</f>
        <v>4.9980474214202043E-4</v>
      </c>
      <c r="V197" s="22">
        <f t="shared" ref="V197:V260" si="69">N197-AG$2</f>
        <v>4.309265804712312E-3</v>
      </c>
      <c r="W197" s="22">
        <f t="shared" ref="W197:W260" si="70">O197-AH$2</f>
        <v>-2.0519236902893765E-4</v>
      </c>
      <c r="X197" s="22">
        <f t="shared" ref="X197:X260" si="71">P197-AI$2</f>
        <v>-1.8900023939553466E-3</v>
      </c>
    </row>
    <row r="198" spans="1:24" x14ac:dyDescent="0.35">
      <c r="A198" s="3">
        <v>13.94</v>
      </c>
      <c r="B198" s="3">
        <v>57.59</v>
      </c>
      <c r="C198" s="3">
        <v>136.12</v>
      </c>
      <c r="D198" s="3">
        <v>18.11</v>
      </c>
      <c r="E198" s="3">
        <v>42.13</v>
      </c>
      <c r="F198" s="3">
        <v>109.458017</v>
      </c>
      <c r="G198" s="3">
        <v>104.73042100000001</v>
      </c>
      <c r="H198" s="3">
        <v>104.419595</v>
      </c>
      <c r="I198" s="17">
        <f t="shared" si="56"/>
        <v>2.424687729610581E-2</v>
      </c>
      <c r="J198" s="17">
        <f t="shared" si="57"/>
        <v>-1.9744680851063772E-2</v>
      </c>
      <c r="K198" s="17">
        <f t="shared" si="58"/>
        <v>8.5951393005334661E-3</v>
      </c>
      <c r="L198" s="17">
        <f t="shared" si="59"/>
        <v>8.9136490250696469E-3</v>
      </c>
      <c r="M198" s="17">
        <f t="shared" si="60"/>
        <v>4.0514775977121475E-3</v>
      </c>
      <c r="N198" s="17">
        <f t="shared" si="61"/>
        <v>-1.4533741799153306E-3</v>
      </c>
      <c r="O198" s="17">
        <f t="shared" si="62"/>
        <v>1.5303662920259128E-3</v>
      </c>
      <c r="P198" s="17">
        <f t="shared" si="63"/>
        <v>3.4308685630194151E-3</v>
      </c>
      <c r="Q198" s="22">
        <f t="shared" si="64"/>
        <v>2.3852403425721078E-2</v>
      </c>
      <c r="R198" s="22">
        <f t="shared" si="65"/>
        <v>-2.0175405565140934E-2</v>
      </c>
      <c r="S198" s="22">
        <f t="shared" si="66"/>
        <v>8.1831799136960186E-3</v>
      </c>
      <c r="T198" s="22">
        <f t="shared" si="67"/>
        <v>8.7821975158367295E-3</v>
      </c>
      <c r="U198" s="22">
        <f t="shared" si="68"/>
        <v>3.3582496507583849E-3</v>
      </c>
      <c r="V198" s="22">
        <f t="shared" si="69"/>
        <v>-1.2187703704121503E-3</v>
      </c>
      <c r="W198" s="22">
        <f t="shared" si="70"/>
        <v>1.7846148461166159E-3</v>
      </c>
      <c r="X198" s="22">
        <f t="shared" si="71"/>
        <v>3.7468129476257539E-3</v>
      </c>
    </row>
    <row r="199" spans="1:24" x14ac:dyDescent="0.35">
      <c r="A199" s="3">
        <v>14.35</v>
      </c>
      <c r="B199" s="3">
        <v>55.54</v>
      </c>
      <c r="C199" s="3">
        <v>137.16</v>
      </c>
      <c r="D199" s="3">
        <v>18.190000000000001</v>
      </c>
      <c r="E199" s="3">
        <v>43.97</v>
      </c>
      <c r="F199" s="3">
        <v>109.41976699999999</v>
      </c>
      <c r="G199" s="3">
        <v>104.751698</v>
      </c>
      <c r="H199" s="3">
        <v>104.35705</v>
      </c>
      <c r="I199" s="17">
        <f t="shared" si="56"/>
        <v>2.9411764705882363E-2</v>
      </c>
      <c r="J199" s="17">
        <f t="shared" si="57"/>
        <v>-3.5596457718353951E-2</v>
      </c>
      <c r="K199" s="17">
        <f t="shared" si="58"/>
        <v>7.6403173670290337E-3</v>
      </c>
      <c r="L199" s="17">
        <f t="shared" si="59"/>
        <v>4.4174489232469269E-3</v>
      </c>
      <c r="M199" s="17">
        <f t="shared" si="60"/>
        <v>4.3674341324471781E-2</v>
      </c>
      <c r="N199" s="17">
        <f t="shared" si="61"/>
        <v>-3.4944904949269276E-4</v>
      </c>
      <c r="O199" s="17">
        <f t="shared" si="62"/>
        <v>2.0315969129922401E-4</v>
      </c>
      <c r="P199" s="17">
        <f t="shared" si="63"/>
        <v>-5.9897761526464522E-4</v>
      </c>
      <c r="Q199" s="22">
        <f t="shared" si="64"/>
        <v>2.9017290835497631E-2</v>
      </c>
      <c r="R199" s="22">
        <f t="shared" si="65"/>
        <v>-3.6027182432431117E-2</v>
      </c>
      <c r="S199" s="22">
        <f t="shared" si="66"/>
        <v>7.2283579801915871E-3</v>
      </c>
      <c r="T199" s="22">
        <f t="shared" si="67"/>
        <v>4.2859974140140086E-3</v>
      </c>
      <c r="U199" s="22">
        <f t="shared" si="68"/>
        <v>4.2981113377518018E-2</v>
      </c>
      <c r="V199" s="22">
        <f t="shared" si="69"/>
        <v>-1.1484523998951248E-4</v>
      </c>
      <c r="W199" s="22">
        <f t="shared" si="70"/>
        <v>4.5740824538992699E-4</v>
      </c>
      <c r="X199" s="22">
        <f t="shared" si="71"/>
        <v>-2.8303323065830645E-4</v>
      </c>
    </row>
    <row r="200" spans="1:24" x14ac:dyDescent="0.35">
      <c r="A200" s="3">
        <v>14.07</v>
      </c>
      <c r="B200" s="3">
        <v>56.87</v>
      </c>
      <c r="C200" s="3">
        <v>138.13</v>
      </c>
      <c r="D200" s="3">
        <v>18.149999999999999</v>
      </c>
      <c r="E200" s="3">
        <v>44.4</v>
      </c>
      <c r="F200" s="3">
        <v>109.743982</v>
      </c>
      <c r="G200" s="3">
        <v>105.330113</v>
      </c>
      <c r="H200" s="3">
        <v>105.053172</v>
      </c>
      <c r="I200" s="17">
        <f t="shared" si="56"/>
        <v>-1.9512195121951174E-2</v>
      </c>
      <c r="J200" s="17">
        <f t="shared" si="57"/>
        <v>2.3946705077421648E-2</v>
      </c>
      <c r="K200" s="17">
        <f t="shared" si="58"/>
        <v>7.0720326625838357E-3</v>
      </c>
      <c r="L200" s="17">
        <f t="shared" si="59"/>
        <v>-2.1990104452997636E-3</v>
      </c>
      <c r="M200" s="17">
        <f t="shared" si="60"/>
        <v>9.7793950420741356E-3</v>
      </c>
      <c r="N200" s="17">
        <f t="shared" si="61"/>
        <v>2.9630386619266835E-3</v>
      </c>
      <c r="O200" s="17">
        <f t="shared" si="62"/>
        <v>5.5217720671219342E-3</v>
      </c>
      <c r="P200" s="17">
        <f t="shared" si="63"/>
        <v>6.6705795152316259E-3</v>
      </c>
      <c r="Q200" s="22">
        <f t="shared" si="64"/>
        <v>-1.9906668992335907E-2</v>
      </c>
      <c r="R200" s="22">
        <f t="shared" si="65"/>
        <v>2.3515980363344485E-2</v>
      </c>
      <c r="S200" s="22">
        <f t="shared" si="66"/>
        <v>6.6600732757463891E-3</v>
      </c>
      <c r="T200" s="22">
        <f t="shared" si="67"/>
        <v>-2.3304619545326819E-3</v>
      </c>
      <c r="U200" s="22">
        <f t="shared" si="68"/>
        <v>9.0861670951203725E-3</v>
      </c>
      <c r="V200" s="22">
        <f t="shared" si="69"/>
        <v>3.1976424714298636E-3</v>
      </c>
      <c r="W200" s="22">
        <f t="shared" si="70"/>
        <v>5.7760206212126375E-3</v>
      </c>
      <c r="X200" s="22">
        <f t="shared" si="71"/>
        <v>6.9865238998379642E-3</v>
      </c>
    </row>
    <row r="201" spans="1:24" x14ac:dyDescent="0.35">
      <c r="A201" s="3">
        <v>14.64</v>
      </c>
      <c r="B201" s="3">
        <v>57.17</v>
      </c>
      <c r="C201" s="3">
        <v>135.97</v>
      </c>
      <c r="D201" s="3">
        <v>18.25</v>
      </c>
      <c r="E201" s="3">
        <v>44.83</v>
      </c>
      <c r="F201" s="3">
        <v>110.173753</v>
      </c>
      <c r="G201" s="3">
        <v>105.46352</v>
      </c>
      <c r="H201" s="3">
        <v>105.202106</v>
      </c>
      <c r="I201" s="17">
        <f t="shared" si="56"/>
        <v>4.051172707889128E-2</v>
      </c>
      <c r="J201" s="17">
        <f t="shared" si="57"/>
        <v>5.2751890276068981E-3</v>
      </c>
      <c r="K201" s="17">
        <f t="shared" si="58"/>
        <v>-1.563744298848908E-2</v>
      </c>
      <c r="L201" s="17">
        <f t="shared" si="59"/>
        <v>5.509641873278316E-3</v>
      </c>
      <c r="M201" s="17">
        <f t="shared" si="60"/>
        <v>9.6846846846846794E-3</v>
      </c>
      <c r="N201" s="17">
        <f t="shared" si="61"/>
        <v>3.9161236194254585E-3</v>
      </c>
      <c r="O201" s="17">
        <f t="shared" si="62"/>
        <v>1.266560874191841E-3</v>
      </c>
      <c r="P201" s="17">
        <f t="shared" si="63"/>
        <v>1.4177011237699419E-3</v>
      </c>
      <c r="Q201" s="22">
        <f t="shared" si="64"/>
        <v>4.0117253208506544E-2</v>
      </c>
      <c r="R201" s="22">
        <f t="shared" si="65"/>
        <v>4.8444643135297349E-3</v>
      </c>
      <c r="S201" s="22">
        <f t="shared" si="66"/>
        <v>-1.6049402375326528E-2</v>
      </c>
      <c r="T201" s="22">
        <f t="shared" si="67"/>
        <v>5.3781903640453977E-3</v>
      </c>
      <c r="U201" s="22">
        <f t="shared" si="68"/>
        <v>8.9914567377309164E-3</v>
      </c>
      <c r="V201" s="22">
        <f t="shared" si="69"/>
        <v>4.150727428928639E-3</v>
      </c>
      <c r="W201" s="22">
        <f t="shared" si="70"/>
        <v>1.5208094282825441E-3</v>
      </c>
      <c r="X201" s="22">
        <f t="shared" si="71"/>
        <v>1.7336455083762808E-3</v>
      </c>
    </row>
    <row r="202" spans="1:24" x14ac:dyDescent="0.35">
      <c r="A202" s="3">
        <v>14.72</v>
      </c>
      <c r="B202" s="3">
        <v>57.88</v>
      </c>
      <c r="C202" s="3">
        <v>139.96</v>
      </c>
      <c r="D202" s="3">
        <v>18.5</v>
      </c>
      <c r="E202" s="3">
        <v>45.63</v>
      </c>
      <c r="F202" s="3">
        <v>110.07435099999999</v>
      </c>
      <c r="G202" s="3">
        <v>105.554613</v>
      </c>
      <c r="H202" s="3">
        <v>105.308314</v>
      </c>
      <c r="I202" s="17">
        <f t="shared" si="56"/>
        <v>5.4644808743169442E-3</v>
      </c>
      <c r="J202" s="17">
        <f t="shared" si="57"/>
        <v>1.2419100927059661E-2</v>
      </c>
      <c r="K202" s="17">
        <f t="shared" si="58"/>
        <v>2.9344708391557027E-2</v>
      </c>
      <c r="L202" s="17">
        <f t="shared" si="59"/>
        <v>1.3698630136986301E-2</v>
      </c>
      <c r="M202" s="17">
        <f t="shared" si="60"/>
        <v>1.7845192951148881E-2</v>
      </c>
      <c r="N202" s="17">
        <f t="shared" si="61"/>
        <v>-9.0222940848726446E-4</v>
      </c>
      <c r="O202" s="17">
        <f t="shared" si="62"/>
        <v>8.6373942383111005E-4</v>
      </c>
      <c r="P202" s="17">
        <f t="shared" si="63"/>
        <v>1.0095615386254263E-3</v>
      </c>
      <c r="Q202" s="22">
        <f t="shared" si="64"/>
        <v>5.070007003932211E-3</v>
      </c>
      <c r="R202" s="22">
        <f t="shared" si="65"/>
        <v>1.1988376212982496E-2</v>
      </c>
      <c r="S202" s="22">
        <f t="shared" si="66"/>
        <v>2.893274900471958E-2</v>
      </c>
      <c r="T202" s="22">
        <f t="shared" si="67"/>
        <v>1.3567178627753383E-2</v>
      </c>
      <c r="U202" s="22">
        <f t="shared" si="68"/>
        <v>1.7151965004195118E-2</v>
      </c>
      <c r="V202" s="22">
        <f t="shared" si="69"/>
        <v>-6.6762559898408415E-4</v>
      </c>
      <c r="W202" s="22">
        <f t="shared" si="70"/>
        <v>1.1179879779218129E-3</v>
      </c>
      <c r="X202" s="22">
        <f t="shared" si="71"/>
        <v>1.3255059232317652E-3</v>
      </c>
    </row>
    <row r="203" spans="1:24" x14ac:dyDescent="0.35">
      <c r="A203" s="3">
        <v>14.72</v>
      </c>
      <c r="B203" s="3">
        <v>59.63</v>
      </c>
      <c r="C203" s="3">
        <v>138.41999999999999</v>
      </c>
      <c r="D203" s="3">
        <v>18.440000000000001</v>
      </c>
      <c r="E203" s="3">
        <v>45.36</v>
      </c>
      <c r="F203" s="3">
        <v>109.854226</v>
      </c>
      <c r="G203" s="3">
        <v>105.296515</v>
      </c>
      <c r="H203" s="3">
        <v>105.075604</v>
      </c>
      <c r="I203" s="17">
        <f t="shared" si="56"/>
        <v>0</v>
      </c>
      <c r="J203" s="17">
        <f t="shared" si="57"/>
        <v>3.0234968901174844E-2</v>
      </c>
      <c r="K203" s="17">
        <f t="shared" si="58"/>
        <v>-1.1003143755358819E-2</v>
      </c>
      <c r="L203" s="17">
        <f t="shared" si="59"/>
        <v>-3.2432432432431741E-3</v>
      </c>
      <c r="M203" s="17">
        <f t="shared" si="60"/>
        <v>-5.9171597633136779E-3</v>
      </c>
      <c r="N203" s="17">
        <f t="shared" si="61"/>
        <v>-1.9997846728162486E-3</v>
      </c>
      <c r="O203" s="17">
        <f t="shared" si="62"/>
        <v>-2.445160781367309E-3</v>
      </c>
      <c r="P203" s="17">
        <f t="shared" si="63"/>
        <v>-2.2097970346386642E-3</v>
      </c>
      <c r="Q203" s="22">
        <f t="shared" si="64"/>
        <v>-3.9447387038473331E-4</v>
      </c>
      <c r="R203" s="22">
        <f t="shared" si="65"/>
        <v>2.9804244187097682E-2</v>
      </c>
      <c r="S203" s="22">
        <f t="shared" si="66"/>
        <v>-1.1415103142196266E-2</v>
      </c>
      <c r="T203" s="22">
        <f t="shared" si="67"/>
        <v>-3.3746947524760924E-3</v>
      </c>
      <c r="U203" s="22">
        <f t="shared" si="68"/>
        <v>-6.61038771026744E-3</v>
      </c>
      <c r="V203" s="22">
        <f t="shared" si="69"/>
        <v>-1.7651808633130683E-3</v>
      </c>
      <c r="W203" s="22">
        <f t="shared" si="70"/>
        <v>-2.1909122272766061E-3</v>
      </c>
      <c r="X203" s="22">
        <f t="shared" si="71"/>
        <v>-1.8938526500323254E-3</v>
      </c>
    </row>
    <row r="204" spans="1:24" x14ac:dyDescent="0.35">
      <c r="A204" s="3">
        <v>14.38</v>
      </c>
      <c r="B204" s="3">
        <v>57.63</v>
      </c>
      <c r="C204" s="3">
        <v>138.91999999999999</v>
      </c>
      <c r="D204" s="3">
        <v>18.25</v>
      </c>
      <c r="E204" s="3">
        <v>45.6</v>
      </c>
      <c r="F204" s="3">
        <v>109.574707</v>
      </c>
      <c r="G204" s="3">
        <v>104.970105</v>
      </c>
      <c r="H204" s="3">
        <v>104.759598</v>
      </c>
      <c r="I204" s="17">
        <f t="shared" si="56"/>
        <v>-2.309782608695651E-2</v>
      </c>
      <c r="J204" s="17">
        <f t="shared" si="57"/>
        <v>-3.3540164346805297E-2</v>
      </c>
      <c r="K204" s="17">
        <f t="shared" si="58"/>
        <v>3.612194769541974E-3</v>
      </c>
      <c r="L204" s="17">
        <f t="shared" si="59"/>
        <v>-1.0303687635574906E-2</v>
      </c>
      <c r="M204" s="17">
        <f t="shared" si="60"/>
        <v>5.2910052910053349E-3</v>
      </c>
      <c r="N204" s="17">
        <f t="shared" si="61"/>
        <v>-2.5444537745866365E-3</v>
      </c>
      <c r="O204" s="17">
        <f t="shared" si="62"/>
        <v>-3.0999126609270559E-3</v>
      </c>
      <c r="P204" s="17">
        <f t="shared" si="63"/>
        <v>-3.0074154986537271E-3</v>
      </c>
      <c r="Q204" s="22">
        <f t="shared" si="64"/>
        <v>-2.3492299957341242E-2</v>
      </c>
      <c r="R204" s="22">
        <f t="shared" si="65"/>
        <v>-3.3970889060882463E-2</v>
      </c>
      <c r="S204" s="22">
        <f t="shared" si="66"/>
        <v>3.200235382704527E-3</v>
      </c>
      <c r="T204" s="22">
        <f t="shared" si="67"/>
        <v>-1.0435139144807823E-2</v>
      </c>
      <c r="U204" s="22">
        <f t="shared" si="68"/>
        <v>4.5977773440515728E-3</v>
      </c>
      <c r="V204" s="22">
        <f t="shared" si="69"/>
        <v>-2.3098499650834564E-3</v>
      </c>
      <c r="W204" s="22">
        <f t="shared" si="70"/>
        <v>-2.8456641068363531E-3</v>
      </c>
      <c r="X204" s="22">
        <f t="shared" si="71"/>
        <v>-2.6914711140473883E-3</v>
      </c>
    </row>
    <row r="205" spans="1:24" x14ac:dyDescent="0.35">
      <c r="A205" s="3">
        <v>14.47</v>
      </c>
      <c r="B205" s="3">
        <v>57.88</v>
      </c>
      <c r="C205" s="3">
        <v>140.04</v>
      </c>
      <c r="D205" s="3">
        <v>17.88</v>
      </c>
      <c r="E205" s="3">
        <v>47.32</v>
      </c>
      <c r="F205" s="3">
        <v>109.777627</v>
      </c>
      <c r="G205" s="3">
        <v>105.26933200000001</v>
      </c>
      <c r="H205" s="3">
        <v>105.03398199999999</v>
      </c>
      <c r="I205" s="17">
        <f t="shared" si="56"/>
        <v>6.2586926286508941E-3</v>
      </c>
      <c r="J205" s="17">
        <f t="shared" si="57"/>
        <v>4.3380183931979871E-3</v>
      </c>
      <c r="K205" s="17">
        <f t="shared" si="58"/>
        <v>8.0621940685286827E-3</v>
      </c>
      <c r="L205" s="17">
        <f t="shared" si="59"/>
        <v>-2.0273972602739779E-2</v>
      </c>
      <c r="M205" s="17">
        <f t="shared" si="60"/>
        <v>3.7719298245614007E-2</v>
      </c>
      <c r="N205" s="17">
        <f t="shared" si="61"/>
        <v>1.8518872243025188E-3</v>
      </c>
      <c r="O205" s="17">
        <f t="shared" si="62"/>
        <v>2.8505925568046435E-3</v>
      </c>
      <c r="P205" s="17">
        <f t="shared" si="63"/>
        <v>2.6191776719112435E-3</v>
      </c>
      <c r="Q205" s="22">
        <f t="shared" si="64"/>
        <v>5.8642187582661608E-3</v>
      </c>
      <c r="R205" s="22">
        <f t="shared" si="65"/>
        <v>3.9072936791208239E-3</v>
      </c>
      <c r="S205" s="22">
        <f t="shared" si="66"/>
        <v>7.6502346816912361E-3</v>
      </c>
      <c r="T205" s="22">
        <f t="shared" si="67"/>
        <v>-2.0405424111972697E-2</v>
      </c>
      <c r="U205" s="22">
        <f t="shared" si="68"/>
        <v>3.7026070298660244E-2</v>
      </c>
      <c r="V205" s="22">
        <f t="shared" si="69"/>
        <v>2.0864910338056989E-3</v>
      </c>
      <c r="W205" s="22">
        <f t="shared" si="70"/>
        <v>3.1048411108953464E-3</v>
      </c>
      <c r="X205" s="22">
        <f t="shared" si="71"/>
        <v>2.9351220565175824E-3</v>
      </c>
    </row>
    <row r="206" spans="1:24" x14ac:dyDescent="0.35">
      <c r="A206" s="3">
        <v>14.09</v>
      </c>
      <c r="B206" s="3">
        <v>57.64</v>
      </c>
      <c r="C206" s="3">
        <v>139.27000000000001</v>
      </c>
      <c r="D206" s="3">
        <v>17.489999999999998</v>
      </c>
      <c r="E206" s="3">
        <v>47.16</v>
      </c>
      <c r="F206" s="3">
        <v>109.72350400000001</v>
      </c>
      <c r="G206" s="3">
        <v>105.055323</v>
      </c>
      <c r="H206" s="3">
        <v>104.76146199999999</v>
      </c>
      <c r="I206" s="17">
        <f t="shared" si="56"/>
        <v>-2.6261230131306202E-2</v>
      </c>
      <c r="J206" s="17">
        <f t="shared" si="57"/>
        <v>-4.146510020732584E-3</v>
      </c>
      <c r="K206" s="17">
        <f t="shared" si="58"/>
        <v>-5.4984290202797909E-3</v>
      </c>
      <c r="L206" s="17">
        <f t="shared" si="59"/>
        <v>-2.1812080536912786E-2</v>
      </c>
      <c r="M206" s="17">
        <f t="shared" si="60"/>
        <v>-3.3812341504649976E-3</v>
      </c>
      <c r="N206" s="17">
        <f t="shared" si="61"/>
        <v>-4.9302395651155701E-4</v>
      </c>
      <c r="O206" s="17">
        <f t="shared" si="62"/>
        <v>-2.0329662583971212E-3</v>
      </c>
      <c r="P206" s="17">
        <f t="shared" si="63"/>
        <v>-2.594588863630821E-3</v>
      </c>
      <c r="Q206" s="22">
        <f t="shared" si="64"/>
        <v>-2.6655704001690934E-2</v>
      </c>
      <c r="R206" s="22">
        <f t="shared" si="65"/>
        <v>-4.5772347348097472E-3</v>
      </c>
      <c r="S206" s="22">
        <f t="shared" si="66"/>
        <v>-5.9103884071172374E-3</v>
      </c>
      <c r="T206" s="22">
        <f t="shared" si="67"/>
        <v>-2.1943532046145704E-2</v>
      </c>
      <c r="U206" s="22">
        <f t="shared" si="68"/>
        <v>-4.0744620974187597E-3</v>
      </c>
      <c r="V206" s="22">
        <f t="shared" si="69"/>
        <v>-2.584201470083767E-4</v>
      </c>
      <c r="W206" s="22">
        <f t="shared" si="70"/>
        <v>-1.7787177043064183E-3</v>
      </c>
      <c r="X206" s="22">
        <f t="shared" si="71"/>
        <v>-2.2786444790244822E-3</v>
      </c>
    </row>
    <row r="207" spans="1:24" x14ac:dyDescent="0.35">
      <c r="A207" s="3">
        <v>13.62</v>
      </c>
      <c r="B207" s="3">
        <v>56.51</v>
      </c>
      <c r="C207" s="3">
        <v>138.85</v>
      </c>
      <c r="D207" s="3">
        <v>17.440000000000001</v>
      </c>
      <c r="E207" s="3">
        <v>46.86</v>
      </c>
      <c r="F207" s="3">
        <v>109.20590300000001</v>
      </c>
      <c r="G207" s="3">
        <v>104.455341</v>
      </c>
      <c r="H207" s="3">
        <v>103.947417</v>
      </c>
      <c r="I207" s="17">
        <f t="shared" si="56"/>
        <v>-3.3356990773598341E-2</v>
      </c>
      <c r="J207" s="17">
        <f t="shared" si="57"/>
        <v>-1.9604441360166595E-2</v>
      </c>
      <c r="K207" s="17">
        <f t="shared" si="58"/>
        <v>-3.0157248510089456E-3</v>
      </c>
      <c r="L207" s="17">
        <f t="shared" si="59"/>
        <v>-2.8587764436819418E-3</v>
      </c>
      <c r="M207" s="17">
        <f t="shared" si="60"/>
        <v>-6.3613231552162256E-3</v>
      </c>
      <c r="N207" s="17">
        <f t="shared" si="61"/>
        <v>-4.717321094667183E-3</v>
      </c>
      <c r="O207" s="17">
        <f t="shared" si="62"/>
        <v>-5.7111051859789833E-3</v>
      </c>
      <c r="P207" s="17">
        <f t="shared" si="63"/>
        <v>-7.7704623862541464E-3</v>
      </c>
      <c r="Q207" s="22">
        <f t="shared" si="64"/>
        <v>-3.3751464643983077E-2</v>
      </c>
      <c r="R207" s="22">
        <f t="shared" si="65"/>
        <v>-2.0035166074243757E-2</v>
      </c>
      <c r="S207" s="22">
        <f t="shared" si="66"/>
        <v>-3.4276842378463926E-3</v>
      </c>
      <c r="T207" s="22">
        <f t="shared" si="67"/>
        <v>-2.9902279529148601E-3</v>
      </c>
      <c r="U207" s="22">
        <f t="shared" si="68"/>
        <v>-7.0545511021699878E-3</v>
      </c>
      <c r="V207" s="22">
        <f t="shared" si="69"/>
        <v>-4.4827172851640024E-3</v>
      </c>
      <c r="W207" s="22">
        <f t="shared" si="70"/>
        <v>-5.4568566318882799E-3</v>
      </c>
      <c r="X207" s="22">
        <f t="shared" si="71"/>
        <v>-7.454518001647808E-3</v>
      </c>
    </row>
    <row r="208" spans="1:24" x14ac:dyDescent="0.35">
      <c r="A208" s="3">
        <v>13.79</v>
      </c>
      <c r="B208" s="3">
        <v>56.62</v>
      </c>
      <c r="C208" s="3">
        <v>137.1</v>
      </c>
      <c r="D208" s="3">
        <v>17.64</v>
      </c>
      <c r="E208" s="3">
        <v>46.09</v>
      </c>
      <c r="F208" s="3">
        <v>109.22821399999999</v>
      </c>
      <c r="G208" s="3">
        <v>104.476787</v>
      </c>
      <c r="H208" s="3">
        <v>103.969036</v>
      </c>
      <c r="I208" s="17">
        <f t="shared" si="56"/>
        <v>1.2481644640234943E-2</v>
      </c>
      <c r="J208" s="17">
        <f t="shared" si="57"/>
        <v>1.946558131304184E-3</v>
      </c>
      <c r="K208" s="17">
        <f t="shared" si="58"/>
        <v>-1.2603528988116673E-2</v>
      </c>
      <c r="L208" s="17">
        <f t="shared" si="59"/>
        <v>1.146788990825684E-2</v>
      </c>
      <c r="M208" s="17">
        <f t="shared" si="60"/>
        <v>-1.6431924882629022E-2</v>
      </c>
      <c r="N208" s="17">
        <f t="shared" si="61"/>
        <v>2.0430214289778598E-4</v>
      </c>
      <c r="O208" s="17">
        <f t="shared" si="62"/>
        <v>2.0531262254935734E-4</v>
      </c>
      <c r="P208" s="17">
        <f t="shared" si="63"/>
        <v>2.0798015596675351E-4</v>
      </c>
      <c r="Q208" s="22">
        <f t="shared" si="64"/>
        <v>1.2087170769850209E-2</v>
      </c>
      <c r="R208" s="22">
        <f t="shared" si="65"/>
        <v>1.5158334172270206E-3</v>
      </c>
      <c r="S208" s="22">
        <f t="shared" si="66"/>
        <v>-1.301548837495412E-2</v>
      </c>
      <c r="T208" s="22">
        <f t="shared" si="67"/>
        <v>1.1336438399023922E-2</v>
      </c>
      <c r="U208" s="22">
        <f t="shared" si="68"/>
        <v>-1.7125152829582786E-2</v>
      </c>
      <c r="V208" s="22">
        <f t="shared" si="69"/>
        <v>4.3890595240096627E-4</v>
      </c>
      <c r="W208" s="22">
        <f t="shared" si="70"/>
        <v>4.5956117664006037E-4</v>
      </c>
      <c r="X208" s="22">
        <f t="shared" si="71"/>
        <v>5.239245405730923E-4</v>
      </c>
    </row>
    <row r="209" spans="1:24" x14ac:dyDescent="0.35">
      <c r="A209" s="3">
        <v>13.87</v>
      </c>
      <c r="B209" s="3">
        <v>57.44</v>
      </c>
      <c r="C209" s="3">
        <v>140.11000000000001</v>
      </c>
      <c r="D209" s="3">
        <v>18</v>
      </c>
      <c r="E209" s="3">
        <v>45.43</v>
      </c>
      <c r="F209" s="3">
        <v>109.250529</v>
      </c>
      <c r="G209" s="3">
        <v>104.567001</v>
      </c>
      <c r="H209" s="3">
        <v>104.073775</v>
      </c>
      <c r="I209" s="17">
        <f t="shared" si="56"/>
        <v>5.8013052936910859E-3</v>
      </c>
      <c r="J209" s="17">
        <f t="shared" si="57"/>
        <v>1.4482515012363128E-2</v>
      </c>
      <c r="K209" s="17">
        <f t="shared" si="58"/>
        <v>2.1954777534646384E-2</v>
      </c>
      <c r="L209" s="17">
        <f t="shared" si="59"/>
        <v>2.040816326530609E-2</v>
      </c>
      <c r="M209" s="17">
        <f t="shared" si="60"/>
        <v>-1.4319809069212489E-2</v>
      </c>
      <c r="N209" s="17">
        <f t="shared" si="61"/>
        <v>2.0429703263303455E-4</v>
      </c>
      <c r="O209" s="17">
        <f t="shared" si="62"/>
        <v>8.6348367508663076E-4</v>
      </c>
      <c r="P209" s="17">
        <f t="shared" si="63"/>
        <v>1.0074057049061706E-3</v>
      </c>
      <c r="Q209" s="22">
        <f t="shared" si="64"/>
        <v>5.4068314233063526E-3</v>
      </c>
      <c r="R209" s="22">
        <f t="shared" si="65"/>
        <v>1.4051790298285963E-2</v>
      </c>
      <c r="S209" s="22">
        <f t="shared" si="66"/>
        <v>2.1542818147808937E-2</v>
      </c>
      <c r="T209" s="22">
        <f t="shared" si="67"/>
        <v>2.0276711756073172E-2</v>
      </c>
      <c r="U209" s="22">
        <f t="shared" si="68"/>
        <v>-1.5013037016166252E-2</v>
      </c>
      <c r="V209" s="22">
        <f t="shared" si="69"/>
        <v>4.3890084213621481E-4</v>
      </c>
      <c r="W209" s="22">
        <f t="shared" si="70"/>
        <v>1.1177322291773338E-3</v>
      </c>
      <c r="X209" s="22">
        <f t="shared" si="71"/>
        <v>1.3233500895125094E-3</v>
      </c>
    </row>
    <row r="210" spans="1:24" x14ac:dyDescent="0.35">
      <c r="A210" s="3">
        <v>13.86</v>
      </c>
      <c r="B210" s="3">
        <v>57.51</v>
      </c>
      <c r="C210" s="3">
        <v>133.11000000000001</v>
      </c>
      <c r="D210" s="3">
        <v>18.29</v>
      </c>
      <c r="E210" s="3">
        <v>44.18</v>
      </c>
      <c r="F210" s="3">
        <v>109.3326</v>
      </c>
      <c r="G210" s="3">
        <v>104.657251</v>
      </c>
      <c r="H210" s="3">
        <v>104.178589</v>
      </c>
      <c r="I210" s="17">
        <f t="shared" si="56"/>
        <v>-7.2098053352557948E-4</v>
      </c>
      <c r="J210" s="17">
        <f t="shared" si="57"/>
        <v>1.2186629526462446E-3</v>
      </c>
      <c r="K210" s="17">
        <f t="shared" si="58"/>
        <v>-4.9960745128827345E-2</v>
      </c>
      <c r="L210" s="17">
        <f t="shared" si="59"/>
        <v>1.6111111111111062E-2</v>
      </c>
      <c r="M210" s="17">
        <f t="shared" si="60"/>
        <v>-2.7514858023332599E-2</v>
      </c>
      <c r="N210" s="17">
        <f t="shared" si="61"/>
        <v>7.5121833048514685E-4</v>
      </c>
      <c r="O210" s="17">
        <f t="shared" si="62"/>
        <v>8.6308299116274263E-4</v>
      </c>
      <c r="P210" s="17">
        <f t="shared" si="63"/>
        <v>1.0071125026454035E-3</v>
      </c>
      <c r="Q210" s="22">
        <f t="shared" si="64"/>
        <v>-1.1154544039103128E-3</v>
      </c>
      <c r="R210" s="22">
        <f t="shared" si="65"/>
        <v>7.8793823856908112E-4</v>
      </c>
      <c r="S210" s="22">
        <f t="shared" si="66"/>
        <v>-5.0372704515664793E-2</v>
      </c>
      <c r="T210" s="22">
        <f t="shared" si="67"/>
        <v>1.5979659601878145E-2</v>
      </c>
      <c r="U210" s="22">
        <f t="shared" si="68"/>
        <v>-2.8208085970286362E-2</v>
      </c>
      <c r="V210" s="22">
        <f t="shared" si="69"/>
        <v>9.8582213998832705E-4</v>
      </c>
      <c r="W210" s="22">
        <f t="shared" si="70"/>
        <v>1.1173315452534457E-3</v>
      </c>
      <c r="X210" s="22">
        <f t="shared" si="71"/>
        <v>1.3230568872517423E-3</v>
      </c>
    </row>
    <row r="211" spans="1:24" x14ac:dyDescent="0.35">
      <c r="A211" s="3">
        <v>13.51</v>
      </c>
      <c r="B211" s="3">
        <v>56.28</v>
      </c>
      <c r="C211" s="3">
        <v>130.74</v>
      </c>
      <c r="D211" s="3">
        <v>18.21</v>
      </c>
      <c r="E211" s="3">
        <v>43.54</v>
      </c>
      <c r="F211" s="3">
        <v>109.399536</v>
      </c>
      <c r="G211" s="3">
        <v>104.790385</v>
      </c>
      <c r="H211" s="3">
        <v>104.49348999999999</v>
      </c>
      <c r="I211" s="17">
        <f t="shared" si="56"/>
        <v>-2.5252525252525228E-2</v>
      </c>
      <c r="J211" s="17">
        <f t="shared" si="57"/>
        <v>-2.1387584767866404E-2</v>
      </c>
      <c r="K211" s="17">
        <f t="shared" si="58"/>
        <v>-1.7804823078656783E-2</v>
      </c>
      <c r="L211" s="17">
        <f t="shared" si="59"/>
        <v>-4.3739748496445215E-3</v>
      </c>
      <c r="M211" s="17">
        <f t="shared" si="60"/>
        <v>-1.4486192847442295E-2</v>
      </c>
      <c r="N211" s="17">
        <f t="shared" si="61"/>
        <v>6.1222361857303617E-4</v>
      </c>
      <c r="O211" s="17">
        <f t="shared" si="62"/>
        <v>1.272095327632849E-3</v>
      </c>
      <c r="P211" s="17">
        <f t="shared" si="63"/>
        <v>3.0227036382686262E-3</v>
      </c>
      <c r="Q211" s="22">
        <f t="shared" si="64"/>
        <v>-2.564699912290996E-2</v>
      </c>
      <c r="R211" s="22">
        <f t="shared" si="65"/>
        <v>-2.1818309481943566E-2</v>
      </c>
      <c r="S211" s="22">
        <f t="shared" si="66"/>
        <v>-1.8216782465494231E-2</v>
      </c>
      <c r="T211" s="22">
        <f t="shared" si="67"/>
        <v>-4.5054263588774398E-3</v>
      </c>
      <c r="U211" s="22">
        <f t="shared" si="68"/>
        <v>-1.5179420794396058E-2</v>
      </c>
      <c r="V211" s="22">
        <f t="shared" si="69"/>
        <v>8.4682742807621648E-4</v>
      </c>
      <c r="W211" s="22">
        <f t="shared" si="70"/>
        <v>1.5263438817235521E-3</v>
      </c>
      <c r="X211" s="22">
        <f t="shared" si="71"/>
        <v>3.338648022874965E-3</v>
      </c>
    </row>
    <row r="212" spans="1:24" x14ac:dyDescent="0.35">
      <c r="A212" s="3">
        <v>13.24</v>
      </c>
      <c r="B212" s="3">
        <v>60.94</v>
      </c>
      <c r="C212" s="3">
        <v>130.35</v>
      </c>
      <c r="D212" s="3">
        <v>18.350000000000001</v>
      </c>
      <c r="E212" s="3">
        <v>43.22</v>
      </c>
      <c r="F212" s="3">
        <v>109.444183</v>
      </c>
      <c r="G212" s="3">
        <v>104.833249</v>
      </c>
      <c r="H212" s="3">
        <v>104.62019600000001</v>
      </c>
      <c r="I212" s="17">
        <f t="shared" si="56"/>
        <v>-1.9985196150999227E-2</v>
      </c>
      <c r="J212" s="17">
        <f t="shared" si="57"/>
        <v>8.2800284292821547E-2</v>
      </c>
      <c r="K212" s="17">
        <f t="shared" si="58"/>
        <v>-2.9830197338229672E-3</v>
      </c>
      <c r="L212" s="17">
        <f t="shared" si="59"/>
        <v>7.6880834706205686E-3</v>
      </c>
      <c r="M212" s="17">
        <f t="shared" si="60"/>
        <v>-7.3495636196600897E-3</v>
      </c>
      <c r="N212" s="17">
        <f t="shared" si="61"/>
        <v>4.0810959198216032E-4</v>
      </c>
      <c r="O212" s="17">
        <f t="shared" si="62"/>
        <v>4.090451619200985E-4</v>
      </c>
      <c r="P212" s="17">
        <f t="shared" si="63"/>
        <v>1.2125731469014276E-3</v>
      </c>
      <c r="Q212" s="22">
        <f t="shared" si="64"/>
        <v>-2.037967002138396E-2</v>
      </c>
      <c r="R212" s="22">
        <f t="shared" si="65"/>
        <v>8.2369559578744381E-2</v>
      </c>
      <c r="S212" s="22">
        <f t="shared" si="66"/>
        <v>-3.3949791206604142E-3</v>
      </c>
      <c r="T212" s="22">
        <f t="shared" si="67"/>
        <v>7.5566319613876503E-3</v>
      </c>
      <c r="U212" s="22">
        <f t="shared" si="68"/>
        <v>-8.0427915666138518E-3</v>
      </c>
      <c r="V212" s="22">
        <f t="shared" si="69"/>
        <v>6.4271340148534058E-4</v>
      </c>
      <c r="W212" s="22">
        <f t="shared" si="70"/>
        <v>6.6329371601080156E-4</v>
      </c>
      <c r="X212" s="22">
        <f t="shared" si="71"/>
        <v>1.5285175315077665E-3</v>
      </c>
    </row>
    <row r="213" spans="1:24" x14ac:dyDescent="0.35">
      <c r="A213" s="3">
        <v>13.18</v>
      </c>
      <c r="B213" s="3">
        <v>62.86</v>
      </c>
      <c r="C213" s="3">
        <v>127</v>
      </c>
      <c r="D213" s="3">
        <v>18.48</v>
      </c>
      <c r="E213" s="3">
        <v>44.27</v>
      </c>
      <c r="F213" s="3">
        <v>109.825299</v>
      </c>
      <c r="G213" s="3">
        <v>105.061408</v>
      </c>
      <c r="H213" s="3">
        <v>104.809077</v>
      </c>
      <c r="I213" s="17">
        <f t="shared" si="56"/>
        <v>-4.5317220543807024E-3</v>
      </c>
      <c r="J213" s="17">
        <f t="shared" si="57"/>
        <v>3.1506399737446698E-2</v>
      </c>
      <c r="K213" s="17">
        <f t="shared" si="58"/>
        <v>-2.5700038358266165E-2</v>
      </c>
      <c r="L213" s="17">
        <f t="shared" si="59"/>
        <v>7.0844686648500813E-3</v>
      </c>
      <c r="M213" s="17">
        <f t="shared" si="60"/>
        <v>2.4294308190652574E-2</v>
      </c>
      <c r="N213" s="17">
        <f t="shared" si="61"/>
        <v>3.4822864911879859E-3</v>
      </c>
      <c r="O213" s="17">
        <f t="shared" si="62"/>
        <v>2.1763992070874872E-3</v>
      </c>
      <c r="P213" s="17">
        <f t="shared" si="63"/>
        <v>1.8053971147214726E-3</v>
      </c>
      <c r="Q213" s="22">
        <f t="shared" si="64"/>
        <v>-4.9261959247654356E-3</v>
      </c>
      <c r="R213" s="22">
        <f t="shared" si="65"/>
        <v>3.1075675023369536E-2</v>
      </c>
      <c r="S213" s="22">
        <f t="shared" si="66"/>
        <v>-2.6111997745103612E-2</v>
      </c>
      <c r="T213" s="22">
        <f t="shared" si="67"/>
        <v>6.953017155617163E-3</v>
      </c>
      <c r="U213" s="22">
        <f t="shared" si="68"/>
        <v>2.3601080243698811E-2</v>
      </c>
      <c r="V213" s="22">
        <f t="shared" si="69"/>
        <v>3.716890300691166E-3</v>
      </c>
      <c r="W213" s="22">
        <f t="shared" si="70"/>
        <v>2.4306477611781901E-3</v>
      </c>
      <c r="X213" s="22">
        <f t="shared" si="71"/>
        <v>2.1213414993278114E-3</v>
      </c>
    </row>
    <row r="214" spans="1:24" x14ac:dyDescent="0.35">
      <c r="A214" s="3">
        <v>13.05</v>
      </c>
      <c r="B214" s="3">
        <v>61.98</v>
      </c>
      <c r="C214" s="3">
        <v>132.9</v>
      </c>
      <c r="D214" s="3">
        <v>18.46</v>
      </c>
      <c r="E214" s="3">
        <v>43.99</v>
      </c>
      <c r="F214" s="3">
        <v>109.250578</v>
      </c>
      <c r="G214" s="3">
        <v>104.73864500000001</v>
      </c>
      <c r="H214" s="3">
        <v>104.413179</v>
      </c>
      <c r="I214" s="17">
        <f t="shared" si="56"/>
        <v>-9.8634294385431722E-3</v>
      </c>
      <c r="J214" s="17">
        <f t="shared" si="57"/>
        <v>-1.3999363665287982E-2</v>
      </c>
      <c r="K214" s="17">
        <f t="shared" si="58"/>
        <v>4.6456692913385875E-2</v>
      </c>
      <c r="L214" s="17">
        <f t="shared" si="59"/>
        <v>-1.082251082251059E-3</v>
      </c>
      <c r="M214" s="17">
        <f t="shared" si="60"/>
        <v>-6.3248249378812091E-3</v>
      </c>
      <c r="N214" s="17">
        <f t="shared" si="61"/>
        <v>-5.2330474420105759E-3</v>
      </c>
      <c r="O214" s="17">
        <f t="shared" si="62"/>
        <v>-3.0721366307978168E-3</v>
      </c>
      <c r="P214" s="17">
        <f t="shared" si="63"/>
        <v>-3.777325507789774E-3</v>
      </c>
      <c r="Q214" s="22">
        <f t="shared" si="64"/>
        <v>-1.0257903308927906E-2</v>
      </c>
      <c r="R214" s="22">
        <f t="shared" si="65"/>
        <v>-1.4430088379365146E-2</v>
      </c>
      <c r="S214" s="22">
        <f t="shared" si="66"/>
        <v>4.6044733526548427E-2</v>
      </c>
      <c r="T214" s="22">
        <f t="shared" si="67"/>
        <v>-1.2137025914839773E-3</v>
      </c>
      <c r="U214" s="22">
        <f t="shared" si="68"/>
        <v>-7.0180528848349712E-3</v>
      </c>
      <c r="V214" s="22">
        <f t="shared" si="69"/>
        <v>-4.9984436325073954E-3</v>
      </c>
      <c r="W214" s="22">
        <f t="shared" si="70"/>
        <v>-2.8178880767071139E-3</v>
      </c>
      <c r="X214" s="22">
        <f t="shared" si="71"/>
        <v>-3.4613811231834352E-3</v>
      </c>
    </row>
    <row r="215" spans="1:24" x14ac:dyDescent="0.35">
      <c r="A215" s="3">
        <v>12.71</v>
      </c>
      <c r="B215" s="3">
        <v>62.91</v>
      </c>
      <c r="C215" s="3">
        <v>131.86000000000001</v>
      </c>
      <c r="D215" s="3">
        <v>18.46</v>
      </c>
      <c r="E215" s="3">
        <v>43.89</v>
      </c>
      <c r="F215" s="3">
        <v>109.555881</v>
      </c>
      <c r="G215" s="3">
        <v>105.70048800000001</v>
      </c>
      <c r="H215" s="3">
        <v>105.65245</v>
      </c>
      <c r="I215" s="17">
        <f t="shared" si="56"/>
        <v>-2.6053639846743283E-2</v>
      </c>
      <c r="J215" s="17">
        <f t="shared" si="57"/>
        <v>1.5004840271055175E-2</v>
      </c>
      <c r="K215" s="17">
        <f t="shared" si="58"/>
        <v>-7.8254326561323709E-3</v>
      </c>
      <c r="L215" s="17">
        <f t="shared" si="59"/>
        <v>0</v>
      </c>
      <c r="M215" s="17">
        <f t="shared" si="60"/>
        <v>-2.2732439190725488E-3</v>
      </c>
      <c r="N215" s="17">
        <f t="shared" si="61"/>
        <v>2.7945206843664936E-3</v>
      </c>
      <c r="O215" s="17">
        <f t="shared" si="62"/>
        <v>9.1832675513417398E-3</v>
      </c>
      <c r="P215" s="17">
        <f t="shared" si="63"/>
        <v>1.186891359758333E-2</v>
      </c>
      <c r="Q215" s="22">
        <f t="shared" si="64"/>
        <v>-2.6448113717128015E-2</v>
      </c>
      <c r="R215" s="22">
        <f t="shared" si="65"/>
        <v>1.4574115556978011E-2</v>
      </c>
      <c r="S215" s="22">
        <f t="shared" si="66"/>
        <v>-8.2373920429698183E-3</v>
      </c>
      <c r="T215" s="22">
        <f t="shared" si="67"/>
        <v>-1.3145150923291827E-4</v>
      </c>
      <c r="U215" s="22">
        <f t="shared" si="68"/>
        <v>-2.9664718660263115E-3</v>
      </c>
      <c r="V215" s="22">
        <f t="shared" si="69"/>
        <v>3.0291244938696737E-3</v>
      </c>
      <c r="W215" s="22">
        <f t="shared" si="70"/>
        <v>9.4375161054324423E-3</v>
      </c>
      <c r="X215" s="22">
        <f t="shared" si="71"/>
        <v>1.2184857982189668E-2</v>
      </c>
    </row>
    <row r="216" spans="1:24" x14ac:dyDescent="0.35">
      <c r="A216" s="3">
        <v>12.94</v>
      </c>
      <c r="B216" s="3">
        <v>63.4</v>
      </c>
      <c r="C216" s="3">
        <v>133.44999999999999</v>
      </c>
      <c r="D216" s="3">
        <v>18.73</v>
      </c>
      <c r="E216" s="3">
        <v>43.68</v>
      </c>
      <c r="F216" s="3">
        <v>110.476793</v>
      </c>
      <c r="G216" s="3">
        <v>105.93029</v>
      </c>
      <c r="H216" s="3">
        <v>106.01281400000001</v>
      </c>
      <c r="I216" s="17">
        <f t="shared" si="56"/>
        <v>1.8095987411486911E-2</v>
      </c>
      <c r="J216" s="17">
        <f t="shared" si="57"/>
        <v>7.7889047846129711E-3</v>
      </c>
      <c r="K216" s="17">
        <f t="shared" si="58"/>
        <v>1.2058243591687964E-2</v>
      </c>
      <c r="L216" s="17">
        <f t="shared" si="59"/>
        <v>1.462621885157094E-2</v>
      </c>
      <c r="M216" s="17">
        <f t="shared" si="60"/>
        <v>-4.7846889952153308E-3</v>
      </c>
      <c r="N216" s="17">
        <f t="shared" si="61"/>
        <v>8.405865496166301E-3</v>
      </c>
      <c r="O216" s="17">
        <f t="shared" si="62"/>
        <v>2.1740864621173014E-3</v>
      </c>
      <c r="P216" s="17">
        <f t="shared" si="63"/>
        <v>3.4108437617869167E-3</v>
      </c>
      <c r="Q216" s="22">
        <f t="shared" si="64"/>
        <v>1.7701513541102179E-2</v>
      </c>
      <c r="R216" s="22">
        <f t="shared" si="65"/>
        <v>7.3581800705358079E-3</v>
      </c>
      <c r="S216" s="22">
        <f t="shared" si="66"/>
        <v>1.1646284204850517E-2</v>
      </c>
      <c r="T216" s="22">
        <f t="shared" si="67"/>
        <v>1.4494767342338023E-2</v>
      </c>
      <c r="U216" s="22">
        <f t="shared" si="68"/>
        <v>-5.477916942169093E-3</v>
      </c>
      <c r="V216" s="22">
        <f t="shared" si="69"/>
        <v>8.6404693056694806E-3</v>
      </c>
      <c r="W216" s="22">
        <f t="shared" si="70"/>
        <v>2.4283350162080043E-3</v>
      </c>
      <c r="X216" s="22">
        <f t="shared" si="71"/>
        <v>3.7267881463932556E-3</v>
      </c>
    </row>
    <row r="217" spans="1:24" x14ac:dyDescent="0.35">
      <c r="A217" s="3">
        <v>14.26</v>
      </c>
      <c r="B217" s="3">
        <v>61.21</v>
      </c>
      <c r="C217" s="3">
        <v>132.46</v>
      </c>
      <c r="D217" s="3">
        <v>18.57</v>
      </c>
      <c r="E217" s="3">
        <v>43.96</v>
      </c>
      <c r="F217" s="3">
        <v>110.800465</v>
      </c>
      <c r="G217" s="3">
        <v>106.65034799999999</v>
      </c>
      <c r="H217" s="3">
        <v>106.887987</v>
      </c>
      <c r="I217" s="17">
        <f t="shared" si="56"/>
        <v>0.1020092735703246</v>
      </c>
      <c r="J217" s="17">
        <f t="shared" si="57"/>
        <v>-3.4542586750788605E-2</v>
      </c>
      <c r="K217" s="17">
        <f t="shared" si="58"/>
        <v>-7.4185088047956597E-3</v>
      </c>
      <c r="L217" s="17">
        <f t="shared" si="59"/>
        <v>-8.5424452749599655E-3</v>
      </c>
      <c r="M217" s="17">
        <f t="shared" si="60"/>
        <v>6.4102564102564361E-3</v>
      </c>
      <c r="N217" s="17">
        <f t="shared" si="61"/>
        <v>2.9297736765403928E-3</v>
      </c>
      <c r="O217" s="17">
        <f t="shared" si="62"/>
        <v>6.7974702986274707E-3</v>
      </c>
      <c r="P217" s="17">
        <f t="shared" si="63"/>
        <v>8.2553510936893872E-3</v>
      </c>
      <c r="Q217" s="22">
        <f t="shared" si="64"/>
        <v>0.10161479969993988</v>
      </c>
      <c r="R217" s="22">
        <f t="shared" si="65"/>
        <v>-3.4973311464865771E-2</v>
      </c>
      <c r="S217" s="22">
        <f t="shared" si="66"/>
        <v>-7.8304681916331071E-3</v>
      </c>
      <c r="T217" s="22">
        <f t="shared" si="67"/>
        <v>-8.6738967841928829E-3</v>
      </c>
      <c r="U217" s="22">
        <f t="shared" si="68"/>
        <v>5.7170284633026739E-3</v>
      </c>
      <c r="V217" s="22">
        <f t="shared" si="69"/>
        <v>3.1643774860435729E-3</v>
      </c>
      <c r="W217" s="22">
        <f t="shared" si="70"/>
        <v>7.0517188527181741E-3</v>
      </c>
      <c r="X217" s="22">
        <f t="shared" si="71"/>
        <v>8.5712954782957256E-3</v>
      </c>
    </row>
    <row r="218" spans="1:24" x14ac:dyDescent="0.35">
      <c r="A218" s="3">
        <v>13.63</v>
      </c>
      <c r="B218" s="3">
        <v>62.82</v>
      </c>
      <c r="C218" s="3">
        <v>134.33000000000001</v>
      </c>
      <c r="D218" s="3">
        <v>18.63</v>
      </c>
      <c r="E218" s="3">
        <v>42.87</v>
      </c>
      <c r="F218" s="3">
        <v>111.064443</v>
      </c>
      <c r="G218" s="3">
        <v>107.164162</v>
      </c>
      <c r="H218" s="3">
        <v>107.51255999999999</v>
      </c>
      <c r="I218" s="17">
        <f t="shared" si="56"/>
        <v>-4.4179523141654908E-2</v>
      </c>
      <c r="J218" s="17">
        <f t="shared" si="57"/>
        <v>2.6302891684365289E-2</v>
      </c>
      <c r="K218" s="17">
        <f t="shared" si="58"/>
        <v>1.4117469424732028E-2</v>
      </c>
      <c r="L218" s="17">
        <f t="shared" si="59"/>
        <v>3.2310177705976695E-3</v>
      </c>
      <c r="M218" s="17">
        <f t="shared" si="60"/>
        <v>-2.4795268425841753E-2</v>
      </c>
      <c r="N218" s="17">
        <f t="shared" si="61"/>
        <v>2.3824629255842426E-3</v>
      </c>
      <c r="O218" s="17">
        <f t="shared" si="62"/>
        <v>4.817743304503898E-3</v>
      </c>
      <c r="P218" s="17">
        <f t="shared" si="63"/>
        <v>5.8432478478615008E-3</v>
      </c>
      <c r="Q218" s="22">
        <f t="shared" si="64"/>
        <v>-4.4573997012039644E-2</v>
      </c>
      <c r="R218" s="22">
        <f t="shared" si="65"/>
        <v>2.5872166970288126E-2</v>
      </c>
      <c r="S218" s="22">
        <f t="shared" si="66"/>
        <v>1.370551003789458E-2</v>
      </c>
      <c r="T218" s="22">
        <f t="shared" si="67"/>
        <v>3.0995662613647512E-3</v>
      </c>
      <c r="U218" s="22">
        <f t="shared" si="68"/>
        <v>-2.5488496372795516E-2</v>
      </c>
      <c r="V218" s="22">
        <f t="shared" si="69"/>
        <v>2.6170667350874227E-3</v>
      </c>
      <c r="W218" s="22">
        <f t="shared" si="70"/>
        <v>5.0719918585946013E-3</v>
      </c>
      <c r="X218" s="22">
        <f t="shared" si="71"/>
        <v>6.1591922324678392E-3</v>
      </c>
    </row>
    <row r="219" spans="1:24" x14ac:dyDescent="0.35">
      <c r="A219" s="3">
        <v>13.48</v>
      </c>
      <c r="B219" s="3">
        <v>61.58</v>
      </c>
      <c r="C219" s="3">
        <v>129.61000000000001</v>
      </c>
      <c r="D219" s="3">
        <v>18.649999999999999</v>
      </c>
      <c r="E219" s="3">
        <v>43.78</v>
      </c>
      <c r="F219" s="3">
        <v>111.51136700000001</v>
      </c>
      <c r="G219" s="3">
        <v>106.482412</v>
      </c>
      <c r="H219" s="3">
        <v>107.188592</v>
      </c>
      <c r="I219" s="17">
        <f t="shared" si="56"/>
        <v>-1.1005135730007363E-2</v>
      </c>
      <c r="J219" s="17">
        <f t="shared" si="57"/>
        <v>-1.9738936644380801E-2</v>
      </c>
      <c r="K219" s="17">
        <f t="shared" si="58"/>
        <v>-3.5137348321298285E-2</v>
      </c>
      <c r="L219" s="17">
        <f t="shared" si="59"/>
        <v>1.0735373054213406E-3</v>
      </c>
      <c r="M219" s="17">
        <f t="shared" si="60"/>
        <v>2.1226965243760294E-2</v>
      </c>
      <c r="N219" s="17">
        <f t="shared" si="61"/>
        <v>4.0240061348888216E-3</v>
      </c>
      <c r="O219" s="17">
        <f t="shared" si="62"/>
        <v>-6.3617349986836835E-3</v>
      </c>
      <c r="P219" s="17">
        <f t="shared" si="63"/>
        <v>-3.0133037479527381E-3</v>
      </c>
      <c r="Q219" s="22">
        <f t="shared" si="64"/>
        <v>-1.1399609600392097E-2</v>
      </c>
      <c r="R219" s="22">
        <f t="shared" si="65"/>
        <v>-2.0169661358457963E-2</v>
      </c>
      <c r="S219" s="22">
        <f t="shared" si="66"/>
        <v>-3.5549307708135733E-2</v>
      </c>
      <c r="T219" s="22">
        <f t="shared" si="67"/>
        <v>9.4208579618842232E-4</v>
      </c>
      <c r="U219" s="22">
        <f t="shared" si="68"/>
        <v>2.0533737296806531E-2</v>
      </c>
      <c r="V219" s="22">
        <f t="shared" si="69"/>
        <v>4.2586099443920021E-3</v>
      </c>
      <c r="W219" s="22">
        <f t="shared" si="70"/>
        <v>-6.1074864445929801E-3</v>
      </c>
      <c r="X219" s="22">
        <f t="shared" si="71"/>
        <v>-2.6973593633463993E-3</v>
      </c>
    </row>
    <row r="220" spans="1:24" x14ac:dyDescent="0.35">
      <c r="A220" s="3">
        <v>13.7</v>
      </c>
      <c r="B220" s="3">
        <v>59.66</v>
      </c>
      <c r="C220" s="3">
        <v>131.18</v>
      </c>
      <c r="D220" s="3">
        <v>18.760000000000002</v>
      </c>
      <c r="E220" s="3">
        <v>43.48</v>
      </c>
      <c r="F220" s="3">
        <v>111.053343</v>
      </c>
      <c r="G220" s="3">
        <v>106.49726200000001</v>
      </c>
      <c r="H220" s="3">
        <v>106.844742</v>
      </c>
      <c r="I220" s="17">
        <f t="shared" si="56"/>
        <v>1.6320474777447986E-2</v>
      </c>
      <c r="J220" s="17">
        <f t="shared" si="57"/>
        <v>-3.117895420591104E-2</v>
      </c>
      <c r="K220" s="17">
        <f t="shared" si="58"/>
        <v>1.2113262865519583E-2</v>
      </c>
      <c r="L220" s="17">
        <f t="shared" si="59"/>
        <v>5.8981233243969432E-3</v>
      </c>
      <c r="M220" s="17">
        <f t="shared" si="60"/>
        <v>-6.8524440383737834E-3</v>
      </c>
      <c r="N220" s="17">
        <f t="shared" si="61"/>
        <v>-4.1074198292269954E-3</v>
      </c>
      <c r="O220" s="17">
        <f t="shared" si="62"/>
        <v>1.3945965085773791E-4</v>
      </c>
      <c r="P220" s="17">
        <f t="shared" si="63"/>
        <v>-3.2078973478819771E-3</v>
      </c>
      <c r="Q220" s="22">
        <f t="shared" si="64"/>
        <v>1.5926000907063254E-2</v>
      </c>
      <c r="R220" s="22">
        <f t="shared" si="65"/>
        <v>-3.1609678919988206E-2</v>
      </c>
      <c r="S220" s="22">
        <f t="shared" si="66"/>
        <v>1.1701303478682135E-2</v>
      </c>
      <c r="T220" s="22">
        <f t="shared" si="67"/>
        <v>5.7666718151640249E-3</v>
      </c>
      <c r="U220" s="22">
        <f t="shared" si="68"/>
        <v>-7.5456719853275456E-3</v>
      </c>
      <c r="V220" s="22">
        <f t="shared" si="69"/>
        <v>-3.8728160197238153E-3</v>
      </c>
      <c r="W220" s="22">
        <f t="shared" si="70"/>
        <v>3.9370820494844091E-4</v>
      </c>
      <c r="X220" s="22">
        <f t="shared" si="71"/>
        <v>-2.8919529632756382E-3</v>
      </c>
    </row>
    <row r="221" spans="1:24" x14ac:dyDescent="0.35">
      <c r="A221" s="3">
        <v>13.61</v>
      </c>
      <c r="B221" s="3">
        <v>59.84</v>
      </c>
      <c r="C221" s="3">
        <v>128.86000000000001</v>
      </c>
      <c r="D221" s="3">
        <v>18.829999999999998</v>
      </c>
      <c r="E221" s="3">
        <v>43.61</v>
      </c>
      <c r="F221" s="3">
        <v>111.985972</v>
      </c>
      <c r="G221" s="3">
        <v>107.572906</v>
      </c>
      <c r="H221" s="3">
        <v>108.073649</v>
      </c>
      <c r="I221" s="17">
        <f t="shared" si="56"/>
        <v>-6.5693430656934204E-3</v>
      </c>
      <c r="J221" s="17">
        <f t="shared" si="57"/>
        <v>3.0170968823333361E-3</v>
      </c>
      <c r="K221" s="17">
        <f t="shared" si="58"/>
        <v>-1.7685622808354878E-2</v>
      </c>
      <c r="L221" s="17">
        <f t="shared" si="59"/>
        <v>3.7313432835819151E-3</v>
      </c>
      <c r="M221" s="17">
        <f t="shared" si="60"/>
        <v>2.9898804047838678E-3</v>
      </c>
      <c r="N221" s="17">
        <f t="shared" si="61"/>
        <v>8.3980272435383221E-3</v>
      </c>
      <c r="O221" s="17">
        <f t="shared" si="62"/>
        <v>1.0100203327293023E-2</v>
      </c>
      <c r="P221" s="17">
        <f t="shared" si="63"/>
        <v>1.1501801370815296E-2</v>
      </c>
      <c r="Q221" s="22">
        <f t="shared" si="64"/>
        <v>-6.9638169360781536E-3</v>
      </c>
      <c r="R221" s="22">
        <f t="shared" si="65"/>
        <v>2.5863721682561724E-3</v>
      </c>
      <c r="S221" s="22">
        <f t="shared" si="66"/>
        <v>-1.8097582195192325E-2</v>
      </c>
      <c r="T221" s="22">
        <f t="shared" si="67"/>
        <v>3.5998917743489968E-3</v>
      </c>
      <c r="U221" s="22">
        <f t="shared" si="68"/>
        <v>2.2966524578301051E-3</v>
      </c>
      <c r="V221" s="22">
        <f t="shared" si="69"/>
        <v>8.6326310530415017E-3</v>
      </c>
      <c r="W221" s="22">
        <f t="shared" si="70"/>
        <v>1.0354451881383725E-2</v>
      </c>
      <c r="X221" s="22">
        <f t="shared" si="71"/>
        <v>1.1817745755421634E-2</v>
      </c>
    </row>
    <row r="222" spans="1:24" x14ac:dyDescent="0.35">
      <c r="A222" s="3">
        <v>13.44</v>
      </c>
      <c r="B222" s="3">
        <v>60.95</v>
      </c>
      <c r="C222" s="3">
        <v>131.57</v>
      </c>
      <c r="D222" s="3">
        <v>18.82</v>
      </c>
      <c r="E222" s="3">
        <v>44</v>
      </c>
      <c r="F222" s="3">
        <v>111.157749</v>
      </c>
      <c r="G222" s="3">
        <v>106.400158</v>
      </c>
      <c r="H222" s="3">
        <v>106.546027</v>
      </c>
      <c r="I222" s="17">
        <f t="shared" si="56"/>
        <v>-1.2490815576781774E-2</v>
      </c>
      <c r="J222" s="17">
        <f t="shared" si="57"/>
        <v>1.8549465240641702E-2</v>
      </c>
      <c r="K222" s="17">
        <f t="shared" si="58"/>
        <v>2.1030575818717829E-2</v>
      </c>
      <c r="L222" s="17">
        <f t="shared" si="59"/>
        <v>-5.3106744556548119E-4</v>
      </c>
      <c r="M222" s="17">
        <f t="shared" si="60"/>
        <v>8.9429030038982015E-3</v>
      </c>
      <c r="N222" s="17">
        <f t="shared" si="61"/>
        <v>-7.3957745350463032E-3</v>
      </c>
      <c r="O222" s="17">
        <f t="shared" si="62"/>
        <v>-1.0901890109764242E-2</v>
      </c>
      <c r="P222" s="17">
        <f t="shared" si="63"/>
        <v>-1.4135008988176276E-2</v>
      </c>
      <c r="Q222" s="22">
        <f t="shared" si="64"/>
        <v>-1.2885289447166508E-2</v>
      </c>
      <c r="R222" s="22">
        <f t="shared" si="65"/>
        <v>1.811874052656454E-2</v>
      </c>
      <c r="S222" s="22">
        <f t="shared" si="66"/>
        <v>2.0618616431880381E-2</v>
      </c>
      <c r="T222" s="22">
        <f t="shared" si="67"/>
        <v>-6.6251895479839948E-4</v>
      </c>
      <c r="U222" s="22">
        <f t="shared" si="68"/>
        <v>8.2496750569444385E-3</v>
      </c>
      <c r="V222" s="22">
        <f t="shared" si="69"/>
        <v>-7.1611707255431227E-3</v>
      </c>
      <c r="W222" s="22">
        <f t="shared" si="70"/>
        <v>-1.064764155567354E-2</v>
      </c>
      <c r="X222" s="22">
        <f t="shared" si="71"/>
        <v>-1.3819064603569938E-2</v>
      </c>
    </row>
    <row r="223" spans="1:24" x14ac:dyDescent="0.35">
      <c r="A223" s="3">
        <v>13.11</v>
      </c>
      <c r="B223" s="3">
        <v>60.51</v>
      </c>
      <c r="C223" s="3">
        <v>134.76</v>
      </c>
      <c r="D223" s="3">
        <v>18.66</v>
      </c>
      <c r="E223" s="3">
        <v>43.66</v>
      </c>
      <c r="F223" s="3">
        <v>110.39826499999999</v>
      </c>
      <c r="G223" s="3">
        <v>105.727552</v>
      </c>
      <c r="H223" s="3">
        <v>105.804742</v>
      </c>
      <c r="I223" s="17">
        <f t="shared" si="56"/>
        <v>-2.4553571428571435E-2</v>
      </c>
      <c r="J223" s="17">
        <f t="shared" si="57"/>
        <v>-7.2190319934373227E-3</v>
      </c>
      <c r="K223" s="17">
        <f t="shared" si="58"/>
        <v>2.4245648704111864E-2</v>
      </c>
      <c r="L223" s="17">
        <f t="shared" si="59"/>
        <v>-8.501594048884174E-3</v>
      </c>
      <c r="M223" s="17">
        <f t="shared" si="60"/>
        <v>-7.7272727272728048E-3</v>
      </c>
      <c r="N223" s="17">
        <f t="shared" si="61"/>
        <v>-6.8324881246020963E-3</v>
      </c>
      <c r="O223" s="17">
        <f t="shared" si="62"/>
        <v>-6.3214755752524516E-3</v>
      </c>
      <c r="P223" s="17">
        <f t="shared" si="63"/>
        <v>-6.9574156904038354E-3</v>
      </c>
      <c r="Q223" s="22">
        <f t="shared" si="64"/>
        <v>-2.4948045298956167E-2</v>
      </c>
      <c r="R223" s="22">
        <f t="shared" si="65"/>
        <v>-7.649756707514486E-3</v>
      </c>
      <c r="S223" s="22">
        <f t="shared" si="66"/>
        <v>2.3833689317274417E-2</v>
      </c>
      <c r="T223" s="22">
        <f t="shared" si="67"/>
        <v>-8.6330455581170914E-3</v>
      </c>
      <c r="U223" s="22">
        <f t="shared" si="68"/>
        <v>-8.4205006742265678E-3</v>
      </c>
      <c r="V223" s="22">
        <f t="shared" si="69"/>
        <v>-6.5978843150989158E-3</v>
      </c>
      <c r="W223" s="22">
        <f t="shared" si="70"/>
        <v>-6.0672270211617483E-3</v>
      </c>
      <c r="X223" s="22">
        <f t="shared" si="71"/>
        <v>-6.6414713057974971E-3</v>
      </c>
    </row>
    <row r="224" spans="1:24" x14ac:dyDescent="0.35">
      <c r="A224" s="3">
        <v>13.01</v>
      </c>
      <c r="B224" s="3">
        <v>60.47</v>
      </c>
      <c r="C224" s="3">
        <v>136.63</v>
      </c>
      <c r="D224" s="3">
        <v>18.27</v>
      </c>
      <c r="E224" s="3">
        <v>43.89</v>
      </c>
      <c r="F224" s="3">
        <v>110.704448</v>
      </c>
      <c r="G224" s="3">
        <v>105.584896</v>
      </c>
      <c r="H224" s="3">
        <v>105.53300299999999</v>
      </c>
      <c r="I224" s="17">
        <f t="shared" si="56"/>
        <v>-7.6277650648359759E-3</v>
      </c>
      <c r="J224" s="17">
        <f t="shared" si="57"/>
        <v>-6.6104776070069655E-4</v>
      </c>
      <c r="K224" s="17">
        <f t="shared" si="58"/>
        <v>1.3876521222914846E-2</v>
      </c>
      <c r="L224" s="17">
        <f t="shared" si="59"/>
        <v>-2.0900321543408391E-2</v>
      </c>
      <c r="M224" s="17">
        <f t="shared" si="60"/>
        <v>5.267979844251122E-3</v>
      </c>
      <c r="N224" s="17">
        <f t="shared" si="61"/>
        <v>2.7734403253529783E-3</v>
      </c>
      <c r="O224" s="17">
        <f t="shared" si="62"/>
        <v>-1.3492793250334816E-3</v>
      </c>
      <c r="P224" s="17">
        <f t="shared" si="63"/>
        <v>-2.5683064375319853E-3</v>
      </c>
      <c r="Q224" s="22">
        <f t="shared" si="64"/>
        <v>-8.0222389352207091E-3</v>
      </c>
      <c r="R224" s="22">
        <f t="shared" si="65"/>
        <v>-1.09177247477786E-3</v>
      </c>
      <c r="S224" s="22">
        <f t="shared" si="66"/>
        <v>1.3464561836077398E-2</v>
      </c>
      <c r="T224" s="22">
        <f t="shared" si="67"/>
        <v>-2.1031773052641308E-2</v>
      </c>
      <c r="U224" s="22">
        <f t="shared" si="68"/>
        <v>4.5747518972973598E-3</v>
      </c>
      <c r="V224" s="22">
        <f t="shared" si="69"/>
        <v>3.0080441348561584E-3</v>
      </c>
      <c r="W224" s="22">
        <f t="shared" si="70"/>
        <v>-1.0950307709427787E-3</v>
      </c>
      <c r="X224" s="22">
        <f t="shared" si="71"/>
        <v>-2.2523620529256464E-3</v>
      </c>
    </row>
    <row r="225" spans="1:24" x14ac:dyDescent="0.35">
      <c r="A225" s="3">
        <v>12.92</v>
      </c>
      <c r="B225" s="3">
        <v>58.16</v>
      </c>
      <c r="C225" s="3">
        <v>137.53</v>
      </c>
      <c r="D225" s="3">
        <v>18.23</v>
      </c>
      <c r="E225" s="3">
        <v>42.12</v>
      </c>
      <c r="F225" s="3">
        <v>110.48721399999999</v>
      </c>
      <c r="G225" s="3">
        <v>105.606347</v>
      </c>
      <c r="H225" s="3">
        <v>105.38699099999999</v>
      </c>
      <c r="I225" s="17">
        <f t="shared" si="56"/>
        <v>-6.9177555726364229E-3</v>
      </c>
      <c r="J225" s="17">
        <f t="shared" si="57"/>
        <v>-3.8200760707789022E-2</v>
      </c>
      <c r="K225" s="17">
        <f t="shared" si="58"/>
        <v>6.5871331332797026E-3</v>
      </c>
      <c r="L225" s="17">
        <f t="shared" si="59"/>
        <v>-2.1893814997262805E-3</v>
      </c>
      <c r="M225" s="17">
        <f t="shared" si="60"/>
        <v>-4.0328092959671977E-2</v>
      </c>
      <c r="N225" s="17">
        <f t="shared" si="61"/>
        <v>-1.9622879109609474E-3</v>
      </c>
      <c r="O225" s="17">
        <f t="shared" si="62"/>
        <v>2.0316352823796879E-4</v>
      </c>
      <c r="P225" s="17">
        <f t="shared" si="63"/>
        <v>-1.3835671860867916E-3</v>
      </c>
      <c r="Q225" s="22">
        <f t="shared" si="64"/>
        <v>-7.3122294430211562E-3</v>
      </c>
      <c r="R225" s="22">
        <f t="shared" si="65"/>
        <v>-3.8631485421866188E-2</v>
      </c>
      <c r="S225" s="22">
        <f t="shared" si="66"/>
        <v>6.175173746442256E-3</v>
      </c>
      <c r="T225" s="22">
        <f t="shared" si="67"/>
        <v>-2.3208330089591988E-3</v>
      </c>
      <c r="U225" s="22">
        <f t="shared" si="68"/>
        <v>-4.102132090662574E-2</v>
      </c>
      <c r="V225" s="22">
        <f t="shared" si="69"/>
        <v>-1.727684101457767E-3</v>
      </c>
      <c r="W225" s="22">
        <f t="shared" si="70"/>
        <v>4.574120823286718E-4</v>
      </c>
      <c r="X225" s="22">
        <f t="shared" si="71"/>
        <v>-1.0676228014804528E-3</v>
      </c>
    </row>
    <row r="226" spans="1:24" x14ac:dyDescent="0.35">
      <c r="A226" s="3">
        <v>12.99</v>
      </c>
      <c r="B226" s="3">
        <v>56.4</v>
      </c>
      <c r="C226" s="3">
        <v>134.93</v>
      </c>
      <c r="D226" s="3">
        <v>18.190000000000001</v>
      </c>
      <c r="E226" s="3">
        <v>40.700000000000003</v>
      </c>
      <c r="F226" s="3">
        <v>110.449735</v>
      </c>
      <c r="G226" s="3">
        <v>105.147429</v>
      </c>
      <c r="H226" s="3">
        <v>105.912548</v>
      </c>
      <c r="I226" s="17">
        <f t="shared" si="56"/>
        <v>5.417956656346771E-3</v>
      </c>
      <c r="J226" s="17">
        <f t="shared" si="57"/>
        <v>-3.026134800550203E-2</v>
      </c>
      <c r="K226" s="17">
        <f t="shared" si="58"/>
        <v>-1.8904966189195044E-2</v>
      </c>
      <c r="L226" s="17">
        <f t="shared" si="59"/>
        <v>-2.1941854086669856E-3</v>
      </c>
      <c r="M226" s="17">
        <f t="shared" si="60"/>
        <v>-3.3713200379866921E-2</v>
      </c>
      <c r="N226" s="17">
        <f t="shared" si="61"/>
        <v>-3.3921572137741199E-4</v>
      </c>
      <c r="O226" s="17">
        <f t="shared" si="62"/>
        <v>-4.3455532080850885E-3</v>
      </c>
      <c r="P226" s="17">
        <f t="shared" si="63"/>
        <v>4.9869248093439376E-3</v>
      </c>
      <c r="Q226" s="22">
        <f t="shared" si="64"/>
        <v>5.0234827859620378E-3</v>
      </c>
      <c r="R226" s="22">
        <f t="shared" si="65"/>
        <v>-3.0692072719579192E-2</v>
      </c>
      <c r="S226" s="22">
        <f t="shared" si="66"/>
        <v>-1.9316925576032491E-2</v>
      </c>
      <c r="T226" s="22">
        <f t="shared" si="67"/>
        <v>-2.3256369178999039E-3</v>
      </c>
      <c r="U226" s="22">
        <f t="shared" si="68"/>
        <v>-3.4406428326820684E-2</v>
      </c>
      <c r="V226" s="22">
        <f t="shared" si="69"/>
        <v>-1.046119118742317E-4</v>
      </c>
      <c r="W226" s="22">
        <f t="shared" si="70"/>
        <v>-4.0913046539943852E-3</v>
      </c>
      <c r="X226" s="22">
        <f t="shared" si="71"/>
        <v>5.302869193950276E-3</v>
      </c>
    </row>
    <row r="227" spans="1:24" x14ac:dyDescent="0.35">
      <c r="A227" s="3">
        <v>13.38</v>
      </c>
      <c r="B227" s="3">
        <v>55.65</v>
      </c>
      <c r="C227" s="3">
        <v>137.38999999999999</v>
      </c>
      <c r="D227" s="3">
        <v>18.62</v>
      </c>
      <c r="E227" s="3">
        <v>41.21</v>
      </c>
      <c r="F227" s="3">
        <v>109.169016</v>
      </c>
      <c r="G227" s="3">
        <v>105.100615</v>
      </c>
      <c r="H227" s="3">
        <v>104.515224</v>
      </c>
      <c r="I227" s="17">
        <f t="shared" si="56"/>
        <v>3.0023094688221751E-2</v>
      </c>
      <c r="J227" s="17">
        <f t="shared" si="57"/>
        <v>-1.3297872340425532E-2</v>
      </c>
      <c r="K227" s="17">
        <f t="shared" si="58"/>
        <v>1.8231675683687686E-2</v>
      </c>
      <c r="L227" s="17">
        <f t="shared" si="59"/>
        <v>2.3639362286970847E-2</v>
      </c>
      <c r="M227" s="17">
        <f t="shared" si="60"/>
        <v>1.253071253071248E-2</v>
      </c>
      <c r="N227" s="17">
        <f t="shared" si="61"/>
        <v>-1.1595491831646357E-2</v>
      </c>
      <c r="O227" s="17">
        <f t="shared" si="62"/>
        <v>-4.4522248851179888E-4</v>
      </c>
      <c r="P227" s="17">
        <f t="shared" si="63"/>
        <v>-1.3193186514595018E-2</v>
      </c>
      <c r="Q227" s="22">
        <f t="shared" si="64"/>
        <v>2.9628620817837018E-2</v>
      </c>
      <c r="R227" s="22">
        <f t="shared" si="65"/>
        <v>-1.3728597054502696E-2</v>
      </c>
      <c r="S227" s="22">
        <f t="shared" si="66"/>
        <v>1.7819716296850238E-2</v>
      </c>
      <c r="T227" s="22">
        <f t="shared" si="67"/>
        <v>2.350791077773793E-2</v>
      </c>
      <c r="U227" s="22">
        <f t="shared" si="68"/>
        <v>1.1837484583758717E-2</v>
      </c>
      <c r="V227" s="22">
        <f t="shared" si="69"/>
        <v>-1.1360888022143177E-2</v>
      </c>
      <c r="W227" s="22">
        <f t="shared" si="70"/>
        <v>-1.9097393442109588E-4</v>
      </c>
      <c r="X227" s="22">
        <f t="shared" si="71"/>
        <v>-1.287724212998868E-2</v>
      </c>
    </row>
    <row r="228" spans="1:24" x14ac:dyDescent="0.35">
      <c r="A228" s="3">
        <v>13.28</v>
      </c>
      <c r="B228" s="3">
        <v>56.42</v>
      </c>
      <c r="C228" s="3">
        <v>135.47999999999999</v>
      </c>
      <c r="D228" s="3">
        <v>18.78</v>
      </c>
      <c r="E228" s="3">
        <v>40.31</v>
      </c>
      <c r="F228" s="3">
        <v>107.90918000000001</v>
      </c>
      <c r="G228" s="3">
        <v>102.83284</v>
      </c>
      <c r="H228" s="3">
        <v>102.09776100000001</v>
      </c>
      <c r="I228" s="17">
        <f t="shared" si="56"/>
        <v>-7.4738415545591488E-3</v>
      </c>
      <c r="J228" s="17">
        <f t="shared" si="57"/>
        <v>1.383647798742144E-2</v>
      </c>
      <c r="K228" s="17">
        <f t="shared" si="58"/>
        <v>-1.3902030715481453E-2</v>
      </c>
      <c r="L228" s="17">
        <f t="shared" si="59"/>
        <v>8.592910848549953E-3</v>
      </c>
      <c r="M228" s="17">
        <f t="shared" si="60"/>
        <v>-2.1839359378791522E-2</v>
      </c>
      <c r="N228" s="17">
        <f t="shared" si="61"/>
        <v>-1.1540234089862942E-2</v>
      </c>
      <c r="O228" s="17">
        <f t="shared" si="62"/>
        <v>-2.1577181065971882E-2</v>
      </c>
      <c r="P228" s="17">
        <f t="shared" si="63"/>
        <v>-2.3130247513032148E-2</v>
      </c>
      <c r="Q228" s="22">
        <f t="shared" si="64"/>
        <v>-7.8683154249438829E-3</v>
      </c>
      <c r="R228" s="22">
        <f t="shared" si="65"/>
        <v>1.3405753273344275E-2</v>
      </c>
      <c r="S228" s="22">
        <f t="shared" si="66"/>
        <v>-1.43139901023189E-2</v>
      </c>
      <c r="T228" s="22">
        <f t="shared" si="67"/>
        <v>8.4614593393170356E-3</v>
      </c>
      <c r="U228" s="22">
        <f t="shared" si="68"/>
        <v>-2.2532587325745285E-2</v>
      </c>
      <c r="V228" s="22">
        <f t="shared" si="69"/>
        <v>-1.1305630280359762E-2</v>
      </c>
      <c r="W228" s="22">
        <f t="shared" si="70"/>
        <v>-2.1322932511881179E-2</v>
      </c>
      <c r="X228" s="22">
        <f t="shared" si="71"/>
        <v>-2.2814303128425809E-2</v>
      </c>
    </row>
    <row r="229" spans="1:24" x14ac:dyDescent="0.35">
      <c r="A229" s="3">
        <v>13.06</v>
      </c>
      <c r="B229" s="3">
        <v>55.05</v>
      </c>
      <c r="C229" s="3">
        <v>133.94999999999999</v>
      </c>
      <c r="D229" s="3">
        <v>19.05</v>
      </c>
      <c r="E229" s="3">
        <v>40.17</v>
      </c>
      <c r="F229" s="3">
        <v>107.978268</v>
      </c>
      <c r="G229" s="3">
        <v>102.898996</v>
      </c>
      <c r="H229" s="3">
        <v>102.164017</v>
      </c>
      <c r="I229" s="17">
        <f t="shared" si="56"/>
        <v>-1.6566265060240878E-2</v>
      </c>
      <c r="J229" s="17">
        <f t="shared" si="57"/>
        <v>-2.4282169443459845E-2</v>
      </c>
      <c r="K229" s="17">
        <f t="shared" si="58"/>
        <v>-1.1293179805137299E-2</v>
      </c>
      <c r="L229" s="17">
        <f t="shared" si="59"/>
        <v>1.4376996805111798E-2</v>
      </c>
      <c r="M229" s="17">
        <f t="shared" si="60"/>
        <v>-3.4730836020838642E-3</v>
      </c>
      <c r="N229" s="17">
        <f t="shared" si="61"/>
        <v>6.4024209988430641E-4</v>
      </c>
      <c r="O229" s="17">
        <f t="shared" si="62"/>
        <v>6.4333533917756557E-4</v>
      </c>
      <c r="P229" s="17">
        <f t="shared" si="63"/>
        <v>6.4894665025999588E-4</v>
      </c>
      <c r="Q229" s="22">
        <f t="shared" si="64"/>
        <v>-1.6960738930625611E-2</v>
      </c>
      <c r="R229" s="22">
        <f t="shared" si="65"/>
        <v>-2.4712894157537007E-2</v>
      </c>
      <c r="S229" s="22">
        <f t="shared" si="66"/>
        <v>-1.1705139191974747E-2</v>
      </c>
      <c r="T229" s="22">
        <f t="shared" si="67"/>
        <v>1.4245545295878881E-2</v>
      </c>
      <c r="U229" s="22">
        <f t="shared" si="68"/>
        <v>-4.1663115490376268E-3</v>
      </c>
      <c r="V229" s="22">
        <f t="shared" si="69"/>
        <v>8.7484590938748672E-4</v>
      </c>
      <c r="W229" s="22">
        <f t="shared" si="70"/>
        <v>8.9758389326826857E-4</v>
      </c>
      <c r="X229" s="22">
        <f t="shared" si="71"/>
        <v>9.648910348663347E-4</v>
      </c>
    </row>
    <row r="230" spans="1:24" x14ac:dyDescent="0.35">
      <c r="A230" s="3">
        <v>12.71</v>
      </c>
      <c r="B230" s="3">
        <v>54.43</v>
      </c>
      <c r="C230" s="3">
        <v>125.2</v>
      </c>
      <c r="D230" s="3">
        <v>18.61</v>
      </c>
      <c r="E230" s="3">
        <v>37.909999999999997</v>
      </c>
      <c r="F230" s="3">
        <v>109.10647</v>
      </c>
      <c r="G230" s="3">
        <v>104.393513</v>
      </c>
      <c r="H230" s="3">
        <v>103.72074600000001</v>
      </c>
      <c r="I230" s="17">
        <f t="shared" si="56"/>
        <v>-2.6799387442572712E-2</v>
      </c>
      <c r="J230" s="17">
        <f t="shared" si="57"/>
        <v>-1.1262488646684787E-2</v>
      </c>
      <c r="K230" s="17">
        <f t="shared" si="58"/>
        <v>-6.5322881672265673E-2</v>
      </c>
      <c r="L230" s="17">
        <f t="shared" si="59"/>
        <v>-2.3097112860892454E-2</v>
      </c>
      <c r="M230" s="17">
        <f t="shared" si="60"/>
        <v>-5.6260891212347647E-2</v>
      </c>
      <c r="N230" s="17">
        <f t="shared" si="61"/>
        <v>1.0448417268556314E-2</v>
      </c>
      <c r="O230" s="17">
        <f t="shared" si="62"/>
        <v>1.4524116445217812E-2</v>
      </c>
      <c r="P230" s="17">
        <f t="shared" si="63"/>
        <v>1.523754689481331E-2</v>
      </c>
      <c r="Q230" s="22">
        <f t="shared" si="64"/>
        <v>-2.7193861312957444E-2</v>
      </c>
      <c r="R230" s="22">
        <f t="shared" si="65"/>
        <v>-1.1693213360761951E-2</v>
      </c>
      <c r="S230" s="22">
        <f t="shared" si="66"/>
        <v>-6.5734841059103113E-2</v>
      </c>
      <c r="T230" s="22">
        <f t="shared" si="67"/>
        <v>-2.3228564370125371E-2</v>
      </c>
      <c r="U230" s="22">
        <f t="shared" si="68"/>
        <v>-5.695411915930141E-2</v>
      </c>
      <c r="V230" s="22">
        <f t="shared" si="69"/>
        <v>1.0683021078059494E-2</v>
      </c>
      <c r="W230" s="22">
        <f t="shared" si="70"/>
        <v>1.4778364999308515E-2</v>
      </c>
      <c r="X230" s="22">
        <f t="shared" si="71"/>
        <v>1.5553491279419648E-2</v>
      </c>
    </row>
    <row r="231" spans="1:24" x14ac:dyDescent="0.35">
      <c r="A231" s="3">
        <v>13.72</v>
      </c>
      <c r="B231" s="3">
        <v>52.81</v>
      </c>
      <c r="C231" s="3">
        <v>125.96</v>
      </c>
      <c r="D231" s="3">
        <v>18.57</v>
      </c>
      <c r="E231" s="3">
        <v>38.57</v>
      </c>
      <c r="F231" s="3">
        <v>109.716677</v>
      </c>
      <c r="G231" s="3">
        <v>104.685964</v>
      </c>
      <c r="H231" s="3">
        <v>104.48083800000001</v>
      </c>
      <c r="I231" s="17">
        <f t="shared" si="56"/>
        <v>7.9464988198269054E-2</v>
      </c>
      <c r="J231" s="17">
        <f t="shared" si="57"/>
        <v>-2.9762998346500046E-2</v>
      </c>
      <c r="K231" s="17">
        <f t="shared" si="58"/>
        <v>6.0702875399360296E-3</v>
      </c>
      <c r="L231" s="17">
        <f t="shared" si="59"/>
        <v>-2.1493820526598145E-3</v>
      </c>
      <c r="M231" s="17">
        <f t="shared" si="60"/>
        <v>1.7409654444737636E-2</v>
      </c>
      <c r="N231" s="17">
        <f t="shared" si="61"/>
        <v>5.5927664051453833E-3</v>
      </c>
      <c r="O231" s="17">
        <f t="shared" si="62"/>
        <v>2.801428858898539E-3</v>
      </c>
      <c r="P231" s="17">
        <f t="shared" si="63"/>
        <v>7.3282542722938014E-3</v>
      </c>
      <c r="Q231" s="22">
        <f t="shared" si="64"/>
        <v>7.9070514327884325E-2</v>
      </c>
      <c r="R231" s="22">
        <f t="shared" si="65"/>
        <v>-3.0193723060577209E-2</v>
      </c>
      <c r="S231" s="22">
        <f t="shared" si="66"/>
        <v>5.6583281530985831E-3</v>
      </c>
      <c r="T231" s="22">
        <f t="shared" si="67"/>
        <v>-2.2808335618927328E-3</v>
      </c>
      <c r="U231" s="22">
        <f t="shared" si="68"/>
        <v>1.6716426497783873E-2</v>
      </c>
      <c r="V231" s="22">
        <f t="shared" si="69"/>
        <v>5.8273702146485638E-3</v>
      </c>
      <c r="W231" s="22">
        <f t="shared" si="70"/>
        <v>3.0556774129892419E-3</v>
      </c>
      <c r="X231" s="22">
        <f t="shared" si="71"/>
        <v>7.6441986569001398E-3</v>
      </c>
    </row>
    <row r="232" spans="1:24" x14ac:dyDescent="0.35">
      <c r="A232" s="3">
        <v>13.3</v>
      </c>
      <c r="B232" s="3">
        <v>56.22</v>
      </c>
      <c r="C232" s="3">
        <v>128.13</v>
      </c>
      <c r="D232" s="3">
        <v>18.809999999999999</v>
      </c>
      <c r="E232" s="3">
        <v>36.69</v>
      </c>
      <c r="F232" s="3">
        <v>110.66377300000001</v>
      </c>
      <c r="G232" s="3">
        <v>105.80647399999999</v>
      </c>
      <c r="H232" s="3">
        <v>105.59024100000001</v>
      </c>
      <c r="I232" s="17">
        <f t="shared" si="56"/>
        <v>-3.0612244897959176E-2</v>
      </c>
      <c r="J232" s="17">
        <f t="shared" si="57"/>
        <v>6.4571103957583725E-2</v>
      </c>
      <c r="K232" s="17">
        <f t="shared" si="58"/>
        <v>1.7227691330581153E-2</v>
      </c>
      <c r="L232" s="17">
        <f t="shared" si="59"/>
        <v>1.2924071082390869E-2</v>
      </c>
      <c r="M232" s="17">
        <f t="shared" si="60"/>
        <v>-4.8742546020223036E-2</v>
      </c>
      <c r="N232" s="17">
        <f t="shared" si="61"/>
        <v>8.6321972729815899E-3</v>
      </c>
      <c r="O232" s="17">
        <f t="shared" si="62"/>
        <v>1.0703536149316024E-2</v>
      </c>
      <c r="P232" s="17">
        <f t="shared" si="63"/>
        <v>1.0618243701299565E-2</v>
      </c>
      <c r="Q232" s="22">
        <f t="shared" si="64"/>
        <v>-3.1006718768343908E-2</v>
      </c>
      <c r="R232" s="22">
        <f t="shared" si="65"/>
        <v>6.414037924350656E-2</v>
      </c>
      <c r="S232" s="22">
        <f t="shared" si="66"/>
        <v>1.6815731943743705E-2</v>
      </c>
      <c r="T232" s="22">
        <f t="shared" si="67"/>
        <v>1.2792619573157952E-2</v>
      </c>
      <c r="U232" s="22">
        <f t="shared" si="68"/>
        <v>-4.9435773967176799E-2</v>
      </c>
      <c r="V232" s="22">
        <f t="shared" si="69"/>
        <v>8.8668010824847696E-3</v>
      </c>
      <c r="W232" s="22">
        <f t="shared" si="70"/>
        <v>1.0957784703406727E-2</v>
      </c>
      <c r="X232" s="22">
        <f t="shared" si="71"/>
        <v>1.0934188085905903E-2</v>
      </c>
    </row>
    <row r="233" spans="1:24" x14ac:dyDescent="0.35">
      <c r="A233" s="3">
        <v>13.29</v>
      </c>
      <c r="B233" s="3">
        <v>56.14</v>
      </c>
      <c r="C233" s="3">
        <v>128.69</v>
      </c>
      <c r="D233" s="3">
        <v>19.079999999999998</v>
      </c>
      <c r="E233" s="3">
        <v>37.03</v>
      </c>
      <c r="F233" s="3">
        <v>110.47187099999999</v>
      </c>
      <c r="G233" s="3">
        <v>105.821096</v>
      </c>
      <c r="H233" s="3">
        <v>105.770955</v>
      </c>
      <c r="I233" s="17">
        <f t="shared" si="56"/>
        <v>-7.5187969924823776E-4</v>
      </c>
      <c r="J233" s="17">
        <f t="shared" si="57"/>
        <v>-1.4229811454997919E-3</v>
      </c>
      <c r="K233" s="17">
        <f t="shared" si="58"/>
        <v>4.3705611488332342E-3</v>
      </c>
      <c r="L233" s="17">
        <f t="shared" si="59"/>
        <v>1.4354066985645911E-2</v>
      </c>
      <c r="M233" s="17">
        <f t="shared" si="60"/>
        <v>9.2668301989643886E-3</v>
      </c>
      <c r="N233" s="17">
        <f t="shared" si="61"/>
        <v>-1.7340995593925132E-3</v>
      </c>
      <c r="O233" s="17">
        <f t="shared" si="62"/>
        <v>1.3819570246715527E-4</v>
      </c>
      <c r="P233" s="17">
        <f t="shared" si="63"/>
        <v>1.711464982829187E-3</v>
      </c>
      <c r="Q233" s="22">
        <f t="shared" si="64"/>
        <v>-1.1463535696329711E-3</v>
      </c>
      <c r="R233" s="22">
        <f t="shared" si="65"/>
        <v>-1.8537058595769554E-3</v>
      </c>
      <c r="S233" s="22">
        <f t="shared" si="66"/>
        <v>3.9586017619957876E-3</v>
      </c>
      <c r="T233" s="22">
        <f t="shared" si="67"/>
        <v>1.4222615476412993E-2</v>
      </c>
      <c r="U233" s="22">
        <f t="shared" si="68"/>
        <v>8.5736022520106255E-3</v>
      </c>
      <c r="V233" s="22">
        <f t="shared" si="69"/>
        <v>-1.4994957498893329E-3</v>
      </c>
      <c r="W233" s="22">
        <f t="shared" si="70"/>
        <v>3.9244425655785828E-4</v>
      </c>
      <c r="X233" s="22">
        <f t="shared" si="71"/>
        <v>2.0274093674355256E-3</v>
      </c>
    </row>
    <row r="234" spans="1:24" x14ac:dyDescent="0.35">
      <c r="A234" s="3">
        <v>13.29</v>
      </c>
      <c r="B234" s="3">
        <v>56.31</v>
      </c>
      <c r="C234" s="3">
        <v>134.87</v>
      </c>
      <c r="D234" s="3">
        <v>19.47</v>
      </c>
      <c r="E234" s="3">
        <v>38.630000000000003</v>
      </c>
      <c r="F234" s="3">
        <v>110.53897499999999</v>
      </c>
      <c r="G234" s="3">
        <v>105.885606</v>
      </c>
      <c r="H234" s="3">
        <v>105.91975100000001</v>
      </c>
      <c r="I234" s="17">
        <f t="shared" si="56"/>
        <v>0</v>
      </c>
      <c r="J234" s="17">
        <f t="shared" si="57"/>
        <v>3.0281439258995672E-3</v>
      </c>
      <c r="K234" s="17">
        <f t="shared" si="58"/>
        <v>4.8022379361255786E-2</v>
      </c>
      <c r="L234" s="17">
        <f t="shared" si="59"/>
        <v>2.0440251572327074E-2</v>
      </c>
      <c r="M234" s="17">
        <f t="shared" si="60"/>
        <v>4.3208209559816399E-2</v>
      </c>
      <c r="N234" s="17">
        <f t="shared" si="61"/>
        <v>6.0743064630452851E-4</v>
      </c>
      <c r="O234" s="17">
        <f t="shared" si="62"/>
        <v>6.0961379572177662E-4</v>
      </c>
      <c r="P234" s="17">
        <f t="shared" si="63"/>
        <v>1.40677561245433E-3</v>
      </c>
      <c r="Q234" s="22">
        <f t="shared" si="64"/>
        <v>-3.9447387038473331E-4</v>
      </c>
      <c r="R234" s="22">
        <f t="shared" si="65"/>
        <v>2.5974192118224035E-3</v>
      </c>
      <c r="S234" s="22">
        <f t="shared" si="66"/>
        <v>4.7610419974418339E-2</v>
      </c>
      <c r="T234" s="22">
        <f t="shared" si="67"/>
        <v>2.0308800063094157E-2</v>
      </c>
      <c r="U234" s="22">
        <f t="shared" si="68"/>
        <v>4.2514981612862636E-2</v>
      </c>
      <c r="V234" s="22">
        <f t="shared" si="69"/>
        <v>8.4203445580770882E-4</v>
      </c>
      <c r="W234" s="22">
        <f t="shared" si="70"/>
        <v>8.6386234981247962E-4</v>
      </c>
      <c r="X234" s="22">
        <f t="shared" si="71"/>
        <v>1.7227199970606688E-3</v>
      </c>
    </row>
    <row r="235" spans="1:24" x14ac:dyDescent="0.35">
      <c r="A235" s="3">
        <v>12.88</v>
      </c>
      <c r="B235" s="3">
        <v>56.83</v>
      </c>
      <c r="C235" s="3">
        <v>132.97</v>
      </c>
      <c r="D235" s="3">
        <v>19.41</v>
      </c>
      <c r="E235" s="3">
        <v>38.93</v>
      </c>
      <c r="F235" s="3">
        <v>110.799103</v>
      </c>
      <c r="G235" s="3">
        <v>106.18218</v>
      </c>
      <c r="H235" s="3">
        <v>106.277524</v>
      </c>
      <c r="I235" s="17">
        <f t="shared" si="56"/>
        <v>-3.0850263355906574E-2</v>
      </c>
      <c r="J235" s="17">
        <f t="shared" si="57"/>
        <v>9.2345942106197131E-3</v>
      </c>
      <c r="K235" s="17">
        <f t="shared" si="58"/>
        <v>-1.4087639949581119E-2</v>
      </c>
      <c r="L235" s="17">
        <f t="shared" si="59"/>
        <v>-3.0816640986131858E-3</v>
      </c>
      <c r="M235" s="17">
        <f t="shared" si="60"/>
        <v>7.765984985762287E-3</v>
      </c>
      <c r="N235" s="17">
        <f t="shared" si="61"/>
        <v>2.35326951421441E-3</v>
      </c>
      <c r="O235" s="17">
        <f t="shared" si="62"/>
        <v>2.8008906139707673E-3</v>
      </c>
      <c r="P235" s="17">
        <f t="shared" si="63"/>
        <v>3.3777741792462724E-3</v>
      </c>
      <c r="Q235" s="22">
        <f t="shared" si="64"/>
        <v>-3.1244737226291307E-2</v>
      </c>
      <c r="R235" s="22">
        <f t="shared" si="65"/>
        <v>8.803869496542549E-3</v>
      </c>
      <c r="S235" s="22">
        <f t="shared" si="66"/>
        <v>-1.4499599336418567E-2</v>
      </c>
      <c r="T235" s="22">
        <f t="shared" si="67"/>
        <v>-3.2131156078461041E-3</v>
      </c>
      <c r="U235" s="22">
        <f t="shared" si="68"/>
        <v>7.0727570388085248E-3</v>
      </c>
      <c r="V235" s="22">
        <f t="shared" si="69"/>
        <v>2.5878733237175901E-3</v>
      </c>
      <c r="W235" s="22">
        <f t="shared" si="70"/>
        <v>3.0551391680614702E-3</v>
      </c>
      <c r="X235" s="22">
        <f t="shared" si="71"/>
        <v>3.6937185638526112E-3</v>
      </c>
    </row>
    <row r="236" spans="1:24" x14ac:dyDescent="0.35">
      <c r="A236" s="3">
        <v>12.88</v>
      </c>
      <c r="B236" s="3">
        <v>56.21</v>
      </c>
      <c r="C236" s="3">
        <v>130.13999999999999</v>
      </c>
      <c r="D236" s="3">
        <v>19.47</v>
      </c>
      <c r="E236" s="3">
        <v>38.950000000000003</v>
      </c>
      <c r="F236" s="3">
        <v>111.35865699999999</v>
      </c>
      <c r="G236" s="3">
        <v>106.75650899999999</v>
      </c>
      <c r="H236" s="3">
        <v>107.14587899999999</v>
      </c>
      <c r="I236" s="17">
        <f t="shared" si="56"/>
        <v>0</v>
      </c>
      <c r="J236" s="17">
        <f t="shared" si="57"/>
        <v>-1.0909730775998548E-2</v>
      </c>
      <c r="K236" s="17">
        <f t="shared" si="58"/>
        <v>-2.1282996164548488E-2</v>
      </c>
      <c r="L236" s="17">
        <f t="shared" si="59"/>
        <v>3.0911901081915878E-3</v>
      </c>
      <c r="M236" s="17">
        <f t="shared" si="60"/>
        <v>5.1374261494999043E-4</v>
      </c>
      <c r="N236" s="17">
        <f t="shared" si="61"/>
        <v>5.0501672382671859E-3</v>
      </c>
      <c r="O236" s="17">
        <f t="shared" si="62"/>
        <v>5.4089019456936335E-3</v>
      </c>
      <c r="P236" s="17">
        <f t="shared" si="63"/>
        <v>8.1706363426381108E-3</v>
      </c>
      <c r="Q236" s="22">
        <f t="shared" si="64"/>
        <v>-3.9447387038473331E-4</v>
      </c>
      <c r="R236" s="22">
        <f t="shared" si="65"/>
        <v>-1.1340455490075712E-2</v>
      </c>
      <c r="S236" s="22">
        <f t="shared" si="66"/>
        <v>-2.1694955551385935E-2</v>
      </c>
      <c r="T236" s="22">
        <f t="shared" si="67"/>
        <v>2.9597385989586695E-3</v>
      </c>
      <c r="U236" s="22">
        <f t="shared" si="68"/>
        <v>-1.7948533200377208E-4</v>
      </c>
      <c r="V236" s="22">
        <f t="shared" si="69"/>
        <v>5.2847710477703664E-3</v>
      </c>
      <c r="W236" s="22">
        <f t="shared" si="70"/>
        <v>5.6631504997843368E-3</v>
      </c>
      <c r="X236" s="22">
        <f t="shared" si="71"/>
        <v>8.4865807272444492E-3</v>
      </c>
    </row>
    <row r="237" spans="1:24" x14ac:dyDescent="0.35">
      <c r="A237" s="3">
        <v>13</v>
      </c>
      <c r="B237" s="3">
        <v>57.59</v>
      </c>
      <c r="C237" s="3">
        <v>130.91999999999999</v>
      </c>
      <c r="D237" s="3">
        <v>19.559999999999999</v>
      </c>
      <c r="E237" s="3">
        <v>39.299999999999997</v>
      </c>
      <c r="F237" s="3">
        <v>107.083591</v>
      </c>
      <c r="G237" s="3">
        <v>102.85980000000001</v>
      </c>
      <c r="H237" s="3">
        <v>102.74023200000001</v>
      </c>
      <c r="I237" s="17">
        <f t="shared" si="56"/>
        <v>9.3167701863353432E-3</v>
      </c>
      <c r="J237" s="17">
        <f t="shared" si="57"/>
        <v>2.4550791674079392E-2</v>
      </c>
      <c r="K237" s="17">
        <f t="shared" si="58"/>
        <v>5.9935454126325586E-3</v>
      </c>
      <c r="L237" s="17">
        <f t="shared" si="59"/>
        <v>4.6224961479198693E-3</v>
      </c>
      <c r="M237" s="17">
        <f t="shared" si="60"/>
        <v>8.9858793324773881E-3</v>
      </c>
      <c r="N237" s="17">
        <f t="shared" si="61"/>
        <v>-3.8390064276727004E-2</v>
      </c>
      <c r="O237" s="17">
        <f t="shared" si="62"/>
        <v>-3.6500903190830145E-2</v>
      </c>
      <c r="P237" s="17">
        <f t="shared" si="63"/>
        <v>-4.111821230194012E-2</v>
      </c>
      <c r="Q237" s="22">
        <f t="shared" si="64"/>
        <v>8.9222963159506091E-3</v>
      </c>
      <c r="R237" s="22">
        <f t="shared" si="65"/>
        <v>2.412006696000223E-2</v>
      </c>
      <c r="S237" s="22">
        <f t="shared" si="66"/>
        <v>5.5815860257951121E-3</v>
      </c>
      <c r="T237" s="22">
        <f t="shared" si="67"/>
        <v>4.491044638686951E-3</v>
      </c>
      <c r="U237" s="22">
        <f t="shared" si="68"/>
        <v>8.292651385523625E-3</v>
      </c>
      <c r="V237" s="22">
        <f t="shared" si="69"/>
        <v>-3.8155460467223824E-2</v>
      </c>
      <c r="W237" s="22">
        <f t="shared" si="70"/>
        <v>-3.6246654636739442E-2</v>
      </c>
      <c r="X237" s="22">
        <f t="shared" si="71"/>
        <v>-4.0802267917333782E-2</v>
      </c>
    </row>
    <row r="238" spans="1:24" x14ac:dyDescent="0.35">
      <c r="A238" s="3">
        <v>12.93</v>
      </c>
      <c r="B238" s="3">
        <v>54.79</v>
      </c>
      <c r="C238" s="3">
        <v>130.47</v>
      </c>
      <c r="D238" s="3">
        <v>19.829999999999998</v>
      </c>
      <c r="E238" s="3">
        <v>38.630000000000003</v>
      </c>
      <c r="F238" s="3">
        <v>107.26064599999999</v>
      </c>
      <c r="G238" s="3">
        <v>102.991355</v>
      </c>
      <c r="H238" s="3">
        <v>102.896434</v>
      </c>
      <c r="I238" s="17">
        <f t="shared" si="56"/>
        <v>-5.3846153846154061E-3</v>
      </c>
      <c r="J238" s="17">
        <f t="shared" si="57"/>
        <v>-4.8619552005556593E-2</v>
      </c>
      <c r="K238" s="17">
        <f t="shared" si="58"/>
        <v>-3.437213565536119E-3</v>
      </c>
      <c r="L238" s="17">
        <f t="shared" si="59"/>
        <v>1.3803680981595071E-2</v>
      </c>
      <c r="M238" s="17">
        <f t="shared" si="60"/>
        <v>-1.7048346055979508E-2</v>
      </c>
      <c r="N238" s="17">
        <f t="shared" si="61"/>
        <v>1.6534279280940041E-3</v>
      </c>
      <c r="O238" s="17">
        <f t="shared" si="62"/>
        <v>1.2789739042851692E-3</v>
      </c>
      <c r="P238" s="17">
        <f t="shared" si="63"/>
        <v>1.5203586458710087E-3</v>
      </c>
      <c r="Q238" s="22">
        <f t="shared" si="64"/>
        <v>-5.7790892550001393E-3</v>
      </c>
      <c r="R238" s="22">
        <f t="shared" si="65"/>
        <v>-4.9050276719633759E-2</v>
      </c>
      <c r="S238" s="22">
        <f t="shared" si="66"/>
        <v>-3.849172952373566E-3</v>
      </c>
      <c r="T238" s="22">
        <f t="shared" si="67"/>
        <v>1.3672229472362154E-2</v>
      </c>
      <c r="U238" s="22">
        <f t="shared" si="68"/>
        <v>-1.7741574002933271E-2</v>
      </c>
      <c r="V238" s="22">
        <f t="shared" si="69"/>
        <v>1.8880317375971844E-3</v>
      </c>
      <c r="W238" s="22">
        <f t="shared" si="70"/>
        <v>1.5332224583758723E-3</v>
      </c>
      <c r="X238" s="22">
        <f t="shared" si="71"/>
        <v>1.8363030304773475E-3</v>
      </c>
    </row>
    <row r="239" spans="1:24" x14ac:dyDescent="0.35">
      <c r="A239" s="3">
        <v>12.64</v>
      </c>
      <c r="B239" s="3">
        <v>56.28</v>
      </c>
      <c r="C239" s="3">
        <v>135.41999999999999</v>
      </c>
      <c r="D239" s="3">
        <v>20.079999999999998</v>
      </c>
      <c r="E239" s="3">
        <v>37.69</v>
      </c>
      <c r="F239" s="3">
        <v>107.408367</v>
      </c>
      <c r="G239" s="3">
        <v>103.219686</v>
      </c>
      <c r="H239" s="3">
        <v>103.16227499999999</v>
      </c>
      <c r="I239" s="17">
        <f t="shared" si="56"/>
        <v>-2.2428460943542085E-2</v>
      </c>
      <c r="J239" s="17">
        <f t="shared" si="57"/>
        <v>2.719474356634426E-2</v>
      </c>
      <c r="K239" s="17">
        <f t="shared" si="58"/>
        <v>3.7939756265808144E-2</v>
      </c>
      <c r="L239" s="17">
        <f t="shared" si="59"/>
        <v>1.2607160867372669E-2</v>
      </c>
      <c r="M239" s="17">
        <f t="shared" si="60"/>
        <v>-2.433341962205552E-2</v>
      </c>
      <c r="N239" s="17">
        <f t="shared" si="61"/>
        <v>1.3772152742768697E-3</v>
      </c>
      <c r="O239" s="17">
        <f t="shared" si="62"/>
        <v>2.2169919018930977E-3</v>
      </c>
      <c r="P239" s="17">
        <f t="shared" si="63"/>
        <v>2.5835783580215681E-3</v>
      </c>
      <c r="Q239" s="22">
        <f t="shared" si="64"/>
        <v>-2.2822934813926818E-2</v>
      </c>
      <c r="R239" s="22">
        <f t="shared" si="65"/>
        <v>2.6764018852267098E-2</v>
      </c>
      <c r="S239" s="22">
        <f t="shared" si="66"/>
        <v>3.7527796878970697E-2</v>
      </c>
      <c r="T239" s="22">
        <f t="shared" si="67"/>
        <v>1.2475709358139752E-2</v>
      </c>
      <c r="U239" s="22">
        <f t="shared" si="68"/>
        <v>-2.5026647569009283E-2</v>
      </c>
      <c r="V239" s="22">
        <f t="shared" si="69"/>
        <v>1.61181908378005E-3</v>
      </c>
      <c r="W239" s="22">
        <f t="shared" si="70"/>
        <v>2.4712404559838006E-3</v>
      </c>
      <c r="X239" s="22">
        <f t="shared" si="71"/>
        <v>2.8995227426279069E-3</v>
      </c>
    </row>
    <row r="240" spans="1:24" x14ac:dyDescent="0.35">
      <c r="A240" s="3">
        <v>12.66</v>
      </c>
      <c r="B240" s="3">
        <v>58.4</v>
      </c>
      <c r="C240" s="3">
        <v>132.49</v>
      </c>
      <c r="D240" s="3">
        <v>20.079999999999998</v>
      </c>
      <c r="E240" s="3">
        <v>36.590000000000003</v>
      </c>
      <c r="F240" s="3">
        <v>107.489594</v>
      </c>
      <c r="G240" s="3">
        <v>103.379345</v>
      </c>
      <c r="H240" s="3">
        <v>103.267979</v>
      </c>
      <c r="I240" s="17">
        <f t="shared" si="56"/>
        <v>1.5822784810126244E-3</v>
      </c>
      <c r="J240" s="17">
        <f t="shared" si="57"/>
        <v>3.7668798862828666E-2</v>
      </c>
      <c r="K240" s="17">
        <f t="shared" si="58"/>
        <v>-2.1636390488849348E-2</v>
      </c>
      <c r="L240" s="17">
        <f t="shared" si="59"/>
        <v>0</v>
      </c>
      <c r="M240" s="17">
        <f t="shared" si="60"/>
        <v>-2.9185460334306034E-2</v>
      </c>
      <c r="N240" s="17">
        <f t="shared" si="61"/>
        <v>7.5624462291655904E-4</v>
      </c>
      <c r="O240" s="17">
        <f t="shared" si="62"/>
        <v>1.546788274477069E-3</v>
      </c>
      <c r="P240" s="17">
        <f t="shared" si="63"/>
        <v>1.0246381247408795E-3</v>
      </c>
      <c r="Q240" s="22">
        <f t="shared" si="64"/>
        <v>1.1878046106278911E-3</v>
      </c>
      <c r="R240" s="22">
        <f t="shared" si="65"/>
        <v>3.72380741487515E-2</v>
      </c>
      <c r="S240" s="22">
        <f t="shared" si="66"/>
        <v>-2.2048349875686796E-2</v>
      </c>
      <c r="T240" s="22">
        <f t="shared" si="67"/>
        <v>-1.3145150923291827E-4</v>
      </c>
      <c r="U240" s="22">
        <f t="shared" si="68"/>
        <v>-2.9878688281259797E-2</v>
      </c>
      <c r="V240" s="22">
        <f t="shared" si="69"/>
        <v>9.9084843241973924E-4</v>
      </c>
      <c r="W240" s="22">
        <f t="shared" si="70"/>
        <v>1.8010368285677719E-3</v>
      </c>
      <c r="X240" s="22">
        <f t="shared" si="71"/>
        <v>1.3405825093472184E-3</v>
      </c>
    </row>
    <row r="241" spans="1:24" x14ac:dyDescent="0.35">
      <c r="A241" s="3">
        <v>12.66</v>
      </c>
      <c r="B241" s="3">
        <v>56.83</v>
      </c>
      <c r="C241" s="3">
        <v>126.63</v>
      </c>
      <c r="D241" s="3">
        <v>19.57</v>
      </c>
      <c r="E241" s="3">
        <v>36.06</v>
      </c>
      <c r="F241" s="3">
        <v>107.57083299999999</v>
      </c>
      <c r="G241" s="3">
        <v>103.46948999999999</v>
      </c>
      <c r="H241" s="3">
        <v>103.373761</v>
      </c>
      <c r="I241" s="17">
        <f t="shared" si="56"/>
        <v>0</v>
      </c>
      <c r="J241" s="17">
        <f t="shared" si="57"/>
        <v>-2.688356164383562E-2</v>
      </c>
      <c r="K241" s="17">
        <f t="shared" si="58"/>
        <v>-4.4229753188920015E-2</v>
      </c>
      <c r="L241" s="17">
        <f t="shared" si="59"/>
        <v>-2.5398406374501897E-2</v>
      </c>
      <c r="M241" s="17">
        <f t="shared" si="60"/>
        <v>-1.4484831921289999E-2</v>
      </c>
      <c r="N241" s="17">
        <f t="shared" si="61"/>
        <v>7.5578478787441058E-4</v>
      </c>
      <c r="O241" s="17">
        <f t="shared" si="62"/>
        <v>8.7198269634995837E-4</v>
      </c>
      <c r="P241" s="17">
        <f t="shared" si="63"/>
        <v>1.0243446325216158E-3</v>
      </c>
      <c r="Q241" s="22">
        <f t="shared" si="64"/>
        <v>-3.9447387038473331E-4</v>
      </c>
      <c r="R241" s="22">
        <f t="shared" si="65"/>
        <v>-2.7314286357912783E-2</v>
      </c>
      <c r="S241" s="22">
        <f t="shared" si="66"/>
        <v>-4.4641712575757463E-2</v>
      </c>
      <c r="T241" s="22">
        <f t="shared" si="67"/>
        <v>-2.5529857883734814E-2</v>
      </c>
      <c r="U241" s="22">
        <f t="shared" si="68"/>
        <v>-1.5178059868243762E-2</v>
      </c>
      <c r="V241" s="22">
        <f t="shared" si="69"/>
        <v>9.9038859737759079E-4</v>
      </c>
      <c r="W241" s="22">
        <f t="shared" si="70"/>
        <v>1.1262312504406614E-3</v>
      </c>
      <c r="X241" s="22">
        <f t="shared" si="71"/>
        <v>1.3402890171279546E-3</v>
      </c>
    </row>
    <row r="242" spans="1:24" x14ac:dyDescent="0.35">
      <c r="A242" s="3">
        <v>13.08</v>
      </c>
      <c r="B242" s="3">
        <v>58.78</v>
      </c>
      <c r="C242" s="3">
        <v>126.12</v>
      </c>
      <c r="D242" s="3">
        <v>20.149999999999999</v>
      </c>
      <c r="E242" s="3">
        <v>36.78</v>
      </c>
      <c r="F242" s="3">
        <v>107.71215100000001</v>
      </c>
      <c r="G242" s="3">
        <v>103.073121</v>
      </c>
      <c r="H242" s="3">
        <v>102.970395</v>
      </c>
      <c r="I242" s="17">
        <f t="shared" si="56"/>
        <v>3.3175355450236962E-2</v>
      </c>
      <c r="J242" s="17">
        <f t="shared" si="57"/>
        <v>3.4312862924511751E-2</v>
      </c>
      <c r="K242" s="17">
        <f t="shared" si="58"/>
        <v>-4.0274816394218664E-3</v>
      </c>
      <c r="L242" s="17">
        <f t="shared" si="59"/>
        <v>2.9637199795605432E-2</v>
      </c>
      <c r="M242" s="17">
        <f t="shared" si="60"/>
        <v>1.9966722129783662E-2</v>
      </c>
      <c r="N242" s="17">
        <f t="shared" si="61"/>
        <v>1.3137204208506269E-3</v>
      </c>
      <c r="O242" s="17">
        <f t="shared" si="62"/>
        <v>-3.8307814216537927E-3</v>
      </c>
      <c r="P242" s="17">
        <f t="shared" si="63"/>
        <v>-3.9020153286287557E-3</v>
      </c>
      <c r="Q242" s="22">
        <f t="shared" si="64"/>
        <v>3.2780881579852227E-2</v>
      </c>
      <c r="R242" s="22">
        <f t="shared" si="65"/>
        <v>3.3882138210434586E-2</v>
      </c>
      <c r="S242" s="22">
        <f t="shared" si="66"/>
        <v>-4.439441026259313E-3</v>
      </c>
      <c r="T242" s="22">
        <f t="shared" si="67"/>
        <v>2.9505748286372514E-2</v>
      </c>
      <c r="U242" s="22">
        <f t="shared" si="68"/>
        <v>1.9273494182829899E-2</v>
      </c>
      <c r="V242" s="22">
        <f t="shared" si="69"/>
        <v>1.5483242303538072E-3</v>
      </c>
      <c r="W242" s="22">
        <f t="shared" si="70"/>
        <v>-3.5765328675630898E-3</v>
      </c>
      <c r="X242" s="22">
        <f t="shared" si="71"/>
        <v>-3.5860709440224169E-3</v>
      </c>
    </row>
    <row r="243" spans="1:24" x14ac:dyDescent="0.35">
      <c r="A243" s="3">
        <v>13.11</v>
      </c>
      <c r="B243" s="3">
        <v>59.48</v>
      </c>
      <c r="C243" s="3">
        <v>124.52</v>
      </c>
      <c r="D243" s="3">
        <v>20.399999999999999</v>
      </c>
      <c r="E243" s="3">
        <v>35.94</v>
      </c>
      <c r="F243" s="3">
        <v>107.493409</v>
      </c>
      <c r="G243" s="3">
        <v>103.163016</v>
      </c>
      <c r="H243" s="3">
        <v>102.822237</v>
      </c>
      <c r="I243" s="17">
        <f t="shared" si="56"/>
        <v>2.2935779816513273E-3</v>
      </c>
      <c r="J243" s="17">
        <f t="shared" si="57"/>
        <v>1.1908812521265664E-2</v>
      </c>
      <c r="K243" s="17">
        <f t="shared" si="58"/>
        <v>-1.2686330478909044E-2</v>
      </c>
      <c r="L243" s="17">
        <f t="shared" si="59"/>
        <v>1.2406947890818859E-2</v>
      </c>
      <c r="M243" s="17">
        <f t="shared" si="60"/>
        <v>-2.2838499184339407E-2</v>
      </c>
      <c r="N243" s="17">
        <f t="shared" si="61"/>
        <v>-2.0308015202482213E-3</v>
      </c>
      <c r="O243" s="17">
        <f t="shared" si="62"/>
        <v>8.7214784153085366E-4</v>
      </c>
      <c r="P243" s="17">
        <f t="shared" si="63"/>
        <v>-1.4388407464106078E-3</v>
      </c>
      <c r="Q243" s="22">
        <f t="shared" si="64"/>
        <v>1.899104111266594E-3</v>
      </c>
      <c r="R243" s="22">
        <f t="shared" si="65"/>
        <v>1.14780878071885E-2</v>
      </c>
      <c r="S243" s="22">
        <f t="shared" si="66"/>
        <v>-1.3098289865746491E-2</v>
      </c>
      <c r="T243" s="22">
        <f t="shared" si="67"/>
        <v>1.2275496381585942E-2</v>
      </c>
      <c r="U243" s="22">
        <f t="shared" si="68"/>
        <v>-2.353172713129317E-2</v>
      </c>
      <c r="V243" s="22">
        <f t="shared" si="69"/>
        <v>-1.796197710745041E-3</v>
      </c>
      <c r="W243" s="22">
        <f t="shared" si="70"/>
        <v>1.1263963956215568E-3</v>
      </c>
      <c r="X243" s="22">
        <f t="shared" si="71"/>
        <v>-1.122896361804269E-3</v>
      </c>
    </row>
    <row r="244" spans="1:24" x14ac:dyDescent="0.35">
      <c r="A244" s="3">
        <v>13.19</v>
      </c>
      <c r="B244" s="3">
        <v>58.25</v>
      </c>
      <c r="C244" s="3">
        <v>128.54</v>
      </c>
      <c r="D244" s="3">
        <v>20.32</v>
      </c>
      <c r="E244" s="3">
        <v>37.130000000000003</v>
      </c>
      <c r="F244" s="3">
        <v>107.55723399999999</v>
      </c>
      <c r="G244" s="3">
        <v>103.224745</v>
      </c>
      <c r="H244" s="3">
        <v>102.884753</v>
      </c>
      <c r="I244" s="17">
        <f t="shared" si="56"/>
        <v>6.1022120518688079E-3</v>
      </c>
      <c r="J244" s="17">
        <f t="shared" si="57"/>
        <v>-2.0679219905850654E-2</v>
      </c>
      <c r="K244" s="17">
        <f t="shared" si="58"/>
        <v>3.2283970446514584E-2</v>
      </c>
      <c r="L244" s="17">
        <f t="shared" si="59"/>
        <v>-3.9215686274508971E-3</v>
      </c>
      <c r="M244" s="17">
        <f t="shared" si="60"/>
        <v>3.3110740122426402E-2</v>
      </c>
      <c r="N244" s="17">
        <f t="shared" si="61"/>
        <v>5.9375733446126217E-4</v>
      </c>
      <c r="O244" s="17">
        <f t="shared" si="62"/>
        <v>5.9836366164401104E-4</v>
      </c>
      <c r="P244" s="17">
        <f t="shared" si="63"/>
        <v>6.0800077710818751E-4</v>
      </c>
      <c r="Q244" s="22">
        <f t="shared" si="64"/>
        <v>5.7077381814840747E-3</v>
      </c>
      <c r="R244" s="22">
        <f t="shared" si="65"/>
        <v>-2.1109944619927816E-2</v>
      </c>
      <c r="S244" s="22">
        <f t="shared" si="66"/>
        <v>3.1872011059677137E-2</v>
      </c>
      <c r="T244" s="22">
        <f t="shared" si="67"/>
        <v>-4.0530201366838154E-3</v>
      </c>
      <c r="U244" s="22">
        <f t="shared" si="68"/>
        <v>3.2417512175472639E-2</v>
      </c>
      <c r="V244" s="22">
        <f t="shared" si="69"/>
        <v>8.2836114396444248E-4</v>
      </c>
      <c r="W244" s="22">
        <f t="shared" si="70"/>
        <v>8.5261221573471404E-4</v>
      </c>
      <c r="X244" s="22">
        <f t="shared" si="71"/>
        <v>9.2394516171452634E-4</v>
      </c>
    </row>
    <row r="245" spans="1:24" x14ac:dyDescent="0.35">
      <c r="A245" s="3">
        <v>13.59</v>
      </c>
      <c r="B245" s="3">
        <v>61.47</v>
      </c>
      <c r="C245" s="3">
        <v>129.9</v>
      </c>
      <c r="D245" s="3">
        <v>21.04</v>
      </c>
      <c r="E245" s="3">
        <v>37.65</v>
      </c>
      <c r="F245" s="3">
        <v>107.279877</v>
      </c>
      <c r="G245" s="3">
        <v>103.17607099999999</v>
      </c>
      <c r="H245" s="3">
        <v>103.159068</v>
      </c>
      <c r="I245" s="17">
        <f t="shared" si="56"/>
        <v>3.032600454890071E-2</v>
      </c>
      <c r="J245" s="17">
        <f t="shared" si="57"/>
        <v>5.5278969957081522E-2</v>
      </c>
      <c r="K245" s="17">
        <f t="shared" si="58"/>
        <v>1.0580364088999639E-2</v>
      </c>
      <c r="L245" s="17">
        <f t="shared" si="59"/>
        <v>3.5433070866141676E-2</v>
      </c>
      <c r="M245" s="17">
        <f t="shared" si="60"/>
        <v>1.4004847831941718E-2</v>
      </c>
      <c r="N245" s="17">
        <f t="shared" si="61"/>
        <v>-2.5786921965657373E-3</v>
      </c>
      <c r="O245" s="17">
        <f t="shared" si="62"/>
        <v>-4.7153422369806226E-4</v>
      </c>
      <c r="P245" s="17">
        <f t="shared" si="63"/>
        <v>2.6662356860593464E-3</v>
      </c>
      <c r="Q245" s="22">
        <f t="shared" si="64"/>
        <v>2.9931530678515977E-2</v>
      </c>
      <c r="R245" s="22">
        <f t="shared" si="65"/>
        <v>5.4848245243004357E-2</v>
      </c>
      <c r="S245" s="22">
        <f t="shared" si="66"/>
        <v>1.0168404702162192E-2</v>
      </c>
      <c r="T245" s="22">
        <f t="shared" si="67"/>
        <v>3.5301619356908759E-2</v>
      </c>
      <c r="U245" s="22">
        <f t="shared" si="68"/>
        <v>1.3311619884987955E-2</v>
      </c>
      <c r="V245" s="22">
        <f t="shared" si="69"/>
        <v>-2.3440883870625572E-3</v>
      </c>
      <c r="W245" s="22">
        <f t="shared" si="70"/>
        <v>-2.1728566960735926E-4</v>
      </c>
      <c r="X245" s="22">
        <f t="shared" si="71"/>
        <v>2.9821800706656852E-3</v>
      </c>
    </row>
    <row r="246" spans="1:24" x14ac:dyDescent="0.35">
      <c r="A246" s="3">
        <v>13.14</v>
      </c>
      <c r="B246" s="3">
        <v>62.88</v>
      </c>
      <c r="C246" s="3">
        <v>127.91</v>
      </c>
      <c r="D246" s="3">
        <v>21.12</v>
      </c>
      <c r="E246" s="3">
        <v>36.75</v>
      </c>
      <c r="F246" s="3">
        <v>107.599805</v>
      </c>
      <c r="G246" s="3">
        <v>103.47401000000001</v>
      </c>
      <c r="H246" s="3">
        <v>103.689297</v>
      </c>
      <c r="I246" s="17">
        <f t="shared" si="56"/>
        <v>-3.3112582781456901E-2</v>
      </c>
      <c r="J246" s="17">
        <f t="shared" si="57"/>
        <v>2.2938018545632075E-2</v>
      </c>
      <c r="K246" s="17">
        <f t="shared" si="58"/>
        <v>-1.5319476520400378E-2</v>
      </c>
      <c r="L246" s="17">
        <f t="shared" si="59"/>
        <v>3.8022813688213808E-3</v>
      </c>
      <c r="M246" s="17">
        <f t="shared" si="60"/>
        <v>-2.3904382470119487E-2</v>
      </c>
      <c r="N246" s="17">
        <f t="shared" si="61"/>
        <v>2.9821808986600948E-3</v>
      </c>
      <c r="O246" s="17">
        <f t="shared" si="62"/>
        <v>2.8876753796916121E-3</v>
      </c>
      <c r="P246" s="17">
        <f t="shared" si="63"/>
        <v>5.1399165413164782E-3</v>
      </c>
      <c r="Q246" s="22">
        <f t="shared" si="64"/>
        <v>-3.3507056651841637E-2</v>
      </c>
      <c r="R246" s="22">
        <f t="shared" si="65"/>
        <v>2.2507293831554913E-2</v>
      </c>
      <c r="S246" s="22">
        <f t="shared" si="66"/>
        <v>-1.5731435907237825E-2</v>
      </c>
      <c r="T246" s="22">
        <f t="shared" si="67"/>
        <v>3.6708298595884625E-3</v>
      </c>
      <c r="U246" s="22">
        <f t="shared" si="68"/>
        <v>-2.459761041707325E-2</v>
      </c>
      <c r="V246" s="22">
        <f t="shared" si="69"/>
        <v>3.2167847081632749E-3</v>
      </c>
      <c r="W246" s="22">
        <f t="shared" si="70"/>
        <v>3.141923933782315E-3</v>
      </c>
      <c r="X246" s="22">
        <f t="shared" si="71"/>
        <v>5.4558609259228166E-3</v>
      </c>
    </row>
    <row r="247" spans="1:24" x14ac:dyDescent="0.35">
      <c r="A247" s="3">
        <v>13.87</v>
      </c>
      <c r="B247" s="3">
        <v>61.15</v>
      </c>
      <c r="C247" s="3">
        <v>128.99</v>
      </c>
      <c r="D247" s="3">
        <v>21.35</v>
      </c>
      <c r="E247" s="3">
        <v>36.75</v>
      </c>
      <c r="F247" s="3">
        <v>107.561318</v>
      </c>
      <c r="G247" s="3">
        <v>103.355801</v>
      </c>
      <c r="H247" s="3">
        <v>103.624931</v>
      </c>
      <c r="I247" s="17">
        <f t="shared" si="56"/>
        <v>5.5555555555555448E-2</v>
      </c>
      <c r="J247" s="17">
        <f t="shared" si="57"/>
        <v>-2.7512722646310495E-2</v>
      </c>
      <c r="K247" s="17">
        <f t="shared" si="58"/>
        <v>8.4434367914941171E-3</v>
      </c>
      <c r="L247" s="17">
        <f t="shared" si="59"/>
        <v>1.0890151515151535E-2</v>
      </c>
      <c r="M247" s="17">
        <f t="shared" si="60"/>
        <v>0</v>
      </c>
      <c r="N247" s="17">
        <f t="shared" si="61"/>
        <v>-3.5768652182969557E-4</v>
      </c>
      <c r="O247" s="17">
        <f t="shared" si="62"/>
        <v>-1.1424028120685314E-3</v>
      </c>
      <c r="P247" s="17">
        <f t="shared" si="63"/>
        <v>-6.2075837971967921E-4</v>
      </c>
      <c r="Q247" s="22">
        <f t="shared" si="64"/>
        <v>5.5161081685170713E-2</v>
      </c>
      <c r="R247" s="22">
        <f t="shared" si="65"/>
        <v>-2.7943447360387657E-2</v>
      </c>
      <c r="S247" s="22">
        <f t="shared" si="66"/>
        <v>8.0314774046566697E-3</v>
      </c>
      <c r="T247" s="22">
        <f t="shared" si="67"/>
        <v>1.0758700005918618E-2</v>
      </c>
      <c r="U247" s="22">
        <f t="shared" si="68"/>
        <v>-6.9322794695376251E-4</v>
      </c>
      <c r="V247" s="22">
        <f t="shared" si="69"/>
        <v>-1.2308271232651529E-4</v>
      </c>
      <c r="W247" s="22">
        <f t="shared" si="70"/>
        <v>-8.8815425797782838E-4</v>
      </c>
      <c r="X247" s="22">
        <f t="shared" si="71"/>
        <v>-3.0481399511334044E-4</v>
      </c>
    </row>
    <row r="248" spans="1:24" x14ac:dyDescent="0.35">
      <c r="A248" s="3">
        <v>13.82</v>
      </c>
      <c r="B248" s="3">
        <v>62.66</v>
      </c>
      <c r="C248" s="3">
        <v>129.62</v>
      </c>
      <c r="D248" s="3">
        <v>21.47</v>
      </c>
      <c r="E248" s="3">
        <v>36.99</v>
      </c>
      <c r="F248" s="3">
        <v>107.87200300000001</v>
      </c>
      <c r="G248" s="3">
        <v>102.755039</v>
      </c>
      <c r="H248" s="3">
        <v>103.56068500000001</v>
      </c>
      <c r="I248" s="17">
        <f t="shared" si="56"/>
        <v>-3.6049026676278975E-3</v>
      </c>
      <c r="J248" s="17">
        <f t="shared" si="57"/>
        <v>2.4693376941946003E-2</v>
      </c>
      <c r="K248" s="17">
        <f t="shared" si="58"/>
        <v>4.8840995426001656E-3</v>
      </c>
      <c r="L248" s="17">
        <f t="shared" si="59"/>
        <v>5.6206088992973033E-3</v>
      </c>
      <c r="M248" s="17">
        <f t="shared" si="60"/>
        <v>6.5306122448980132E-3</v>
      </c>
      <c r="N248" s="17">
        <f t="shared" si="61"/>
        <v>2.8884454539689309E-3</v>
      </c>
      <c r="O248" s="17">
        <f t="shared" si="62"/>
        <v>-5.8125619867239299E-3</v>
      </c>
      <c r="P248" s="17">
        <f t="shared" si="63"/>
        <v>-6.19985937553938E-4</v>
      </c>
      <c r="Q248" s="22">
        <f t="shared" si="64"/>
        <v>-3.9993765380126308E-3</v>
      </c>
      <c r="R248" s="22">
        <f t="shared" si="65"/>
        <v>2.4262652227868841E-2</v>
      </c>
      <c r="S248" s="22">
        <f t="shared" si="66"/>
        <v>4.472140155762719E-3</v>
      </c>
      <c r="T248" s="22">
        <f t="shared" si="67"/>
        <v>5.489157390064385E-3</v>
      </c>
      <c r="U248" s="22">
        <f t="shared" si="68"/>
        <v>5.837384297944251E-3</v>
      </c>
      <c r="V248" s="22">
        <f t="shared" si="69"/>
        <v>3.123049263472111E-3</v>
      </c>
      <c r="W248" s="22">
        <f t="shared" si="70"/>
        <v>-5.5583134326332266E-3</v>
      </c>
      <c r="X248" s="22">
        <f t="shared" si="71"/>
        <v>-3.0404155294759923E-4</v>
      </c>
    </row>
    <row r="249" spans="1:24" x14ac:dyDescent="0.35">
      <c r="A249" s="3">
        <v>13.96</v>
      </c>
      <c r="B249" s="3">
        <v>62.13</v>
      </c>
      <c r="C249" s="3">
        <v>130.13999999999999</v>
      </c>
      <c r="D249" s="3">
        <v>21.45</v>
      </c>
      <c r="E249" s="3">
        <v>38.06</v>
      </c>
      <c r="F249" s="3">
        <v>107.03921099999999</v>
      </c>
      <c r="G249" s="3">
        <v>102.405869</v>
      </c>
      <c r="H249" s="3">
        <v>102.192567</v>
      </c>
      <c r="I249" s="17">
        <f t="shared" si="56"/>
        <v>1.0130246020260534E-2</v>
      </c>
      <c r="J249" s="17">
        <f t="shared" si="57"/>
        <v>-8.4583466326203973E-3</v>
      </c>
      <c r="K249" s="17">
        <f t="shared" si="58"/>
        <v>4.0117265854033466E-3</v>
      </c>
      <c r="L249" s="17">
        <f t="shared" si="59"/>
        <v>-9.3153237074986375E-4</v>
      </c>
      <c r="M249" s="17">
        <f t="shared" si="60"/>
        <v>2.8926736955934042E-2</v>
      </c>
      <c r="N249" s="17">
        <f t="shared" si="61"/>
        <v>-7.7201866734597658E-3</v>
      </c>
      <c r="O249" s="17">
        <f t="shared" si="62"/>
        <v>-3.3980815286343367E-3</v>
      </c>
      <c r="P249" s="17">
        <f t="shared" si="63"/>
        <v>-1.321078554086437E-2</v>
      </c>
      <c r="Q249" s="22">
        <f t="shared" si="64"/>
        <v>9.7357721498757994E-3</v>
      </c>
      <c r="R249" s="22">
        <f t="shared" si="65"/>
        <v>-8.8890713466975614E-3</v>
      </c>
      <c r="S249" s="22">
        <f t="shared" si="66"/>
        <v>3.5997671985658996E-3</v>
      </c>
      <c r="T249" s="22">
        <f t="shared" si="67"/>
        <v>-1.0629838799827819E-3</v>
      </c>
      <c r="U249" s="22">
        <f t="shared" si="68"/>
        <v>2.8233509008980279E-2</v>
      </c>
      <c r="V249" s="22">
        <f t="shared" si="69"/>
        <v>-7.4855828639565853E-3</v>
      </c>
      <c r="W249" s="22">
        <f t="shared" si="70"/>
        <v>-3.1438329745436338E-3</v>
      </c>
      <c r="X249" s="22">
        <f t="shared" si="71"/>
        <v>-1.2894841156258031E-2</v>
      </c>
    </row>
    <row r="250" spans="1:24" x14ac:dyDescent="0.35">
      <c r="A250" s="3">
        <v>13.94</v>
      </c>
      <c r="B250" s="3">
        <v>62.81</v>
      </c>
      <c r="C250" s="3">
        <v>130.03</v>
      </c>
      <c r="D250" s="3">
        <v>21.53</v>
      </c>
      <c r="E250" s="3">
        <v>38.119999999999997</v>
      </c>
      <c r="F250" s="3">
        <v>107.060642</v>
      </c>
      <c r="G250" s="3">
        <v>102.426675</v>
      </c>
      <c r="H250" s="3">
        <v>102.213548</v>
      </c>
      <c r="I250" s="17">
        <f t="shared" si="56"/>
        <v>-1.4326647564470881E-3</v>
      </c>
      <c r="J250" s="17">
        <f t="shared" si="57"/>
        <v>1.0944793175599545E-2</v>
      </c>
      <c r="K250" s="17">
        <f t="shared" si="58"/>
        <v>-8.4524358383268193E-4</v>
      </c>
      <c r="L250" s="17">
        <f t="shared" si="59"/>
        <v>3.7296037296038159E-3</v>
      </c>
      <c r="M250" s="17">
        <f t="shared" si="60"/>
        <v>1.5764582238569408E-3</v>
      </c>
      <c r="N250" s="17">
        <f t="shared" si="61"/>
        <v>2.0021634875472749E-4</v>
      </c>
      <c r="O250" s="17">
        <f t="shared" si="62"/>
        <v>2.0317194906092179E-4</v>
      </c>
      <c r="P250" s="17">
        <f t="shared" si="63"/>
        <v>2.0530847414769544E-4</v>
      </c>
      <c r="Q250" s="22">
        <f t="shared" si="64"/>
        <v>-1.8271386268318213E-3</v>
      </c>
      <c r="R250" s="22">
        <f t="shared" si="65"/>
        <v>1.0514068461522381E-2</v>
      </c>
      <c r="S250" s="22">
        <f t="shared" si="66"/>
        <v>-1.2572029706701289E-3</v>
      </c>
      <c r="T250" s="22">
        <f t="shared" si="67"/>
        <v>3.5981522203708976E-3</v>
      </c>
      <c r="U250" s="22">
        <f t="shared" si="68"/>
        <v>8.8323027690317827E-4</v>
      </c>
      <c r="V250" s="22">
        <f t="shared" si="69"/>
        <v>4.348201582579078E-4</v>
      </c>
      <c r="W250" s="22">
        <f t="shared" si="70"/>
        <v>4.574205031516248E-4</v>
      </c>
      <c r="X250" s="22">
        <f t="shared" si="71"/>
        <v>5.2125285875403418E-4</v>
      </c>
    </row>
    <row r="251" spans="1:24" x14ac:dyDescent="0.35">
      <c r="A251" s="3">
        <v>14.04</v>
      </c>
      <c r="B251" s="3">
        <v>62.84</v>
      </c>
      <c r="C251" s="3">
        <v>132.29</v>
      </c>
      <c r="D251" s="3">
        <v>21.61</v>
      </c>
      <c r="E251" s="3">
        <v>38.17</v>
      </c>
      <c r="F251" s="3">
        <v>106.549116</v>
      </c>
      <c r="G251" s="3">
        <v>101.76692799999999</v>
      </c>
      <c r="H251" s="3">
        <v>101.570778</v>
      </c>
      <c r="I251" s="17">
        <f t="shared" si="56"/>
        <v>7.1736011477761584E-3</v>
      </c>
      <c r="J251" s="17">
        <f t="shared" si="57"/>
        <v>4.7763095048560954E-4</v>
      </c>
      <c r="K251" s="17">
        <f t="shared" si="58"/>
        <v>1.7380604475890109E-2</v>
      </c>
      <c r="L251" s="17">
        <f t="shared" si="59"/>
        <v>3.7157454714351274E-3</v>
      </c>
      <c r="M251" s="17">
        <f t="shared" si="60"/>
        <v>1.3116474291711506E-3</v>
      </c>
      <c r="N251" s="17">
        <f t="shared" si="61"/>
        <v>-4.7779089536937715E-3</v>
      </c>
      <c r="O251" s="17">
        <f t="shared" si="62"/>
        <v>-6.4411638862631251E-3</v>
      </c>
      <c r="P251" s="17">
        <f t="shared" si="63"/>
        <v>-6.2885010116271352E-3</v>
      </c>
      <c r="Q251" s="22">
        <f t="shared" si="64"/>
        <v>6.7791272773914252E-3</v>
      </c>
      <c r="R251" s="22">
        <f t="shared" si="65"/>
        <v>4.690623640844603E-5</v>
      </c>
      <c r="S251" s="22">
        <f t="shared" si="66"/>
        <v>1.6968645089052662E-2</v>
      </c>
      <c r="T251" s="22">
        <f t="shared" si="67"/>
        <v>3.5842939622022091E-3</v>
      </c>
      <c r="U251" s="22">
        <f t="shared" si="68"/>
        <v>6.1841948221738813E-4</v>
      </c>
      <c r="V251" s="22">
        <f t="shared" si="69"/>
        <v>-4.543305144190591E-3</v>
      </c>
      <c r="W251" s="22">
        <f t="shared" si="70"/>
        <v>-6.1869153321724218E-3</v>
      </c>
      <c r="X251" s="22">
        <f t="shared" si="71"/>
        <v>-5.9725566270207968E-3</v>
      </c>
    </row>
    <row r="252" spans="1:24" x14ac:dyDescent="0.35">
      <c r="A252" s="3">
        <v>14.02</v>
      </c>
      <c r="B252" s="3">
        <v>62.27</v>
      </c>
      <c r="C252" s="3">
        <v>133.34</v>
      </c>
      <c r="D252" s="3">
        <v>21.72</v>
      </c>
      <c r="E252" s="3">
        <v>38.020000000000003</v>
      </c>
      <c r="F252" s="3">
        <v>106.925539</v>
      </c>
      <c r="G252" s="3">
        <v>102.059343</v>
      </c>
      <c r="H252" s="3">
        <v>101.757217</v>
      </c>
      <c r="I252" s="17">
        <f t="shared" si="56"/>
        <v>-1.4245014245013942E-3</v>
      </c>
      <c r="J252" s="17">
        <f t="shared" si="57"/>
        <v>-9.070655633354555E-3</v>
      </c>
      <c r="K252" s="17">
        <f t="shared" si="58"/>
        <v>7.937107869075602E-3</v>
      </c>
      <c r="L252" s="17">
        <f t="shared" si="59"/>
        <v>5.0902360018509688E-3</v>
      </c>
      <c r="M252" s="17">
        <f t="shared" si="60"/>
        <v>-3.9297877914592234E-3</v>
      </c>
      <c r="N252" s="17">
        <f t="shared" si="61"/>
        <v>3.5328589680650438E-3</v>
      </c>
      <c r="O252" s="17">
        <f t="shared" si="62"/>
        <v>2.873379453883146E-3</v>
      </c>
      <c r="P252" s="17">
        <f t="shared" si="63"/>
        <v>1.8355574671289109E-3</v>
      </c>
      <c r="Q252" s="22">
        <f t="shared" si="64"/>
        <v>-1.8189752948861275E-3</v>
      </c>
      <c r="R252" s="22">
        <f t="shared" si="65"/>
        <v>-9.5013803474317191E-3</v>
      </c>
      <c r="S252" s="22">
        <f t="shared" si="66"/>
        <v>7.5251484822381554E-3</v>
      </c>
      <c r="T252" s="22">
        <f t="shared" si="67"/>
        <v>4.9587844926180505E-3</v>
      </c>
      <c r="U252" s="22">
        <f t="shared" si="68"/>
        <v>-4.6230157384129856E-3</v>
      </c>
      <c r="V252" s="22">
        <f t="shared" si="69"/>
        <v>3.7674627775682239E-3</v>
      </c>
      <c r="W252" s="22">
        <f t="shared" si="70"/>
        <v>3.1276280079738489E-3</v>
      </c>
      <c r="X252" s="22">
        <f t="shared" si="71"/>
        <v>2.1515018517352497E-3</v>
      </c>
    </row>
    <row r="253" spans="1:24" x14ac:dyDescent="0.35">
      <c r="A253" s="3">
        <v>13.71</v>
      </c>
      <c r="B253" s="3">
        <v>62.13</v>
      </c>
      <c r="C253" s="3">
        <v>132.81</v>
      </c>
      <c r="D253" s="3">
        <v>21.65</v>
      </c>
      <c r="E253" s="3">
        <v>38.06</v>
      </c>
      <c r="F253" s="3">
        <v>106.887807</v>
      </c>
      <c r="G253" s="3">
        <v>102.0123</v>
      </c>
      <c r="H253" s="3">
        <v>101.778271</v>
      </c>
      <c r="I253" s="17">
        <f t="shared" si="56"/>
        <v>-2.2111269614835859E-2</v>
      </c>
      <c r="J253" s="17">
        <f t="shared" si="57"/>
        <v>-2.2482736470210464E-3</v>
      </c>
      <c r="K253" s="17">
        <f t="shared" si="58"/>
        <v>-3.9748012599370112E-3</v>
      </c>
      <c r="L253" s="17">
        <f t="shared" si="59"/>
        <v>-3.222836095764286E-3</v>
      </c>
      <c r="M253" s="17">
        <f t="shared" si="60"/>
        <v>1.0520778537611557E-3</v>
      </c>
      <c r="N253" s="17">
        <f t="shared" si="61"/>
        <v>-3.5288108297499838E-4</v>
      </c>
      <c r="O253" s="17">
        <f t="shared" si="62"/>
        <v>-4.6093771150380782E-4</v>
      </c>
      <c r="P253" s="17">
        <f t="shared" si="63"/>
        <v>2.069042434602606E-4</v>
      </c>
      <c r="Q253" s="22">
        <f t="shared" si="64"/>
        <v>-2.2505743485220591E-2</v>
      </c>
      <c r="R253" s="22">
        <f t="shared" si="65"/>
        <v>-2.6789983610982101E-3</v>
      </c>
      <c r="S253" s="22">
        <f t="shared" si="66"/>
        <v>-4.3867606467744577E-3</v>
      </c>
      <c r="T253" s="22">
        <f t="shared" si="67"/>
        <v>-3.3542876049972043E-3</v>
      </c>
      <c r="U253" s="22">
        <f t="shared" si="68"/>
        <v>3.5884990680739323E-4</v>
      </c>
      <c r="V253" s="22">
        <f t="shared" si="69"/>
        <v>-1.182772734718181E-4</v>
      </c>
      <c r="W253" s="22">
        <f t="shared" si="70"/>
        <v>-2.0668915741310482E-4</v>
      </c>
      <c r="X253" s="22">
        <f t="shared" si="71"/>
        <v>5.228486280665994E-4</v>
      </c>
    </row>
    <row r="254" spans="1:24" x14ac:dyDescent="0.35">
      <c r="A254" s="3">
        <v>14.03</v>
      </c>
      <c r="B254" s="3">
        <v>62.94</v>
      </c>
      <c r="C254" s="3">
        <v>133.86000000000001</v>
      </c>
      <c r="D254" s="3">
        <v>21.71</v>
      </c>
      <c r="E254" s="3">
        <v>38.58</v>
      </c>
      <c r="F254" s="3">
        <v>106.83413899999999</v>
      </c>
      <c r="G254" s="3">
        <v>101.939435</v>
      </c>
      <c r="H254" s="3">
        <v>101.67617300000001</v>
      </c>
      <c r="I254" s="17">
        <f t="shared" si="56"/>
        <v>2.3340627279358022E-2</v>
      </c>
      <c r="J254" s="17">
        <f t="shared" si="57"/>
        <v>1.3037180106228797E-2</v>
      </c>
      <c r="K254" s="17">
        <f t="shared" si="58"/>
        <v>7.9060311723515644E-3</v>
      </c>
      <c r="L254" s="17">
        <f t="shared" si="59"/>
        <v>2.7713625866051862E-3</v>
      </c>
      <c r="M254" s="17">
        <f t="shared" si="60"/>
        <v>1.3662637940094481E-2</v>
      </c>
      <c r="N254" s="17">
        <f t="shared" si="61"/>
        <v>-5.0209655812287208E-4</v>
      </c>
      <c r="O254" s="17">
        <f t="shared" si="62"/>
        <v>-7.1427661174184958E-4</v>
      </c>
      <c r="P254" s="17">
        <f t="shared" si="63"/>
        <v>-1.0031414269161443E-3</v>
      </c>
      <c r="Q254" s="22">
        <f t="shared" si="64"/>
        <v>2.294615340897329E-2</v>
      </c>
      <c r="R254" s="22">
        <f t="shared" si="65"/>
        <v>1.2606455392151633E-2</v>
      </c>
      <c r="S254" s="22">
        <f t="shared" si="66"/>
        <v>7.4940717855141179E-3</v>
      </c>
      <c r="T254" s="22">
        <f t="shared" si="67"/>
        <v>2.6399110773722679E-3</v>
      </c>
      <c r="U254" s="22">
        <f t="shared" si="68"/>
        <v>1.2969409993140718E-2</v>
      </c>
      <c r="V254" s="22">
        <f t="shared" si="69"/>
        <v>-2.6749274861969177E-4</v>
      </c>
      <c r="W254" s="22">
        <f t="shared" si="70"/>
        <v>-4.6002805765114657E-4</v>
      </c>
      <c r="X254" s="22">
        <f t="shared" si="71"/>
        <v>-6.8719704230980547E-4</v>
      </c>
    </row>
    <row r="255" spans="1:24" x14ac:dyDescent="0.35">
      <c r="A255" s="3">
        <v>13.99</v>
      </c>
      <c r="B255" s="3">
        <v>62.97</v>
      </c>
      <c r="C255" s="3">
        <v>133.02000000000001</v>
      </c>
      <c r="D255" s="3">
        <v>21.69</v>
      </c>
      <c r="E255" s="3">
        <v>37.950000000000003</v>
      </c>
      <c r="F255" s="3">
        <v>106.855701</v>
      </c>
      <c r="G255" s="3">
        <v>101.960391</v>
      </c>
      <c r="H255" s="3">
        <v>101.779854</v>
      </c>
      <c r="I255" s="17">
        <f t="shared" si="56"/>
        <v>-2.8510334996435602E-3</v>
      </c>
      <c r="J255" s="17">
        <f t="shared" si="57"/>
        <v>4.7664442326026595E-4</v>
      </c>
      <c r="K255" s="17">
        <f t="shared" si="58"/>
        <v>-6.2752129090094377E-3</v>
      </c>
      <c r="L255" s="17">
        <f t="shared" si="59"/>
        <v>-9.212344541685662E-4</v>
      </c>
      <c r="M255" s="17">
        <f t="shared" si="60"/>
        <v>-1.6329704510108747E-2</v>
      </c>
      <c r="N255" s="17">
        <f t="shared" si="61"/>
        <v>2.0182687109036344E-4</v>
      </c>
      <c r="O255" s="17">
        <f t="shared" si="62"/>
        <v>2.0557304442582204E-4</v>
      </c>
      <c r="P255" s="17">
        <f t="shared" si="63"/>
        <v>1.0197177661279066E-3</v>
      </c>
      <c r="Q255" s="22">
        <f t="shared" si="64"/>
        <v>-3.2455073700282935E-3</v>
      </c>
      <c r="R255" s="22">
        <f t="shared" si="65"/>
        <v>4.5919709183102439E-5</v>
      </c>
      <c r="S255" s="22">
        <f t="shared" si="66"/>
        <v>-6.6871722958468842E-3</v>
      </c>
      <c r="T255" s="22">
        <f t="shared" si="67"/>
        <v>-1.0526859634014845E-3</v>
      </c>
      <c r="U255" s="22">
        <f t="shared" si="68"/>
        <v>-1.702293245706251E-2</v>
      </c>
      <c r="V255" s="22">
        <f t="shared" si="69"/>
        <v>4.3643068059354373E-4</v>
      </c>
      <c r="W255" s="22">
        <f t="shared" si="70"/>
        <v>4.5982159851652504E-4</v>
      </c>
      <c r="X255" s="22">
        <f t="shared" si="71"/>
        <v>1.3356621507342454E-3</v>
      </c>
    </row>
    <row r="256" spans="1:24" x14ac:dyDescent="0.35">
      <c r="A256" s="3">
        <v>13.78</v>
      </c>
      <c r="B256" s="3">
        <v>62.47</v>
      </c>
      <c r="C256" s="3">
        <v>135.11000000000001</v>
      </c>
      <c r="D256" s="3">
        <v>21.52</v>
      </c>
      <c r="E256" s="3">
        <v>39.94</v>
      </c>
      <c r="F256" s="3">
        <v>106.93632700000001</v>
      </c>
      <c r="G256" s="3">
        <v>102.11692499999999</v>
      </c>
      <c r="H256" s="3">
        <v>101.96637</v>
      </c>
      <c r="I256" s="17">
        <f t="shared" si="56"/>
        <v>-1.501072194424595E-2</v>
      </c>
      <c r="J256" s="17">
        <f t="shared" si="57"/>
        <v>-7.9402890265205649E-3</v>
      </c>
      <c r="K256" s="17">
        <f t="shared" si="58"/>
        <v>1.5711923019094898E-2</v>
      </c>
      <c r="L256" s="17">
        <f t="shared" si="59"/>
        <v>-7.8377132319041812E-3</v>
      </c>
      <c r="M256" s="17">
        <f t="shared" si="60"/>
        <v>5.2437417654808818E-2</v>
      </c>
      <c r="N256" s="17">
        <f t="shared" si="61"/>
        <v>7.5453157150697479E-4</v>
      </c>
      <c r="O256" s="17">
        <f t="shared" si="62"/>
        <v>1.5352432298930034E-3</v>
      </c>
      <c r="P256" s="17">
        <f t="shared" si="63"/>
        <v>1.8325434029409931E-3</v>
      </c>
      <c r="Q256" s="22">
        <f t="shared" si="64"/>
        <v>-1.5405195814630684E-2</v>
      </c>
      <c r="R256" s="22">
        <f t="shared" si="65"/>
        <v>-8.371013740597729E-3</v>
      </c>
      <c r="S256" s="22">
        <f t="shared" si="66"/>
        <v>1.5299963632257451E-2</v>
      </c>
      <c r="T256" s="22">
        <f t="shared" si="67"/>
        <v>-7.9691647411370987E-3</v>
      </c>
      <c r="U256" s="22">
        <f t="shared" si="68"/>
        <v>5.1744189707855055E-2</v>
      </c>
      <c r="V256" s="22">
        <f t="shared" si="69"/>
        <v>9.8913538101015499E-4</v>
      </c>
      <c r="W256" s="22">
        <f t="shared" si="70"/>
        <v>1.7894917839837063E-3</v>
      </c>
      <c r="X256" s="22">
        <f t="shared" si="71"/>
        <v>2.1484877875473317E-3</v>
      </c>
    </row>
    <row r="257" spans="1:24" x14ac:dyDescent="0.35">
      <c r="A257" s="3">
        <v>13.7</v>
      </c>
      <c r="B257" s="3">
        <v>62.91</v>
      </c>
      <c r="C257" s="3">
        <v>135.6</v>
      </c>
      <c r="D257" s="3">
        <v>21.71</v>
      </c>
      <c r="E257" s="3">
        <v>41.03</v>
      </c>
      <c r="F257" s="3">
        <v>105.436115</v>
      </c>
      <c r="G257" s="3">
        <v>100.52654099999999</v>
      </c>
      <c r="H257" s="3">
        <v>100.10707499999999</v>
      </c>
      <c r="I257" s="17">
        <f t="shared" si="56"/>
        <v>-5.8055152394775088E-3</v>
      </c>
      <c r="J257" s="17">
        <f t="shared" si="57"/>
        <v>7.0433808227949053E-3</v>
      </c>
      <c r="K257" s="17">
        <f t="shared" si="58"/>
        <v>3.6266745614682897E-3</v>
      </c>
      <c r="L257" s="17">
        <f t="shared" si="59"/>
        <v>8.8289962825279407E-3</v>
      </c>
      <c r="M257" s="17">
        <f t="shared" si="60"/>
        <v>2.7290936404606999E-2</v>
      </c>
      <c r="N257" s="17">
        <f t="shared" si="61"/>
        <v>-1.402902121371725E-2</v>
      </c>
      <c r="O257" s="17">
        <f t="shared" si="62"/>
        <v>-1.5574146988856161E-2</v>
      </c>
      <c r="P257" s="17">
        <f t="shared" si="63"/>
        <v>-1.8234394340016252E-2</v>
      </c>
      <c r="Q257" s="22">
        <f t="shared" si="64"/>
        <v>-6.1999891098622421E-3</v>
      </c>
      <c r="R257" s="22">
        <f t="shared" si="65"/>
        <v>6.612656108717742E-3</v>
      </c>
      <c r="S257" s="22">
        <f t="shared" si="66"/>
        <v>3.2147151746308427E-3</v>
      </c>
      <c r="T257" s="22">
        <f t="shared" si="67"/>
        <v>8.6975447732950233E-3</v>
      </c>
      <c r="U257" s="22">
        <f t="shared" si="68"/>
        <v>2.6597708457653236E-2</v>
      </c>
      <c r="V257" s="22">
        <f t="shared" si="69"/>
        <v>-1.379441740421407E-2</v>
      </c>
      <c r="W257" s="22">
        <f t="shared" si="70"/>
        <v>-1.5319898434765458E-2</v>
      </c>
      <c r="X257" s="22">
        <f t="shared" si="71"/>
        <v>-1.7918449955409914E-2</v>
      </c>
    </row>
    <row r="258" spans="1:24" x14ac:dyDescent="0.35">
      <c r="A258" s="3">
        <v>13.69</v>
      </c>
      <c r="B258" s="3">
        <v>60.99</v>
      </c>
      <c r="C258" s="3">
        <v>136.43</v>
      </c>
      <c r="D258" s="3">
        <v>21.68</v>
      </c>
      <c r="E258" s="3">
        <v>41.9</v>
      </c>
      <c r="F258" s="3">
        <v>105.4581</v>
      </c>
      <c r="G258" s="3">
        <v>100.614265</v>
      </c>
      <c r="H258" s="3">
        <v>100.209136</v>
      </c>
      <c r="I258" s="17">
        <f t="shared" si="56"/>
        <v>-7.2992700729925452E-4</v>
      </c>
      <c r="J258" s="17">
        <f t="shared" si="57"/>
        <v>-3.0519790176442452E-2</v>
      </c>
      <c r="K258" s="17">
        <f t="shared" si="58"/>
        <v>6.1209439528024526E-3</v>
      </c>
      <c r="L258" s="17">
        <f t="shared" si="59"/>
        <v>-1.3818516812529312E-3</v>
      </c>
      <c r="M258" s="17">
        <f t="shared" si="60"/>
        <v>2.1203997075310687E-2</v>
      </c>
      <c r="N258" s="17">
        <f t="shared" si="61"/>
        <v>2.0851489074688316E-4</v>
      </c>
      <c r="O258" s="17">
        <f t="shared" si="62"/>
        <v>8.7264516541963363E-4</v>
      </c>
      <c r="P258" s="17">
        <f t="shared" si="63"/>
        <v>1.0195183507260219E-3</v>
      </c>
      <c r="Q258" s="22">
        <f t="shared" si="64"/>
        <v>-1.1244008776839878E-3</v>
      </c>
      <c r="R258" s="22">
        <f t="shared" si="65"/>
        <v>-3.0950514890519615E-2</v>
      </c>
      <c r="S258" s="22">
        <f t="shared" si="66"/>
        <v>5.708984565965006E-3</v>
      </c>
      <c r="T258" s="22">
        <f t="shared" si="67"/>
        <v>-1.5133031904858494E-3</v>
      </c>
      <c r="U258" s="22">
        <f t="shared" si="68"/>
        <v>2.0510769128356924E-2</v>
      </c>
      <c r="V258" s="22">
        <f t="shared" si="69"/>
        <v>4.4311870025006344E-4</v>
      </c>
      <c r="W258" s="22">
        <f t="shared" si="70"/>
        <v>1.1268937195103366E-3</v>
      </c>
      <c r="X258" s="22">
        <f t="shared" si="71"/>
        <v>1.3354627353323607E-3</v>
      </c>
    </row>
    <row r="259" spans="1:24" x14ac:dyDescent="0.35">
      <c r="A259" s="3">
        <v>13.46</v>
      </c>
      <c r="B259" s="3">
        <v>63.69</v>
      </c>
      <c r="C259" s="3">
        <v>140.65</v>
      </c>
      <c r="D259" s="3">
        <v>21.29</v>
      </c>
      <c r="E259" s="3">
        <v>41.78</v>
      </c>
      <c r="F259" s="3">
        <v>105.061897</v>
      </c>
      <c r="G259" s="3">
        <v>100.016295</v>
      </c>
      <c r="H259" s="3">
        <v>99.389876999999998</v>
      </c>
      <c r="I259" s="17">
        <f t="shared" si="56"/>
        <v>-1.6800584368151839E-2</v>
      </c>
      <c r="J259" s="17">
        <f t="shared" si="57"/>
        <v>4.4269552385636915E-2</v>
      </c>
      <c r="K259" s="17">
        <f t="shared" si="58"/>
        <v>3.0931613281536308E-2</v>
      </c>
      <c r="L259" s="17">
        <f t="shared" si="59"/>
        <v>-1.798892988929892E-2</v>
      </c>
      <c r="M259" s="17">
        <f t="shared" si="60"/>
        <v>-2.8639618138424213E-3</v>
      </c>
      <c r="N259" s="17">
        <f t="shared" si="61"/>
        <v>-3.7569707779677411E-3</v>
      </c>
      <c r="O259" s="17">
        <f t="shared" si="62"/>
        <v>-5.9431930452406891E-3</v>
      </c>
      <c r="P259" s="17">
        <f t="shared" si="63"/>
        <v>-8.1754921028358365E-3</v>
      </c>
      <c r="Q259" s="22">
        <f t="shared" si="64"/>
        <v>-1.7195058238536572E-2</v>
      </c>
      <c r="R259" s="22">
        <f t="shared" si="65"/>
        <v>4.3838827671559749E-2</v>
      </c>
      <c r="S259" s="22">
        <f t="shared" si="66"/>
        <v>3.0519653894698861E-2</v>
      </c>
      <c r="T259" s="22">
        <f t="shared" si="67"/>
        <v>-1.8120381398531837E-2</v>
      </c>
      <c r="U259" s="22">
        <f t="shared" si="68"/>
        <v>-3.557189760796184E-3</v>
      </c>
      <c r="V259" s="22">
        <f t="shared" si="69"/>
        <v>-3.522366968464561E-3</v>
      </c>
      <c r="W259" s="22">
        <f t="shared" si="70"/>
        <v>-5.6889444911499857E-3</v>
      </c>
      <c r="X259" s="22">
        <f t="shared" si="71"/>
        <v>-7.8595477182294982E-3</v>
      </c>
    </row>
    <row r="260" spans="1:24" x14ac:dyDescent="0.35">
      <c r="A260" s="3">
        <v>13.35</v>
      </c>
      <c r="B260" s="3">
        <v>64.48</v>
      </c>
      <c r="C260" s="3">
        <v>147.97999999999999</v>
      </c>
      <c r="D260" s="3">
        <v>20.88</v>
      </c>
      <c r="E260" s="3">
        <v>43.23</v>
      </c>
      <c r="F260" s="3">
        <v>105.43033</v>
      </c>
      <c r="G260" s="3">
        <v>100.63287099999999</v>
      </c>
      <c r="H260" s="3">
        <v>100.53704500000001</v>
      </c>
      <c r="I260" s="17">
        <f t="shared" ref="I260:I323" si="72">(A260-A259)/A259</f>
        <v>-8.1723625557207427E-3</v>
      </c>
      <c r="J260" s="17">
        <f t="shared" ref="J260:J323" si="73">(B260-B259)/B259</f>
        <v>1.2403831056680897E-2</v>
      </c>
      <c r="K260" s="17">
        <f t="shared" ref="K260:K323" si="74">(C260-C259)/C259</f>
        <v>5.2115179523640129E-2</v>
      </c>
      <c r="L260" s="17">
        <f t="shared" ref="L260:L323" si="75">(D260-D259)/D259</f>
        <v>-1.9257867543447636E-2</v>
      </c>
      <c r="M260" s="17">
        <f t="shared" ref="M260:M323" si="76">(E260-E259)/E259</f>
        <v>3.4705600765916604E-2</v>
      </c>
      <c r="N260" s="17">
        <f t="shared" ref="N260:N323" si="77">(F260-F259)/F259</f>
        <v>3.5068184615017566E-3</v>
      </c>
      <c r="O260" s="17">
        <f t="shared" ref="O260:O323" si="78">(G260-G259)/G259</f>
        <v>6.1647554530988666E-3</v>
      </c>
      <c r="P260" s="17">
        <f t="shared" ref="P260:P323" si="79">(H260-H259)/H259</f>
        <v>1.15421010129634E-2</v>
      </c>
      <c r="Q260" s="22">
        <f t="shared" si="64"/>
        <v>-8.5668364261054768E-3</v>
      </c>
      <c r="R260" s="22">
        <f t="shared" si="65"/>
        <v>1.1973106342603733E-2</v>
      </c>
      <c r="S260" s="22">
        <f t="shared" si="66"/>
        <v>5.1703220136802681E-2</v>
      </c>
      <c r="T260" s="22">
        <f t="shared" si="67"/>
        <v>-1.9389319052680553E-2</v>
      </c>
      <c r="U260" s="22">
        <f t="shared" si="68"/>
        <v>3.4012372818962841E-2</v>
      </c>
      <c r="V260" s="22">
        <f t="shared" si="69"/>
        <v>3.7414222710049367E-3</v>
      </c>
      <c r="W260" s="22">
        <f t="shared" si="70"/>
        <v>6.41900400718957E-3</v>
      </c>
      <c r="X260" s="22">
        <f t="shared" si="71"/>
        <v>1.1858045397569739E-2</v>
      </c>
    </row>
    <row r="261" spans="1:24" x14ac:dyDescent="0.35">
      <c r="A261" s="3">
        <v>13.06</v>
      </c>
      <c r="B261" s="3">
        <v>63.33</v>
      </c>
      <c r="C261" s="3">
        <v>146.13999999999999</v>
      </c>
      <c r="D261" s="3">
        <v>20.72</v>
      </c>
      <c r="E261" s="3">
        <v>43.58</v>
      </c>
      <c r="F261" s="3">
        <v>105.62601600000001</v>
      </c>
      <c r="G261" s="3">
        <v>100.38911</v>
      </c>
      <c r="H261" s="3">
        <v>99.832731999999993</v>
      </c>
      <c r="I261" s="17">
        <f t="shared" si="72"/>
        <v>-2.1722846441947503E-2</v>
      </c>
      <c r="J261" s="17">
        <f t="shared" si="73"/>
        <v>-1.7834987593052198E-2</v>
      </c>
      <c r="K261" s="17">
        <f t="shared" si="74"/>
        <v>-1.2434112717934881E-2</v>
      </c>
      <c r="L261" s="17">
        <f t="shared" si="75"/>
        <v>-7.662835249042153E-3</v>
      </c>
      <c r="M261" s="17">
        <f t="shared" si="76"/>
        <v>8.0962294702753047E-3</v>
      </c>
      <c r="N261" s="17">
        <f t="shared" si="77"/>
        <v>1.8560693113642832E-3</v>
      </c>
      <c r="O261" s="17">
        <f t="shared" si="78"/>
        <v>-2.4222800917603963E-3</v>
      </c>
      <c r="P261" s="17">
        <f t="shared" si="79"/>
        <v>-7.0055072734633616E-3</v>
      </c>
      <c r="Q261" s="22">
        <f t="shared" ref="Q261:Q324" si="80">I261-AB$2</f>
        <v>-2.2117320312332236E-2</v>
      </c>
      <c r="R261" s="22">
        <f t="shared" ref="R261:R324" si="81">J261-AC$2</f>
        <v>-1.826571230712936E-2</v>
      </c>
      <c r="S261" s="22">
        <f t="shared" ref="S261:S324" si="82">K261-AD$2</f>
        <v>-1.2846072104772328E-2</v>
      </c>
      <c r="T261" s="22">
        <f t="shared" ref="T261:T324" si="83">L261-AE$2</f>
        <v>-7.7942867582750713E-3</v>
      </c>
      <c r="U261" s="22">
        <f t="shared" ref="U261:U324" si="84">M261-AF$2</f>
        <v>7.4030015233215425E-3</v>
      </c>
      <c r="V261" s="22">
        <f t="shared" ref="V261:V324" si="85">N261-AG$2</f>
        <v>2.0906731208674635E-3</v>
      </c>
      <c r="W261" s="22">
        <f t="shared" ref="W261:W324" si="86">O261-AH$2</f>
        <v>-2.1680315376696934E-3</v>
      </c>
      <c r="X261" s="22">
        <f t="shared" ref="X261:X324" si="87">P261-AI$2</f>
        <v>-6.6895628888570232E-3</v>
      </c>
    </row>
    <row r="262" spans="1:24" x14ac:dyDescent="0.35">
      <c r="A262" s="3">
        <v>13.28</v>
      </c>
      <c r="B262" s="3">
        <v>65.010000000000005</v>
      </c>
      <c r="C262" s="3">
        <v>142.99</v>
      </c>
      <c r="D262" s="3">
        <v>20.92</v>
      </c>
      <c r="E262" s="3">
        <v>43.55</v>
      </c>
      <c r="F262" s="3">
        <v>105.590107</v>
      </c>
      <c r="G262" s="3">
        <v>100.941332</v>
      </c>
      <c r="H262" s="3">
        <v>100.579622</v>
      </c>
      <c r="I262" s="17">
        <f t="shared" si="72"/>
        <v>1.6845329249617062E-2</v>
      </c>
      <c r="J262" s="17">
        <f t="shared" si="73"/>
        <v>2.6527711984841416E-2</v>
      </c>
      <c r="K262" s="17">
        <f t="shared" si="74"/>
        <v>-2.155467360065675E-2</v>
      </c>
      <c r="L262" s="17">
        <f t="shared" si="75"/>
        <v>9.6525096525097893E-3</v>
      </c>
      <c r="M262" s="17">
        <f t="shared" si="76"/>
        <v>-6.8838916934376175E-4</v>
      </c>
      <c r="N262" s="17">
        <f t="shared" si="77"/>
        <v>-3.3996359381767975E-4</v>
      </c>
      <c r="O262" s="17">
        <f t="shared" si="78"/>
        <v>5.5008157757350414E-3</v>
      </c>
      <c r="P262" s="17">
        <f t="shared" si="79"/>
        <v>7.4814140115889811E-3</v>
      </c>
      <c r="Q262" s="22">
        <f t="shared" si="80"/>
        <v>1.645085537923233E-2</v>
      </c>
      <c r="R262" s="22">
        <f t="shared" si="81"/>
        <v>2.6096987270764253E-2</v>
      </c>
      <c r="S262" s="22">
        <f t="shared" si="82"/>
        <v>-2.1966632987494197E-2</v>
      </c>
      <c r="T262" s="22">
        <f t="shared" si="83"/>
        <v>9.5210581432768719E-3</v>
      </c>
      <c r="U262" s="22">
        <f t="shared" si="84"/>
        <v>-1.3816171162975243E-3</v>
      </c>
      <c r="V262" s="22">
        <f t="shared" si="85"/>
        <v>-1.0535978431449946E-4</v>
      </c>
      <c r="W262" s="22">
        <f t="shared" si="86"/>
        <v>5.7550643298257447E-3</v>
      </c>
      <c r="X262" s="22">
        <f t="shared" si="87"/>
        <v>7.7973583961953195E-3</v>
      </c>
    </row>
    <row r="263" spans="1:24" x14ac:dyDescent="0.35">
      <c r="A263" s="3">
        <v>13.75</v>
      </c>
      <c r="B263" s="3">
        <v>67.040000000000006</v>
      </c>
      <c r="C263" s="3">
        <v>147.81</v>
      </c>
      <c r="D263" s="3">
        <v>20.78</v>
      </c>
      <c r="E263" s="3">
        <v>43.04</v>
      </c>
      <c r="F263" s="3">
        <v>105.84392699999999</v>
      </c>
      <c r="G263" s="3">
        <v>101.16255</v>
      </c>
      <c r="H263" s="3">
        <v>100.92564</v>
      </c>
      <c r="I263" s="17">
        <f t="shared" si="72"/>
        <v>3.5391566265060292E-2</v>
      </c>
      <c r="J263" s="17">
        <f t="shared" si="73"/>
        <v>3.1225965236117537E-2</v>
      </c>
      <c r="K263" s="17">
        <f t="shared" si="74"/>
        <v>3.370865095461216E-2</v>
      </c>
      <c r="L263" s="17">
        <f t="shared" si="75"/>
        <v>-6.6921606118547109E-3</v>
      </c>
      <c r="M263" s="17">
        <f t="shared" si="76"/>
        <v>-1.1710677382319129E-2</v>
      </c>
      <c r="N263" s="17">
        <f t="shared" si="77"/>
        <v>2.4038236839743934E-3</v>
      </c>
      <c r="O263" s="17">
        <f t="shared" si="78"/>
        <v>2.191550236329289E-3</v>
      </c>
      <c r="P263" s="17">
        <f t="shared" si="79"/>
        <v>3.4402396143425637E-3</v>
      </c>
      <c r="Q263" s="22">
        <f t="shared" si="80"/>
        <v>3.4997092394675557E-2</v>
      </c>
      <c r="R263" s="22">
        <f t="shared" si="81"/>
        <v>3.0795240522040374E-2</v>
      </c>
      <c r="S263" s="22">
        <f t="shared" si="82"/>
        <v>3.3296691567774712E-2</v>
      </c>
      <c r="T263" s="22">
        <f t="shared" si="83"/>
        <v>-6.8236121210876292E-3</v>
      </c>
      <c r="U263" s="22">
        <f t="shared" si="84"/>
        <v>-1.2403905329272892E-2</v>
      </c>
      <c r="V263" s="22">
        <f t="shared" si="85"/>
        <v>2.6384274934775735E-3</v>
      </c>
      <c r="W263" s="22">
        <f t="shared" si="86"/>
        <v>2.4457987904199919E-3</v>
      </c>
      <c r="X263" s="22">
        <f t="shared" si="87"/>
        <v>3.7561839989489025E-3</v>
      </c>
    </row>
    <row r="264" spans="1:24" x14ac:dyDescent="0.35">
      <c r="A264" s="3">
        <v>13.8</v>
      </c>
      <c r="B264" s="3">
        <v>65.94</v>
      </c>
      <c r="C264" s="3">
        <v>149.96</v>
      </c>
      <c r="D264" s="3">
        <v>20.86</v>
      </c>
      <c r="E264" s="3">
        <v>43.05</v>
      </c>
      <c r="F264" s="3">
        <v>106.142065</v>
      </c>
      <c r="G264" s="3">
        <v>101.560417</v>
      </c>
      <c r="H264" s="3">
        <v>101.31547</v>
      </c>
      <c r="I264" s="17">
        <f t="shared" si="72"/>
        <v>3.636363636363688E-3</v>
      </c>
      <c r="J264" s="17">
        <f t="shared" si="73"/>
        <v>-1.6408114558472679E-2</v>
      </c>
      <c r="K264" s="17">
        <f t="shared" si="74"/>
        <v>1.4545700561531734E-2</v>
      </c>
      <c r="L264" s="17">
        <f t="shared" si="75"/>
        <v>3.8498556304137773E-3</v>
      </c>
      <c r="M264" s="17">
        <f t="shared" si="76"/>
        <v>2.3234200743489801E-4</v>
      </c>
      <c r="N264" s="17">
        <f t="shared" si="77"/>
        <v>2.8167700164791571E-3</v>
      </c>
      <c r="O264" s="17">
        <f t="shared" si="78"/>
        <v>3.9329475186223074E-3</v>
      </c>
      <c r="P264" s="17">
        <f t="shared" si="79"/>
        <v>3.8625467225177216E-3</v>
      </c>
      <c r="Q264" s="22">
        <f t="shared" si="80"/>
        <v>3.2418897659789547E-3</v>
      </c>
      <c r="R264" s="22">
        <f t="shared" si="81"/>
        <v>-1.6838839272549842E-2</v>
      </c>
      <c r="S264" s="22">
        <f t="shared" si="82"/>
        <v>1.4133741174694287E-2</v>
      </c>
      <c r="T264" s="22">
        <f t="shared" si="83"/>
        <v>3.718404121180859E-3</v>
      </c>
      <c r="U264" s="22">
        <f t="shared" si="84"/>
        <v>-4.6088593951886447E-4</v>
      </c>
      <c r="V264" s="22">
        <f t="shared" si="85"/>
        <v>3.0513738259823372E-3</v>
      </c>
      <c r="W264" s="22">
        <f t="shared" si="86"/>
        <v>4.1871960727130108E-3</v>
      </c>
      <c r="X264" s="22">
        <f t="shared" si="87"/>
        <v>4.1784911071240599E-3</v>
      </c>
    </row>
    <row r="265" spans="1:24" x14ac:dyDescent="0.35">
      <c r="A265" s="3">
        <v>13.92</v>
      </c>
      <c r="B265" s="3">
        <v>66.430000000000007</v>
      </c>
      <c r="C265" s="3">
        <v>146</v>
      </c>
      <c r="D265" s="3">
        <v>20.8</v>
      </c>
      <c r="E265" s="3">
        <v>42.74</v>
      </c>
      <c r="F265" s="3">
        <v>106.338536</v>
      </c>
      <c r="G265" s="3">
        <v>101.715639</v>
      </c>
      <c r="H265" s="3">
        <v>101.255071</v>
      </c>
      <c r="I265" s="17">
        <f t="shared" si="72"/>
        <v>8.6956521739129863E-3</v>
      </c>
      <c r="J265" s="17">
        <f t="shared" si="73"/>
        <v>7.4309978768578875E-3</v>
      </c>
      <c r="K265" s="17">
        <f t="shared" si="74"/>
        <v>-2.6407041877834141E-2</v>
      </c>
      <c r="L265" s="17">
        <f t="shared" si="75"/>
        <v>-2.8763183125598622E-3</v>
      </c>
      <c r="M265" s="17">
        <f t="shared" si="76"/>
        <v>-7.2009291521485524E-3</v>
      </c>
      <c r="N265" s="17">
        <f t="shared" si="77"/>
        <v>1.8510191977139554E-3</v>
      </c>
      <c r="O265" s="17">
        <f t="shared" si="78"/>
        <v>1.5283710384922393E-3</v>
      </c>
      <c r="P265" s="17">
        <f t="shared" si="79"/>
        <v>-5.9614785382729673E-4</v>
      </c>
      <c r="Q265" s="22">
        <f t="shared" si="80"/>
        <v>8.3011783035282522E-3</v>
      </c>
      <c r="R265" s="22">
        <f t="shared" si="81"/>
        <v>7.0002731627807242E-3</v>
      </c>
      <c r="S265" s="22">
        <f t="shared" si="82"/>
        <v>-2.6819001264671589E-2</v>
      </c>
      <c r="T265" s="22">
        <f t="shared" si="83"/>
        <v>-3.0077698217927805E-3</v>
      </c>
      <c r="U265" s="22">
        <f t="shared" si="84"/>
        <v>-7.8941570991023155E-3</v>
      </c>
      <c r="V265" s="22">
        <f t="shared" si="85"/>
        <v>2.0856230072171357E-3</v>
      </c>
      <c r="W265" s="22">
        <f t="shared" si="86"/>
        <v>1.7826195925829424E-3</v>
      </c>
      <c r="X265" s="22">
        <f t="shared" si="87"/>
        <v>-2.8020346922095796E-4</v>
      </c>
    </row>
    <row r="266" spans="1:24" x14ac:dyDescent="0.35">
      <c r="A266" s="3">
        <v>13.96</v>
      </c>
      <c r="B266" s="3">
        <v>66.540000000000006</v>
      </c>
      <c r="C266" s="3">
        <v>147.97</v>
      </c>
      <c r="D266" s="3">
        <v>20.8</v>
      </c>
      <c r="E266" s="3">
        <v>43.14</v>
      </c>
      <c r="F266" s="3">
        <v>106.36039599999999</v>
      </c>
      <c r="G266" s="3">
        <v>101.736767</v>
      </c>
      <c r="H266" s="3">
        <v>101.27632</v>
      </c>
      <c r="I266" s="17">
        <f t="shared" si="72"/>
        <v>2.8735632183908709E-3</v>
      </c>
      <c r="J266" s="17">
        <f t="shared" si="73"/>
        <v>1.6558783682071266E-3</v>
      </c>
      <c r="K266" s="17">
        <f t="shared" si="74"/>
        <v>1.3493150684931499E-2</v>
      </c>
      <c r="L266" s="17">
        <f t="shared" si="75"/>
        <v>0</v>
      </c>
      <c r="M266" s="17">
        <f t="shared" si="76"/>
        <v>9.3589143659335173E-3</v>
      </c>
      <c r="N266" s="17">
        <f t="shared" si="77"/>
        <v>2.0556987920154884E-4</v>
      </c>
      <c r="O266" s="17">
        <f t="shared" si="78"/>
        <v>2.0771633750444685E-4</v>
      </c>
      <c r="P266" s="17">
        <f t="shared" si="79"/>
        <v>2.0985615624127514E-4</v>
      </c>
      <c r="Q266" s="22">
        <f t="shared" si="80"/>
        <v>2.4790893480061377E-3</v>
      </c>
      <c r="R266" s="22">
        <f t="shared" si="81"/>
        <v>1.2251536541299632E-3</v>
      </c>
      <c r="S266" s="22">
        <f t="shared" si="82"/>
        <v>1.3081191298094052E-2</v>
      </c>
      <c r="T266" s="22">
        <f t="shared" si="83"/>
        <v>-1.3145150923291827E-4</v>
      </c>
      <c r="U266" s="22">
        <f t="shared" si="84"/>
        <v>8.6656864189797542E-3</v>
      </c>
      <c r="V266" s="22">
        <f t="shared" si="85"/>
        <v>4.4017368870472913E-4</v>
      </c>
      <c r="W266" s="22">
        <f t="shared" si="86"/>
        <v>4.6196489159514985E-4</v>
      </c>
      <c r="X266" s="22">
        <f t="shared" si="87"/>
        <v>5.2580054084761397E-4</v>
      </c>
    </row>
    <row r="267" spans="1:24" x14ac:dyDescent="0.35">
      <c r="A267" s="3">
        <v>13.75</v>
      </c>
      <c r="B267" s="3">
        <v>63.29</v>
      </c>
      <c r="C267" s="3">
        <v>143.11000000000001</v>
      </c>
      <c r="D267" s="3">
        <v>20.39</v>
      </c>
      <c r="E267" s="3">
        <v>43.33</v>
      </c>
      <c r="F267" s="3">
        <v>106.091684</v>
      </c>
      <c r="G267" s="3">
        <v>101.490088</v>
      </c>
      <c r="H267" s="3">
        <v>101.134615</v>
      </c>
      <c r="I267" s="17">
        <f t="shared" si="72"/>
        <v>-1.504297994269347E-2</v>
      </c>
      <c r="J267" s="17">
        <f t="shared" si="73"/>
        <v>-4.8842801322512876E-2</v>
      </c>
      <c r="K267" s="17">
        <f t="shared" si="74"/>
        <v>-3.2844495505845679E-2</v>
      </c>
      <c r="L267" s="17">
        <f t="shared" si="75"/>
        <v>-1.9711538461538468E-2</v>
      </c>
      <c r="M267" s="17">
        <f t="shared" si="76"/>
        <v>4.4042651831246579E-3</v>
      </c>
      <c r="N267" s="17">
        <f t="shared" si="77"/>
        <v>-2.5264291043067726E-3</v>
      </c>
      <c r="O267" s="17">
        <f t="shared" si="78"/>
        <v>-2.4246789756942081E-3</v>
      </c>
      <c r="P267" s="17">
        <f t="shared" si="79"/>
        <v>-1.3991918347744246E-3</v>
      </c>
      <c r="Q267" s="22">
        <f t="shared" si="80"/>
        <v>-1.5437453813078204E-2</v>
      </c>
      <c r="R267" s="22">
        <f t="shared" si="81"/>
        <v>-4.9273526036590042E-2</v>
      </c>
      <c r="S267" s="22">
        <f t="shared" si="82"/>
        <v>-3.3256454892683127E-2</v>
      </c>
      <c r="T267" s="22">
        <f t="shared" si="83"/>
        <v>-1.9842989970771385E-2</v>
      </c>
      <c r="U267" s="22">
        <f t="shared" si="84"/>
        <v>3.7110372361708953E-3</v>
      </c>
      <c r="V267" s="22">
        <f t="shared" si="85"/>
        <v>-2.2918252948035925E-3</v>
      </c>
      <c r="W267" s="22">
        <f t="shared" si="86"/>
        <v>-2.1704304216035052E-3</v>
      </c>
      <c r="X267" s="22">
        <f t="shared" si="87"/>
        <v>-1.0832474501680858E-3</v>
      </c>
    </row>
    <row r="268" spans="1:24" x14ac:dyDescent="0.35">
      <c r="A268" s="3">
        <v>13.59</v>
      </c>
      <c r="B268" s="3">
        <v>63.57</v>
      </c>
      <c r="C268" s="3">
        <v>141.08000000000001</v>
      </c>
      <c r="D268" s="3">
        <v>19.989999999999998</v>
      </c>
      <c r="E268" s="3">
        <v>41.9</v>
      </c>
      <c r="F268" s="3">
        <v>106.113635</v>
      </c>
      <c r="G268" s="3">
        <v>101.444481</v>
      </c>
      <c r="H268" s="3">
        <v>101.074557</v>
      </c>
      <c r="I268" s="17">
        <f t="shared" si="72"/>
        <v>-1.1636363636363646E-2</v>
      </c>
      <c r="J268" s="17">
        <f t="shared" si="73"/>
        <v>4.4240796334334195E-3</v>
      </c>
      <c r="K268" s="17">
        <f t="shared" si="74"/>
        <v>-1.4184892739850472E-2</v>
      </c>
      <c r="L268" s="17">
        <f t="shared" si="75"/>
        <v>-1.9617459538989804E-2</v>
      </c>
      <c r="M268" s="17">
        <f t="shared" si="76"/>
        <v>-3.3002538656819749E-2</v>
      </c>
      <c r="N268" s="17">
        <f t="shared" si="77"/>
        <v>2.0690594373072056E-4</v>
      </c>
      <c r="O268" s="17">
        <f t="shared" si="78"/>
        <v>-4.4937393295002315E-4</v>
      </c>
      <c r="P268" s="17">
        <f t="shared" si="79"/>
        <v>-5.9384217757686578E-4</v>
      </c>
      <c r="Q268" s="22">
        <f t="shared" si="80"/>
        <v>-1.203083750674838E-2</v>
      </c>
      <c r="R268" s="22">
        <f t="shared" si="81"/>
        <v>3.9933549193562562E-3</v>
      </c>
      <c r="S268" s="22">
        <f t="shared" si="82"/>
        <v>-1.4596852126687919E-2</v>
      </c>
      <c r="T268" s="22">
        <f t="shared" si="83"/>
        <v>-1.9748911048222722E-2</v>
      </c>
      <c r="U268" s="22">
        <f t="shared" si="84"/>
        <v>-3.3695766603773512E-2</v>
      </c>
      <c r="V268" s="22">
        <f t="shared" si="85"/>
        <v>4.4150975323390085E-4</v>
      </c>
      <c r="W268" s="22">
        <f t="shared" si="86"/>
        <v>-1.9512537885932015E-4</v>
      </c>
      <c r="X268" s="22">
        <f t="shared" si="87"/>
        <v>-2.7789779297052701E-4</v>
      </c>
    </row>
    <row r="269" spans="1:24" x14ac:dyDescent="0.35">
      <c r="A269" s="3">
        <v>13.04</v>
      </c>
      <c r="B269" s="3">
        <v>63.94</v>
      </c>
      <c r="C269" s="3">
        <v>140.65</v>
      </c>
      <c r="D269" s="3">
        <v>19.82</v>
      </c>
      <c r="E269" s="3">
        <v>41.96</v>
      </c>
      <c r="F269" s="3">
        <v>106.237486</v>
      </c>
      <c r="G269" s="3">
        <v>101.64168600000001</v>
      </c>
      <c r="H269" s="3">
        <v>101.301146</v>
      </c>
      <c r="I269" s="17">
        <f t="shared" si="72"/>
        <v>-4.0470934510669659E-2</v>
      </c>
      <c r="J269" s="17">
        <f t="shared" si="73"/>
        <v>5.8203555136070069E-3</v>
      </c>
      <c r="K269" s="17">
        <f t="shared" si="74"/>
        <v>-3.0479160759853048E-3</v>
      </c>
      <c r="L269" s="17">
        <f t="shared" si="75"/>
        <v>-8.5042521260629399E-3</v>
      </c>
      <c r="M269" s="17">
        <f t="shared" si="76"/>
        <v>1.4319809069212955E-3</v>
      </c>
      <c r="N269" s="17">
        <f t="shared" si="77"/>
        <v>1.1671544377873959E-3</v>
      </c>
      <c r="O269" s="17">
        <f t="shared" si="78"/>
        <v>1.9439697266528571E-3</v>
      </c>
      <c r="P269" s="17">
        <f t="shared" si="79"/>
        <v>2.2418005749953885E-3</v>
      </c>
      <c r="Q269" s="22">
        <f t="shared" si="80"/>
        <v>-4.0865408381054395E-2</v>
      </c>
      <c r="R269" s="22">
        <f t="shared" si="81"/>
        <v>5.3896307995298437E-3</v>
      </c>
      <c r="S269" s="22">
        <f t="shared" si="82"/>
        <v>-3.4598754628227518E-3</v>
      </c>
      <c r="T269" s="22">
        <f t="shared" si="83"/>
        <v>-8.6357036352958574E-3</v>
      </c>
      <c r="U269" s="22">
        <f t="shared" si="84"/>
        <v>7.3875295996753295E-4</v>
      </c>
      <c r="V269" s="22">
        <f t="shared" si="85"/>
        <v>1.4017582472905762E-3</v>
      </c>
      <c r="W269" s="22">
        <f t="shared" si="86"/>
        <v>2.19821828074356E-3</v>
      </c>
      <c r="X269" s="22">
        <f t="shared" si="87"/>
        <v>2.5577449596017273E-3</v>
      </c>
    </row>
    <row r="270" spans="1:24" x14ac:dyDescent="0.35">
      <c r="A270" s="3">
        <v>12.11</v>
      </c>
      <c r="B270" s="3">
        <v>63.23</v>
      </c>
      <c r="C270" s="3">
        <v>135.1</v>
      </c>
      <c r="D270" s="3">
        <v>19.77</v>
      </c>
      <c r="E270" s="3">
        <v>39.93</v>
      </c>
      <c r="F270" s="3">
        <v>106.608001</v>
      </c>
      <c r="G270" s="3">
        <v>102.06488400000001</v>
      </c>
      <c r="H270" s="3">
        <v>101.40390499999999</v>
      </c>
      <c r="I270" s="17">
        <f t="shared" si="72"/>
        <v>-7.1319018404907952E-2</v>
      </c>
      <c r="J270" s="17">
        <f t="shared" si="73"/>
        <v>-1.1104160150140771E-2</v>
      </c>
      <c r="K270" s="17">
        <f t="shared" si="74"/>
        <v>-3.94596516174903E-2</v>
      </c>
      <c r="L270" s="17">
        <f t="shared" si="75"/>
        <v>-2.5227043390514989E-3</v>
      </c>
      <c r="M270" s="17">
        <f t="shared" si="76"/>
        <v>-4.8379408960915186E-2</v>
      </c>
      <c r="N270" s="17">
        <f t="shared" si="77"/>
        <v>3.4876107666930059E-3</v>
      </c>
      <c r="O270" s="17">
        <f t="shared" si="78"/>
        <v>4.1636263294569835E-3</v>
      </c>
      <c r="P270" s="17">
        <f t="shared" si="79"/>
        <v>1.0143912883274965E-3</v>
      </c>
      <c r="Q270" s="22">
        <f t="shared" si="80"/>
        <v>-7.1713492275292681E-2</v>
      </c>
      <c r="R270" s="22">
        <f t="shared" si="81"/>
        <v>-1.1534884864217936E-2</v>
      </c>
      <c r="S270" s="22">
        <f t="shared" si="82"/>
        <v>-3.9871611004327748E-2</v>
      </c>
      <c r="T270" s="22">
        <f t="shared" si="83"/>
        <v>-2.6541558482844172E-3</v>
      </c>
      <c r="U270" s="22">
        <f t="shared" si="84"/>
        <v>-4.9072636907868949E-2</v>
      </c>
      <c r="V270" s="22">
        <f t="shared" si="85"/>
        <v>3.722214576196186E-3</v>
      </c>
      <c r="W270" s="22">
        <f t="shared" si="86"/>
        <v>4.4178748835476869E-3</v>
      </c>
      <c r="X270" s="22">
        <f t="shared" si="87"/>
        <v>1.3303356729338354E-3</v>
      </c>
    </row>
    <row r="271" spans="1:24" x14ac:dyDescent="0.35">
      <c r="A271" s="3">
        <v>11.89</v>
      </c>
      <c r="B271" s="3">
        <v>62.89</v>
      </c>
      <c r="C271" s="3">
        <v>130.05000000000001</v>
      </c>
      <c r="D271" s="3">
        <v>19.95</v>
      </c>
      <c r="E271" s="3">
        <v>39.659999999999997</v>
      </c>
      <c r="F271" s="3">
        <v>106.921358</v>
      </c>
      <c r="G271" s="3">
        <v>101.95179899999999</v>
      </c>
      <c r="H271" s="3">
        <v>101.670115</v>
      </c>
      <c r="I271" s="17">
        <f t="shared" si="72"/>
        <v>-1.8166804293971831E-2</v>
      </c>
      <c r="J271" s="17">
        <f t="shared" si="73"/>
        <v>-5.3771943697611315E-3</v>
      </c>
      <c r="K271" s="17">
        <f t="shared" si="74"/>
        <v>-3.7379718726868863E-2</v>
      </c>
      <c r="L271" s="17">
        <f t="shared" si="75"/>
        <v>9.1047040971168301E-3</v>
      </c>
      <c r="M271" s="17">
        <f t="shared" si="76"/>
        <v>-6.7618332081142785E-3</v>
      </c>
      <c r="N271" s="17">
        <f t="shared" si="77"/>
        <v>2.9393384836096524E-3</v>
      </c>
      <c r="O271" s="17">
        <f t="shared" si="78"/>
        <v>-1.1079716702564646E-3</v>
      </c>
      <c r="P271" s="17">
        <f t="shared" si="79"/>
        <v>2.6252440672773002E-3</v>
      </c>
      <c r="Q271" s="22">
        <f t="shared" si="80"/>
        <v>-1.8561278164356564E-2</v>
      </c>
      <c r="R271" s="22">
        <f t="shared" si="81"/>
        <v>-5.8079190838382947E-3</v>
      </c>
      <c r="S271" s="22">
        <f t="shared" si="82"/>
        <v>-3.779167811370631E-2</v>
      </c>
      <c r="T271" s="22">
        <f t="shared" si="83"/>
        <v>8.9732525878839127E-3</v>
      </c>
      <c r="U271" s="22">
        <f t="shared" si="84"/>
        <v>-7.4550611550680407E-3</v>
      </c>
      <c r="V271" s="22">
        <f t="shared" si="85"/>
        <v>3.1739422931128325E-3</v>
      </c>
      <c r="W271" s="22">
        <f t="shared" si="86"/>
        <v>-8.5372311616576161E-4</v>
      </c>
      <c r="X271" s="22">
        <f t="shared" si="87"/>
        <v>2.941188451883639E-3</v>
      </c>
    </row>
    <row r="272" spans="1:24" x14ac:dyDescent="0.35">
      <c r="A272" s="3">
        <v>12.36</v>
      </c>
      <c r="B272" s="3">
        <v>63.01</v>
      </c>
      <c r="C272" s="3">
        <v>129.96</v>
      </c>
      <c r="D272" s="3">
        <v>19.829999999999998</v>
      </c>
      <c r="E272" s="3">
        <v>39.33</v>
      </c>
      <c r="F272" s="3">
        <v>107.001542</v>
      </c>
      <c r="G272" s="3">
        <v>102.107124</v>
      </c>
      <c r="H272" s="3">
        <v>101.69136899999999</v>
      </c>
      <c r="I272" s="17">
        <f t="shared" si="72"/>
        <v>3.9529015979814876E-2</v>
      </c>
      <c r="J272" s="17">
        <f t="shared" si="73"/>
        <v>1.9080934965812917E-3</v>
      </c>
      <c r="K272" s="17">
        <f t="shared" si="74"/>
        <v>-6.920415224913757E-4</v>
      </c>
      <c r="L272" s="17">
        <f t="shared" si="75"/>
        <v>-6.0150375939850122E-3</v>
      </c>
      <c r="M272" s="17">
        <f t="shared" si="76"/>
        <v>-8.3207261724659188E-3</v>
      </c>
      <c r="N272" s="17">
        <f t="shared" si="77"/>
        <v>7.4993435829727017E-4</v>
      </c>
      <c r="O272" s="17">
        <f t="shared" si="78"/>
        <v>1.5235140676625512E-3</v>
      </c>
      <c r="P272" s="17">
        <f t="shared" si="79"/>
        <v>2.0904864718603885E-4</v>
      </c>
      <c r="Q272" s="22">
        <f t="shared" si="80"/>
        <v>3.913454210943014E-2</v>
      </c>
      <c r="R272" s="22">
        <f t="shared" si="81"/>
        <v>1.4773687825041283E-3</v>
      </c>
      <c r="S272" s="22">
        <f t="shared" si="82"/>
        <v>-1.1040009093288227E-3</v>
      </c>
      <c r="T272" s="22">
        <f t="shared" si="83"/>
        <v>-6.1464891032179305E-3</v>
      </c>
      <c r="U272" s="22">
        <f t="shared" si="84"/>
        <v>-9.0139541194196818E-3</v>
      </c>
      <c r="V272" s="22">
        <f t="shared" si="85"/>
        <v>9.8453816780045048E-4</v>
      </c>
      <c r="W272" s="22">
        <f t="shared" si="86"/>
        <v>1.7777626217532544E-3</v>
      </c>
      <c r="X272" s="22">
        <f t="shared" si="87"/>
        <v>5.2499303179237762E-4</v>
      </c>
    </row>
    <row r="273" spans="1:24" x14ac:dyDescent="0.35">
      <c r="A273" s="3">
        <v>12.53</v>
      </c>
      <c r="B273" s="3">
        <v>62.39</v>
      </c>
      <c r="C273" s="3">
        <v>131.31</v>
      </c>
      <c r="D273" s="3">
        <v>19.809999999999999</v>
      </c>
      <c r="E273" s="3">
        <v>40.79</v>
      </c>
      <c r="F273" s="3">
        <v>107.081738</v>
      </c>
      <c r="G273" s="3">
        <v>102.26263</v>
      </c>
      <c r="H273" s="3">
        <v>101.958305</v>
      </c>
      <c r="I273" s="17">
        <f t="shared" si="72"/>
        <v>1.375404530744336E-2</v>
      </c>
      <c r="J273" s="17">
        <f t="shared" si="73"/>
        <v>-9.8397079828598227E-3</v>
      </c>
      <c r="K273" s="17">
        <f t="shared" si="74"/>
        <v>1.0387811634348987E-2</v>
      </c>
      <c r="L273" s="17">
        <f t="shared" si="75"/>
        <v>-1.008572869389792E-3</v>
      </c>
      <c r="M273" s="17">
        <f t="shared" si="76"/>
        <v>3.7121789982201905E-2</v>
      </c>
      <c r="N273" s="17">
        <f t="shared" si="77"/>
        <v>7.4948452612020136E-4</v>
      </c>
      <c r="O273" s="17">
        <f t="shared" si="78"/>
        <v>1.5229691514962521E-3</v>
      </c>
      <c r="P273" s="17">
        <f t="shared" si="79"/>
        <v>2.6249622030361415E-3</v>
      </c>
      <c r="Q273" s="22">
        <f t="shared" si="80"/>
        <v>1.3359571437058626E-2</v>
      </c>
      <c r="R273" s="22">
        <f t="shared" si="81"/>
        <v>-1.0270432696936987E-2</v>
      </c>
      <c r="S273" s="22">
        <f t="shared" si="82"/>
        <v>9.9758522475115394E-3</v>
      </c>
      <c r="T273" s="22">
        <f t="shared" si="83"/>
        <v>-1.1400243786227103E-3</v>
      </c>
      <c r="U273" s="22">
        <f t="shared" si="84"/>
        <v>3.6428562035248142E-2</v>
      </c>
      <c r="V273" s="22">
        <f t="shared" si="85"/>
        <v>9.8408833562338167E-4</v>
      </c>
      <c r="W273" s="22">
        <f t="shared" si="86"/>
        <v>1.777217705586955E-3</v>
      </c>
      <c r="X273" s="22">
        <f t="shared" si="87"/>
        <v>2.9409065876424803E-3</v>
      </c>
    </row>
    <row r="274" spans="1:24" x14ac:dyDescent="0.35">
      <c r="A274" s="3">
        <v>12.43</v>
      </c>
      <c r="B274" s="3">
        <v>60.54</v>
      </c>
      <c r="C274" s="3">
        <v>130.47</v>
      </c>
      <c r="D274" s="3">
        <v>19.03</v>
      </c>
      <c r="E274" s="3">
        <v>40.86</v>
      </c>
      <c r="F274" s="3">
        <v>106.913747</v>
      </c>
      <c r="G274" s="3">
        <v>102.191659</v>
      </c>
      <c r="H274" s="3">
        <v>101.94006400000001</v>
      </c>
      <c r="I274" s="17">
        <f t="shared" si="72"/>
        <v>-7.9808459696727573E-3</v>
      </c>
      <c r="J274" s="17">
        <f t="shared" si="73"/>
        <v>-2.9652187850617108E-2</v>
      </c>
      <c r="K274" s="17">
        <f t="shared" si="74"/>
        <v>-6.3970756225725641E-3</v>
      </c>
      <c r="L274" s="17">
        <f t="shared" si="75"/>
        <v>-3.937405350832901E-2</v>
      </c>
      <c r="M274" s="17">
        <f t="shared" si="76"/>
        <v>1.7161068889433755E-3</v>
      </c>
      <c r="N274" s="17">
        <f t="shared" si="77"/>
        <v>-1.568810920868698E-3</v>
      </c>
      <c r="O274" s="17">
        <f t="shared" si="78"/>
        <v>-6.9400718522494602E-4</v>
      </c>
      <c r="P274" s="17">
        <f t="shared" si="79"/>
        <v>-1.789064657360582E-4</v>
      </c>
      <c r="Q274" s="22">
        <f t="shared" si="80"/>
        <v>-8.3753198400574914E-3</v>
      </c>
      <c r="R274" s="22">
        <f t="shared" si="81"/>
        <v>-3.008291256469427E-2</v>
      </c>
      <c r="S274" s="22">
        <f t="shared" si="82"/>
        <v>-6.8090350094100107E-3</v>
      </c>
      <c r="T274" s="22">
        <f t="shared" si="83"/>
        <v>-3.9505505017561927E-2</v>
      </c>
      <c r="U274" s="22">
        <f t="shared" si="84"/>
        <v>1.0228789419896131E-3</v>
      </c>
      <c r="V274" s="22">
        <f t="shared" si="85"/>
        <v>-1.3342071113655177E-3</v>
      </c>
      <c r="W274" s="22">
        <f t="shared" si="86"/>
        <v>-4.3975863113424301E-4</v>
      </c>
      <c r="X274" s="22">
        <f t="shared" si="87"/>
        <v>1.3703791887028057E-4</v>
      </c>
    </row>
    <row r="275" spans="1:24" x14ac:dyDescent="0.35">
      <c r="A275" s="3">
        <v>12.66</v>
      </c>
      <c r="B275" s="3">
        <v>61.53</v>
      </c>
      <c r="C275" s="3">
        <v>131.07</v>
      </c>
      <c r="D275" s="3">
        <v>19.02</v>
      </c>
      <c r="E275" s="3">
        <v>41.57</v>
      </c>
      <c r="F275" s="3">
        <v>106.644989</v>
      </c>
      <c r="G275" s="3">
        <v>101.87812599999999</v>
      </c>
      <c r="H275" s="3">
        <v>101.471554</v>
      </c>
      <c r="I275" s="17">
        <f t="shared" si="72"/>
        <v>1.8503620273531814E-2</v>
      </c>
      <c r="J275" s="17">
        <f t="shared" si="73"/>
        <v>1.6352824578790916E-2</v>
      </c>
      <c r="K275" s="17">
        <f t="shared" si="74"/>
        <v>4.598758335249439E-3</v>
      </c>
      <c r="L275" s="17">
        <f t="shared" si="75"/>
        <v>-5.2548607461910476E-4</v>
      </c>
      <c r="M275" s="17">
        <f t="shared" si="76"/>
        <v>1.7376407244248673E-2</v>
      </c>
      <c r="N275" s="17">
        <f t="shared" si="77"/>
        <v>-2.5137833771741755E-3</v>
      </c>
      <c r="O275" s="17">
        <f t="shared" si="78"/>
        <v>-3.0680879737944827E-3</v>
      </c>
      <c r="P275" s="17">
        <f t="shared" si="79"/>
        <v>-4.5959359021003664E-3</v>
      </c>
      <c r="Q275" s="22">
        <f t="shared" si="80"/>
        <v>1.8109146403147081E-2</v>
      </c>
      <c r="R275" s="22">
        <f t="shared" si="81"/>
        <v>1.5922099864713754E-2</v>
      </c>
      <c r="S275" s="22">
        <f t="shared" si="82"/>
        <v>4.1867989484119924E-3</v>
      </c>
      <c r="T275" s="22">
        <f t="shared" si="83"/>
        <v>-6.5693758385202306E-4</v>
      </c>
      <c r="U275" s="22">
        <f t="shared" si="84"/>
        <v>1.668317929729491E-2</v>
      </c>
      <c r="V275" s="22">
        <f t="shared" si="85"/>
        <v>-2.2791795676709954E-3</v>
      </c>
      <c r="W275" s="22">
        <f t="shared" si="86"/>
        <v>-2.8138394197037798E-3</v>
      </c>
      <c r="X275" s="22">
        <f t="shared" si="87"/>
        <v>-4.279991517494028E-3</v>
      </c>
    </row>
    <row r="276" spans="1:24" x14ac:dyDescent="0.35">
      <c r="A276" s="3">
        <v>12.6</v>
      </c>
      <c r="B276" s="3">
        <v>64.59</v>
      </c>
      <c r="C276" s="3">
        <v>130.74</v>
      </c>
      <c r="D276" s="3">
        <v>19.41</v>
      </c>
      <c r="E276" s="3">
        <v>42.31</v>
      </c>
      <c r="F276" s="3">
        <v>106.89924000000001</v>
      </c>
      <c r="G276" s="3">
        <v>102.03301500000001</v>
      </c>
      <c r="H276" s="3">
        <v>101.818988</v>
      </c>
      <c r="I276" s="17">
        <f t="shared" si="72"/>
        <v>-4.7393364928910347E-3</v>
      </c>
      <c r="J276" s="17">
        <f t="shared" si="73"/>
        <v>4.9731838127742602E-2</v>
      </c>
      <c r="K276" s="17">
        <f t="shared" si="74"/>
        <v>-2.5177386129547883E-3</v>
      </c>
      <c r="L276" s="17">
        <f t="shared" si="75"/>
        <v>2.0504731861198767E-2</v>
      </c>
      <c r="M276" s="17">
        <f t="shared" si="76"/>
        <v>1.7801299013711858E-2</v>
      </c>
      <c r="N276" s="17">
        <f t="shared" si="77"/>
        <v>2.3840876386607406E-3</v>
      </c>
      <c r="O276" s="17">
        <f t="shared" si="78"/>
        <v>1.5203361710835884E-3</v>
      </c>
      <c r="P276" s="17">
        <f t="shared" si="79"/>
        <v>3.4239546582681378E-3</v>
      </c>
      <c r="Q276" s="22">
        <f t="shared" si="80"/>
        <v>-5.1338103632757679E-3</v>
      </c>
      <c r="R276" s="22">
        <f t="shared" si="81"/>
        <v>4.9301113413665436E-2</v>
      </c>
      <c r="S276" s="22">
        <f t="shared" si="82"/>
        <v>-2.9296979997922353E-3</v>
      </c>
      <c r="T276" s="22">
        <f t="shared" si="83"/>
        <v>2.0373280351965849E-2</v>
      </c>
      <c r="U276" s="22">
        <f t="shared" si="84"/>
        <v>1.7108071066758095E-2</v>
      </c>
      <c r="V276" s="22">
        <f t="shared" si="85"/>
        <v>2.6186914481639207E-3</v>
      </c>
      <c r="W276" s="22">
        <f t="shared" si="86"/>
        <v>1.7745847251742913E-3</v>
      </c>
      <c r="X276" s="22">
        <f t="shared" si="87"/>
        <v>3.7398990428744766E-3</v>
      </c>
    </row>
    <row r="277" spans="1:24" x14ac:dyDescent="0.35">
      <c r="A277" s="3">
        <v>12.73</v>
      </c>
      <c r="B277" s="3">
        <v>65.099999999999994</v>
      </c>
      <c r="C277" s="3">
        <v>131.21</v>
      </c>
      <c r="D277" s="3">
        <v>19.5</v>
      </c>
      <c r="E277" s="3">
        <v>44.4</v>
      </c>
      <c r="F277" s="3">
        <v>106.92110099999999</v>
      </c>
      <c r="G277" s="3">
        <v>101.853824</v>
      </c>
      <c r="H277" s="3">
        <v>101.922015</v>
      </c>
      <c r="I277" s="17">
        <f t="shared" si="72"/>
        <v>1.031746031746038E-2</v>
      </c>
      <c r="J277" s="17">
        <f t="shared" si="73"/>
        <v>7.8959591267996725E-3</v>
      </c>
      <c r="K277" s="17">
        <f t="shared" si="74"/>
        <v>3.5949212176839438E-3</v>
      </c>
      <c r="L277" s="17">
        <f t="shared" si="75"/>
        <v>4.6367851622874734E-3</v>
      </c>
      <c r="M277" s="17">
        <f t="shared" si="76"/>
        <v>4.9397305601512558E-2</v>
      </c>
      <c r="N277" s="17">
        <f t="shared" si="77"/>
        <v>2.0450098616217504E-4</v>
      </c>
      <c r="O277" s="17">
        <f t="shared" si="78"/>
        <v>-1.7562060672224864E-3</v>
      </c>
      <c r="P277" s="17">
        <f t="shared" si="79"/>
        <v>1.0118643096314933E-3</v>
      </c>
      <c r="Q277" s="22">
        <f t="shared" si="80"/>
        <v>9.9229864470756456E-3</v>
      </c>
      <c r="R277" s="22">
        <f t="shared" si="81"/>
        <v>7.4652344127225092E-3</v>
      </c>
      <c r="S277" s="22">
        <f t="shared" si="82"/>
        <v>3.1829618308464968E-3</v>
      </c>
      <c r="T277" s="22">
        <f t="shared" si="83"/>
        <v>4.5053336530545551E-3</v>
      </c>
      <c r="U277" s="22">
        <f t="shared" si="84"/>
        <v>4.8704077654558794E-2</v>
      </c>
      <c r="V277" s="22">
        <f t="shared" si="85"/>
        <v>4.3910479566535533E-4</v>
      </c>
      <c r="W277" s="22">
        <f t="shared" si="86"/>
        <v>-1.5019575131317835E-3</v>
      </c>
      <c r="X277" s="22">
        <f t="shared" si="87"/>
        <v>1.3278086942378321E-3</v>
      </c>
    </row>
    <row r="278" spans="1:24" x14ac:dyDescent="0.35">
      <c r="A278" s="3">
        <v>12.82</v>
      </c>
      <c r="B278" s="3">
        <v>63.21</v>
      </c>
      <c r="C278" s="3">
        <v>129.37</v>
      </c>
      <c r="D278" s="3">
        <v>19.510000000000002</v>
      </c>
      <c r="E278" s="3">
        <v>45.3</v>
      </c>
      <c r="F278" s="3">
        <v>107.001116</v>
      </c>
      <c r="G278" s="3">
        <v>102.142302</v>
      </c>
      <c r="H278" s="3">
        <v>101.861563</v>
      </c>
      <c r="I278" s="17">
        <f t="shared" si="72"/>
        <v>7.0699135899450006E-3</v>
      </c>
      <c r="J278" s="17">
        <f t="shared" si="73"/>
        <v>-2.903225806451603E-2</v>
      </c>
      <c r="K278" s="17">
        <f t="shared" si="74"/>
        <v>-1.402332139318652E-2</v>
      </c>
      <c r="L278" s="17">
        <f t="shared" si="75"/>
        <v>5.1282051282059294E-4</v>
      </c>
      <c r="M278" s="17">
        <f t="shared" si="76"/>
        <v>2.027027027027024E-2</v>
      </c>
      <c r="N278" s="17">
        <f t="shared" si="77"/>
        <v>7.4835555612173376E-4</v>
      </c>
      <c r="O278" s="17">
        <f t="shared" si="78"/>
        <v>2.8322746134695717E-3</v>
      </c>
      <c r="P278" s="17">
        <f t="shared" si="79"/>
        <v>-5.9312014190455271E-4</v>
      </c>
      <c r="Q278" s="22">
        <f t="shared" si="80"/>
        <v>6.6754397195602673E-3</v>
      </c>
      <c r="R278" s="22">
        <f t="shared" si="81"/>
        <v>-2.9462982778593192E-2</v>
      </c>
      <c r="S278" s="22">
        <f t="shared" si="82"/>
        <v>-1.4435280780023967E-2</v>
      </c>
      <c r="T278" s="22">
        <f t="shared" si="83"/>
        <v>3.8136900358767465E-4</v>
      </c>
      <c r="U278" s="22">
        <f t="shared" si="84"/>
        <v>1.9577042323316477E-2</v>
      </c>
      <c r="V278" s="22">
        <f t="shared" si="85"/>
        <v>9.8295936562491407E-4</v>
      </c>
      <c r="W278" s="22">
        <f t="shared" si="86"/>
        <v>3.0865231675602746E-3</v>
      </c>
      <c r="X278" s="22">
        <f t="shared" si="87"/>
        <v>-2.7717575729821394E-4</v>
      </c>
    </row>
    <row r="279" spans="1:24" x14ac:dyDescent="0.35">
      <c r="A279" s="3">
        <v>12.41</v>
      </c>
      <c r="B279" s="3">
        <v>60.91</v>
      </c>
      <c r="C279" s="3">
        <v>131.68</v>
      </c>
      <c r="D279" s="3">
        <v>19.350000000000001</v>
      </c>
      <c r="E279" s="3">
        <v>45.94</v>
      </c>
      <c r="F279" s="3">
        <v>107.14667799999999</v>
      </c>
      <c r="G279" s="3">
        <v>102.293982</v>
      </c>
      <c r="H279" s="3">
        <v>102.274067</v>
      </c>
      <c r="I279" s="17">
        <f t="shared" si="72"/>
        <v>-3.1981279251170058E-2</v>
      </c>
      <c r="J279" s="17">
        <f t="shared" si="73"/>
        <v>-3.6386647682328813E-2</v>
      </c>
      <c r="K279" s="17">
        <f t="shared" si="74"/>
        <v>1.7855762541547516E-2</v>
      </c>
      <c r="L279" s="17">
        <f t="shared" si="75"/>
        <v>-8.2009226037929334E-3</v>
      </c>
      <c r="M279" s="17">
        <f t="shared" si="76"/>
        <v>1.4128035320088314E-2</v>
      </c>
      <c r="N279" s="17">
        <f t="shared" si="77"/>
        <v>1.3603783347455759E-3</v>
      </c>
      <c r="O279" s="17">
        <f t="shared" si="78"/>
        <v>1.4849870918319319E-3</v>
      </c>
      <c r="P279" s="17">
        <f t="shared" si="79"/>
        <v>4.0496531552338191E-3</v>
      </c>
      <c r="Q279" s="22">
        <f t="shared" si="80"/>
        <v>-3.2375753121554794E-2</v>
      </c>
      <c r="R279" s="22">
        <f t="shared" si="81"/>
        <v>-3.6817372396405978E-2</v>
      </c>
      <c r="S279" s="22">
        <f t="shared" si="82"/>
        <v>1.7443803154710068E-2</v>
      </c>
      <c r="T279" s="22">
        <f t="shared" si="83"/>
        <v>-8.3323741130258509E-3</v>
      </c>
      <c r="U279" s="22">
        <f t="shared" si="84"/>
        <v>1.3434807373134551E-2</v>
      </c>
      <c r="V279" s="22">
        <f t="shared" si="85"/>
        <v>1.5949821442487562E-3</v>
      </c>
      <c r="W279" s="22">
        <f t="shared" si="86"/>
        <v>1.7392356459226348E-3</v>
      </c>
      <c r="X279" s="22">
        <f t="shared" si="87"/>
        <v>4.3655975398401575E-3</v>
      </c>
    </row>
    <row r="280" spans="1:24" x14ac:dyDescent="0.35">
      <c r="A280" s="3">
        <v>12.33</v>
      </c>
      <c r="B280" s="3">
        <v>62.01</v>
      </c>
      <c r="C280" s="3">
        <v>130.18</v>
      </c>
      <c r="D280" s="3">
        <v>18.920000000000002</v>
      </c>
      <c r="E280" s="3">
        <v>46.25</v>
      </c>
      <c r="F280" s="3">
        <v>107.284864</v>
      </c>
      <c r="G280" s="3">
        <v>102.58328400000001</v>
      </c>
      <c r="H280" s="3">
        <v>102.37737799999999</v>
      </c>
      <c r="I280" s="17">
        <f t="shared" si="72"/>
        <v>-6.4464141821112065E-3</v>
      </c>
      <c r="J280" s="17">
        <f t="shared" si="73"/>
        <v>1.8059431948776909E-2</v>
      </c>
      <c r="K280" s="17">
        <f t="shared" si="74"/>
        <v>-1.1391251518833535E-2</v>
      </c>
      <c r="L280" s="17">
        <f t="shared" si="75"/>
        <v>-2.2222222222222206E-2</v>
      </c>
      <c r="M280" s="17">
        <f t="shared" si="76"/>
        <v>6.7479320853287396E-3</v>
      </c>
      <c r="N280" s="17">
        <f t="shared" si="77"/>
        <v>1.2896900079347733E-3</v>
      </c>
      <c r="O280" s="17">
        <f t="shared" si="78"/>
        <v>2.828142910694457E-3</v>
      </c>
      <c r="P280" s="17">
        <f t="shared" si="79"/>
        <v>1.0101387676310048E-3</v>
      </c>
      <c r="Q280" s="22">
        <f t="shared" si="80"/>
        <v>-6.8408880524959397E-3</v>
      </c>
      <c r="R280" s="22">
        <f t="shared" si="81"/>
        <v>1.7628707234699746E-2</v>
      </c>
      <c r="S280" s="22">
        <f t="shared" si="82"/>
        <v>-1.1803210905670982E-2</v>
      </c>
      <c r="T280" s="22">
        <f t="shared" si="83"/>
        <v>-2.2353673731455123E-2</v>
      </c>
      <c r="U280" s="22">
        <f t="shared" si="84"/>
        <v>6.0547041383749774E-3</v>
      </c>
      <c r="V280" s="22">
        <f t="shared" si="85"/>
        <v>1.5242938174379536E-3</v>
      </c>
      <c r="W280" s="22">
        <f t="shared" si="86"/>
        <v>3.0823914647851599E-3</v>
      </c>
      <c r="X280" s="22">
        <f t="shared" si="87"/>
        <v>1.3260831522373436E-3</v>
      </c>
    </row>
    <row r="281" spans="1:24" x14ac:dyDescent="0.35">
      <c r="A281" s="3">
        <v>12.23</v>
      </c>
      <c r="B281" s="3">
        <v>63.4</v>
      </c>
      <c r="C281" s="3">
        <v>135.38999999999999</v>
      </c>
      <c r="D281" s="3">
        <v>19.16</v>
      </c>
      <c r="E281" s="3">
        <v>47.09</v>
      </c>
      <c r="F281" s="3">
        <v>106.958277</v>
      </c>
      <c r="G281" s="3">
        <v>102.26950100000001</v>
      </c>
      <c r="H281" s="3">
        <v>102.15282500000001</v>
      </c>
      <c r="I281" s="17">
        <f t="shared" si="72"/>
        <v>-8.1103000811029724E-3</v>
      </c>
      <c r="J281" s="17">
        <f t="shared" si="73"/>
        <v>2.2415739396871481E-2</v>
      </c>
      <c r="K281" s="17">
        <f t="shared" si="74"/>
        <v>4.002150868028867E-2</v>
      </c>
      <c r="L281" s="17">
        <f t="shared" si="75"/>
        <v>1.2684989429175392E-2</v>
      </c>
      <c r="M281" s="17">
        <f t="shared" si="76"/>
        <v>1.8162162162162238E-2</v>
      </c>
      <c r="N281" s="17">
        <f t="shared" si="77"/>
        <v>-3.0441106771594874E-3</v>
      </c>
      <c r="O281" s="17">
        <f t="shared" si="78"/>
        <v>-3.0588121940022975E-3</v>
      </c>
      <c r="P281" s="17">
        <f t="shared" si="79"/>
        <v>-2.1933849487724331E-3</v>
      </c>
      <c r="Q281" s="22">
        <f t="shared" si="80"/>
        <v>-8.5047739514877065E-3</v>
      </c>
      <c r="R281" s="22">
        <f t="shared" si="81"/>
        <v>2.1985014682794318E-2</v>
      </c>
      <c r="S281" s="22">
        <f t="shared" si="82"/>
        <v>3.9609549293451222E-2</v>
      </c>
      <c r="T281" s="22">
        <f t="shared" si="83"/>
        <v>1.2553537919942475E-2</v>
      </c>
      <c r="U281" s="22">
        <f t="shared" si="84"/>
        <v>1.7468934215208475E-2</v>
      </c>
      <c r="V281" s="22">
        <f t="shared" si="85"/>
        <v>-2.8095068676563073E-3</v>
      </c>
      <c r="W281" s="22">
        <f t="shared" si="86"/>
        <v>-2.8045636399115946E-3</v>
      </c>
      <c r="X281" s="22">
        <f t="shared" si="87"/>
        <v>-1.8774405641660942E-3</v>
      </c>
    </row>
    <row r="282" spans="1:24" x14ac:dyDescent="0.35">
      <c r="A282" s="3">
        <v>12.47</v>
      </c>
      <c r="B282" s="3">
        <v>64.040000000000006</v>
      </c>
      <c r="C282" s="3">
        <v>134.26</v>
      </c>
      <c r="D282" s="3">
        <v>19.5</v>
      </c>
      <c r="E282" s="3">
        <v>47.18</v>
      </c>
      <c r="F282" s="3">
        <v>106.864425</v>
      </c>
      <c r="G282" s="3">
        <v>102.090484</v>
      </c>
      <c r="H282" s="3">
        <v>102.010716</v>
      </c>
      <c r="I282" s="17">
        <f t="shared" si="72"/>
        <v>1.962387571545382E-2</v>
      </c>
      <c r="J282" s="17">
        <f t="shared" si="73"/>
        <v>1.0094637223974884E-2</v>
      </c>
      <c r="K282" s="17">
        <f t="shared" si="74"/>
        <v>-8.3462589556096874E-3</v>
      </c>
      <c r="L282" s="17">
        <f t="shared" si="75"/>
        <v>1.7745302713987467E-2</v>
      </c>
      <c r="M282" s="17">
        <f t="shared" si="76"/>
        <v>1.9112338076023847E-3</v>
      </c>
      <c r="N282" s="17">
        <f t="shared" si="77"/>
        <v>-8.7746364874593369E-4</v>
      </c>
      <c r="O282" s="17">
        <f t="shared" si="78"/>
        <v>-1.7504436635512844E-3</v>
      </c>
      <c r="P282" s="17">
        <f t="shared" si="79"/>
        <v>-1.3911411652101145E-3</v>
      </c>
      <c r="Q282" s="22">
        <f t="shared" si="80"/>
        <v>1.9229401845069088E-2</v>
      </c>
      <c r="R282" s="22">
        <f t="shared" si="81"/>
        <v>9.6639125098977197E-3</v>
      </c>
      <c r="S282" s="22">
        <f t="shared" si="82"/>
        <v>-8.7582183424471348E-3</v>
      </c>
      <c r="T282" s="22">
        <f t="shared" si="83"/>
        <v>1.761385120475455E-2</v>
      </c>
      <c r="U282" s="22">
        <f t="shared" si="84"/>
        <v>1.2180058606486221E-3</v>
      </c>
      <c r="V282" s="22">
        <f t="shared" si="85"/>
        <v>-6.4285983924275338E-4</v>
      </c>
      <c r="W282" s="22">
        <f t="shared" si="86"/>
        <v>-1.4961951094605813E-3</v>
      </c>
      <c r="X282" s="22">
        <f t="shared" si="87"/>
        <v>-1.0751967806037757E-3</v>
      </c>
    </row>
    <row r="283" spans="1:24" x14ac:dyDescent="0.35">
      <c r="A283" s="3">
        <v>11.59</v>
      </c>
      <c r="B283" s="3">
        <v>63.44</v>
      </c>
      <c r="C283" s="3">
        <v>138.43</v>
      </c>
      <c r="D283" s="3">
        <v>18.649999999999999</v>
      </c>
      <c r="E283" s="3">
        <v>47.05</v>
      </c>
      <c r="F283" s="3">
        <v>106.52671100000001</v>
      </c>
      <c r="G283" s="3">
        <v>101.75557999999999</v>
      </c>
      <c r="H283" s="3">
        <v>101.911714</v>
      </c>
      <c r="I283" s="17">
        <f t="shared" si="72"/>
        <v>-7.0569366479550977E-2</v>
      </c>
      <c r="J283" s="17">
        <f t="shared" si="73"/>
        <v>-9.3691442848221184E-3</v>
      </c>
      <c r="K283" s="17">
        <f t="shared" si="74"/>
        <v>3.1059138984060899E-2</v>
      </c>
      <c r="L283" s="17">
        <f t="shared" si="75"/>
        <v>-4.3589743589743664E-2</v>
      </c>
      <c r="M283" s="17">
        <f t="shared" si="76"/>
        <v>-2.7554048325562222E-3</v>
      </c>
      <c r="N283" s="17">
        <f t="shared" si="77"/>
        <v>-3.1602097704637555E-3</v>
      </c>
      <c r="O283" s="17">
        <f t="shared" si="78"/>
        <v>-3.2804624572061853E-3</v>
      </c>
      <c r="P283" s="17">
        <f t="shared" si="79"/>
        <v>-9.7050588293095305E-4</v>
      </c>
      <c r="Q283" s="22">
        <f t="shared" si="80"/>
        <v>-7.0963840349935706E-2</v>
      </c>
      <c r="R283" s="22">
        <f t="shared" si="81"/>
        <v>-9.7998689988992825E-3</v>
      </c>
      <c r="S283" s="22">
        <f t="shared" si="82"/>
        <v>3.0647179597223451E-2</v>
      </c>
      <c r="T283" s="22">
        <f t="shared" si="83"/>
        <v>-4.3721195098976581E-2</v>
      </c>
      <c r="U283" s="22">
        <f t="shared" si="84"/>
        <v>-3.4486327795099849E-3</v>
      </c>
      <c r="V283" s="22">
        <f t="shared" si="85"/>
        <v>-2.9256059609605754E-3</v>
      </c>
      <c r="W283" s="22">
        <f t="shared" si="86"/>
        <v>-3.0262139031154824E-3</v>
      </c>
      <c r="X283" s="22">
        <f t="shared" si="87"/>
        <v>-6.5456149832461433E-4</v>
      </c>
    </row>
    <row r="284" spans="1:24" x14ac:dyDescent="0.35">
      <c r="A284" s="3">
        <v>11.56</v>
      </c>
      <c r="B284" s="3">
        <v>64.63</v>
      </c>
      <c r="C284" s="3">
        <v>139.19999999999999</v>
      </c>
      <c r="D284" s="3">
        <v>19.13</v>
      </c>
      <c r="E284" s="3">
        <v>46.38</v>
      </c>
      <c r="F284" s="3">
        <v>106.37647</v>
      </c>
      <c r="G284" s="3">
        <v>101.64451099999999</v>
      </c>
      <c r="H284" s="3">
        <v>101.446298</v>
      </c>
      <c r="I284" s="17">
        <f t="shared" si="72"/>
        <v>-2.5884383088869162E-3</v>
      </c>
      <c r="J284" s="17">
        <f t="shared" si="73"/>
        <v>1.8757881462799459E-2</v>
      </c>
      <c r="K284" s="17">
        <f t="shared" si="74"/>
        <v>5.5623780972331267E-3</v>
      </c>
      <c r="L284" s="17">
        <f t="shared" si="75"/>
        <v>2.5737265415549621E-2</v>
      </c>
      <c r="M284" s="17">
        <f t="shared" si="76"/>
        <v>-1.4240170031880864E-2</v>
      </c>
      <c r="N284" s="17">
        <f t="shared" si="77"/>
        <v>-1.4103598861698479E-3</v>
      </c>
      <c r="O284" s="17">
        <f t="shared" si="78"/>
        <v>-1.091527363904766E-3</v>
      </c>
      <c r="P284" s="17">
        <f t="shared" si="79"/>
        <v>-4.5668547974770076E-3</v>
      </c>
      <c r="Q284" s="22">
        <f t="shared" si="80"/>
        <v>-2.9829121792716495E-3</v>
      </c>
      <c r="R284" s="22">
        <f t="shared" si="81"/>
        <v>1.8327156748722297E-2</v>
      </c>
      <c r="S284" s="22">
        <f t="shared" si="82"/>
        <v>5.1504187103956801E-3</v>
      </c>
      <c r="T284" s="22">
        <f t="shared" si="83"/>
        <v>2.5605813906316704E-2</v>
      </c>
      <c r="U284" s="22">
        <f t="shared" si="84"/>
        <v>-1.4933397978834627E-2</v>
      </c>
      <c r="V284" s="22">
        <f t="shared" si="85"/>
        <v>-1.1757560766666676E-3</v>
      </c>
      <c r="W284" s="22">
        <f t="shared" si="86"/>
        <v>-8.3727880981406303E-4</v>
      </c>
      <c r="X284" s="22">
        <f t="shared" si="87"/>
        <v>-4.2509104128706692E-3</v>
      </c>
    </row>
    <row r="285" spans="1:24" x14ac:dyDescent="0.35">
      <c r="A285" s="3">
        <v>11.13</v>
      </c>
      <c r="B285" s="3">
        <v>62.9</v>
      </c>
      <c r="C285" s="3">
        <v>135.56</v>
      </c>
      <c r="D285" s="3">
        <v>18.899999999999999</v>
      </c>
      <c r="E285" s="3">
        <v>46.39</v>
      </c>
      <c r="F285" s="3">
        <v>106.341272</v>
      </c>
      <c r="G285" s="3">
        <v>101.599782</v>
      </c>
      <c r="H285" s="3">
        <v>101.30619299999999</v>
      </c>
      <c r="I285" s="17">
        <f t="shared" si="72"/>
        <v>-3.7197231833910008E-2</v>
      </c>
      <c r="J285" s="17">
        <f t="shared" si="73"/>
        <v>-2.676775491257925E-2</v>
      </c>
      <c r="K285" s="17">
        <f t="shared" si="74"/>
        <v>-2.6149425287356226E-2</v>
      </c>
      <c r="L285" s="17">
        <f t="shared" si="75"/>
        <v>-1.2023000522739176E-2</v>
      </c>
      <c r="M285" s="17">
        <f t="shared" si="76"/>
        <v>2.1561017680030208E-4</v>
      </c>
      <c r="N285" s="17">
        <f t="shared" si="77"/>
        <v>-3.3088144398845033E-4</v>
      </c>
      <c r="O285" s="17">
        <f t="shared" si="78"/>
        <v>-4.400532754787869E-4</v>
      </c>
      <c r="P285" s="17">
        <f t="shared" si="79"/>
        <v>-1.381075532199366E-3</v>
      </c>
      <c r="Q285" s="22">
        <f t="shared" si="80"/>
        <v>-3.7591705704294744E-2</v>
      </c>
      <c r="R285" s="22">
        <f t="shared" si="81"/>
        <v>-2.7198479626656412E-2</v>
      </c>
      <c r="S285" s="22">
        <f t="shared" si="82"/>
        <v>-2.6561384674193673E-2</v>
      </c>
      <c r="T285" s="22">
        <f t="shared" si="83"/>
        <v>-1.2154452031972093E-2</v>
      </c>
      <c r="U285" s="22">
        <f t="shared" si="84"/>
        <v>-4.7761777015346043E-4</v>
      </c>
      <c r="V285" s="22">
        <f t="shared" si="85"/>
        <v>-9.6277634485270042E-5</v>
      </c>
      <c r="W285" s="22">
        <f t="shared" si="86"/>
        <v>-1.858047213880839E-4</v>
      </c>
      <c r="X285" s="22">
        <f t="shared" si="87"/>
        <v>-1.0651311475930272E-3</v>
      </c>
    </row>
    <row r="286" spans="1:24" x14ac:dyDescent="0.35">
      <c r="A286" s="3">
        <v>11.68</v>
      </c>
      <c r="B286" s="3">
        <v>63.07</v>
      </c>
      <c r="C286" s="3">
        <v>137.38999999999999</v>
      </c>
      <c r="D286" s="3">
        <v>19.09</v>
      </c>
      <c r="E286" s="3">
        <v>46.28</v>
      </c>
      <c r="F286" s="3">
        <v>106.19168000000001</v>
      </c>
      <c r="G286" s="3">
        <v>101.42321800000001</v>
      </c>
      <c r="H286" s="3">
        <v>100.925409</v>
      </c>
      <c r="I286" s="17">
        <f t="shared" si="72"/>
        <v>4.9415992812219131E-2</v>
      </c>
      <c r="J286" s="17">
        <f t="shared" si="73"/>
        <v>2.7027027027027297E-3</v>
      </c>
      <c r="K286" s="17">
        <f t="shared" si="74"/>
        <v>1.3499557391560816E-2</v>
      </c>
      <c r="L286" s="17">
        <f t="shared" si="75"/>
        <v>1.0052910052910121E-2</v>
      </c>
      <c r="M286" s="17">
        <f t="shared" si="76"/>
        <v>-2.3712006898038247E-3</v>
      </c>
      <c r="N286" s="17">
        <f t="shared" si="77"/>
        <v>-1.4067162935572032E-3</v>
      </c>
      <c r="O286" s="17">
        <f t="shared" si="78"/>
        <v>-1.7378383744957155E-3</v>
      </c>
      <c r="P286" s="17">
        <f t="shared" si="79"/>
        <v>-3.7587435547991759E-3</v>
      </c>
      <c r="Q286" s="22">
        <f t="shared" si="80"/>
        <v>4.9021518941834395E-2</v>
      </c>
      <c r="R286" s="22">
        <f t="shared" si="81"/>
        <v>2.2719779886255661E-3</v>
      </c>
      <c r="S286" s="22">
        <f t="shared" si="82"/>
        <v>1.3087598004723368E-2</v>
      </c>
      <c r="T286" s="22">
        <f t="shared" si="83"/>
        <v>9.9214585436772033E-3</v>
      </c>
      <c r="U286" s="22">
        <f t="shared" si="84"/>
        <v>-3.0644286367575873E-3</v>
      </c>
      <c r="V286" s="22">
        <f t="shared" si="85"/>
        <v>-1.1721124840540229E-3</v>
      </c>
      <c r="W286" s="22">
        <f t="shared" si="86"/>
        <v>-1.4835898204050126E-3</v>
      </c>
      <c r="X286" s="22">
        <f t="shared" si="87"/>
        <v>-3.4427991701928371E-3</v>
      </c>
    </row>
    <row r="287" spans="1:24" x14ac:dyDescent="0.35">
      <c r="A287" s="3">
        <v>11.67</v>
      </c>
      <c r="B287" s="3">
        <v>63.22</v>
      </c>
      <c r="C287" s="3">
        <v>136.97</v>
      </c>
      <c r="D287" s="3">
        <v>19.239999999999998</v>
      </c>
      <c r="E287" s="3">
        <v>46.17</v>
      </c>
      <c r="F287" s="3">
        <v>106.328346</v>
      </c>
      <c r="G287" s="3">
        <v>101.57656</v>
      </c>
      <c r="H287" s="3">
        <v>101.027173</v>
      </c>
      <c r="I287" s="17">
        <f t="shared" si="72"/>
        <v>-8.5616438356162557E-4</v>
      </c>
      <c r="J287" s="17">
        <f t="shared" si="73"/>
        <v>2.378309814491812E-3</v>
      </c>
      <c r="K287" s="17">
        <f t="shared" si="74"/>
        <v>-3.0569910473832707E-3</v>
      </c>
      <c r="L287" s="17">
        <f t="shared" si="75"/>
        <v>7.8575170246201458E-3</v>
      </c>
      <c r="M287" s="17">
        <f t="shared" si="76"/>
        <v>-2.3768366464995555E-3</v>
      </c>
      <c r="N287" s="17">
        <f t="shared" si="77"/>
        <v>1.286974648107941E-3</v>
      </c>
      <c r="O287" s="17">
        <f t="shared" si="78"/>
        <v>1.5119023338422861E-3</v>
      </c>
      <c r="P287" s="17">
        <f t="shared" si="79"/>
        <v>1.0083090176033159E-3</v>
      </c>
      <c r="Q287" s="22">
        <f t="shared" si="80"/>
        <v>-1.2506382539463588E-3</v>
      </c>
      <c r="R287" s="22">
        <f t="shared" si="81"/>
        <v>1.9475851004146485E-3</v>
      </c>
      <c r="S287" s="22">
        <f t="shared" si="82"/>
        <v>-3.4689504342207177E-3</v>
      </c>
      <c r="T287" s="22">
        <f t="shared" si="83"/>
        <v>7.7260655153872275E-3</v>
      </c>
      <c r="U287" s="22">
        <f t="shared" si="84"/>
        <v>-3.0700645934533181E-3</v>
      </c>
      <c r="V287" s="22">
        <f t="shared" si="85"/>
        <v>1.5215784576111213E-3</v>
      </c>
      <c r="W287" s="22">
        <f t="shared" si="86"/>
        <v>1.766150887932989E-3</v>
      </c>
      <c r="X287" s="22">
        <f t="shared" si="87"/>
        <v>1.3242534022096547E-3</v>
      </c>
    </row>
    <row r="288" spans="1:24" x14ac:dyDescent="0.35">
      <c r="A288" s="3">
        <v>11.5</v>
      </c>
      <c r="B288" s="3">
        <v>63.75</v>
      </c>
      <c r="C288" s="3">
        <v>133.19</v>
      </c>
      <c r="D288" s="3">
        <v>18.75</v>
      </c>
      <c r="E288" s="3">
        <v>46.6</v>
      </c>
      <c r="F288" s="3">
        <v>106.33776899999999</v>
      </c>
      <c r="G288" s="3">
        <v>101.574912</v>
      </c>
      <c r="H288" s="3">
        <v>101.25240599999999</v>
      </c>
      <c r="I288" s="17">
        <f t="shared" si="72"/>
        <v>-1.4567266495287055E-2</v>
      </c>
      <c r="J288" s="17">
        <f t="shared" si="73"/>
        <v>8.3834229674153923E-3</v>
      </c>
      <c r="K288" s="17">
        <f t="shared" si="74"/>
        <v>-2.7597284076805149E-2</v>
      </c>
      <c r="L288" s="17">
        <f t="shared" si="75"/>
        <v>-2.5467775467775389E-2</v>
      </c>
      <c r="M288" s="17">
        <f t="shared" si="76"/>
        <v>9.3134069742256808E-3</v>
      </c>
      <c r="N288" s="17">
        <f t="shared" si="77"/>
        <v>8.8621711467214804E-5</v>
      </c>
      <c r="O288" s="17">
        <f t="shared" si="78"/>
        <v>-1.6224215508016617E-5</v>
      </c>
      <c r="P288" s="17">
        <f t="shared" si="79"/>
        <v>2.2294298980333606E-3</v>
      </c>
      <c r="Q288" s="22">
        <f t="shared" si="80"/>
        <v>-1.4961740365671789E-2</v>
      </c>
      <c r="R288" s="22">
        <f t="shared" si="81"/>
        <v>7.9526982533382282E-3</v>
      </c>
      <c r="S288" s="22">
        <f t="shared" si="82"/>
        <v>-2.8009243463642596E-2</v>
      </c>
      <c r="T288" s="22">
        <f t="shared" si="83"/>
        <v>-2.5599226977008307E-2</v>
      </c>
      <c r="U288" s="22">
        <f t="shared" si="84"/>
        <v>8.6201790272719177E-3</v>
      </c>
      <c r="V288" s="22">
        <f t="shared" si="85"/>
        <v>3.2322552097039509E-4</v>
      </c>
      <c r="W288" s="22">
        <f t="shared" si="86"/>
        <v>2.3802433858268639E-4</v>
      </c>
      <c r="X288" s="22">
        <f t="shared" si="87"/>
        <v>2.5453742826396994E-3</v>
      </c>
    </row>
    <row r="289" spans="1:24" x14ac:dyDescent="0.35">
      <c r="A289" s="3">
        <v>11.42</v>
      </c>
      <c r="B289" s="3">
        <v>64.81</v>
      </c>
      <c r="C289" s="3">
        <v>130.25</v>
      </c>
      <c r="D289" s="3">
        <v>18.489999999999998</v>
      </c>
      <c r="E289" s="3">
        <v>46.01</v>
      </c>
      <c r="F289" s="3">
        <v>106.474384</v>
      </c>
      <c r="G289" s="3">
        <v>101.72826499999999</v>
      </c>
      <c r="H289" s="3">
        <v>101.193501</v>
      </c>
      <c r="I289" s="17">
        <f t="shared" si="72"/>
        <v>-6.9565217391304411E-3</v>
      </c>
      <c r="J289" s="17">
        <f t="shared" si="73"/>
        <v>1.6627450980392193E-2</v>
      </c>
      <c r="K289" s="17">
        <f t="shared" si="74"/>
        <v>-2.2073729258953359E-2</v>
      </c>
      <c r="L289" s="17">
        <f t="shared" si="75"/>
        <v>-1.3866666666666749E-2</v>
      </c>
      <c r="M289" s="17">
        <f t="shared" si="76"/>
        <v>-1.2660944206008657E-2</v>
      </c>
      <c r="N289" s="17">
        <f t="shared" si="77"/>
        <v>1.28472697222006E-3</v>
      </c>
      <c r="O289" s="17">
        <f t="shared" si="78"/>
        <v>1.5097527231920775E-3</v>
      </c>
      <c r="P289" s="17">
        <f t="shared" si="79"/>
        <v>-5.8176395334245956E-4</v>
      </c>
      <c r="Q289" s="22">
        <f t="shared" si="80"/>
        <v>-7.3509956095151744E-3</v>
      </c>
      <c r="R289" s="22">
        <f t="shared" si="81"/>
        <v>1.6196726266315031E-2</v>
      </c>
      <c r="S289" s="22">
        <f t="shared" si="82"/>
        <v>-2.2485688645790806E-2</v>
      </c>
      <c r="T289" s="22">
        <f t="shared" si="83"/>
        <v>-1.3998118175899667E-2</v>
      </c>
      <c r="U289" s="22">
        <f t="shared" si="84"/>
        <v>-1.335417215296242E-2</v>
      </c>
      <c r="V289" s="22">
        <f t="shared" si="85"/>
        <v>1.5193307817232403E-3</v>
      </c>
      <c r="W289" s="22">
        <f t="shared" si="86"/>
        <v>1.7640012772827804E-3</v>
      </c>
      <c r="X289" s="22">
        <f t="shared" si="87"/>
        <v>-2.6581956873612079E-4</v>
      </c>
    </row>
    <row r="290" spans="1:24" x14ac:dyDescent="0.35">
      <c r="A290" s="3">
        <v>11.34</v>
      </c>
      <c r="B290" s="3">
        <v>64.69</v>
      </c>
      <c r="C290" s="3">
        <v>131.41</v>
      </c>
      <c r="D290" s="3">
        <v>18.27</v>
      </c>
      <c r="E290" s="3">
        <v>44.99</v>
      </c>
      <c r="F290" s="3">
        <v>106.496585</v>
      </c>
      <c r="G290" s="3">
        <v>101.74969400000001</v>
      </c>
      <c r="H290" s="3">
        <v>101.215008</v>
      </c>
      <c r="I290" s="17">
        <f t="shared" si="72"/>
        <v>-7.0052539404553476E-3</v>
      </c>
      <c r="J290" s="17">
        <f t="shared" si="73"/>
        <v>-1.8515661163401411E-3</v>
      </c>
      <c r="K290" s="17">
        <f t="shared" si="74"/>
        <v>8.9059500959692631E-3</v>
      </c>
      <c r="L290" s="17">
        <f t="shared" si="75"/>
        <v>-1.1898323418063758E-2</v>
      </c>
      <c r="M290" s="17">
        <f t="shared" si="76"/>
        <v>-2.2169093675287896E-2</v>
      </c>
      <c r="N290" s="17">
        <f t="shared" si="77"/>
        <v>2.0851024599490028E-4</v>
      </c>
      <c r="O290" s="17">
        <f t="shared" si="78"/>
        <v>2.1064941980492748E-4</v>
      </c>
      <c r="P290" s="17">
        <f t="shared" si="79"/>
        <v>2.1253341160713197E-4</v>
      </c>
      <c r="Q290" s="22">
        <f t="shared" si="80"/>
        <v>-7.3997278108400809E-3</v>
      </c>
      <c r="R290" s="22">
        <f t="shared" si="81"/>
        <v>-2.2822908304173046E-3</v>
      </c>
      <c r="S290" s="22">
        <f t="shared" si="82"/>
        <v>8.4939907091318156E-3</v>
      </c>
      <c r="T290" s="22">
        <f t="shared" si="83"/>
        <v>-1.2029774927296675E-2</v>
      </c>
      <c r="U290" s="22">
        <f t="shared" si="84"/>
        <v>-2.2862321622241659E-2</v>
      </c>
      <c r="V290" s="22">
        <f t="shared" si="85"/>
        <v>4.4311405549808056E-4</v>
      </c>
      <c r="W290" s="22">
        <f t="shared" si="86"/>
        <v>4.6489797389563051E-4</v>
      </c>
      <c r="X290" s="22">
        <f t="shared" si="87"/>
        <v>5.2847779621347077E-4</v>
      </c>
    </row>
    <row r="291" spans="1:24" x14ac:dyDescent="0.35">
      <c r="A291" s="3">
        <v>11.28</v>
      </c>
      <c r="B291" s="3">
        <v>65.489999999999995</v>
      </c>
      <c r="C291" s="3">
        <v>132.78</v>
      </c>
      <c r="D291" s="3">
        <v>18.670000000000002</v>
      </c>
      <c r="E291" s="3">
        <v>44.34</v>
      </c>
      <c r="F291" s="3">
        <v>106.461612</v>
      </c>
      <c r="G291" s="3">
        <v>101.771128</v>
      </c>
      <c r="H291" s="3">
        <v>101.316895</v>
      </c>
      <c r="I291" s="17">
        <f t="shared" si="72"/>
        <v>-5.2910052910053349E-3</v>
      </c>
      <c r="J291" s="17">
        <f t="shared" si="73"/>
        <v>1.2366671819446548E-2</v>
      </c>
      <c r="K291" s="17">
        <f t="shared" si="74"/>
        <v>1.042538619587554E-2</v>
      </c>
      <c r="L291" s="17">
        <f t="shared" si="75"/>
        <v>2.1893814997263391E-2</v>
      </c>
      <c r="M291" s="17">
        <f t="shared" si="76"/>
        <v>-1.4447655034452068E-2</v>
      </c>
      <c r="N291" s="17">
        <f t="shared" si="77"/>
        <v>-3.283955067666602E-4</v>
      </c>
      <c r="O291" s="17">
        <f t="shared" si="78"/>
        <v>2.1065419616887778E-4</v>
      </c>
      <c r="P291" s="17">
        <f t="shared" si="79"/>
        <v>1.0066392525504217E-3</v>
      </c>
      <c r="Q291" s="22">
        <f t="shared" si="80"/>
        <v>-5.6854791613900682E-3</v>
      </c>
      <c r="R291" s="22">
        <f t="shared" si="81"/>
        <v>1.1935947105369384E-2</v>
      </c>
      <c r="S291" s="22">
        <f t="shared" si="82"/>
        <v>1.0013426809038092E-2</v>
      </c>
      <c r="T291" s="22">
        <f t="shared" si="83"/>
        <v>2.1762363488030474E-2</v>
      </c>
      <c r="U291" s="22">
        <f t="shared" si="84"/>
        <v>-1.5140882981405831E-2</v>
      </c>
      <c r="V291" s="22">
        <f t="shared" si="85"/>
        <v>-9.3791697263479915E-5</v>
      </c>
      <c r="W291" s="22">
        <f t="shared" si="86"/>
        <v>4.6490275025958081E-4</v>
      </c>
      <c r="X291" s="22">
        <f t="shared" si="87"/>
        <v>1.3225836371567605E-3</v>
      </c>
    </row>
    <row r="292" spans="1:24" x14ac:dyDescent="0.35">
      <c r="A292" s="3">
        <v>10.52</v>
      </c>
      <c r="B292" s="3">
        <v>62.66</v>
      </c>
      <c r="C292" s="3">
        <v>128.16999999999999</v>
      </c>
      <c r="D292" s="3">
        <v>18.22</v>
      </c>
      <c r="E292" s="3">
        <v>43.63</v>
      </c>
      <c r="F292" s="3">
        <v>105.971142</v>
      </c>
      <c r="G292" s="3">
        <v>101.135685</v>
      </c>
      <c r="H292" s="3">
        <v>101.09756299999999</v>
      </c>
      <c r="I292" s="17">
        <f t="shared" si="72"/>
        <v>-6.7375886524822681E-2</v>
      </c>
      <c r="J292" s="17">
        <f t="shared" si="73"/>
        <v>-4.3212704229653356E-2</v>
      </c>
      <c r="K292" s="17">
        <f t="shared" si="74"/>
        <v>-3.4719084199427729E-2</v>
      </c>
      <c r="L292" s="17">
        <f t="shared" si="75"/>
        <v>-2.4102838778789652E-2</v>
      </c>
      <c r="M292" s="17">
        <f t="shared" si="76"/>
        <v>-1.6012629679747425E-2</v>
      </c>
      <c r="N292" s="17">
        <f t="shared" si="77"/>
        <v>-4.607012713653086E-3</v>
      </c>
      <c r="O292" s="17">
        <f t="shared" si="78"/>
        <v>-6.2438435388080717E-3</v>
      </c>
      <c r="P292" s="17">
        <f t="shared" si="79"/>
        <v>-2.1648117029248529E-3</v>
      </c>
      <c r="Q292" s="22">
        <f t="shared" si="80"/>
        <v>-6.777036039520741E-2</v>
      </c>
      <c r="R292" s="22">
        <f t="shared" si="81"/>
        <v>-4.3643428943730522E-2</v>
      </c>
      <c r="S292" s="22">
        <f t="shared" si="82"/>
        <v>-3.5131043586265176E-2</v>
      </c>
      <c r="T292" s="22">
        <f t="shared" si="83"/>
        <v>-2.423429028802257E-2</v>
      </c>
      <c r="U292" s="22">
        <f t="shared" si="84"/>
        <v>-1.6705857626701189E-2</v>
      </c>
      <c r="V292" s="22">
        <f t="shared" si="85"/>
        <v>-4.3724089041499055E-3</v>
      </c>
      <c r="W292" s="22">
        <f t="shared" si="86"/>
        <v>-5.9895949847173684E-3</v>
      </c>
      <c r="X292" s="22">
        <f t="shared" si="87"/>
        <v>-1.848867318318514E-3</v>
      </c>
    </row>
    <row r="293" spans="1:24" x14ac:dyDescent="0.35">
      <c r="A293" s="3">
        <v>10.4</v>
      </c>
      <c r="B293" s="3">
        <v>62.36</v>
      </c>
      <c r="C293" s="3">
        <v>129.59</v>
      </c>
      <c r="D293" s="3">
        <v>18.22</v>
      </c>
      <c r="E293" s="3">
        <v>42.49</v>
      </c>
      <c r="F293" s="3">
        <v>105.868247</v>
      </c>
      <c r="G293" s="3">
        <v>100.939378</v>
      </c>
      <c r="H293" s="3">
        <v>100.84242399999999</v>
      </c>
      <c r="I293" s="17">
        <f t="shared" si="72"/>
        <v>-1.1406844106463804E-2</v>
      </c>
      <c r="J293" s="17">
        <f t="shared" si="73"/>
        <v>-4.7877433769549504E-3</v>
      </c>
      <c r="K293" s="17">
        <f t="shared" si="74"/>
        <v>1.1079035655769806E-2</v>
      </c>
      <c r="L293" s="17">
        <f t="shared" si="75"/>
        <v>0</v>
      </c>
      <c r="M293" s="17">
        <f t="shared" si="76"/>
        <v>-2.6128810451524192E-2</v>
      </c>
      <c r="N293" s="17">
        <f t="shared" si="77"/>
        <v>-9.7097188968675769E-4</v>
      </c>
      <c r="O293" s="17">
        <f t="shared" si="78"/>
        <v>-1.9410260582107121E-3</v>
      </c>
      <c r="P293" s="17">
        <f t="shared" si="79"/>
        <v>-2.5236909024206628E-3</v>
      </c>
      <c r="Q293" s="22">
        <f t="shared" si="80"/>
        <v>-1.1801317976848538E-2</v>
      </c>
      <c r="R293" s="22">
        <f t="shared" si="81"/>
        <v>-5.2184680910321137E-3</v>
      </c>
      <c r="S293" s="22">
        <f t="shared" si="82"/>
        <v>1.0667076268932358E-2</v>
      </c>
      <c r="T293" s="22">
        <f t="shared" si="83"/>
        <v>-1.3145150923291827E-4</v>
      </c>
      <c r="U293" s="22">
        <f t="shared" si="84"/>
        <v>-2.6822038398477955E-2</v>
      </c>
      <c r="V293" s="22">
        <f t="shared" si="85"/>
        <v>-7.3636808018357738E-4</v>
      </c>
      <c r="W293" s="22">
        <f t="shared" si="86"/>
        <v>-1.6867775041200092E-3</v>
      </c>
      <c r="X293" s="22">
        <f t="shared" si="87"/>
        <v>-2.207746517814324E-3</v>
      </c>
    </row>
    <row r="294" spans="1:24" x14ac:dyDescent="0.35">
      <c r="A294" s="3">
        <v>10.56</v>
      </c>
      <c r="B294" s="3">
        <v>64.349999999999994</v>
      </c>
      <c r="C294" s="3">
        <v>132.19999999999999</v>
      </c>
      <c r="D294" s="3">
        <v>18.38</v>
      </c>
      <c r="E294" s="3">
        <v>46.24</v>
      </c>
      <c r="F294" s="3">
        <v>106.117434</v>
      </c>
      <c r="G294" s="3">
        <v>101.222013</v>
      </c>
      <c r="H294" s="3">
        <v>100.387022</v>
      </c>
      <c r="I294" s="17">
        <f t="shared" si="72"/>
        <v>1.5384615384615398E-2</v>
      </c>
      <c r="J294" s="17">
        <f t="shared" si="73"/>
        <v>3.1911481719050588E-2</v>
      </c>
      <c r="K294" s="17">
        <f t="shared" si="74"/>
        <v>2.0140442935411569E-2</v>
      </c>
      <c r="L294" s="17">
        <f t="shared" si="75"/>
        <v>8.7815587266739936E-3</v>
      </c>
      <c r="M294" s="17">
        <f t="shared" si="76"/>
        <v>8.8256060249470455E-2</v>
      </c>
      <c r="N294" s="17">
        <f t="shared" si="77"/>
        <v>2.3537463504048222E-3</v>
      </c>
      <c r="O294" s="17">
        <f t="shared" si="78"/>
        <v>2.8000469747297141E-3</v>
      </c>
      <c r="P294" s="17">
        <f t="shared" si="79"/>
        <v>-4.515976331548638E-3</v>
      </c>
      <c r="Q294" s="22">
        <f t="shared" si="80"/>
        <v>1.4990141514230663E-2</v>
      </c>
      <c r="R294" s="22">
        <f t="shared" si="81"/>
        <v>3.1480757004973423E-2</v>
      </c>
      <c r="S294" s="22">
        <f t="shared" si="82"/>
        <v>1.9728483548574122E-2</v>
      </c>
      <c r="T294" s="22">
        <f t="shared" si="83"/>
        <v>8.6501072174410762E-3</v>
      </c>
      <c r="U294" s="22">
        <f t="shared" si="84"/>
        <v>8.7562832302516699E-2</v>
      </c>
      <c r="V294" s="22">
        <f t="shared" si="85"/>
        <v>2.5883501599080023E-3</v>
      </c>
      <c r="W294" s="22">
        <f t="shared" si="86"/>
        <v>3.054295528820417E-3</v>
      </c>
      <c r="X294" s="22">
        <f t="shared" si="87"/>
        <v>-4.2000319469422997E-3</v>
      </c>
    </row>
    <row r="295" spans="1:24" x14ac:dyDescent="0.35">
      <c r="A295" s="3">
        <v>10.52</v>
      </c>
      <c r="B295" s="3">
        <v>63.07</v>
      </c>
      <c r="C295" s="3">
        <v>138.54</v>
      </c>
      <c r="D295" s="3">
        <v>18.510000000000002</v>
      </c>
      <c r="E295" s="3">
        <v>44.36</v>
      </c>
      <c r="F295" s="3">
        <v>105.96974899999999</v>
      </c>
      <c r="G295" s="3">
        <v>101.113026</v>
      </c>
      <c r="H295" s="3">
        <v>100.64675699999999</v>
      </c>
      <c r="I295" s="17">
        <f t="shared" si="72"/>
        <v>-3.7878787878788752E-3</v>
      </c>
      <c r="J295" s="17">
        <f t="shared" si="73"/>
        <v>-1.9891219891219801E-2</v>
      </c>
      <c r="K295" s="17">
        <f t="shared" si="74"/>
        <v>4.7957639939485659E-2</v>
      </c>
      <c r="L295" s="17">
        <f t="shared" si="75"/>
        <v>7.0729053318826203E-3</v>
      </c>
      <c r="M295" s="17">
        <f t="shared" si="76"/>
        <v>-4.0657439446366836E-2</v>
      </c>
      <c r="N295" s="17">
        <f t="shared" si="77"/>
        <v>-1.391712882918087E-3</v>
      </c>
      <c r="O295" s="17">
        <f t="shared" si="78"/>
        <v>-1.0767124340828813E-3</v>
      </c>
      <c r="P295" s="17">
        <f t="shared" si="79"/>
        <v>2.5873364387678723E-3</v>
      </c>
      <c r="Q295" s="22">
        <f t="shared" si="80"/>
        <v>-4.1823526582636088E-3</v>
      </c>
      <c r="R295" s="22">
        <f t="shared" si="81"/>
        <v>-2.0321944605296963E-2</v>
      </c>
      <c r="S295" s="22">
        <f t="shared" si="82"/>
        <v>4.7545680552648212E-2</v>
      </c>
      <c r="T295" s="22">
        <f t="shared" si="83"/>
        <v>6.941453822649702E-3</v>
      </c>
      <c r="U295" s="22">
        <f t="shared" si="84"/>
        <v>-4.1350667393320599E-2</v>
      </c>
      <c r="V295" s="22">
        <f t="shared" si="85"/>
        <v>-1.1571090734149067E-3</v>
      </c>
      <c r="W295" s="22">
        <f t="shared" si="86"/>
        <v>-8.2246387999217825E-4</v>
      </c>
      <c r="X295" s="22">
        <f t="shared" si="87"/>
        <v>2.9032808233742111E-3</v>
      </c>
    </row>
    <row r="296" spans="1:24" x14ac:dyDescent="0.35">
      <c r="A296" s="3">
        <v>10.41</v>
      </c>
      <c r="B296" s="3">
        <v>62.33</v>
      </c>
      <c r="C296" s="3">
        <v>137.51</v>
      </c>
      <c r="D296" s="3">
        <v>18.93</v>
      </c>
      <c r="E296" s="3">
        <v>45.93</v>
      </c>
      <c r="F296" s="3">
        <v>105.65319599999999</v>
      </c>
      <c r="G296" s="3">
        <v>100.54987199999999</v>
      </c>
      <c r="H296" s="3">
        <v>100.114148</v>
      </c>
      <c r="I296" s="17">
        <f t="shared" si="72"/>
        <v>-1.0456273764258502E-2</v>
      </c>
      <c r="J296" s="17">
        <f t="shared" si="73"/>
        <v>-1.1732995084826415E-2</v>
      </c>
      <c r="K296" s="17">
        <f t="shared" si="74"/>
        <v>-7.4346759058755681E-3</v>
      </c>
      <c r="L296" s="17">
        <f t="shared" si="75"/>
        <v>2.2690437601296496E-2</v>
      </c>
      <c r="M296" s="17">
        <f t="shared" si="76"/>
        <v>3.5392245266005415E-2</v>
      </c>
      <c r="N296" s="17">
        <f t="shared" si="77"/>
        <v>-2.9872015644766604E-3</v>
      </c>
      <c r="O296" s="17">
        <f t="shared" si="78"/>
        <v>-5.5695494663567033E-3</v>
      </c>
      <c r="P296" s="17">
        <f t="shared" si="79"/>
        <v>-5.291864495941918E-3</v>
      </c>
      <c r="Q296" s="22">
        <f t="shared" si="80"/>
        <v>-1.0850747634643236E-2</v>
      </c>
      <c r="R296" s="22">
        <f t="shared" si="81"/>
        <v>-1.2163719798903579E-2</v>
      </c>
      <c r="S296" s="22">
        <f t="shared" si="82"/>
        <v>-7.8466352927130147E-3</v>
      </c>
      <c r="T296" s="22">
        <f t="shared" si="83"/>
        <v>2.2558986092063579E-2</v>
      </c>
      <c r="U296" s="22">
        <f t="shared" si="84"/>
        <v>3.4699017319051652E-2</v>
      </c>
      <c r="V296" s="22">
        <f t="shared" si="85"/>
        <v>-2.7525977549734803E-3</v>
      </c>
      <c r="W296" s="22">
        <f t="shared" si="86"/>
        <v>-5.315300912266E-3</v>
      </c>
      <c r="X296" s="22">
        <f t="shared" si="87"/>
        <v>-4.9759201113355796E-3</v>
      </c>
    </row>
    <row r="297" spans="1:24" x14ac:dyDescent="0.35">
      <c r="A297" s="3">
        <v>10.55</v>
      </c>
      <c r="B297" s="3">
        <v>61.9</v>
      </c>
      <c r="C297" s="3">
        <v>130.34</v>
      </c>
      <c r="D297" s="3">
        <v>19.21</v>
      </c>
      <c r="E297" s="3">
        <v>46.16</v>
      </c>
      <c r="F297" s="3">
        <v>105.675735</v>
      </c>
      <c r="G297" s="3">
        <v>100.701159</v>
      </c>
      <c r="H297" s="3">
        <v>99.664193999999995</v>
      </c>
      <c r="I297" s="17">
        <f t="shared" si="72"/>
        <v>1.3448607108549527E-2</v>
      </c>
      <c r="J297" s="17">
        <f t="shared" si="73"/>
        <v>-6.8987646398203069E-3</v>
      </c>
      <c r="K297" s="17">
        <f t="shared" si="74"/>
        <v>-5.2141662424550851E-2</v>
      </c>
      <c r="L297" s="17">
        <f t="shared" si="75"/>
        <v>1.4791336502905501E-2</v>
      </c>
      <c r="M297" s="17">
        <f t="shared" si="76"/>
        <v>5.0076202917482444E-3</v>
      </c>
      <c r="N297" s="17">
        <f t="shared" si="77"/>
        <v>2.1333003499495623E-4</v>
      </c>
      <c r="O297" s="17">
        <f t="shared" si="78"/>
        <v>1.5045966443399412E-3</v>
      </c>
      <c r="P297" s="17">
        <f t="shared" si="79"/>
        <v>-4.4944097211915071E-3</v>
      </c>
      <c r="Q297" s="22">
        <f t="shared" si="80"/>
        <v>1.3054133238164792E-2</v>
      </c>
      <c r="R297" s="22">
        <f t="shared" si="81"/>
        <v>-7.3294893538974702E-3</v>
      </c>
      <c r="S297" s="22">
        <f t="shared" si="82"/>
        <v>-5.2553621811388299E-2</v>
      </c>
      <c r="T297" s="22">
        <f t="shared" si="83"/>
        <v>1.4659884993672583E-2</v>
      </c>
      <c r="U297" s="22">
        <f t="shared" si="84"/>
        <v>4.3143923447944823E-3</v>
      </c>
      <c r="V297" s="22">
        <f t="shared" si="85"/>
        <v>4.4793384449813654E-4</v>
      </c>
      <c r="W297" s="22">
        <f t="shared" si="86"/>
        <v>1.7588451984306441E-3</v>
      </c>
      <c r="X297" s="22">
        <f t="shared" si="87"/>
        <v>-4.1784653365851687E-3</v>
      </c>
    </row>
    <row r="298" spans="1:24" x14ac:dyDescent="0.35">
      <c r="A298" s="3">
        <v>10.57</v>
      </c>
      <c r="B298" s="3">
        <v>59.21</v>
      </c>
      <c r="C298" s="3">
        <v>133.78</v>
      </c>
      <c r="D298" s="3">
        <v>19.22</v>
      </c>
      <c r="E298" s="3">
        <v>47.61</v>
      </c>
      <c r="F298" s="3">
        <v>105.51842000000001</v>
      </c>
      <c r="G298" s="3">
        <v>100.378607</v>
      </c>
      <c r="H298" s="3">
        <v>99.729508999999993</v>
      </c>
      <c r="I298" s="17">
        <f t="shared" si="72"/>
        <v>1.8957345971563576E-3</v>
      </c>
      <c r="J298" s="17">
        <f t="shared" si="73"/>
        <v>-4.3457189014539543E-2</v>
      </c>
      <c r="K298" s="17">
        <f t="shared" si="74"/>
        <v>2.6392511891974817E-2</v>
      </c>
      <c r="L298" s="17">
        <f t="shared" si="75"/>
        <v>5.2056220718365491E-4</v>
      </c>
      <c r="M298" s="17">
        <f t="shared" si="76"/>
        <v>3.1412478336221898E-2</v>
      </c>
      <c r="N298" s="17">
        <f t="shared" si="77"/>
        <v>-1.4886577320706309E-3</v>
      </c>
      <c r="O298" s="17">
        <f t="shared" si="78"/>
        <v>-3.2030614463931018E-3</v>
      </c>
      <c r="P298" s="17">
        <f t="shared" si="79"/>
        <v>6.5535070699511444E-4</v>
      </c>
      <c r="Q298" s="22">
        <f t="shared" si="80"/>
        <v>1.5012607267716244E-3</v>
      </c>
      <c r="R298" s="22">
        <f t="shared" si="81"/>
        <v>-4.3887913728616709E-2</v>
      </c>
      <c r="S298" s="22">
        <f t="shared" si="82"/>
        <v>2.598055250513737E-2</v>
      </c>
      <c r="T298" s="22">
        <f t="shared" si="83"/>
        <v>3.8911069795073661E-4</v>
      </c>
      <c r="U298" s="22">
        <f t="shared" si="84"/>
        <v>3.0719250389268135E-2</v>
      </c>
      <c r="V298" s="22">
        <f t="shared" si="85"/>
        <v>-1.2540539225674506E-3</v>
      </c>
      <c r="W298" s="22">
        <f t="shared" si="86"/>
        <v>-2.9488128923023989E-3</v>
      </c>
      <c r="X298" s="22">
        <f t="shared" si="87"/>
        <v>9.7129509160145326E-4</v>
      </c>
    </row>
    <row r="299" spans="1:24" x14ac:dyDescent="0.35">
      <c r="A299" s="3">
        <v>10.029999999999999</v>
      </c>
      <c r="B299" s="3">
        <v>57.44</v>
      </c>
      <c r="C299" s="3">
        <v>133.38</v>
      </c>
      <c r="D299" s="3">
        <v>19.34</v>
      </c>
      <c r="E299" s="3">
        <v>47.04</v>
      </c>
      <c r="F299" s="3">
        <v>105.093092</v>
      </c>
      <c r="G299" s="3">
        <v>99.950615999999997</v>
      </c>
      <c r="H299" s="3">
        <v>99.360772999999995</v>
      </c>
      <c r="I299" s="17">
        <f t="shared" si="72"/>
        <v>-5.1087984862819388E-2</v>
      </c>
      <c r="J299" s="17">
        <f t="shared" si="73"/>
        <v>-2.9893599054213866E-2</v>
      </c>
      <c r="K299" s="17">
        <f t="shared" si="74"/>
        <v>-2.9899835550904895E-3</v>
      </c>
      <c r="L299" s="17">
        <f t="shared" si="75"/>
        <v>6.2434963579605096E-3</v>
      </c>
      <c r="M299" s="17">
        <f t="shared" si="76"/>
        <v>-1.1972274732199124E-2</v>
      </c>
      <c r="N299" s="17">
        <f t="shared" si="77"/>
        <v>-4.0308412502765628E-3</v>
      </c>
      <c r="O299" s="17">
        <f t="shared" si="78"/>
        <v>-4.2637670793738529E-3</v>
      </c>
      <c r="P299" s="17">
        <f t="shared" si="79"/>
        <v>-3.6973610288204509E-3</v>
      </c>
      <c r="Q299" s="22">
        <f t="shared" si="80"/>
        <v>-5.1482458733204124E-2</v>
      </c>
      <c r="R299" s="22">
        <f t="shared" si="81"/>
        <v>-3.0324323768291028E-2</v>
      </c>
      <c r="S299" s="22">
        <f t="shared" si="82"/>
        <v>-3.4019429419279365E-3</v>
      </c>
      <c r="T299" s="22">
        <f t="shared" si="83"/>
        <v>6.1120448487275913E-3</v>
      </c>
      <c r="U299" s="22">
        <f t="shared" si="84"/>
        <v>-1.2665502679152887E-2</v>
      </c>
      <c r="V299" s="22">
        <f t="shared" si="85"/>
        <v>-3.7962374407733827E-3</v>
      </c>
      <c r="W299" s="22">
        <f t="shared" si="86"/>
        <v>-4.0095185252831496E-3</v>
      </c>
      <c r="X299" s="22">
        <f t="shared" si="87"/>
        <v>-3.3814166442141121E-3</v>
      </c>
    </row>
    <row r="300" spans="1:24" x14ac:dyDescent="0.35">
      <c r="A300" s="3">
        <v>9.5399999999999991</v>
      </c>
      <c r="B300" s="3">
        <v>53.2</v>
      </c>
      <c r="C300" s="3">
        <v>131.79</v>
      </c>
      <c r="D300" s="3">
        <v>19.38</v>
      </c>
      <c r="E300" s="3">
        <v>44.09</v>
      </c>
      <c r="F300" s="3">
        <v>103.841914</v>
      </c>
      <c r="G300" s="3">
        <v>98.450564999999997</v>
      </c>
      <c r="H300" s="3">
        <v>99.071752000000004</v>
      </c>
      <c r="I300" s="17">
        <f t="shared" si="72"/>
        <v>-4.885343968095715E-2</v>
      </c>
      <c r="J300" s="17">
        <f t="shared" si="73"/>
        <v>-7.3816155988857851E-2</v>
      </c>
      <c r="K300" s="17">
        <f t="shared" si="74"/>
        <v>-1.192082771030142E-2</v>
      </c>
      <c r="L300" s="17">
        <f t="shared" si="75"/>
        <v>2.0682523267838235E-3</v>
      </c>
      <c r="M300" s="17">
        <f t="shared" si="76"/>
        <v>-6.2712585034013515E-2</v>
      </c>
      <c r="N300" s="17">
        <f t="shared" si="77"/>
        <v>-1.1905425715326712E-2</v>
      </c>
      <c r="O300" s="17">
        <f t="shared" si="78"/>
        <v>-1.5007921511959458E-2</v>
      </c>
      <c r="P300" s="17">
        <f t="shared" si="79"/>
        <v>-2.9088038596478218E-3</v>
      </c>
      <c r="Q300" s="22">
        <f t="shared" si="80"/>
        <v>-4.9247913551341886E-2</v>
      </c>
      <c r="R300" s="22">
        <f t="shared" si="81"/>
        <v>-7.4246880702935017E-2</v>
      </c>
      <c r="S300" s="22">
        <f t="shared" si="82"/>
        <v>-1.2332787097138868E-2</v>
      </c>
      <c r="T300" s="22">
        <f t="shared" si="83"/>
        <v>1.9368008175509053E-3</v>
      </c>
      <c r="U300" s="22">
        <f t="shared" si="84"/>
        <v>-6.3405812980967272E-2</v>
      </c>
      <c r="V300" s="22">
        <f t="shared" si="85"/>
        <v>-1.1670821905823532E-2</v>
      </c>
      <c r="W300" s="22">
        <f t="shared" si="86"/>
        <v>-1.4753672957868755E-2</v>
      </c>
      <c r="X300" s="22">
        <f t="shared" si="87"/>
        <v>-2.592859475041483E-3</v>
      </c>
    </row>
    <row r="301" spans="1:24" x14ac:dyDescent="0.35">
      <c r="A301" s="3">
        <v>10.29</v>
      </c>
      <c r="B301" s="3">
        <v>54.21</v>
      </c>
      <c r="C301" s="3">
        <v>136.04</v>
      </c>
      <c r="D301" s="3">
        <v>20.02</v>
      </c>
      <c r="E301" s="3">
        <v>44.21</v>
      </c>
      <c r="F301" s="3">
        <v>102.990786</v>
      </c>
      <c r="G301" s="3">
        <v>97.723355999999995</v>
      </c>
      <c r="H301" s="3">
        <v>97.483759000000006</v>
      </c>
      <c r="I301" s="17">
        <f t="shared" si="72"/>
        <v>7.8616352201257872E-2</v>
      </c>
      <c r="J301" s="17">
        <f t="shared" si="73"/>
        <v>1.8984962406015E-2</v>
      </c>
      <c r="K301" s="17">
        <f t="shared" si="74"/>
        <v>3.2248273768874729E-2</v>
      </c>
      <c r="L301" s="17">
        <f t="shared" si="75"/>
        <v>3.3023735810113551E-2</v>
      </c>
      <c r="M301" s="17">
        <f t="shared" si="76"/>
        <v>2.7217056021773063E-3</v>
      </c>
      <c r="N301" s="17">
        <f t="shared" si="77"/>
        <v>-8.1963820505080703E-3</v>
      </c>
      <c r="O301" s="17">
        <f t="shared" si="78"/>
        <v>-7.3865396303210854E-3</v>
      </c>
      <c r="P301" s="17">
        <f t="shared" si="79"/>
        <v>-1.602871623790399E-2</v>
      </c>
      <c r="Q301" s="22">
        <f t="shared" si="80"/>
        <v>7.8221878330873143E-2</v>
      </c>
      <c r="R301" s="22">
        <f t="shared" si="81"/>
        <v>1.8554237691937838E-2</v>
      </c>
      <c r="S301" s="22">
        <f t="shared" si="82"/>
        <v>3.1836314382037281E-2</v>
      </c>
      <c r="T301" s="22">
        <f t="shared" si="83"/>
        <v>3.2892284300880634E-2</v>
      </c>
      <c r="U301" s="22">
        <f t="shared" si="84"/>
        <v>2.0284776552235437E-3</v>
      </c>
      <c r="V301" s="22">
        <f t="shared" si="85"/>
        <v>-7.9617782410048906E-3</v>
      </c>
      <c r="W301" s="22">
        <f t="shared" si="86"/>
        <v>-7.1322910762303821E-3</v>
      </c>
      <c r="X301" s="22">
        <f t="shared" si="87"/>
        <v>-1.5712771853297652E-2</v>
      </c>
    </row>
    <row r="302" spans="1:24" x14ac:dyDescent="0.35">
      <c r="A302" s="3">
        <v>10.47</v>
      </c>
      <c r="B302" s="3">
        <v>56.46</v>
      </c>
      <c r="C302" s="3">
        <v>139.91</v>
      </c>
      <c r="D302" s="3">
        <v>19.86</v>
      </c>
      <c r="E302" s="3">
        <v>44.95</v>
      </c>
      <c r="F302" s="3">
        <v>103.55929500000001</v>
      </c>
      <c r="G302" s="3">
        <v>98.369589000000005</v>
      </c>
      <c r="H302" s="3">
        <v>96.527528000000004</v>
      </c>
      <c r="I302" s="17">
        <f t="shared" si="72"/>
        <v>1.7492711370262537E-2</v>
      </c>
      <c r="J302" s="17">
        <f t="shared" si="73"/>
        <v>4.1505257332595462E-2</v>
      </c>
      <c r="K302" s="17">
        <f t="shared" si="74"/>
        <v>2.8447515436636317E-2</v>
      </c>
      <c r="L302" s="17">
        <f t="shared" si="75"/>
        <v>-7.9920079920079989E-3</v>
      </c>
      <c r="M302" s="17">
        <f t="shared" si="76"/>
        <v>1.673829450350604E-2</v>
      </c>
      <c r="N302" s="17">
        <f t="shared" si="77"/>
        <v>5.519998653083451E-3</v>
      </c>
      <c r="O302" s="17">
        <f t="shared" si="78"/>
        <v>6.6128817761846965E-3</v>
      </c>
      <c r="P302" s="17">
        <f t="shared" si="79"/>
        <v>-9.8091313856701248E-3</v>
      </c>
      <c r="Q302" s="22">
        <f t="shared" si="80"/>
        <v>1.7098237499877805E-2</v>
      </c>
      <c r="R302" s="22">
        <f t="shared" si="81"/>
        <v>4.1074532618518296E-2</v>
      </c>
      <c r="S302" s="22">
        <f t="shared" si="82"/>
        <v>2.803555604979887E-2</v>
      </c>
      <c r="T302" s="22">
        <f t="shared" si="83"/>
        <v>-8.1234595012409164E-3</v>
      </c>
      <c r="U302" s="22">
        <f t="shared" si="84"/>
        <v>1.6045066556552277E-2</v>
      </c>
      <c r="V302" s="22">
        <f t="shared" si="85"/>
        <v>5.7546024625866315E-3</v>
      </c>
      <c r="W302" s="22">
        <f t="shared" si="86"/>
        <v>6.8671303302753998E-3</v>
      </c>
      <c r="X302" s="22">
        <f t="shared" si="87"/>
        <v>-9.4931870010637864E-3</v>
      </c>
    </row>
    <row r="303" spans="1:24" x14ac:dyDescent="0.35">
      <c r="A303" s="3">
        <v>9.98</v>
      </c>
      <c r="B303" s="3">
        <v>57.1</v>
      </c>
      <c r="C303" s="3">
        <v>136.66</v>
      </c>
      <c r="D303" s="3">
        <v>19.809999999999999</v>
      </c>
      <c r="E303" s="3">
        <v>47.05</v>
      </c>
      <c r="F303" s="3">
        <v>102.70523300000001</v>
      </c>
      <c r="G303" s="3">
        <v>97.503020000000006</v>
      </c>
      <c r="H303" s="3">
        <v>97.194309000000004</v>
      </c>
      <c r="I303" s="17">
        <f t="shared" si="72"/>
        <v>-4.6800382043935072E-2</v>
      </c>
      <c r="J303" s="17">
        <f t="shared" si="73"/>
        <v>1.1335458731845565E-2</v>
      </c>
      <c r="K303" s="17">
        <f t="shared" si="74"/>
        <v>-2.3229218783503681E-2</v>
      </c>
      <c r="L303" s="17">
        <f t="shared" si="75"/>
        <v>-2.5176233635448497E-3</v>
      </c>
      <c r="M303" s="17">
        <f t="shared" si="76"/>
        <v>4.6718576195772951E-2</v>
      </c>
      <c r="N303" s="17">
        <f t="shared" si="77"/>
        <v>-8.2470820219469332E-3</v>
      </c>
      <c r="O303" s="17">
        <f t="shared" si="78"/>
        <v>-8.8093180911836318E-3</v>
      </c>
      <c r="P303" s="17">
        <f t="shared" si="79"/>
        <v>6.9076771550598522E-3</v>
      </c>
      <c r="Q303" s="22">
        <f t="shared" si="80"/>
        <v>-4.7194855914319808E-2</v>
      </c>
      <c r="R303" s="22">
        <f t="shared" si="81"/>
        <v>1.0904734017768401E-2</v>
      </c>
      <c r="S303" s="22">
        <f t="shared" si="82"/>
        <v>-2.3641178170341129E-2</v>
      </c>
      <c r="T303" s="22">
        <f t="shared" si="83"/>
        <v>-2.649074872777768E-3</v>
      </c>
      <c r="U303" s="22">
        <f t="shared" si="84"/>
        <v>4.6025348248819188E-2</v>
      </c>
      <c r="V303" s="22">
        <f t="shared" si="85"/>
        <v>-8.0124782124437535E-3</v>
      </c>
      <c r="W303" s="22">
        <f t="shared" si="86"/>
        <v>-8.5550695370929294E-3</v>
      </c>
      <c r="X303" s="22">
        <f t="shared" si="87"/>
        <v>7.2236215396661906E-3</v>
      </c>
    </row>
    <row r="304" spans="1:24" x14ac:dyDescent="0.35">
      <c r="A304" s="3">
        <v>10.1</v>
      </c>
      <c r="B304" s="3">
        <v>56.65</v>
      </c>
      <c r="C304" s="3">
        <v>140.16</v>
      </c>
      <c r="D304" s="3">
        <v>19.920000000000002</v>
      </c>
      <c r="E304" s="3">
        <v>48.85</v>
      </c>
      <c r="F304" s="3">
        <v>102.674741</v>
      </c>
      <c r="G304" s="3">
        <v>97.587305000000001</v>
      </c>
      <c r="H304" s="3">
        <v>96.467089999999999</v>
      </c>
      <c r="I304" s="17">
        <f t="shared" si="72"/>
        <v>1.2024048096192307E-2</v>
      </c>
      <c r="J304" s="17">
        <f t="shared" si="73"/>
        <v>-7.8809106830123096E-3</v>
      </c>
      <c r="K304" s="17">
        <f t="shared" si="74"/>
        <v>2.5611005414898289E-2</v>
      </c>
      <c r="L304" s="17">
        <f t="shared" si="75"/>
        <v>5.5527511357901559E-3</v>
      </c>
      <c r="M304" s="17">
        <f t="shared" si="76"/>
        <v>3.8257173219978839E-2</v>
      </c>
      <c r="N304" s="17">
        <f t="shared" si="77"/>
        <v>-2.968884750011668E-4</v>
      </c>
      <c r="O304" s="17">
        <f t="shared" si="78"/>
        <v>8.6443476314881495E-4</v>
      </c>
      <c r="P304" s="17">
        <f t="shared" si="79"/>
        <v>-7.4821150279488604E-3</v>
      </c>
      <c r="Q304" s="22">
        <f t="shared" si="80"/>
        <v>1.1629574225807572E-2</v>
      </c>
      <c r="R304" s="22">
        <f t="shared" si="81"/>
        <v>-8.3116353970894737E-3</v>
      </c>
      <c r="S304" s="22">
        <f t="shared" si="82"/>
        <v>2.5199046028060841E-2</v>
      </c>
      <c r="T304" s="22">
        <f t="shared" si="83"/>
        <v>5.4212996265572376E-3</v>
      </c>
      <c r="U304" s="22">
        <f t="shared" si="84"/>
        <v>3.7563945273025076E-2</v>
      </c>
      <c r="V304" s="22">
        <f t="shared" si="85"/>
        <v>-6.2284665497986514E-5</v>
      </c>
      <c r="W304" s="22">
        <f t="shared" si="86"/>
        <v>1.1186833172395179E-3</v>
      </c>
      <c r="X304" s="22">
        <f t="shared" si="87"/>
        <v>-7.166170643342522E-3</v>
      </c>
    </row>
    <row r="305" spans="1:24" x14ac:dyDescent="0.35">
      <c r="A305" s="3">
        <v>9.9600000000000009</v>
      </c>
      <c r="B305" s="3">
        <v>55.2</v>
      </c>
      <c r="C305" s="3">
        <v>141.19999999999999</v>
      </c>
      <c r="D305" s="3">
        <v>19.600000000000001</v>
      </c>
      <c r="E305" s="3">
        <v>48.47</v>
      </c>
      <c r="F305" s="3">
        <v>101.999892</v>
      </c>
      <c r="G305" s="3">
        <v>96.687629999999999</v>
      </c>
      <c r="H305" s="3">
        <v>96.414833000000002</v>
      </c>
      <c r="I305" s="17">
        <f t="shared" si="72"/>
        <v>-1.3861386138613742E-2</v>
      </c>
      <c r="J305" s="17">
        <f t="shared" si="73"/>
        <v>-2.5595763459841055E-2</v>
      </c>
      <c r="K305" s="17">
        <f t="shared" si="74"/>
        <v>7.4200913242008565E-3</v>
      </c>
      <c r="L305" s="17">
        <f t="shared" si="75"/>
        <v>-1.6064257028112462E-2</v>
      </c>
      <c r="M305" s="17">
        <f t="shared" si="76"/>
        <v>-7.7789150460594175E-3</v>
      </c>
      <c r="N305" s="17">
        <f t="shared" si="77"/>
        <v>-6.5726876291803326E-3</v>
      </c>
      <c r="O305" s="17">
        <f t="shared" si="78"/>
        <v>-9.2191807120813717E-3</v>
      </c>
      <c r="P305" s="17">
        <f t="shared" si="79"/>
        <v>-5.4170805815742279E-4</v>
      </c>
      <c r="Q305" s="22">
        <f t="shared" si="80"/>
        <v>-1.4255860008998476E-2</v>
      </c>
      <c r="R305" s="22">
        <f t="shared" si="81"/>
        <v>-2.6026488173918217E-2</v>
      </c>
      <c r="S305" s="22">
        <f t="shared" si="82"/>
        <v>7.0081319373634099E-3</v>
      </c>
      <c r="T305" s="22">
        <f t="shared" si="83"/>
        <v>-1.619570853734538E-2</v>
      </c>
      <c r="U305" s="22">
        <f t="shared" si="84"/>
        <v>-8.4721429930131806E-3</v>
      </c>
      <c r="V305" s="22">
        <f t="shared" si="85"/>
        <v>-6.3380838196771521E-3</v>
      </c>
      <c r="W305" s="22">
        <f t="shared" si="86"/>
        <v>-8.9649321579906693E-3</v>
      </c>
      <c r="X305" s="22">
        <f t="shared" si="87"/>
        <v>-2.2576367355108402E-4</v>
      </c>
    </row>
    <row r="306" spans="1:24" x14ac:dyDescent="0.35">
      <c r="A306" s="3">
        <v>10.3</v>
      </c>
      <c r="B306" s="3">
        <v>56.27</v>
      </c>
      <c r="C306" s="3">
        <v>139.94999999999999</v>
      </c>
      <c r="D306" s="3">
        <v>19.809999999999999</v>
      </c>
      <c r="E306" s="3">
        <v>49.1</v>
      </c>
      <c r="F306" s="3">
        <v>101.91674500000001</v>
      </c>
      <c r="G306" s="3">
        <v>96.527237</v>
      </c>
      <c r="H306" s="3">
        <v>95.476164999999995</v>
      </c>
      <c r="I306" s="17">
        <f t="shared" si="72"/>
        <v>3.4136546184738936E-2</v>
      </c>
      <c r="J306" s="17">
        <f t="shared" si="73"/>
        <v>1.9384057971014498E-2</v>
      </c>
      <c r="K306" s="17">
        <f t="shared" si="74"/>
        <v>-8.8526912181303118E-3</v>
      </c>
      <c r="L306" s="17">
        <f t="shared" si="75"/>
        <v>1.0714285714285576E-2</v>
      </c>
      <c r="M306" s="17">
        <f t="shared" si="76"/>
        <v>1.2997730554982517E-2</v>
      </c>
      <c r="N306" s="17">
        <f t="shared" si="77"/>
        <v>-8.1516752978519574E-4</v>
      </c>
      <c r="O306" s="17">
        <f t="shared" si="78"/>
        <v>-1.6588781832794859E-3</v>
      </c>
      <c r="P306" s="17">
        <f t="shared" si="79"/>
        <v>-9.7357218883530813E-3</v>
      </c>
      <c r="Q306" s="22">
        <f t="shared" si="80"/>
        <v>3.37420723143542E-2</v>
      </c>
      <c r="R306" s="22">
        <f t="shared" si="81"/>
        <v>1.8953333256937335E-2</v>
      </c>
      <c r="S306" s="22">
        <f t="shared" si="82"/>
        <v>-9.2646506049677592E-3</v>
      </c>
      <c r="T306" s="22">
        <f t="shared" si="83"/>
        <v>1.0582834205052658E-2</v>
      </c>
      <c r="U306" s="22">
        <f t="shared" si="84"/>
        <v>1.2304502608028754E-2</v>
      </c>
      <c r="V306" s="22">
        <f t="shared" si="85"/>
        <v>-5.8056372028201543E-4</v>
      </c>
      <c r="W306" s="22">
        <f t="shared" si="86"/>
        <v>-1.4046296291887828E-3</v>
      </c>
      <c r="X306" s="22">
        <f t="shared" si="87"/>
        <v>-9.4197775037467429E-3</v>
      </c>
    </row>
    <row r="307" spans="1:24" x14ac:dyDescent="0.35">
      <c r="A307" s="3">
        <v>10.6</v>
      </c>
      <c r="B307" s="3">
        <v>58.67</v>
      </c>
      <c r="C307" s="3">
        <v>142.11000000000001</v>
      </c>
      <c r="D307" s="3">
        <v>20.100000000000001</v>
      </c>
      <c r="E307" s="3">
        <v>49.24</v>
      </c>
      <c r="F307" s="3">
        <v>102.15431599999999</v>
      </c>
      <c r="G307" s="3">
        <v>96.855095000000006</v>
      </c>
      <c r="H307" s="3">
        <v>95.498519000000002</v>
      </c>
      <c r="I307" s="17">
        <f t="shared" si="72"/>
        <v>2.9126213592232903E-2</v>
      </c>
      <c r="J307" s="17">
        <f t="shared" si="73"/>
        <v>4.265150168828858E-2</v>
      </c>
      <c r="K307" s="17">
        <f t="shared" si="74"/>
        <v>1.5434083601286354E-2</v>
      </c>
      <c r="L307" s="17">
        <f t="shared" si="75"/>
        <v>1.4639071176173787E-2</v>
      </c>
      <c r="M307" s="17">
        <f t="shared" si="76"/>
        <v>2.8513238289205817E-3</v>
      </c>
      <c r="N307" s="17">
        <f t="shared" si="77"/>
        <v>2.3310300971639982E-3</v>
      </c>
      <c r="O307" s="17">
        <f t="shared" si="78"/>
        <v>3.3965335607814631E-3</v>
      </c>
      <c r="P307" s="17">
        <f t="shared" si="79"/>
        <v>2.3413173329707044E-4</v>
      </c>
      <c r="Q307" s="22">
        <f t="shared" si="80"/>
        <v>2.8731739721848171E-2</v>
      </c>
      <c r="R307" s="22">
        <f t="shared" si="81"/>
        <v>4.2220776974211414E-2</v>
      </c>
      <c r="S307" s="22">
        <f t="shared" si="82"/>
        <v>1.5022124214448906E-2</v>
      </c>
      <c r="T307" s="22">
        <f t="shared" si="83"/>
        <v>1.450761966694087E-2</v>
      </c>
      <c r="U307" s="22">
        <f t="shared" si="84"/>
        <v>2.1580958819668191E-3</v>
      </c>
      <c r="V307" s="22">
        <f t="shared" si="85"/>
        <v>2.5656339066671783E-3</v>
      </c>
      <c r="W307" s="22">
        <f t="shared" si="86"/>
        <v>3.650782114872166E-3</v>
      </c>
      <c r="X307" s="22">
        <f t="shared" si="87"/>
        <v>5.5007611790340919E-4</v>
      </c>
    </row>
    <row r="308" spans="1:24" x14ac:dyDescent="0.35">
      <c r="A308" s="3">
        <v>10.65</v>
      </c>
      <c r="B308" s="3">
        <v>58.72</v>
      </c>
      <c r="C308" s="3">
        <v>149.97</v>
      </c>
      <c r="D308" s="3">
        <v>20.38</v>
      </c>
      <c r="E308" s="3">
        <v>49.77</v>
      </c>
      <c r="F308" s="3">
        <v>102.409717</v>
      </c>
      <c r="G308" s="3">
        <v>97.251777000000004</v>
      </c>
      <c r="H308" s="3">
        <v>96.177391</v>
      </c>
      <c r="I308" s="17">
        <f t="shared" si="72"/>
        <v>4.7169811320755392E-3</v>
      </c>
      <c r="J308" s="17">
        <f t="shared" si="73"/>
        <v>8.5222430543714265E-4</v>
      </c>
      <c r="K308" s="17">
        <f t="shared" si="74"/>
        <v>5.5309267468862042E-2</v>
      </c>
      <c r="L308" s="17">
        <f t="shared" si="75"/>
        <v>1.3930348258706347E-2</v>
      </c>
      <c r="M308" s="17">
        <f t="shared" si="76"/>
        <v>1.0763606823720575E-2</v>
      </c>
      <c r="N308" s="17">
        <f t="shared" si="77"/>
        <v>2.5001488923875347E-3</v>
      </c>
      <c r="O308" s="17">
        <f t="shared" si="78"/>
        <v>4.0956234672011671E-3</v>
      </c>
      <c r="P308" s="17">
        <f t="shared" si="79"/>
        <v>7.1087175707928866E-3</v>
      </c>
      <c r="Q308" s="22">
        <f t="shared" si="80"/>
        <v>4.3225072616908059E-3</v>
      </c>
      <c r="R308" s="22">
        <f t="shared" si="81"/>
        <v>4.2149959135997914E-4</v>
      </c>
      <c r="S308" s="22">
        <f t="shared" si="82"/>
        <v>5.4897308082024594E-2</v>
      </c>
      <c r="T308" s="22">
        <f t="shared" si="83"/>
        <v>1.3798896749473429E-2</v>
      </c>
      <c r="U308" s="22">
        <f t="shared" si="84"/>
        <v>1.0070378876766812E-2</v>
      </c>
      <c r="V308" s="22">
        <f t="shared" si="85"/>
        <v>2.7347527018907148E-3</v>
      </c>
      <c r="W308" s="22">
        <f t="shared" si="86"/>
        <v>4.3498720212918705E-3</v>
      </c>
      <c r="X308" s="22">
        <f t="shared" si="87"/>
        <v>7.4246619553992249E-3</v>
      </c>
    </row>
    <row r="309" spans="1:24" x14ac:dyDescent="0.35">
      <c r="A309" s="3">
        <v>10.81</v>
      </c>
      <c r="B309" s="3">
        <v>57.98</v>
      </c>
      <c r="C309" s="3">
        <v>160.93</v>
      </c>
      <c r="D309" s="3">
        <v>20.329999999999998</v>
      </c>
      <c r="E309" s="3">
        <v>49.94</v>
      </c>
      <c r="F309" s="3">
        <v>103.132775</v>
      </c>
      <c r="G309" s="3">
        <v>98.138503999999998</v>
      </c>
      <c r="H309" s="3">
        <v>97.243329000000003</v>
      </c>
      <c r="I309" s="17">
        <f t="shared" si="72"/>
        <v>1.5023474178403769E-2</v>
      </c>
      <c r="J309" s="17">
        <f t="shared" si="73"/>
        <v>-1.2602179836512295E-2</v>
      </c>
      <c r="K309" s="17">
        <f t="shared" si="74"/>
        <v>7.3081282923251376E-2</v>
      </c>
      <c r="L309" s="17">
        <f t="shared" si="75"/>
        <v>-2.453385672227709E-3</v>
      </c>
      <c r="M309" s="17">
        <f t="shared" si="76"/>
        <v>3.4157122764716615E-3</v>
      </c>
      <c r="N309" s="17">
        <f t="shared" si="77"/>
        <v>7.0604432975827349E-3</v>
      </c>
      <c r="O309" s="17">
        <f t="shared" si="78"/>
        <v>9.117848818330521E-3</v>
      </c>
      <c r="P309" s="17">
        <f t="shared" si="79"/>
        <v>1.1083041335567137E-2</v>
      </c>
      <c r="Q309" s="22">
        <f t="shared" si="80"/>
        <v>1.4629000308019035E-2</v>
      </c>
      <c r="R309" s="22">
        <f t="shared" si="81"/>
        <v>-1.3032904550589459E-2</v>
      </c>
      <c r="S309" s="22">
        <f t="shared" si="82"/>
        <v>7.2669323536413935E-2</v>
      </c>
      <c r="T309" s="22">
        <f t="shared" si="83"/>
        <v>-2.5848371814606273E-3</v>
      </c>
      <c r="U309" s="22">
        <f t="shared" si="84"/>
        <v>2.7224843295178989E-3</v>
      </c>
      <c r="V309" s="22">
        <f t="shared" si="85"/>
        <v>7.2950471070859155E-3</v>
      </c>
      <c r="W309" s="22">
        <f t="shared" si="86"/>
        <v>9.3720973724212234E-3</v>
      </c>
      <c r="X309" s="22">
        <f t="shared" si="87"/>
        <v>1.1398985720173475E-2</v>
      </c>
    </row>
    <row r="310" spans="1:24" x14ac:dyDescent="0.35">
      <c r="A310" s="3">
        <v>10.76</v>
      </c>
      <c r="B310" s="3">
        <v>59.29</v>
      </c>
      <c r="C310" s="3">
        <v>149.34</v>
      </c>
      <c r="D310" s="3">
        <v>20.83</v>
      </c>
      <c r="E310" s="3">
        <v>49.74</v>
      </c>
      <c r="F310" s="3">
        <v>102.61788199999999</v>
      </c>
      <c r="G310" s="3">
        <v>97.727645999999993</v>
      </c>
      <c r="H310" s="3">
        <v>98.553989999999999</v>
      </c>
      <c r="I310" s="17">
        <f t="shared" si="72"/>
        <v>-4.6253469010176422E-3</v>
      </c>
      <c r="J310" s="17">
        <f t="shared" si="73"/>
        <v>2.2593997930320842E-2</v>
      </c>
      <c r="K310" s="17">
        <f t="shared" si="74"/>
        <v>-7.2018890200708396E-2</v>
      </c>
      <c r="L310" s="17">
        <f t="shared" si="75"/>
        <v>2.4594195769798328E-2</v>
      </c>
      <c r="M310" s="17">
        <f t="shared" si="76"/>
        <v>-4.0048057669202193E-3</v>
      </c>
      <c r="N310" s="17">
        <f t="shared" si="77"/>
        <v>-4.9925254120234885E-3</v>
      </c>
      <c r="O310" s="17">
        <f t="shared" si="78"/>
        <v>-4.1865117487424166E-3</v>
      </c>
      <c r="P310" s="17">
        <f t="shared" si="79"/>
        <v>1.3478158486326565E-2</v>
      </c>
      <c r="Q310" s="22">
        <f t="shared" si="80"/>
        <v>-5.0198207714023755E-3</v>
      </c>
      <c r="R310" s="22">
        <f t="shared" si="81"/>
        <v>2.216327321624368E-2</v>
      </c>
      <c r="S310" s="22">
        <f t="shared" si="82"/>
        <v>-7.2430849587545837E-2</v>
      </c>
      <c r="T310" s="22">
        <f t="shared" si="83"/>
        <v>2.4462744260565411E-2</v>
      </c>
      <c r="U310" s="22">
        <f t="shared" si="84"/>
        <v>-4.6980337138739815E-3</v>
      </c>
      <c r="V310" s="22">
        <f t="shared" si="85"/>
        <v>-4.757921602520308E-3</v>
      </c>
      <c r="W310" s="22">
        <f t="shared" si="86"/>
        <v>-3.9322631946517132E-3</v>
      </c>
      <c r="X310" s="22">
        <f t="shared" si="87"/>
        <v>1.3794102870932903E-2</v>
      </c>
    </row>
    <row r="311" spans="1:24" x14ac:dyDescent="0.35">
      <c r="A311" s="3">
        <v>10.58</v>
      </c>
      <c r="B311" s="3">
        <v>57.49</v>
      </c>
      <c r="C311" s="3">
        <v>148.82</v>
      </c>
      <c r="D311" s="3">
        <v>20.73</v>
      </c>
      <c r="E311" s="3">
        <v>48.18</v>
      </c>
      <c r="F311" s="3">
        <v>102.587903</v>
      </c>
      <c r="G311" s="3">
        <v>98.183314999999993</v>
      </c>
      <c r="H311" s="3">
        <v>97.287729999999996</v>
      </c>
      <c r="I311" s="17">
        <f t="shared" si="72"/>
        <v>-1.6728624535315959E-2</v>
      </c>
      <c r="J311" s="17">
        <f t="shared" si="73"/>
        <v>-3.035925113847187E-2</v>
      </c>
      <c r="K311" s="17">
        <f t="shared" si="74"/>
        <v>-3.4819874112763508E-3</v>
      </c>
      <c r="L311" s="17">
        <f t="shared" si="75"/>
        <v>-4.8007681228995616E-3</v>
      </c>
      <c r="M311" s="17">
        <f t="shared" si="76"/>
        <v>-3.1363088057901133E-2</v>
      </c>
      <c r="N311" s="17">
        <f t="shared" si="77"/>
        <v>-2.9214206545402405E-4</v>
      </c>
      <c r="O311" s="17">
        <f t="shared" si="78"/>
        <v>4.6626417257610029E-3</v>
      </c>
      <c r="P311" s="17">
        <f t="shared" si="79"/>
        <v>-1.2848388989628959E-2</v>
      </c>
      <c r="Q311" s="22">
        <f t="shared" si="80"/>
        <v>-1.7123098405700692E-2</v>
      </c>
      <c r="R311" s="22">
        <f t="shared" si="81"/>
        <v>-3.0789975852549032E-2</v>
      </c>
      <c r="S311" s="22">
        <f t="shared" si="82"/>
        <v>-3.8939467981137978E-3</v>
      </c>
      <c r="T311" s="22">
        <f t="shared" si="83"/>
        <v>-4.9322196321324799E-3</v>
      </c>
      <c r="U311" s="22">
        <f t="shared" si="84"/>
        <v>-3.2056316004854896E-2</v>
      </c>
      <c r="V311" s="22">
        <f t="shared" si="85"/>
        <v>-5.7538255950843762E-5</v>
      </c>
      <c r="W311" s="22">
        <f t="shared" si="86"/>
        <v>4.9168902798517062E-3</v>
      </c>
      <c r="X311" s="22">
        <f t="shared" si="87"/>
        <v>-1.2532444605022621E-2</v>
      </c>
    </row>
    <row r="312" spans="1:24" x14ac:dyDescent="0.35">
      <c r="A312" s="3">
        <v>10.69</v>
      </c>
      <c r="B312" s="3">
        <v>57.73</v>
      </c>
      <c r="C312" s="3">
        <v>152.66</v>
      </c>
      <c r="D312" s="3">
        <v>20.91</v>
      </c>
      <c r="E312" s="3">
        <v>47.6</v>
      </c>
      <c r="F312" s="3">
        <v>103.034719</v>
      </c>
      <c r="G312" s="3">
        <v>98.561352999999997</v>
      </c>
      <c r="H312" s="3">
        <v>97.806213</v>
      </c>
      <c r="I312" s="17">
        <f t="shared" si="72"/>
        <v>1.0396975425330759E-2</v>
      </c>
      <c r="J312" s="17">
        <f t="shared" si="73"/>
        <v>4.1746390676638528E-3</v>
      </c>
      <c r="K312" s="17">
        <f t="shared" si="74"/>
        <v>2.580298346996374E-2</v>
      </c>
      <c r="L312" s="17">
        <f t="shared" si="75"/>
        <v>8.6830680173661228E-3</v>
      </c>
      <c r="M312" s="17">
        <f t="shared" si="76"/>
        <v>-1.2038190120381867E-2</v>
      </c>
      <c r="N312" s="17">
        <f t="shared" si="77"/>
        <v>4.3554453004073816E-3</v>
      </c>
      <c r="O312" s="17">
        <f t="shared" si="78"/>
        <v>3.8503283373555238E-3</v>
      </c>
      <c r="P312" s="17">
        <f t="shared" si="79"/>
        <v>5.3293770961662214E-3</v>
      </c>
      <c r="Q312" s="22">
        <f t="shared" si="80"/>
        <v>1.0002501554946025E-2</v>
      </c>
      <c r="R312" s="22">
        <f t="shared" si="81"/>
        <v>3.7439143535866891E-3</v>
      </c>
      <c r="S312" s="22">
        <f t="shared" si="82"/>
        <v>2.5391024083126292E-2</v>
      </c>
      <c r="T312" s="22">
        <f t="shared" si="83"/>
        <v>8.5516165081332054E-3</v>
      </c>
      <c r="U312" s="22">
        <f t="shared" si="84"/>
        <v>-1.273141806733563E-2</v>
      </c>
      <c r="V312" s="22">
        <f t="shared" si="85"/>
        <v>4.5900491099105621E-3</v>
      </c>
      <c r="W312" s="22">
        <f t="shared" si="86"/>
        <v>4.1045768914462271E-3</v>
      </c>
      <c r="X312" s="22">
        <f t="shared" si="87"/>
        <v>5.6453214807725598E-3</v>
      </c>
    </row>
    <row r="313" spans="1:24" x14ac:dyDescent="0.35">
      <c r="A313" s="3">
        <v>10.69</v>
      </c>
      <c r="B313" s="3">
        <v>58.28</v>
      </c>
      <c r="C313" s="3">
        <v>149.93</v>
      </c>
      <c r="D313" s="3">
        <v>21</v>
      </c>
      <c r="E313" s="3">
        <v>48.09</v>
      </c>
      <c r="F313" s="3">
        <v>102.62906599999999</v>
      </c>
      <c r="G313" s="3">
        <v>97.901832999999996</v>
      </c>
      <c r="H313" s="3">
        <v>96.927712999999997</v>
      </c>
      <c r="I313" s="17">
        <f t="shared" si="72"/>
        <v>0</v>
      </c>
      <c r="J313" s="17">
        <f t="shared" si="73"/>
        <v>9.5271089554824929E-3</v>
      </c>
      <c r="K313" s="17">
        <f t="shared" si="74"/>
        <v>-1.7882876981527511E-2</v>
      </c>
      <c r="L313" s="17">
        <f t="shared" si="75"/>
        <v>4.304160688665703E-3</v>
      </c>
      <c r="M313" s="17">
        <f t="shared" si="76"/>
        <v>1.0294117647058865E-2</v>
      </c>
      <c r="N313" s="17">
        <f t="shared" si="77"/>
        <v>-3.9370515486144139E-3</v>
      </c>
      <c r="O313" s="17">
        <f t="shared" si="78"/>
        <v>-6.6914665832560208E-3</v>
      </c>
      <c r="P313" s="17">
        <f t="shared" si="79"/>
        <v>-8.9820469789583055E-3</v>
      </c>
      <c r="Q313" s="22">
        <f t="shared" si="80"/>
        <v>-3.9447387038473331E-4</v>
      </c>
      <c r="R313" s="22">
        <f t="shared" si="81"/>
        <v>9.0963842414053288E-3</v>
      </c>
      <c r="S313" s="22">
        <f t="shared" si="82"/>
        <v>-1.8294836368364958E-2</v>
      </c>
      <c r="T313" s="22">
        <f t="shared" si="83"/>
        <v>4.1727091794327847E-3</v>
      </c>
      <c r="U313" s="22">
        <f t="shared" si="84"/>
        <v>9.600889700105102E-3</v>
      </c>
      <c r="V313" s="22">
        <f t="shared" si="85"/>
        <v>-3.7024477391112338E-3</v>
      </c>
      <c r="W313" s="22">
        <f t="shared" si="86"/>
        <v>-6.4372180291653175E-3</v>
      </c>
      <c r="X313" s="22">
        <f t="shared" si="87"/>
        <v>-8.6661025943519671E-3</v>
      </c>
    </row>
    <row r="314" spans="1:24" x14ac:dyDescent="0.35">
      <c r="A314" s="3">
        <v>10.54</v>
      </c>
      <c r="B314" s="3">
        <v>59.22</v>
      </c>
      <c r="C314" s="3">
        <v>151.26</v>
      </c>
      <c r="D314" s="3">
        <v>20.72</v>
      </c>
      <c r="E314" s="3">
        <v>48.76</v>
      </c>
      <c r="F314" s="3">
        <v>102.22597500000001</v>
      </c>
      <c r="G314" s="3">
        <v>97.616508999999994</v>
      </c>
      <c r="H314" s="3">
        <v>96.356044999999995</v>
      </c>
      <c r="I314" s="17">
        <f t="shared" si="72"/>
        <v>-1.4031805425631465E-2</v>
      </c>
      <c r="J314" s="17">
        <f t="shared" si="73"/>
        <v>1.6129032258064478E-2</v>
      </c>
      <c r="K314" s="17">
        <f t="shared" si="74"/>
        <v>8.8708063763088384E-3</v>
      </c>
      <c r="L314" s="17">
        <f t="shared" si="75"/>
        <v>-1.3333333333333388E-2</v>
      </c>
      <c r="M314" s="17">
        <f t="shared" si="76"/>
        <v>1.3932210438760544E-2</v>
      </c>
      <c r="N314" s="17">
        <f t="shared" si="77"/>
        <v>-3.9276495023348379E-3</v>
      </c>
      <c r="O314" s="17">
        <f t="shared" si="78"/>
        <v>-2.9143887428543123E-3</v>
      </c>
      <c r="P314" s="17">
        <f t="shared" si="79"/>
        <v>-5.8978797941926326E-3</v>
      </c>
      <c r="Q314" s="22">
        <f t="shared" si="80"/>
        <v>-1.44262792960162E-2</v>
      </c>
      <c r="R314" s="22">
        <f t="shared" si="81"/>
        <v>1.5698307543987315E-2</v>
      </c>
      <c r="S314" s="22">
        <f t="shared" si="82"/>
        <v>8.458846989471391E-3</v>
      </c>
      <c r="T314" s="22">
        <f t="shared" si="83"/>
        <v>-1.3464784842566305E-2</v>
      </c>
      <c r="U314" s="22">
        <f t="shared" si="84"/>
        <v>1.3238982491806781E-2</v>
      </c>
      <c r="V314" s="22">
        <f t="shared" si="85"/>
        <v>-3.6930456928316578E-3</v>
      </c>
      <c r="W314" s="22">
        <f t="shared" si="86"/>
        <v>-2.6601401887636094E-3</v>
      </c>
      <c r="X314" s="22">
        <f t="shared" si="87"/>
        <v>-5.5819354095862942E-3</v>
      </c>
    </row>
    <row r="315" spans="1:24" x14ac:dyDescent="0.35">
      <c r="A315" s="3">
        <v>10.92</v>
      </c>
      <c r="B315" s="3">
        <v>60.6</v>
      </c>
      <c r="C315" s="3">
        <v>152.6</v>
      </c>
      <c r="D315" s="3">
        <v>20.7</v>
      </c>
      <c r="E315" s="3">
        <v>48.87</v>
      </c>
      <c r="F315" s="3">
        <v>102.997996</v>
      </c>
      <c r="G315" s="3">
        <v>98.379885000000002</v>
      </c>
      <c r="H315" s="3">
        <v>96.972280999999995</v>
      </c>
      <c r="I315" s="17">
        <f t="shared" si="72"/>
        <v>3.6053130929791351E-2</v>
      </c>
      <c r="J315" s="17">
        <f t="shared" si="73"/>
        <v>2.330293819655526E-2</v>
      </c>
      <c r="K315" s="17">
        <f t="shared" si="74"/>
        <v>8.8589184186169748E-3</v>
      </c>
      <c r="L315" s="17">
        <f t="shared" si="75"/>
        <v>-9.6525096525094478E-4</v>
      </c>
      <c r="M315" s="17">
        <f t="shared" si="76"/>
        <v>2.2559474979491271E-3</v>
      </c>
      <c r="N315" s="17">
        <f t="shared" si="77"/>
        <v>7.5521020953822661E-3</v>
      </c>
      <c r="O315" s="17">
        <f t="shared" si="78"/>
        <v>7.8201526342230512E-3</v>
      </c>
      <c r="P315" s="17">
        <f t="shared" si="79"/>
        <v>6.3954057059938552E-3</v>
      </c>
      <c r="Q315" s="22">
        <f t="shared" si="80"/>
        <v>3.5658657059406615E-2</v>
      </c>
      <c r="R315" s="22">
        <f t="shared" si="81"/>
        <v>2.2872213482478098E-2</v>
      </c>
      <c r="S315" s="22">
        <f t="shared" si="82"/>
        <v>8.4469590317795273E-3</v>
      </c>
      <c r="T315" s="22">
        <f t="shared" si="83"/>
        <v>-1.096702474483863E-3</v>
      </c>
      <c r="U315" s="22">
        <f t="shared" si="84"/>
        <v>1.5627195509953645E-3</v>
      </c>
      <c r="V315" s="22">
        <f t="shared" si="85"/>
        <v>7.7867059048854466E-3</v>
      </c>
      <c r="W315" s="22">
        <f t="shared" si="86"/>
        <v>8.0744011883137536E-3</v>
      </c>
      <c r="X315" s="22">
        <f t="shared" si="87"/>
        <v>6.7113500906001936E-3</v>
      </c>
    </row>
    <row r="316" spans="1:24" x14ac:dyDescent="0.35">
      <c r="A316" s="3">
        <v>10.61</v>
      </c>
      <c r="B316" s="3">
        <v>60.12</v>
      </c>
      <c r="C316" s="3">
        <v>150.66</v>
      </c>
      <c r="D316" s="3">
        <v>20.75</v>
      </c>
      <c r="E316" s="3">
        <v>48.7</v>
      </c>
      <c r="F316" s="3">
        <v>103.398273</v>
      </c>
      <c r="G316" s="3">
        <v>99.087795</v>
      </c>
      <c r="H316" s="3">
        <v>97.970479999999995</v>
      </c>
      <c r="I316" s="17">
        <f t="shared" si="72"/>
        <v>-2.8388278388278433E-2</v>
      </c>
      <c r="J316" s="17">
        <f t="shared" si="73"/>
        <v>-7.9207920792079868E-3</v>
      </c>
      <c r="K316" s="17">
        <f t="shared" si="74"/>
        <v>-1.2712975098296185E-2</v>
      </c>
      <c r="L316" s="17">
        <f t="shared" si="75"/>
        <v>2.4154589371981022E-3</v>
      </c>
      <c r="M316" s="17">
        <f t="shared" si="76"/>
        <v>-3.4786167382851361E-3</v>
      </c>
      <c r="N316" s="17">
        <f t="shared" si="77"/>
        <v>3.8862600783029083E-3</v>
      </c>
      <c r="O316" s="17">
        <f t="shared" si="78"/>
        <v>7.1956782628887833E-3</v>
      </c>
      <c r="P316" s="17">
        <f t="shared" si="79"/>
        <v>1.0293652884168E-2</v>
      </c>
      <c r="Q316" s="22">
        <f t="shared" si="80"/>
        <v>-2.8782752258663166E-2</v>
      </c>
      <c r="R316" s="22">
        <f t="shared" si="81"/>
        <v>-8.3515167932851509E-3</v>
      </c>
      <c r="S316" s="22">
        <f t="shared" si="82"/>
        <v>-1.3124934485133632E-2</v>
      </c>
      <c r="T316" s="22">
        <f t="shared" si="83"/>
        <v>2.2840074279651839E-3</v>
      </c>
      <c r="U316" s="22">
        <f t="shared" si="84"/>
        <v>-4.1718446852388987E-3</v>
      </c>
      <c r="V316" s="22">
        <f t="shared" si="85"/>
        <v>4.1208638878060888E-3</v>
      </c>
      <c r="W316" s="22">
        <f t="shared" si="86"/>
        <v>7.4499268169794866E-3</v>
      </c>
      <c r="X316" s="22">
        <f t="shared" si="87"/>
        <v>1.0609597268774338E-2</v>
      </c>
    </row>
    <row r="317" spans="1:24" x14ac:dyDescent="0.35">
      <c r="A317" s="3">
        <v>10.69</v>
      </c>
      <c r="B317" s="3">
        <v>60.06</v>
      </c>
      <c r="C317" s="3">
        <v>149.55000000000001</v>
      </c>
      <c r="D317" s="3">
        <v>21.12</v>
      </c>
      <c r="E317" s="3">
        <v>49.86</v>
      </c>
      <c r="F317" s="3">
        <v>104.00957</v>
      </c>
      <c r="G317" s="3">
        <v>99.405395999999996</v>
      </c>
      <c r="H317" s="3">
        <v>98.644206999999994</v>
      </c>
      <c r="I317" s="17">
        <f t="shared" si="72"/>
        <v>7.5400565504241349E-3</v>
      </c>
      <c r="J317" s="17">
        <f t="shared" si="73"/>
        <v>-9.9800399201588775E-4</v>
      </c>
      <c r="K317" s="17">
        <f t="shared" si="74"/>
        <v>-7.3675826363997429E-3</v>
      </c>
      <c r="L317" s="17">
        <f t="shared" si="75"/>
        <v>1.7831325301204869E-2</v>
      </c>
      <c r="M317" s="17">
        <f t="shared" si="76"/>
        <v>2.3819301848049208E-2</v>
      </c>
      <c r="N317" s="17">
        <f t="shared" si="77"/>
        <v>5.9120619935305232E-3</v>
      </c>
      <c r="O317" s="17">
        <f t="shared" si="78"/>
        <v>3.2052484365001385E-3</v>
      </c>
      <c r="P317" s="17">
        <f t="shared" si="79"/>
        <v>6.8768367777722389E-3</v>
      </c>
      <c r="Q317" s="22">
        <f t="shared" si="80"/>
        <v>7.1455826800394017E-3</v>
      </c>
      <c r="R317" s="22">
        <f t="shared" si="81"/>
        <v>-1.4287287060930512E-3</v>
      </c>
      <c r="S317" s="22">
        <f t="shared" si="82"/>
        <v>-7.7795420232371895E-3</v>
      </c>
      <c r="T317" s="22">
        <f t="shared" si="83"/>
        <v>1.7699873791971951E-2</v>
      </c>
      <c r="U317" s="22">
        <f t="shared" si="84"/>
        <v>2.3126073901095445E-2</v>
      </c>
      <c r="V317" s="22">
        <f t="shared" si="85"/>
        <v>6.1466658030337037E-3</v>
      </c>
      <c r="W317" s="22">
        <f t="shared" si="86"/>
        <v>3.4594969905908414E-3</v>
      </c>
      <c r="X317" s="22">
        <f t="shared" si="87"/>
        <v>7.1927811623785773E-3</v>
      </c>
    </row>
    <row r="318" spans="1:24" x14ac:dyDescent="0.35">
      <c r="A318" s="3">
        <v>10.56</v>
      </c>
      <c r="B318" s="3">
        <v>62.98</v>
      </c>
      <c r="C318" s="3">
        <v>148.06</v>
      </c>
      <c r="D318" s="3">
        <v>21.62</v>
      </c>
      <c r="E318" s="3">
        <v>49.55</v>
      </c>
      <c r="F318" s="3">
        <v>103.708175</v>
      </c>
      <c r="G318" s="3">
        <v>99.114507000000003</v>
      </c>
      <c r="H318" s="3">
        <v>99.048430999999994</v>
      </c>
      <c r="I318" s="17">
        <f t="shared" si="72"/>
        <v>-1.2160898035547148E-2</v>
      </c>
      <c r="J318" s="17">
        <f t="shared" si="73"/>
        <v>4.8618048618048526E-2</v>
      </c>
      <c r="K318" s="17">
        <f t="shared" si="74"/>
        <v>-9.9632230023404145E-3</v>
      </c>
      <c r="L318" s="17">
        <f t="shared" si="75"/>
        <v>2.3674242424242424E-2</v>
      </c>
      <c r="M318" s="17">
        <f t="shared" si="76"/>
        <v>-6.2174087444846022E-3</v>
      </c>
      <c r="N318" s="17">
        <f t="shared" si="77"/>
        <v>-2.8977621963055845E-3</v>
      </c>
      <c r="O318" s="17">
        <f t="shared" si="78"/>
        <v>-2.9262898364188685E-3</v>
      </c>
      <c r="P318" s="17">
        <f t="shared" si="79"/>
        <v>4.0977976537436133E-3</v>
      </c>
      <c r="Q318" s="22">
        <f t="shared" si="80"/>
        <v>-1.2555371905931883E-2</v>
      </c>
      <c r="R318" s="22">
        <f t="shared" si="81"/>
        <v>4.818732390397136E-2</v>
      </c>
      <c r="S318" s="22">
        <f t="shared" si="82"/>
        <v>-1.0375182389177862E-2</v>
      </c>
      <c r="T318" s="22">
        <f t="shared" si="83"/>
        <v>2.3542790915009507E-2</v>
      </c>
      <c r="U318" s="22">
        <f t="shared" si="84"/>
        <v>-6.9106366914383644E-3</v>
      </c>
      <c r="V318" s="22">
        <f t="shared" si="85"/>
        <v>-2.6631583868024044E-3</v>
      </c>
      <c r="W318" s="22">
        <f t="shared" si="86"/>
        <v>-2.6720412823281656E-3</v>
      </c>
      <c r="X318" s="22">
        <f t="shared" si="87"/>
        <v>4.4137420383499517E-3</v>
      </c>
    </row>
    <row r="319" spans="1:24" x14ac:dyDescent="0.35">
      <c r="A319" s="3">
        <v>10.58</v>
      </c>
      <c r="B319" s="3">
        <v>64.319999999999993</v>
      </c>
      <c r="C319" s="3">
        <v>146.56</v>
      </c>
      <c r="D319" s="3">
        <v>21.5</v>
      </c>
      <c r="E319" s="3">
        <v>48.62</v>
      </c>
      <c r="F319" s="3">
        <v>103.62371899999999</v>
      </c>
      <c r="G319" s="3">
        <v>98.762844999999999</v>
      </c>
      <c r="H319" s="3">
        <v>98.460211999999999</v>
      </c>
      <c r="I319" s="17">
        <f t="shared" si="72"/>
        <v>1.8939393939393534E-3</v>
      </c>
      <c r="J319" s="17">
        <f t="shared" si="73"/>
        <v>2.1276595744680795E-2</v>
      </c>
      <c r="K319" s="17">
        <f t="shared" si="74"/>
        <v>-1.0131027961637173E-2</v>
      </c>
      <c r="L319" s="17">
        <f t="shared" si="75"/>
        <v>-5.5504162812211374E-3</v>
      </c>
      <c r="M319" s="17">
        <f t="shared" si="76"/>
        <v>-1.8768920282542883E-2</v>
      </c>
      <c r="N319" s="17">
        <f t="shared" si="77"/>
        <v>-8.1436203076568439E-4</v>
      </c>
      <c r="O319" s="17">
        <f t="shared" si="78"/>
        <v>-3.548037624805061E-3</v>
      </c>
      <c r="P319" s="17">
        <f t="shared" si="79"/>
        <v>-5.9387008361595876E-3</v>
      </c>
      <c r="Q319" s="22">
        <f t="shared" si="80"/>
        <v>1.4994655235546202E-3</v>
      </c>
      <c r="R319" s="22">
        <f t="shared" si="81"/>
        <v>2.0845871030603633E-2</v>
      </c>
      <c r="S319" s="22">
        <f t="shared" si="82"/>
        <v>-1.0542987348474621E-2</v>
      </c>
      <c r="T319" s="22">
        <f t="shared" si="83"/>
        <v>-5.6818677904540557E-3</v>
      </c>
      <c r="U319" s="22">
        <f t="shared" si="84"/>
        <v>-1.9462148229496646E-2</v>
      </c>
      <c r="V319" s="22">
        <f t="shared" si="85"/>
        <v>-5.7975822126250407E-4</v>
      </c>
      <c r="W319" s="22">
        <f t="shared" si="86"/>
        <v>-3.2937890707143581E-3</v>
      </c>
      <c r="X319" s="22">
        <f t="shared" si="87"/>
        <v>-5.6227564515532492E-3</v>
      </c>
    </row>
    <row r="320" spans="1:24" x14ac:dyDescent="0.35">
      <c r="A320" s="3">
        <v>10.199999999999999</v>
      </c>
      <c r="B320" s="3">
        <v>62.5</v>
      </c>
      <c r="C320" s="3">
        <v>144.66999999999999</v>
      </c>
      <c r="D320" s="3">
        <v>21.4</v>
      </c>
      <c r="E320" s="3">
        <v>48.39</v>
      </c>
      <c r="F320" s="3">
        <v>102.949392</v>
      </c>
      <c r="G320" s="3">
        <v>98.104563999999996</v>
      </c>
      <c r="H320" s="3">
        <v>98.103644000000003</v>
      </c>
      <c r="I320" s="17">
        <f t="shared" si="72"/>
        <v>-3.5916824196597426E-2</v>
      </c>
      <c r="J320" s="17">
        <f t="shared" si="73"/>
        <v>-2.8296019900497408E-2</v>
      </c>
      <c r="K320" s="17">
        <f t="shared" si="74"/>
        <v>-1.2895742358078704E-2</v>
      </c>
      <c r="L320" s="17">
        <f t="shared" si="75"/>
        <v>-4.6511627906977403E-3</v>
      </c>
      <c r="M320" s="17">
        <f t="shared" si="76"/>
        <v>-4.7305635540929019E-3</v>
      </c>
      <c r="N320" s="17">
        <f t="shared" si="77"/>
        <v>-6.5074580077558409E-3</v>
      </c>
      <c r="O320" s="17">
        <f t="shared" si="78"/>
        <v>-6.6652697175744822E-3</v>
      </c>
      <c r="P320" s="17">
        <f t="shared" si="79"/>
        <v>-3.6214425376211437E-3</v>
      </c>
      <c r="Q320" s="22">
        <f t="shared" si="80"/>
        <v>-3.6311298066982162E-2</v>
      </c>
      <c r="R320" s="22">
        <f t="shared" si="81"/>
        <v>-2.872674461457457E-2</v>
      </c>
      <c r="S320" s="22">
        <f t="shared" si="82"/>
        <v>-1.3307701744916151E-2</v>
      </c>
      <c r="T320" s="22">
        <f t="shared" si="83"/>
        <v>-4.7826142999306586E-3</v>
      </c>
      <c r="U320" s="22">
        <f t="shared" si="84"/>
        <v>-5.4237915010466641E-3</v>
      </c>
      <c r="V320" s="22">
        <f t="shared" si="85"/>
        <v>-6.2728541982526604E-3</v>
      </c>
      <c r="W320" s="22">
        <f t="shared" si="86"/>
        <v>-6.4110211634837789E-3</v>
      </c>
      <c r="X320" s="22">
        <f t="shared" si="87"/>
        <v>-3.3054981530148048E-3</v>
      </c>
    </row>
    <row r="321" spans="1:24" x14ac:dyDescent="0.35">
      <c r="A321" s="3">
        <v>9.86</v>
      </c>
      <c r="B321" s="3">
        <v>59.66</v>
      </c>
      <c r="C321" s="3">
        <v>147.57</v>
      </c>
      <c r="D321" s="3">
        <v>21.61</v>
      </c>
      <c r="E321" s="3">
        <v>47.94</v>
      </c>
      <c r="F321" s="3">
        <v>102.91970000000001</v>
      </c>
      <c r="G321" s="3">
        <v>97.881179000000003</v>
      </c>
      <c r="H321" s="3">
        <v>97.449336000000002</v>
      </c>
      <c r="I321" s="17">
        <f t="shared" si="72"/>
        <v>-3.3333333333333319E-2</v>
      </c>
      <c r="J321" s="17">
        <f t="shared" si="73"/>
        <v>-4.5440000000000057E-2</v>
      </c>
      <c r="K321" s="17">
        <f t="shared" si="74"/>
        <v>2.0045621068639014E-2</v>
      </c>
      <c r="L321" s="17">
        <f t="shared" si="75"/>
        <v>9.813084112149574E-3</v>
      </c>
      <c r="M321" s="17">
        <f t="shared" si="76"/>
        <v>-9.29944203347805E-3</v>
      </c>
      <c r="N321" s="17">
        <f t="shared" si="77"/>
        <v>-2.8841355371964864E-4</v>
      </c>
      <c r="O321" s="17">
        <f t="shared" si="78"/>
        <v>-2.2770092531066476E-3</v>
      </c>
      <c r="P321" s="17">
        <f t="shared" si="79"/>
        <v>-6.6695585741952694E-3</v>
      </c>
      <c r="Q321" s="22">
        <f t="shared" si="80"/>
        <v>-3.3727807203718055E-2</v>
      </c>
      <c r="R321" s="22">
        <f t="shared" si="81"/>
        <v>-4.5870724714077223E-2</v>
      </c>
      <c r="S321" s="22">
        <f t="shared" si="82"/>
        <v>1.9633661681801567E-2</v>
      </c>
      <c r="T321" s="22">
        <f t="shared" si="83"/>
        <v>9.6816326029166566E-3</v>
      </c>
      <c r="U321" s="22">
        <f t="shared" si="84"/>
        <v>-9.992669980431813E-3</v>
      </c>
      <c r="V321" s="22">
        <f t="shared" si="85"/>
        <v>-5.3809744216468358E-5</v>
      </c>
      <c r="W321" s="22">
        <f t="shared" si="86"/>
        <v>-2.0227606990159447E-3</v>
      </c>
      <c r="X321" s="22">
        <f t="shared" si="87"/>
        <v>-6.353614189588931E-3</v>
      </c>
    </row>
    <row r="322" spans="1:24" x14ac:dyDescent="0.35">
      <c r="A322" s="3">
        <v>9.68</v>
      </c>
      <c r="B322" s="3">
        <v>59.5</v>
      </c>
      <c r="C322" s="3">
        <v>143.32</v>
      </c>
      <c r="D322" s="3">
        <v>21.99</v>
      </c>
      <c r="E322" s="3">
        <v>48.24</v>
      </c>
      <c r="F322" s="3">
        <v>102.459243</v>
      </c>
      <c r="G322" s="3">
        <v>97.398948000000004</v>
      </c>
      <c r="H322" s="3">
        <v>96.846472000000006</v>
      </c>
      <c r="I322" s="17">
        <f t="shared" si="72"/>
        <v>-1.825557809330626E-2</v>
      </c>
      <c r="J322" s="17">
        <f t="shared" si="73"/>
        <v>-2.681863895407251E-3</v>
      </c>
      <c r="K322" s="17">
        <f t="shared" si="74"/>
        <v>-2.8799891576878772E-2</v>
      </c>
      <c r="L322" s="17">
        <f t="shared" si="75"/>
        <v>1.7584451642757938E-2</v>
      </c>
      <c r="M322" s="17">
        <f t="shared" si="76"/>
        <v>6.2578222778473984E-3</v>
      </c>
      <c r="N322" s="17">
        <f t="shared" si="77"/>
        <v>-4.4739442497403817E-3</v>
      </c>
      <c r="O322" s="17">
        <f t="shared" si="78"/>
        <v>-4.9266979099219753E-3</v>
      </c>
      <c r="P322" s="17">
        <f t="shared" si="79"/>
        <v>-6.1864351748892035E-3</v>
      </c>
      <c r="Q322" s="22">
        <f t="shared" si="80"/>
        <v>-1.8650051963690992E-2</v>
      </c>
      <c r="R322" s="22">
        <f t="shared" si="81"/>
        <v>-3.1125886094844147E-3</v>
      </c>
      <c r="S322" s="22">
        <f t="shared" si="82"/>
        <v>-2.9211850963716219E-2</v>
      </c>
      <c r="T322" s="22">
        <f t="shared" si="83"/>
        <v>1.7453000133525021E-2</v>
      </c>
      <c r="U322" s="22">
        <f t="shared" si="84"/>
        <v>5.5645943308936362E-3</v>
      </c>
      <c r="V322" s="22">
        <f t="shared" si="85"/>
        <v>-4.2393404402372012E-3</v>
      </c>
      <c r="W322" s="22">
        <f t="shared" si="86"/>
        <v>-4.672449355831272E-3</v>
      </c>
      <c r="X322" s="22">
        <f t="shared" si="87"/>
        <v>-5.8704907902828651E-3</v>
      </c>
    </row>
    <row r="323" spans="1:24" x14ac:dyDescent="0.35">
      <c r="A323" s="3">
        <v>9.2100000000000009</v>
      </c>
      <c r="B323" s="3">
        <v>59.22</v>
      </c>
      <c r="C323" s="3">
        <v>139.31</v>
      </c>
      <c r="D323" s="3">
        <v>22.01</v>
      </c>
      <c r="E323" s="3">
        <v>47.62</v>
      </c>
      <c r="F323" s="3">
        <v>101.902568</v>
      </c>
      <c r="G323" s="3">
        <v>96.875811999999996</v>
      </c>
      <c r="H323" s="3">
        <v>96.278985000000006</v>
      </c>
      <c r="I323" s="17">
        <f t="shared" si="72"/>
        <v>-4.855371900826435E-2</v>
      </c>
      <c r="J323" s="17">
        <f t="shared" si="73"/>
        <v>-4.705882352941196E-3</v>
      </c>
      <c r="K323" s="17">
        <f t="shared" si="74"/>
        <v>-2.7979346915992125E-2</v>
      </c>
      <c r="L323" s="17">
        <f t="shared" si="75"/>
        <v>9.0950432014566291E-4</v>
      </c>
      <c r="M323" s="17">
        <f t="shared" si="76"/>
        <v>-1.2852404643449514E-2</v>
      </c>
      <c r="N323" s="17">
        <f t="shared" si="77"/>
        <v>-5.4331359836417925E-3</v>
      </c>
      <c r="O323" s="17">
        <f t="shared" si="78"/>
        <v>-5.3710641720689633E-3</v>
      </c>
      <c r="P323" s="17">
        <f t="shared" si="79"/>
        <v>-5.8596558891685782E-3</v>
      </c>
      <c r="Q323" s="22">
        <f t="shared" si="80"/>
        <v>-4.8948192878649086E-2</v>
      </c>
      <c r="R323" s="22">
        <f t="shared" si="81"/>
        <v>-5.1366070670183592E-3</v>
      </c>
      <c r="S323" s="22">
        <f t="shared" si="82"/>
        <v>-2.8391306302829572E-2</v>
      </c>
      <c r="T323" s="22">
        <f t="shared" si="83"/>
        <v>7.7805281091274461E-4</v>
      </c>
      <c r="U323" s="22">
        <f t="shared" si="84"/>
        <v>-1.3545632590403277E-2</v>
      </c>
      <c r="V323" s="22">
        <f t="shared" si="85"/>
        <v>-5.198532174138612E-3</v>
      </c>
      <c r="W323" s="22">
        <f t="shared" si="86"/>
        <v>-5.11681561797826E-3</v>
      </c>
      <c r="X323" s="22">
        <f t="shared" si="87"/>
        <v>-5.5437115045622399E-3</v>
      </c>
    </row>
    <row r="324" spans="1:24" x14ac:dyDescent="0.35">
      <c r="A324" s="3">
        <v>9.1199999999999992</v>
      </c>
      <c r="B324" s="3">
        <v>58.41</v>
      </c>
      <c r="C324" s="3">
        <v>137.02000000000001</v>
      </c>
      <c r="D324" s="3">
        <v>21.81</v>
      </c>
      <c r="E324" s="3">
        <v>46.49</v>
      </c>
      <c r="F324" s="3">
        <v>101.4027</v>
      </c>
      <c r="G324" s="3">
        <v>95.998047</v>
      </c>
      <c r="H324" s="3">
        <v>95.571261000000007</v>
      </c>
      <c r="I324" s="17">
        <f t="shared" ref="I324:I387" si="88">(A324-A323)/A323</f>
        <v>-9.7719869706842152E-3</v>
      </c>
      <c r="J324" s="17">
        <f t="shared" ref="J324:J387" si="89">(B324-B323)/B323</f>
        <v>-1.3677811550152014E-2</v>
      </c>
      <c r="K324" s="17">
        <f t="shared" ref="K324:K387" si="90">(C324-C323)/C323</f>
        <v>-1.6438159500394747E-2</v>
      </c>
      <c r="L324" s="17">
        <f t="shared" ref="L324:L387" si="91">(D324-D323)/D323</f>
        <v>-9.0867787369378842E-3</v>
      </c>
      <c r="M324" s="17">
        <f t="shared" ref="M324:M387" si="92">(E324-E323)/E323</f>
        <v>-2.3729525409491716E-2</v>
      </c>
      <c r="N324" s="17">
        <f t="shared" ref="N324:N387" si="93">(F324-F323)/F323</f>
        <v>-4.9053523361649379E-3</v>
      </c>
      <c r="O324" s="17">
        <f t="shared" ref="O324:O387" si="94">(G324-G323)/G323</f>
        <v>-9.0607240535955109E-3</v>
      </c>
      <c r="P324" s="17">
        <f t="shared" ref="P324:P387" si="95">(H324-H323)/H323</f>
        <v>-7.3507629936065367E-3</v>
      </c>
      <c r="Q324" s="22">
        <f t="shared" si="80"/>
        <v>-1.0166460841068949E-2</v>
      </c>
      <c r="R324" s="22">
        <f t="shared" si="81"/>
        <v>-1.4108536264229178E-2</v>
      </c>
      <c r="S324" s="22">
        <f t="shared" si="82"/>
        <v>-1.6850118887232195E-2</v>
      </c>
      <c r="T324" s="22">
        <f t="shared" si="83"/>
        <v>-9.2182302461708016E-3</v>
      </c>
      <c r="U324" s="22">
        <f t="shared" si="84"/>
        <v>-2.4422753356445479E-2</v>
      </c>
      <c r="V324" s="22">
        <f t="shared" si="85"/>
        <v>-4.6707485266617573E-3</v>
      </c>
      <c r="W324" s="22">
        <f t="shared" si="86"/>
        <v>-8.8064754995048084E-3</v>
      </c>
      <c r="X324" s="22">
        <f t="shared" si="87"/>
        <v>-7.0348186090001983E-3</v>
      </c>
    </row>
    <row r="325" spans="1:24" x14ac:dyDescent="0.35">
      <c r="A325" s="3">
        <v>9.02</v>
      </c>
      <c r="B325" s="3">
        <v>56.65</v>
      </c>
      <c r="C325" s="3">
        <v>138.1</v>
      </c>
      <c r="D325" s="3">
        <v>21.74</v>
      </c>
      <c r="E325" s="3">
        <v>46</v>
      </c>
      <c r="F325" s="3">
        <v>101.52389700000001</v>
      </c>
      <c r="G325" s="3">
        <v>96.232489999999999</v>
      </c>
      <c r="H325" s="3">
        <v>94.818600000000004</v>
      </c>
      <c r="I325" s="17">
        <f t="shared" si="88"/>
        <v>-1.0964912280701716E-2</v>
      </c>
      <c r="J325" s="17">
        <f t="shared" si="89"/>
        <v>-3.0131826741996201E-2</v>
      </c>
      <c r="K325" s="17">
        <f t="shared" si="90"/>
        <v>7.8820610129906876E-3</v>
      </c>
      <c r="L325" s="17">
        <f t="shared" si="91"/>
        <v>-3.2095369096744744E-3</v>
      </c>
      <c r="M325" s="17">
        <f t="shared" si="92"/>
        <v>-1.0539901053990148E-2</v>
      </c>
      <c r="N325" s="17">
        <f t="shared" si="93"/>
        <v>1.1952048614091077E-3</v>
      </c>
      <c r="O325" s="17">
        <f t="shared" si="94"/>
        <v>2.44216426611261E-3</v>
      </c>
      <c r="P325" s="17">
        <f t="shared" si="95"/>
        <v>-7.8753904900344812E-3</v>
      </c>
      <c r="Q325" s="22">
        <f t="shared" ref="Q325:Q388" si="96">I325-AB$2</f>
        <v>-1.135938615108645E-2</v>
      </c>
      <c r="R325" s="22">
        <f t="shared" ref="R325:R388" si="97">J325-AC$2</f>
        <v>-3.0562551456073363E-2</v>
      </c>
      <c r="S325" s="22">
        <f t="shared" ref="S325:S388" si="98">K325-AD$2</f>
        <v>7.4701016261532411E-3</v>
      </c>
      <c r="T325" s="22">
        <f t="shared" ref="T325:T388" si="99">L325-AE$2</f>
        <v>-3.3409884189073927E-3</v>
      </c>
      <c r="U325" s="22">
        <f t="shared" ref="U325:U388" si="100">M325-AF$2</f>
        <v>-1.1233129000943911E-2</v>
      </c>
      <c r="V325" s="22">
        <f t="shared" ref="V325:V388" si="101">N325-AG$2</f>
        <v>1.429808670912288E-3</v>
      </c>
      <c r="W325" s="22">
        <f t="shared" ref="W325:W388" si="102">O325-AH$2</f>
        <v>2.6964128202033128E-3</v>
      </c>
      <c r="X325" s="22">
        <f t="shared" ref="X325:X388" si="103">P325-AI$2</f>
        <v>-7.5594461054281428E-3</v>
      </c>
    </row>
    <row r="326" spans="1:24" x14ac:dyDescent="0.35">
      <c r="A326" s="3">
        <v>9.4700000000000006</v>
      </c>
      <c r="B326" s="3">
        <v>57.78</v>
      </c>
      <c r="C326" s="3">
        <v>136.77000000000001</v>
      </c>
      <c r="D326" s="3">
        <v>22.11</v>
      </c>
      <c r="E326" s="3">
        <v>46.31</v>
      </c>
      <c r="F326" s="3">
        <v>101.496039</v>
      </c>
      <c r="G326" s="3">
        <v>96.315231999999995</v>
      </c>
      <c r="H326" s="3">
        <v>94.984742999999995</v>
      </c>
      <c r="I326" s="17">
        <f t="shared" si="88"/>
        <v>4.9889135254989031E-2</v>
      </c>
      <c r="J326" s="17">
        <f t="shared" si="89"/>
        <v>1.9947043248014166E-2</v>
      </c>
      <c r="K326" s="17">
        <f t="shared" si="90"/>
        <v>-9.6307023895726585E-3</v>
      </c>
      <c r="L326" s="17">
        <f t="shared" si="91"/>
        <v>1.7019319227230958E-2</v>
      </c>
      <c r="M326" s="17">
        <f t="shared" si="92"/>
        <v>6.7391304347826581E-3</v>
      </c>
      <c r="N326" s="17">
        <f t="shared" si="93"/>
        <v>-2.7439845024870391E-4</v>
      </c>
      <c r="O326" s="17">
        <f t="shared" si="94"/>
        <v>8.598135619269136E-4</v>
      </c>
      <c r="P326" s="17">
        <f t="shared" si="95"/>
        <v>1.7522195012370045E-3</v>
      </c>
      <c r="Q326" s="22">
        <f t="shared" si="96"/>
        <v>4.9494661384604295E-2</v>
      </c>
      <c r="R326" s="22">
        <f t="shared" si="97"/>
        <v>1.9516318533937003E-2</v>
      </c>
      <c r="S326" s="22">
        <f t="shared" si="98"/>
        <v>-1.0042661776410106E-2</v>
      </c>
      <c r="T326" s="22">
        <f t="shared" si="99"/>
        <v>1.688786771799804E-2</v>
      </c>
      <c r="U326" s="22">
        <f t="shared" si="100"/>
        <v>6.0459024878288959E-3</v>
      </c>
      <c r="V326" s="22">
        <f t="shared" si="101"/>
        <v>-3.9794640745523621E-5</v>
      </c>
      <c r="W326" s="22">
        <f t="shared" si="102"/>
        <v>1.1140621160176166E-3</v>
      </c>
      <c r="X326" s="22">
        <f t="shared" si="103"/>
        <v>2.0681638858433432E-3</v>
      </c>
    </row>
    <row r="327" spans="1:24" x14ac:dyDescent="0.35">
      <c r="A327" s="3">
        <v>9.2100000000000009</v>
      </c>
      <c r="B327" s="3">
        <v>57.78</v>
      </c>
      <c r="C327" s="3">
        <v>136.94</v>
      </c>
      <c r="D327" s="3">
        <v>22.15</v>
      </c>
      <c r="E327" s="3">
        <v>45.75</v>
      </c>
      <c r="F327" s="3">
        <v>101.416222</v>
      </c>
      <c r="G327" s="3">
        <v>96.099688999999998</v>
      </c>
      <c r="H327" s="3">
        <v>94.792356999999996</v>
      </c>
      <c r="I327" s="17">
        <f t="shared" si="88"/>
        <v>-2.7455121436114019E-2</v>
      </c>
      <c r="J327" s="17">
        <f t="shared" si="89"/>
        <v>0</v>
      </c>
      <c r="K327" s="17">
        <f t="shared" si="90"/>
        <v>1.2429626380053189E-3</v>
      </c>
      <c r="L327" s="17">
        <f t="shared" si="91"/>
        <v>1.8091361374943079E-3</v>
      </c>
      <c r="M327" s="17">
        <f t="shared" si="92"/>
        <v>-1.2092420643489575E-2</v>
      </c>
      <c r="N327" s="17">
        <f t="shared" si="93"/>
        <v>-7.8640507340381406E-4</v>
      </c>
      <c r="O327" s="17">
        <f t="shared" si="94"/>
        <v>-2.2378910949412104E-3</v>
      </c>
      <c r="P327" s="17">
        <f t="shared" si="95"/>
        <v>-2.0254410753103693E-3</v>
      </c>
      <c r="Q327" s="22">
        <f t="shared" si="96"/>
        <v>-2.7849595306498751E-2</v>
      </c>
      <c r="R327" s="22">
        <f t="shared" si="97"/>
        <v>-4.3072471407716351E-4</v>
      </c>
      <c r="S327" s="22">
        <f t="shared" si="98"/>
        <v>8.3100325116787195E-4</v>
      </c>
      <c r="T327" s="22">
        <f t="shared" si="99"/>
        <v>1.6776846282613896E-3</v>
      </c>
      <c r="U327" s="22">
        <f t="shared" si="100"/>
        <v>-1.2785648590443338E-2</v>
      </c>
      <c r="V327" s="22">
        <f t="shared" si="101"/>
        <v>-5.5180126390063375E-4</v>
      </c>
      <c r="W327" s="22">
        <f t="shared" si="102"/>
        <v>-1.9836425408505075E-3</v>
      </c>
      <c r="X327" s="22">
        <f t="shared" si="103"/>
        <v>-1.7094966907040304E-3</v>
      </c>
    </row>
    <row r="328" spans="1:24" x14ac:dyDescent="0.35">
      <c r="A328" s="3">
        <v>9.67</v>
      </c>
      <c r="B328" s="3">
        <v>59.61</v>
      </c>
      <c r="C328" s="3">
        <v>136.78</v>
      </c>
      <c r="D328" s="3">
        <v>22.18</v>
      </c>
      <c r="E328" s="3">
        <v>46.1</v>
      </c>
      <c r="F328" s="3">
        <v>101.232822</v>
      </c>
      <c r="G328" s="3">
        <v>95.88503</v>
      </c>
      <c r="H328" s="3">
        <v>94.529415999999998</v>
      </c>
      <c r="I328" s="17">
        <f t="shared" si="88"/>
        <v>4.9945711183496097E-2</v>
      </c>
      <c r="J328" s="17">
        <f t="shared" si="89"/>
        <v>3.1671858774662484E-2</v>
      </c>
      <c r="K328" s="17">
        <f t="shared" si="90"/>
        <v>-1.1683949174820841E-3</v>
      </c>
      <c r="L328" s="17">
        <f t="shared" si="91"/>
        <v>1.3544018058691259E-3</v>
      </c>
      <c r="M328" s="17">
        <f t="shared" si="92"/>
        <v>7.6502732240437471E-3</v>
      </c>
      <c r="N328" s="17">
        <f t="shared" si="93"/>
        <v>-1.808389194383577E-3</v>
      </c>
      <c r="O328" s="17">
        <f t="shared" si="94"/>
        <v>-2.2337117032709386E-3</v>
      </c>
      <c r="P328" s="17">
        <f t="shared" si="95"/>
        <v>-2.7738628758856359E-3</v>
      </c>
      <c r="Q328" s="22">
        <f t="shared" si="96"/>
        <v>4.9551237313111361E-2</v>
      </c>
      <c r="R328" s="22">
        <f t="shared" si="97"/>
        <v>3.1241134060585322E-2</v>
      </c>
      <c r="S328" s="22">
        <f t="shared" si="98"/>
        <v>-1.5803543043195311E-3</v>
      </c>
      <c r="T328" s="22">
        <f t="shared" si="99"/>
        <v>1.2229502966362076E-3</v>
      </c>
      <c r="U328" s="22">
        <f t="shared" si="100"/>
        <v>6.9570452770899849E-3</v>
      </c>
      <c r="V328" s="22">
        <f t="shared" si="101"/>
        <v>-1.5737853848803967E-3</v>
      </c>
      <c r="W328" s="22">
        <f t="shared" si="102"/>
        <v>-1.9794631491802358E-3</v>
      </c>
      <c r="X328" s="22">
        <f t="shared" si="103"/>
        <v>-2.4579184912792971E-3</v>
      </c>
    </row>
    <row r="329" spans="1:24" x14ac:dyDescent="0.35">
      <c r="A329" s="3">
        <v>9.83</v>
      </c>
      <c r="B329" s="3">
        <v>57.61</v>
      </c>
      <c r="C329" s="3">
        <v>136.38999999999999</v>
      </c>
      <c r="D329" s="3">
        <v>21.5</v>
      </c>
      <c r="E329" s="3">
        <v>45.88</v>
      </c>
      <c r="F329" s="3">
        <v>101.620958</v>
      </c>
      <c r="G329" s="3">
        <v>96.503811999999996</v>
      </c>
      <c r="H329" s="3">
        <v>94.338745000000003</v>
      </c>
      <c r="I329" s="17">
        <f t="shared" si="88"/>
        <v>1.6546018614270956E-2</v>
      </c>
      <c r="J329" s="17">
        <f t="shared" si="89"/>
        <v>-3.3551417547391375E-2</v>
      </c>
      <c r="K329" s="17">
        <f t="shared" si="90"/>
        <v>-2.8512940488376573E-3</v>
      </c>
      <c r="L329" s="17">
        <f t="shared" si="91"/>
        <v>-3.0658250676284929E-2</v>
      </c>
      <c r="M329" s="17">
        <f t="shared" si="92"/>
        <v>-4.7722342733188469E-3</v>
      </c>
      <c r="N329" s="17">
        <f t="shared" si="93"/>
        <v>3.8340924645961457E-3</v>
      </c>
      <c r="O329" s="17">
        <f t="shared" si="94"/>
        <v>6.4533744214294551E-3</v>
      </c>
      <c r="P329" s="17">
        <f t="shared" si="95"/>
        <v>-2.0170546700510107E-3</v>
      </c>
      <c r="Q329" s="22">
        <f t="shared" si="96"/>
        <v>1.6151544743886224E-2</v>
      </c>
      <c r="R329" s="22">
        <f t="shared" si="97"/>
        <v>-3.3982142261468541E-2</v>
      </c>
      <c r="S329" s="22">
        <f t="shared" si="98"/>
        <v>-3.2632534356751043E-3</v>
      </c>
      <c r="T329" s="22">
        <f t="shared" si="99"/>
        <v>-3.0789702185517846E-2</v>
      </c>
      <c r="U329" s="22">
        <f t="shared" si="100"/>
        <v>-5.4654622202726091E-3</v>
      </c>
      <c r="V329" s="22">
        <f t="shared" si="101"/>
        <v>4.0686962740993258E-3</v>
      </c>
      <c r="W329" s="22">
        <f t="shared" si="102"/>
        <v>6.7076229755201585E-3</v>
      </c>
      <c r="X329" s="22">
        <f t="shared" si="103"/>
        <v>-1.7011102854446718E-3</v>
      </c>
    </row>
    <row r="330" spans="1:24" x14ac:dyDescent="0.35">
      <c r="A330" s="3">
        <v>9.33</v>
      </c>
      <c r="B330" s="3">
        <v>55.84</v>
      </c>
      <c r="C330" s="3">
        <v>137.11000000000001</v>
      </c>
      <c r="D330" s="3">
        <v>21.49</v>
      </c>
      <c r="E330" s="3">
        <v>44.99</v>
      </c>
      <c r="F330" s="3">
        <v>101.797973</v>
      </c>
      <c r="G330" s="3">
        <v>96.632649999999998</v>
      </c>
      <c r="H330" s="3">
        <v>94.977473000000003</v>
      </c>
      <c r="I330" s="17">
        <f t="shared" si="88"/>
        <v>-5.0864699898270603E-2</v>
      </c>
      <c r="J330" s="17">
        <f t="shared" si="89"/>
        <v>-3.0723832667939526E-2</v>
      </c>
      <c r="K330" s="17">
        <f t="shared" si="90"/>
        <v>5.2789793973167191E-3</v>
      </c>
      <c r="L330" s="17">
        <f t="shared" si="91"/>
        <v>-4.6511627906984016E-4</v>
      </c>
      <c r="M330" s="17">
        <f t="shared" si="92"/>
        <v>-1.9398430688753281E-2</v>
      </c>
      <c r="N330" s="17">
        <f t="shared" si="93"/>
        <v>1.7419143007882021E-3</v>
      </c>
      <c r="O330" s="17">
        <f t="shared" si="94"/>
        <v>1.3350560701167098E-3</v>
      </c>
      <c r="P330" s="17">
        <f t="shared" si="95"/>
        <v>6.77057978670376E-3</v>
      </c>
      <c r="Q330" s="22">
        <f t="shared" si="96"/>
        <v>-5.1259173768655339E-2</v>
      </c>
      <c r="R330" s="22">
        <f t="shared" si="97"/>
        <v>-3.1154557382016689E-2</v>
      </c>
      <c r="S330" s="22">
        <f t="shared" si="98"/>
        <v>4.8670200104792725E-3</v>
      </c>
      <c r="T330" s="22">
        <f t="shared" si="99"/>
        <v>-5.9656778830275846E-4</v>
      </c>
      <c r="U330" s="22">
        <f t="shared" si="100"/>
        <v>-2.0091658635707044E-2</v>
      </c>
      <c r="V330" s="22">
        <f t="shared" si="101"/>
        <v>1.9765181102913824E-3</v>
      </c>
      <c r="W330" s="22">
        <f t="shared" si="102"/>
        <v>1.5893046242074129E-3</v>
      </c>
      <c r="X330" s="22">
        <f t="shared" si="103"/>
        <v>7.0865241713100983E-3</v>
      </c>
    </row>
    <row r="331" spans="1:24" x14ac:dyDescent="0.35">
      <c r="A331" s="3">
        <v>8.98</v>
      </c>
      <c r="B331" s="3">
        <v>55.99</v>
      </c>
      <c r="C331" s="3">
        <v>148.31</v>
      </c>
      <c r="D331" s="3">
        <v>21.49</v>
      </c>
      <c r="E331" s="3">
        <v>45.21</v>
      </c>
      <c r="F331" s="3">
        <v>101.77015900000001</v>
      </c>
      <c r="G331" s="3">
        <v>96.476432000000003</v>
      </c>
      <c r="H331" s="3">
        <v>95.143540000000002</v>
      </c>
      <c r="I331" s="17">
        <f t="shared" si="88"/>
        <v>-3.7513397642014966E-2</v>
      </c>
      <c r="J331" s="17">
        <f t="shared" si="89"/>
        <v>2.6862464183380831E-3</v>
      </c>
      <c r="K331" s="17">
        <f t="shared" si="90"/>
        <v>8.1686237327693006E-2</v>
      </c>
      <c r="L331" s="17">
        <f t="shared" si="91"/>
        <v>0</v>
      </c>
      <c r="M331" s="17">
        <f t="shared" si="92"/>
        <v>4.8899755501222242E-3</v>
      </c>
      <c r="N331" s="17">
        <f t="shared" si="93"/>
        <v>-2.732274443224153E-4</v>
      </c>
      <c r="O331" s="17">
        <f t="shared" si="94"/>
        <v>-1.6166171578653335E-3</v>
      </c>
      <c r="P331" s="17">
        <f t="shared" si="95"/>
        <v>1.7484882967985281E-3</v>
      </c>
      <c r="Q331" s="22">
        <f t="shared" si="96"/>
        <v>-3.7907871512399702E-2</v>
      </c>
      <c r="R331" s="22">
        <f t="shared" si="97"/>
        <v>2.2555217042609195E-3</v>
      </c>
      <c r="S331" s="22">
        <f t="shared" si="98"/>
        <v>8.1274277940855566E-2</v>
      </c>
      <c r="T331" s="22">
        <f t="shared" si="99"/>
        <v>-1.3145150923291827E-4</v>
      </c>
      <c r="U331" s="22">
        <f t="shared" si="100"/>
        <v>4.196747603168462E-3</v>
      </c>
      <c r="V331" s="22">
        <f t="shared" si="101"/>
        <v>-3.862363481923502E-5</v>
      </c>
      <c r="W331" s="22">
        <f t="shared" si="102"/>
        <v>-1.3623686037746306E-3</v>
      </c>
      <c r="X331" s="22">
        <f t="shared" si="103"/>
        <v>2.0644326814048667E-3</v>
      </c>
    </row>
    <row r="332" spans="1:24" x14ac:dyDescent="0.35">
      <c r="A332" s="3">
        <v>8.9</v>
      </c>
      <c r="B332" s="3">
        <v>56.14</v>
      </c>
      <c r="C332" s="3">
        <v>141.22</v>
      </c>
      <c r="D332" s="3">
        <v>21.39</v>
      </c>
      <c r="E332" s="3">
        <v>45.18</v>
      </c>
      <c r="F332" s="3">
        <v>101.53463499999999</v>
      </c>
      <c r="G332" s="3">
        <v>95.846216999999996</v>
      </c>
      <c r="H332" s="3">
        <v>95.094542000000004</v>
      </c>
      <c r="I332" s="17">
        <f t="shared" si="88"/>
        <v>-8.9086859688196074E-3</v>
      </c>
      <c r="J332" s="17">
        <f t="shared" si="89"/>
        <v>2.6790498303268188E-3</v>
      </c>
      <c r="K332" s="17">
        <f t="shared" si="90"/>
        <v>-4.7805272739532084E-2</v>
      </c>
      <c r="L332" s="17">
        <f t="shared" si="91"/>
        <v>-4.6533271288970628E-3</v>
      </c>
      <c r="M332" s="17">
        <f t="shared" si="92"/>
        <v>-6.6357000663572522E-4</v>
      </c>
      <c r="N332" s="17">
        <f t="shared" si="93"/>
        <v>-2.3142736762356074E-3</v>
      </c>
      <c r="O332" s="17">
        <f t="shared" si="94"/>
        <v>-6.5323207641012973E-3</v>
      </c>
      <c r="P332" s="17">
        <f t="shared" si="95"/>
        <v>-5.1499029781735509E-4</v>
      </c>
      <c r="Q332" s="22">
        <f t="shared" si="96"/>
        <v>-9.3031598392043415E-3</v>
      </c>
      <c r="R332" s="22">
        <f t="shared" si="97"/>
        <v>2.2483251162496551E-3</v>
      </c>
      <c r="S332" s="22">
        <f t="shared" si="98"/>
        <v>-4.8217232126369532E-2</v>
      </c>
      <c r="T332" s="22">
        <f t="shared" si="99"/>
        <v>-4.7847786381299811E-3</v>
      </c>
      <c r="U332" s="22">
        <f t="shared" si="100"/>
        <v>-1.3567979535894876E-3</v>
      </c>
      <c r="V332" s="22">
        <f t="shared" si="101"/>
        <v>-2.0796698667324273E-3</v>
      </c>
      <c r="W332" s="22">
        <f t="shared" si="102"/>
        <v>-6.278072210010594E-3</v>
      </c>
      <c r="X332" s="22">
        <f t="shared" si="103"/>
        <v>-1.9904591321101632E-4</v>
      </c>
    </row>
    <row r="333" spans="1:24" x14ac:dyDescent="0.35">
      <c r="A333" s="3">
        <v>8.58</v>
      </c>
      <c r="B333" s="3">
        <v>56.19</v>
      </c>
      <c r="C333" s="3">
        <v>138.44999999999999</v>
      </c>
      <c r="D333" s="3">
        <v>21.43</v>
      </c>
      <c r="E333" s="3">
        <v>43.9</v>
      </c>
      <c r="F333" s="3">
        <v>101.300128</v>
      </c>
      <c r="G333" s="3">
        <v>95.692294000000004</v>
      </c>
      <c r="H333" s="3">
        <v>94.546434000000005</v>
      </c>
      <c r="I333" s="17">
        <f t="shared" si="88"/>
        <v>-3.5955056179775312E-2</v>
      </c>
      <c r="J333" s="17">
        <f t="shared" si="89"/>
        <v>8.906305664409896E-4</v>
      </c>
      <c r="K333" s="17">
        <f t="shared" si="90"/>
        <v>-1.9614785441155715E-2</v>
      </c>
      <c r="L333" s="17">
        <f t="shared" si="91"/>
        <v>1.8700327255726577E-3</v>
      </c>
      <c r="M333" s="17">
        <f t="shared" si="92"/>
        <v>-2.8331119964586125E-2</v>
      </c>
      <c r="N333" s="17">
        <f t="shared" si="93"/>
        <v>-2.3096256760069466E-3</v>
      </c>
      <c r="O333" s="17">
        <f t="shared" si="94"/>
        <v>-1.6059371440814594E-3</v>
      </c>
      <c r="P333" s="17">
        <f t="shared" si="95"/>
        <v>-5.763821860564817E-3</v>
      </c>
      <c r="Q333" s="22">
        <f t="shared" si="96"/>
        <v>-3.6349530050160048E-2</v>
      </c>
      <c r="R333" s="22">
        <f t="shared" si="97"/>
        <v>4.599058523638261E-4</v>
      </c>
      <c r="S333" s="22">
        <f t="shared" si="98"/>
        <v>-2.0026744827993163E-2</v>
      </c>
      <c r="T333" s="22">
        <f t="shared" si="99"/>
        <v>1.7385812163397394E-3</v>
      </c>
      <c r="U333" s="22">
        <f t="shared" si="100"/>
        <v>-2.9024347911539888E-2</v>
      </c>
      <c r="V333" s="22">
        <f t="shared" si="101"/>
        <v>-2.0750218665037666E-3</v>
      </c>
      <c r="W333" s="22">
        <f t="shared" si="102"/>
        <v>-1.3516885899907565E-3</v>
      </c>
      <c r="X333" s="22">
        <f t="shared" si="103"/>
        <v>-5.4478774759584786E-3</v>
      </c>
    </row>
    <row r="334" spans="1:24" x14ac:dyDescent="0.35">
      <c r="A334" s="3">
        <v>8.73</v>
      </c>
      <c r="B334" s="3">
        <v>61.49</v>
      </c>
      <c r="C334" s="3">
        <v>139.22999999999999</v>
      </c>
      <c r="D334" s="3">
        <v>20.89</v>
      </c>
      <c r="E334" s="3">
        <v>44.88</v>
      </c>
      <c r="F334" s="3">
        <v>101.066636</v>
      </c>
      <c r="G334" s="3">
        <v>95.362680999999995</v>
      </c>
      <c r="H334" s="3">
        <v>93.792316</v>
      </c>
      <c r="I334" s="17">
        <f t="shared" si="88"/>
        <v>1.7482517482517525E-2</v>
      </c>
      <c r="J334" s="17">
        <f t="shared" si="89"/>
        <v>9.4322833244349605E-2</v>
      </c>
      <c r="K334" s="17">
        <f t="shared" si="90"/>
        <v>5.6338028169014174E-3</v>
      </c>
      <c r="L334" s="17">
        <f t="shared" si="91"/>
        <v>-2.5198320111992495E-2</v>
      </c>
      <c r="M334" s="17">
        <f t="shared" si="92"/>
        <v>2.2323462414578679E-2</v>
      </c>
      <c r="N334" s="17">
        <f t="shared" si="93"/>
        <v>-2.3049526650153716E-3</v>
      </c>
      <c r="O334" s="17">
        <f t="shared" si="94"/>
        <v>-3.4445093353077001E-3</v>
      </c>
      <c r="P334" s="17">
        <f t="shared" si="95"/>
        <v>-7.9761654469168598E-3</v>
      </c>
      <c r="Q334" s="22">
        <f t="shared" si="96"/>
        <v>1.7088043612132793E-2</v>
      </c>
      <c r="R334" s="22">
        <f t="shared" si="97"/>
        <v>9.3892108530272439E-2</v>
      </c>
      <c r="S334" s="22">
        <f t="shared" si="98"/>
        <v>5.2218434300639709E-3</v>
      </c>
      <c r="T334" s="22">
        <f t="shared" si="99"/>
        <v>-2.5329771621225412E-2</v>
      </c>
      <c r="U334" s="22">
        <f t="shared" si="100"/>
        <v>2.1630234467624916E-2</v>
      </c>
      <c r="V334" s="22">
        <f t="shared" si="101"/>
        <v>-2.0703488555121915E-3</v>
      </c>
      <c r="W334" s="22">
        <f t="shared" si="102"/>
        <v>-3.1902607812169972E-3</v>
      </c>
      <c r="X334" s="22">
        <f t="shared" si="103"/>
        <v>-7.6602210623105214E-3</v>
      </c>
    </row>
    <row r="335" spans="1:24" x14ac:dyDescent="0.35">
      <c r="A335" s="3">
        <v>9.25</v>
      </c>
      <c r="B335" s="3">
        <v>62.61</v>
      </c>
      <c r="C335" s="3">
        <v>140</v>
      </c>
      <c r="D335" s="3">
        <v>20.89</v>
      </c>
      <c r="E335" s="3">
        <v>45.39</v>
      </c>
      <c r="F335" s="3">
        <v>101.65652900000001</v>
      </c>
      <c r="G335" s="3">
        <v>95.667468</v>
      </c>
      <c r="H335" s="3">
        <v>93.580808000000005</v>
      </c>
      <c r="I335" s="17">
        <f t="shared" si="88"/>
        <v>5.956471935853374E-2</v>
      </c>
      <c r="J335" s="17">
        <f t="shared" si="89"/>
        <v>1.8214343795739104E-2</v>
      </c>
      <c r="K335" s="17">
        <f t="shared" si="90"/>
        <v>5.5304172951232515E-3</v>
      </c>
      <c r="L335" s="17">
        <f t="shared" si="91"/>
        <v>0</v>
      </c>
      <c r="M335" s="17">
        <f t="shared" si="92"/>
        <v>1.1363636363636319E-2</v>
      </c>
      <c r="N335" s="17">
        <f t="shared" si="93"/>
        <v>5.8366739346108597E-3</v>
      </c>
      <c r="O335" s="17">
        <f t="shared" si="94"/>
        <v>3.1960825430233509E-3</v>
      </c>
      <c r="P335" s="17">
        <f t="shared" si="95"/>
        <v>-2.2550674620295647E-3</v>
      </c>
      <c r="Q335" s="22">
        <f t="shared" si="96"/>
        <v>5.9170245488149004E-2</v>
      </c>
      <c r="R335" s="22">
        <f t="shared" si="97"/>
        <v>1.7783619081661942E-2</v>
      </c>
      <c r="S335" s="22">
        <f t="shared" si="98"/>
        <v>5.1184579082858049E-3</v>
      </c>
      <c r="T335" s="22">
        <f t="shared" si="99"/>
        <v>-1.3145150923291827E-4</v>
      </c>
      <c r="U335" s="22">
        <f t="shared" si="100"/>
        <v>1.0670408416682556E-2</v>
      </c>
      <c r="V335" s="22">
        <f t="shared" si="101"/>
        <v>6.0712777441140403E-3</v>
      </c>
      <c r="W335" s="22">
        <f t="shared" si="102"/>
        <v>3.4503310971140538E-3</v>
      </c>
      <c r="X335" s="22">
        <f t="shared" si="103"/>
        <v>-1.9391230774232259E-3</v>
      </c>
    </row>
    <row r="336" spans="1:24" x14ac:dyDescent="0.35">
      <c r="A336" s="3">
        <v>8.98</v>
      </c>
      <c r="B336" s="3">
        <v>62.9</v>
      </c>
      <c r="C336" s="3">
        <v>134.71</v>
      </c>
      <c r="D336" s="3">
        <v>19.86</v>
      </c>
      <c r="E336" s="3">
        <v>44.73</v>
      </c>
      <c r="F336" s="3">
        <v>100.75430900000001</v>
      </c>
      <c r="G336" s="3">
        <v>95.221801999999997</v>
      </c>
      <c r="H336" s="3">
        <v>92.977746999999994</v>
      </c>
      <c r="I336" s="17">
        <f t="shared" si="88"/>
        <v>-2.9189189189189144E-2</v>
      </c>
      <c r="J336" s="17">
        <f t="shared" si="89"/>
        <v>4.6318479476121889E-3</v>
      </c>
      <c r="K336" s="17">
        <f t="shared" si="90"/>
        <v>-3.7785714285714228E-2</v>
      </c>
      <c r="L336" s="17">
        <f t="shared" si="91"/>
        <v>-4.9305887984681718E-2</v>
      </c>
      <c r="M336" s="17">
        <f t="shared" si="92"/>
        <v>-1.4540647719762143E-2</v>
      </c>
      <c r="N336" s="17">
        <f t="shared" si="93"/>
        <v>-8.8751800683653063E-3</v>
      </c>
      <c r="O336" s="17">
        <f t="shared" si="94"/>
        <v>-4.6584905957791503E-3</v>
      </c>
      <c r="P336" s="17">
        <f t="shared" si="95"/>
        <v>-6.4442807546608374E-3</v>
      </c>
      <c r="Q336" s="22">
        <f t="shared" si="96"/>
        <v>-2.9583663059573877E-2</v>
      </c>
      <c r="R336" s="22">
        <f t="shared" si="97"/>
        <v>4.2011232335350257E-3</v>
      </c>
      <c r="S336" s="22">
        <f t="shared" si="98"/>
        <v>-3.8197673672551676E-2</v>
      </c>
      <c r="T336" s="22">
        <f t="shared" si="99"/>
        <v>-4.9437339493914635E-2</v>
      </c>
      <c r="U336" s="22">
        <f t="shared" si="100"/>
        <v>-1.5233875666715906E-2</v>
      </c>
      <c r="V336" s="22">
        <f t="shared" si="101"/>
        <v>-8.6405762588621267E-3</v>
      </c>
      <c r="W336" s="22">
        <f t="shared" si="102"/>
        <v>-4.404242041688447E-3</v>
      </c>
      <c r="X336" s="22">
        <f t="shared" si="103"/>
        <v>-6.128336370054499E-3</v>
      </c>
    </row>
    <row r="337" spans="1:24" x14ac:dyDescent="0.35">
      <c r="A337" s="3">
        <v>8.99</v>
      </c>
      <c r="B337" s="3">
        <v>67.09</v>
      </c>
      <c r="C337" s="3">
        <v>141.08000000000001</v>
      </c>
      <c r="D337" s="3">
        <v>19.920000000000002</v>
      </c>
      <c r="E337" s="3">
        <v>43.13</v>
      </c>
      <c r="F337" s="3">
        <v>100.72783200000001</v>
      </c>
      <c r="G337" s="3">
        <v>95.128431000000006</v>
      </c>
      <c r="H337" s="3">
        <v>93.070004999999995</v>
      </c>
      <c r="I337" s="17">
        <f t="shared" si="88"/>
        <v>1.1135857461024262E-3</v>
      </c>
      <c r="J337" s="17">
        <f t="shared" si="89"/>
        <v>6.6613672496025511E-2</v>
      </c>
      <c r="K337" s="17">
        <f t="shared" si="90"/>
        <v>4.728676416004754E-2</v>
      </c>
      <c r="L337" s="17">
        <f t="shared" si="91"/>
        <v>3.0211480362538909E-3</v>
      </c>
      <c r="M337" s="17">
        <f t="shared" si="92"/>
        <v>-3.5770176615246917E-2</v>
      </c>
      <c r="N337" s="17">
        <f t="shared" si="93"/>
        <v>-2.6278776821346528E-4</v>
      </c>
      <c r="O337" s="17">
        <f t="shared" si="94"/>
        <v>-9.8056325378079439E-4</v>
      </c>
      <c r="P337" s="17">
        <f t="shared" si="95"/>
        <v>9.9225893266698616E-4</v>
      </c>
      <c r="Q337" s="22">
        <f t="shared" si="96"/>
        <v>7.1911187571769295E-4</v>
      </c>
      <c r="R337" s="22">
        <f t="shared" si="97"/>
        <v>6.6182947781948345E-2</v>
      </c>
      <c r="S337" s="22">
        <f t="shared" si="98"/>
        <v>4.6874804773210092E-2</v>
      </c>
      <c r="T337" s="22">
        <f t="shared" si="99"/>
        <v>2.8896965270209726E-3</v>
      </c>
      <c r="U337" s="22">
        <f t="shared" si="100"/>
        <v>-3.646340456220068E-2</v>
      </c>
      <c r="V337" s="22">
        <f t="shared" si="101"/>
        <v>-2.8183958710284999E-5</v>
      </c>
      <c r="W337" s="22">
        <f t="shared" si="102"/>
        <v>-7.2631469969009139E-4</v>
      </c>
      <c r="X337" s="22">
        <f t="shared" si="103"/>
        <v>1.308203317273325E-3</v>
      </c>
    </row>
    <row r="338" spans="1:24" x14ac:dyDescent="0.35">
      <c r="A338" s="3">
        <v>9.07</v>
      </c>
      <c r="B338" s="3">
        <v>62.05</v>
      </c>
      <c r="C338" s="3">
        <v>137.49</v>
      </c>
      <c r="D338" s="3">
        <v>19.600000000000001</v>
      </c>
      <c r="E338" s="3">
        <v>43.56</v>
      </c>
      <c r="F338" s="3">
        <v>100.243132</v>
      </c>
      <c r="G338" s="3">
        <v>95.093536</v>
      </c>
      <c r="H338" s="3">
        <v>92.954592000000005</v>
      </c>
      <c r="I338" s="17">
        <f t="shared" si="88"/>
        <v>8.8987764182424985E-3</v>
      </c>
      <c r="J338" s="17">
        <f t="shared" si="89"/>
        <v>-7.5122969145923479E-2</v>
      </c>
      <c r="K338" s="17">
        <f t="shared" si="90"/>
        <v>-2.5446555146016465E-2</v>
      </c>
      <c r="L338" s="17">
        <f t="shared" si="91"/>
        <v>-1.6064257028112462E-2</v>
      </c>
      <c r="M338" s="17">
        <f t="shared" si="92"/>
        <v>9.9698585671226456E-3</v>
      </c>
      <c r="N338" s="17">
        <f t="shared" si="93"/>
        <v>-4.8119768923449444E-3</v>
      </c>
      <c r="O338" s="17">
        <f t="shared" si="94"/>
        <v>-3.6681988374228405E-4</v>
      </c>
      <c r="P338" s="17">
        <f t="shared" si="95"/>
        <v>-1.2400665499049835E-3</v>
      </c>
      <c r="Q338" s="22">
        <f t="shared" si="96"/>
        <v>8.5043025478577644E-3</v>
      </c>
      <c r="R338" s="22">
        <f t="shared" si="97"/>
        <v>-7.5553693860000645E-2</v>
      </c>
      <c r="S338" s="22">
        <f t="shared" si="98"/>
        <v>-2.5858514532853913E-2</v>
      </c>
      <c r="T338" s="22">
        <f t="shared" si="99"/>
        <v>-1.619570853734538E-2</v>
      </c>
      <c r="U338" s="22">
        <f t="shared" si="100"/>
        <v>9.2766306201688825E-3</v>
      </c>
      <c r="V338" s="22">
        <f t="shared" si="101"/>
        <v>-4.5773730828417639E-3</v>
      </c>
      <c r="W338" s="22">
        <f t="shared" si="102"/>
        <v>-1.1257132965158105E-4</v>
      </c>
      <c r="X338" s="22">
        <f t="shared" si="103"/>
        <v>-9.2412216529864466E-4</v>
      </c>
    </row>
    <row r="339" spans="1:24" x14ac:dyDescent="0.35">
      <c r="A339" s="3">
        <v>9.15</v>
      </c>
      <c r="B339" s="3">
        <v>59.29</v>
      </c>
      <c r="C339" s="3">
        <v>141.53</v>
      </c>
      <c r="D339" s="3">
        <v>19.87</v>
      </c>
      <c r="E339" s="3">
        <v>45.07</v>
      </c>
      <c r="F339" s="3">
        <v>100.82831400000001</v>
      </c>
      <c r="G339" s="3">
        <v>95.058715000000007</v>
      </c>
      <c r="H339" s="3">
        <v>92.908525999999995</v>
      </c>
      <c r="I339" s="17">
        <f t="shared" si="88"/>
        <v>8.8202866593164349E-3</v>
      </c>
      <c r="J339" s="17">
        <f t="shared" si="89"/>
        <v>-4.4480257856567257E-2</v>
      </c>
      <c r="K339" s="17">
        <f t="shared" si="90"/>
        <v>2.9383955196741522E-2</v>
      </c>
      <c r="L339" s="17">
        <f t="shared" si="91"/>
        <v>1.377551020408161E-2</v>
      </c>
      <c r="M339" s="17">
        <f t="shared" si="92"/>
        <v>3.4664830119375524E-2</v>
      </c>
      <c r="N339" s="17">
        <f t="shared" si="93"/>
        <v>5.8376268610601991E-3</v>
      </c>
      <c r="O339" s="17">
        <f t="shared" si="94"/>
        <v>-3.6617630876607397E-4</v>
      </c>
      <c r="P339" s="17">
        <f t="shared" si="95"/>
        <v>-4.9557530197120731E-4</v>
      </c>
      <c r="Q339" s="22">
        <f t="shared" si="96"/>
        <v>8.4258127889317008E-3</v>
      </c>
      <c r="R339" s="22">
        <f t="shared" si="97"/>
        <v>-4.4910982570644423E-2</v>
      </c>
      <c r="S339" s="22">
        <f t="shared" si="98"/>
        <v>2.8971995809904075E-2</v>
      </c>
      <c r="T339" s="22">
        <f t="shared" si="99"/>
        <v>1.3644058694848693E-2</v>
      </c>
      <c r="U339" s="22">
        <f t="shared" si="100"/>
        <v>3.3971602172421761E-2</v>
      </c>
      <c r="V339" s="22">
        <f t="shared" si="101"/>
        <v>6.0722306705633796E-3</v>
      </c>
      <c r="W339" s="22">
        <f t="shared" si="102"/>
        <v>-1.1192775467537097E-4</v>
      </c>
      <c r="X339" s="22">
        <f t="shared" si="103"/>
        <v>-1.7963091736486854E-4</v>
      </c>
    </row>
    <row r="340" spans="1:24" x14ac:dyDescent="0.35">
      <c r="A340" s="3">
        <v>8.7100000000000009</v>
      </c>
      <c r="B340" s="3">
        <v>60.71</v>
      </c>
      <c r="C340" s="3">
        <v>138.06</v>
      </c>
      <c r="D340" s="3">
        <v>19.440000000000001</v>
      </c>
      <c r="E340" s="3">
        <v>44.47</v>
      </c>
      <c r="F340" s="3">
        <v>101.05578</v>
      </c>
      <c r="G340" s="3">
        <v>95.245419999999996</v>
      </c>
      <c r="H340" s="3">
        <v>93.185079999999999</v>
      </c>
      <c r="I340" s="17">
        <f t="shared" si="88"/>
        <v>-4.8087431693989012E-2</v>
      </c>
      <c r="J340" s="17">
        <f t="shared" si="89"/>
        <v>2.3950075898127875E-2</v>
      </c>
      <c r="K340" s="17">
        <f t="shared" si="90"/>
        <v>-2.4517770084081104E-2</v>
      </c>
      <c r="L340" s="17">
        <f t="shared" si="91"/>
        <v>-2.1640664318067424E-2</v>
      </c>
      <c r="M340" s="17">
        <f t="shared" si="92"/>
        <v>-1.3312624805857586E-2</v>
      </c>
      <c r="N340" s="17">
        <f t="shared" si="93"/>
        <v>2.2559734560273674E-3</v>
      </c>
      <c r="O340" s="17">
        <f t="shared" si="94"/>
        <v>1.9641018711434215E-3</v>
      </c>
      <c r="P340" s="17">
        <f t="shared" si="95"/>
        <v>2.9766267091569662E-3</v>
      </c>
      <c r="Q340" s="22">
        <f t="shared" si="96"/>
        <v>-4.8481905564373748E-2</v>
      </c>
      <c r="R340" s="22">
        <f t="shared" si="97"/>
        <v>2.3519351184050713E-2</v>
      </c>
      <c r="S340" s="22">
        <f t="shared" si="98"/>
        <v>-2.4929729470918552E-2</v>
      </c>
      <c r="T340" s="22">
        <f t="shared" si="99"/>
        <v>-2.1772115827300341E-2</v>
      </c>
      <c r="U340" s="22">
        <f t="shared" si="100"/>
        <v>-1.4005852752811349E-2</v>
      </c>
      <c r="V340" s="22">
        <f t="shared" si="101"/>
        <v>2.4905772655305475E-3</v>
      </c>
      <c r="W340" s="22">
        <f t="shared" si="102"/>
        <v>2.2183504252341244E-3</v>
      </c>
      <c r="X340" s="22">
        <f t="shared" si="103"/>
        <v>3.2925710937633051E-3</v>
      </c>
    </row>
    <row r="341" spans="1:24" x14ac:dyDescent="0.35">
      <c r="A341" s="3">
        <v>8.51</v>
      </c>
      <c r="B341" s="3">
        <v>61.26</v>
      </c>
      <c r="C341" s="3">
        <v>135.78</v>
      </c>
      <c r="D341" s="3">
        <v>18.88</v>
      </c>
      <c r="E341" s="3">
        <v>42.87</v>
      </c>
      <c r="F341" s="3">
        <v>100.67214199999999</v>
      </c>
      <c r="G341" s="3">
        <v>94.688704999999999</v>
      </c>
      <c r="H341" s="3">
        <v>92.862809999999996</v>
      </c>
      <c r="I341" s="17">
        <f t="shared" si="88"/>
        <v>-2.296211251435144E-2</v>
      </c>
      <c r="J341" s="17">
        <f t="shared" si="89"/>
        <v>9.0594630209190775E-3</v>
      </c>
      <c r="K341" s="17">
        <f t="shared" si="90"/>
        <v>-1.6514558887440252E-2</v>
      </c>
      <c r="L341" s="17">
        <f t="shared" si="91"/>
        <v>-2.8806584362140033E-2</v>
      </c>
      <c r="M341" s="17">
        <f t="shared" si="92"/>
        <v>-3.5979311895660025E-2</v>
      </c>
      <c r="N341" s="17">
        <f t="shared" si="93"/>
        <v>-3.7962994298792688E-3</v>
      </c>
      <c r="O341" s="17">
        <f t="shared" si="94"/>
        <v>-5.8450579565925264E-3</v>
      </c>
      <c r="P341" s="17">
        <f t="shared" si="95"/>
        <v>-3.4583862566840437E-3</v>
      </c>
      <c r="Q341" s="22">
        <f t="shared" si="96"/>
        <v>-2.3356586384736172E-2</v>
      </c>
      <c r="R341" s="22">
        <f t="shared" si="97"/>
        <v>8.6287383068419134E-3</v>
      </c>
      <c r="S341" s="22">
        <f t="shared" si="98"/>
        <v>-1.6926518274277699E-2</v>
      </c>
      <c r="T341" s="22">
        <f t="shared" si="99"/>
        <v>-2.893803587137295E-2</v>
      </c>
      <c r="U341" s="22">
        <f t="shared" si="100"/>
        <v>-3.6672539842613788E-2</v>
      </c>
      <c r="V341" s="22">
        <f t="shared" si="101"/>
        <v>-3.5616956203760887E-3</v>
      </c>
      <c r="W341" s="22">
        <f t="shared" si="102"/>
        <v>-5.5908094025018231E-3</v>
      </c>
      <c r="X341" s="22">
        <f t="shared" si="103"/>
        <v>-3.1424418720777049E-3</v>
      </c>
    </row>
    <row r="342" spans="1:24" x14ac:dyDescent="0.35">
      <c r="A342" s="3">
        <v>8.1300000000000008</v>
      </c>
      <c r="B342" s="3">
        <v>60.33</v>
      </c>
      <c r="C342" s="3">
        <v>133.15</v>
      </c>
      <c r="D342" s="3">
        <v>18.91</v>
      </c>
      <c r="E342" s="3">
        <v>41.81</v>
      </c>
      <c r="F342" s="3">
        <v>101.156272</v>
      </c>
      <c r="G342" s="3">
        <v>95.001650999999995</v>
      </c>
      <c r="H342" s="3">
        <v>92.610985999999997</v>
      </c>
      <c r="I342" s="17">
        <f t="shared" si="88"/>
        <v>-4.4653349001174972E-2</v>
      </c>
      <c r="J342" s="17">
        <f t="shared" si="89"/>
        <v>-1.5181194906953962E-2</v>
      </c>
      <c r="K342" s="17">
        <f t="shared" si="90"/>
        <v>-1.9369568419502103E-2</v>
      </c>
      <c r="L342" s="17">
        <f t="shared" si="91"/>
        <v>1.588983050847518E-3</v>
      </c>
      <c r="M342" s="17">
        <f t="shared" si="92"/>
        <v>-2.4725915558665622E-2</v>
      </c>
      <c r="N342" s="17">
        <f t="shared" si="93"/>
        <v>4.8089768468421732E-3</v>
      </c>
      <c r="O342" s="17">
        <f t="shared" si="94"/>
        <v>3.3049982043792513E-3</v>
      </c>
      <c r="P342" s="17">
        <f t="shared" si="95"/>
        <v>-2.7117852668899333E-3</v>
      </c>
      <c r="Q342" s="22">
        <f t="shared" si="96"/>
        <v>-4.5047822871559708E-2</v>
      </c>
      <c r="R342" s="22">
        <f t="shared" si="97"/>
        <v>-1.5611919621031126E-2</v>
      </c>
      <c r="S342" s="22">
        <f t="shared" si="98"/>
        <v>-1.9781527806339551E-2</v>
      </c>
      <c r="T342" s="22">
        <f t="shared" si="99"/>
        <v>1.4575315416145997E-3</v>
      </c>
      <c r="U342" s="22">
        <f t="shared" si="100"/>
        <v>-2.5419143505619385E-2</v>
      </c>
      <c r="V342" s="22">
        <f t="shared" si="101"/>
        <v>5.0435806563453537E-3</v>
      </c>
      <c r="W342" s="22">
        <f t="shared" si="102"/>
        <v>3.5592467584699542E-3</v>
      </c>
      <c r="X342" s="22">
        <f t="shared" si="103"/>
        <v>-2.3958408822835945E-3</v>
      </c>
    </row>
    <row r="343" spans="1:24" x14ac:dyDescent="0.35">
      <c r="A343" s="3">
        <v>8.2100000000000009</v>
      </c>
      <c r="B343" s="3">
        <v>60.27</v>
      </c>
      <c r="C343" s="3">
        <v>130.5</v>
      </c>
      <c r="D343" s="3">
        <v>19.170000000000002</v>
      </c>
      <c r="E343" s="3">
        <v>42.13</v>
      </c>
      <c r="F343" s="3">
        <v>101.43723900000001</v>
      </c>
      <c r="G343" s="3">
        <v>95.373935000000003</v>
      </c>
      <c r="H343" s="3">
        <v>92.634097999999994</v>
      </c>
      <c r="I343" s="17">
        <f t="shared" si="88"/>
        <v>9.8400984009840171E-3</v>
      </c>
      <c r="J343" s="17">
        <f t="shared" si="89"/>
        <v>-9.9453008453497709E-4</v>
      </c>
      <c r="K343" s="17">
        <f t="shared" si="90"/>
        <v>-1.9902365752910295E-2</v>
      </c>
      <c r="L343" s="17">
        <f t="shared" si="91"/>
        <v>1.3749338974087867E-2</v>
      </c>
      <c r="M343" s="17">
        <f t="shared" si="92"/>
        <v>7.6536713704855363E-3</v>
      </c>
      <c r="N343" s="17">
        <f t="shared" si="93"/>
        <v>2.7775539217183088E-3</v>
      </c>
      <c r="O343" s="17">
        <f t="shared" si="94"/>
        <v>3.9187108442989864E-3</v>
      </c>
      <c r="P343" s="17">
        <f t="shared" si="95"/>
        <v>2.4956002520043984E-4</v>
      </c>
      <c r="Q343" s="22">
        <f t="shared" si="96"/>
        <v>9.4456245305992829E-3</v>
      </c>
      <c r="R343" s="22">
        <f t="shared" si="97"/>
        <v>-1.4252547986121405E-3</v>
      </c>
      <c r="S343" s="22">
        <f t="shared" si="98"/>
        <v>-2.0314325139747742E-2</v>
      </c>
      <c r="T343" s="22">
        <f t="shared" si="99"/>
        <v>1.361788746485495E-2</v>
      </c>
      <c r="U343" s="22">
        <f t="shared" si="100"/>
        <v>6.9604434235317741E-3</v>
      </c>
      <c r="V343" s="22">
        <f t="shared" si="101"/>
        <v>3.0121577312214889E-3</v>
      </c>
      <c r="W343" s="22">
        <f t="shared" si="102"/>
        <v>4.1729593983896897E-3</v>
      </c>
      <c r="X343" s="22">
        <f t="shared" si="103"/>
        <v>5.6550440980677867E-4</v>
      </c>
    </row>
    <row r="344" spans="1:24" x14ac:dyDescent="0.35">
      <c r="A344" s="3">
        <v>8.1300000000000008</v>
      </c>
      <c r="B344" s="3">
        <v>58.13</v>
      </c>
      <c r="C344" s="3">
        <v>126.42</v>
      </c>
      <c r="D344" s="3">
        <v>19.739999999999998</v>
      </c>
      <c r="E344" s="3">
        <v>42.04</v>
      </c>
      <c r="F344" s="3">
        <v>102.13205499999999</v>
      </c>
      <c r="G344" s="3">
        <v>96.394813999999997</v>
      </c>
      <c r="H344" s="3">
        <v>93.485235000000003</v>
      </c>
      <c r="I344" s="17">
        <f t="shared" si="88"/>
        <v>-9.7442143727162079E-3</v>
      </c>
      <c r="J344" s="17">
        <f t="shared" si="89"/>
        <v>-3.5506885681101719E-2</v>
      </c>
      <c r="K344" s="17">
        <f t="shared" si="90"/>
        <v>-3.1264367816091938E-2</v>
      </c>
      <c r="L344" s="17">
        <f t="shared" si="91"/>
        <v>2.9733959311423926E-2</v>
      </c>
      <c r="M344" s="17">
        <f t="shared" si="92"/>
        <v>-2.1362449560883789E-3</v>
      </c>
      <c r="N344" s="17">
        <f t="shared" si="93"/>
        <v>6.8497132497857983E-3</v>
      </c>
      <c r="O344" s="17">
        <f t="shared" si="94"/>
        <v>1.0703962251321534E-2</v>
      </c>
      <c r="P344" s="17">
        <f t="shared" si="95"/>
        <v>9.1881609296828107E-3</v>
      </c>
      <c r="Q344" s="22">
        <f t="shared" si="96"/>
        <v>-1.0138688243100942E-2</v>
      </c>
      <c r="R344" s="22">
        <f t="shared" si="97"/>
        <v>-3.5937610395178884E-2</v>
      </c>
      <c r="S344" s="22">
        <f t="shared" si="98"/>
        <v>-3.1676327202929386E-2</v>
      </c>
      <c r="T344" s="22">
        <f t="shared" si="99"/>
        <v>2.9602507802191008E-2</v>
      </c>
      <c r="U344" s="22">
        <f t="shared" si="100"/>
        <v>-2.8294729030421415E-3</v>
      </c>
      <c r="V344" s="22">
        <f t="shared" si="101"/>
        <v>7.0843170592889788E-3</v>
      </c>
      <c r="W344" s="22">
        <f t="shared" si="102"/>
        <v>1.0958210805412236E-2</v>
      </c>
      <c r="X344" s="22">
        <f t="shared" si="103"/>
        <v>9.5041053142891491E-3</v>
      </c>
    </row>
    <row r="345" spans="1:24" x14ac:dyDescent="0.35">
      <c r="A345" s="3">
        <v>8.18</v>
      </c>
      <c r="B345" s="3">
        <v>59.37</v>
      </c>
      <c r="C345" s="3">
        <v>120.03</v>
      </c>
      <c r="D345" s="3">
        <v>20.079999999999998</v>
      </c>
      <c r="E345" s="3">
        <v>41.17</v>
      </c>
      <c r="F345" s="3">
        <v>102.82858</v>
      </c>
      <c r="G345" s="3">
        <v>97.296008999999998</v>
      </c>
      <c r="H345" s="3">
        <v>94.886641999999995</v>
      </c>
      <c r="I345" s="17">
        <f t="shared" si="88"/>
        <v>6.1500615006148743E-3</v>
      </c>
      <c r="J345" s="17">
        <f t="shared" si="89"/>
        <v>2.133149836573189E-2</v>
      </c>
      <c r="K345" s="17">
        <f t="shared" si="90"/>
        <v>-5.0545799715234936E-2</v>
      </c>
      <c r="L345" s="17">
        <f t="shared" si="91"/>
        <v>1.7223910840932111E-2</v>
      </c>
      <c r="M345" s="17">
        <f t="shared" si="92"/>
        <v>-2.0694576593720208E-2</v>
      </c>
      <c r="N345" s="17">
        <f t="shared" si="93"/>
        <v>6.8198471087261318E-3</v>
      </c>
      <c r="O345" s="17">
        <f t="shared" si="94"/>
        <v>9.3489987957236093E-3</v>
      </c>
      <c r="P345" s="17">
        <f t="shared" si="95"/>
        <v>1.4990677404832878E-2</v>
      </c>
      <c r="Q345" s="22">
        <f t="shared" si="96"/>
        <v>5.755587630230141E-3</v>
      </c>
      <c r="R345" s="22">
        <f t="shared" si="97"/>
        <v>2.0900773651654728E-2</v>
      </c>
      <c r="S345" s="22">
        <f t="shared" si="98"/>
        <v>-5.0957759102072384E-2</v>
      </c>
      <c r="T345" s="22">
        <f t="shared" si="99"/>
        <v>1.7092459331699193E-2</v>
      </c>
      <c r="U345" s="22">
        <f t="shared" si="100"/>
        <v>-2.1387804540673971E-2</v>
      </c>
      <c r="V345" s="22">
        <f t="shared" si="101"/>
        <v>7.0544509182293123E-3</v>
      </c>
      <c r="W345" s="22">
        <f t="shared" si="102"/>
        <v>9.6032473498143117E-3</v>
      </c>
      <c r="X345" s="22">
        <f t="shared" si="103"/>
        <v>1.5306621789439217E-2</v>
      </c>
    </row>
    <row r="346" spans="1:24" x14ac:dyDescent="0.35">
      <c r="A346" s="3">
        <v>8.26</v>
      </c>
      <c r="B346" s="3">
        <v>57.91</v>
      </c>
      <c r="C346" s="3">
        <v>129.56</v>
      </c>
      <c r="D346" s="3">
        <v>19.36</v>
      </c>
      <c r="E346" s="3">
        <v>41.92</v>
      </c>
      <c r="F346" s="3">
        <v>102.074692</v>
      </c>
      <c r="G346" s="3">
        <v>96.724334999999996</v>
      </c>
      <c r="H346" s="3">
        <v>95.407134999999997</v>
      </c>
      <c r="I346" s="17">
        <f t="shared" si="88"/>
        <v>9.7799511002445074E-3</v>
      </c>
      <c r="J346" s="17">
        <f t="shared" si="89"/>
        <v>-2.4591544551120111E-2</v>
      </c>
      <c r="K346" s="17">
        <f t="shared" si="90"/>
        <v>7.9396817462301095E-2</v>
      </c>
      <c r="L346" s="17">
        <f t="shared" si="91"/>
        <v>-3.585657370517923E-2</v>
      </c>
      <c r="M346" s="17">
        <f t="shared" si="92"/>
        <v>1.8217148409035704E-2</v>
      </c>
      <c r="N346" s="17">
        <f t="shared" si="93"/>
        <v>-7.3315025842037636E-3</v>
      </c>
      <c r="O346" s="17">
        <f t="shared" si="94"/>
        <v>-5.8756161313872762E-3</v>
      </c>
      <c r="P346" s="17">
        <f t="shared" si="95"/>
        <v>5.4854191172662835E-3</v>
      </c>
      <c r="Q346" s="22">
        <f t="shared" si="96"/>
        <v>9.3854772298597733E-3</v>
      </c>
      <c r="R346" s="22">
        <f t="shared" si="97"/>
        <v>-2.5022269265197274E-2</v>
      </c>
      <c r="S346" s="22">
        <f t="shared" si="98"/>
        <v>7.8984858075463654E-2</v>
      </c>
      <c r="T346" s="22">
        <f t="shared" si="99"/>
        <v>-3.5988025214412148E-2</v>
      </c>
      <c r="U346" s="22">
        <f t="shared" si="100"/>
        <v>1.7523920462081941E-2</v>
      </c>
      <c r="V346" s="22">
        <f t="shared" si="101"/>
        <v>-7.0968987747005831E-3</v>
      </c>
      <c r="W346" s="22">
        <f t="shared" si="102"/>
        <v>-5.6213675772965729E-3</v>
      </c>
      <c r="X346" s="22">
        <f t="shared" si="103"/>
        <v>5.8013635018726219E-3</v>
      </c>
    </row>
    <row r="347" spans="1:24" x14ac:dyDescent="0.35">
      <c r="A347" s="3">
        <v>8.6999999999999993</v>
      </c>
      <c r="B347" s="3">
        <v>58.43</v>
      </c>
      <c r="C347" s="3">
        <v>133.38999999999999</v>
      </c>
      <c r="D347" s="3">
        <v>19.399999999999999</v>
      </c>
      <c r="E347" s="3">
        <v>42.95</v>
      </c>
      <c r="F347" s="3">
        <v>102.357602</v>
      </c>
      <c r="G347" s="3">
        <v>96.984821999999994</v>
      </c>
      <c r="H347" s="3">
        <v>94.932444000000004</v>
      </c>
      <c r="I347" s="17">
        <f t="shared" si="88"/>
        <v>5.3268765133171851E-2</v>
      </c>
      <c r="J347" s="17">
        <f t="shared" si="89"/>
        <v>8.9794508720428788E-3</v>
      </c>
      <c r="K347" s="17">
        <f t="shared" si="90"/>
        <v>2.9561593084285149E-2</v>
      </c>
      <c r="L347" s="17">
        <f t="shared" si="91"/>
        <v>2.0661157024792947E-3</v>
      </c>
      <c r="M347" s="17">
        <f t="shared" si="92"/>
        <v>2.4570610687022928E-2</v>
      </c>
      <c r="N347" s="17">
        <f t="shared" si="93"/>
        <v>2.7715978805010854E-3</v>
      </c>
      <c r="O347" s="17">
        <f t="shared" si="94"/>
        <v>2.6930864916258944E-3</v>
      </c>
      <c r="P347" s="17">
        <f t="shared" si="95"/>
        <v>-4.9754245319282766E-3</v>
      </c>
      <c r="Q347" s="22">
        <f t="shared" si="96"/>
        <v>5.2874291262787115E-2</v>
      </c>
      <c r="R347" s="22">
        <f t="shared" si="97"/>
        <v>8.5487261579657147E-3</v>
      </c>
      <c r="S347" s="22">
        <f t="shared" si="98"/>
        <v>2.9149633697447701E-2</v>
      </c>
      <c r="T347" s="22">
        <f t="shared" si="99"/>
        <v>1.9346641932463764E-3</v>
      </c>
      <c r="U347" s="22">
        <f t="shared" si="100"/>
        <v>2.3877382740069165E-2</v>
      </c>
      <c r="V347" s="22">
        <f t="shared" si="101"/>
        <v>3.0062016900042655E-3</v>
      </c>
      <c r="W347" s="22">
        <f t="shared" si="102"/>
        <v>2.9473350457165973E-3</v>
      </c>
      <c r="X347" s="22">
        <f t="shared" si="103"/>
        <v>-4.6594801473219382E-3</v>
      </c>
    </row>
    <row r="348" spans="1:24" x14ac:dyDescent="0.35">
      <c r="A348" s="3">
        <v>8.89</v>
      </c>
      <c r="B348" s="3">
        <v>58.97</v>
      </c>
      <c r="C348" s="3">
        <v>133.88999999999999</v>
      </c>
      <c r="D348" s="3">
        <v>20.059999999999999</v>
      </c>
      <c r="E348" s="3">
        <v>44.01</v>
      </c>
      <c r="F348" s="3">
        <v>101.71203199999999</v>
      </c>
      <c r="G348" s="3">
        <v>96.181089999999998</v>
      </c>
      <c r="H348" s="3">
        <v>95.524203</v>
      </c>
      <c r="I348" s="17">
        <f t="shared" si="88"/>
        <v>2.1839080459770264E-2</v>
      </c>
      <c r="J348" s="17">
        <f t="shared" si="89"/>
        <v>9.2418278281704465E-3</v>
      </c>
      <c r="K348" s="17">
        <f t="shared" si="90"/>
        <v>3.7484069270560015E-3</v>
      </c>
      <c r="L348" s="17">
        <f t="shared" si="91"/>
        <v>3.4020618556701042E-2</v>
      </c>
      <c r="M348" s="17">
        <f t="shared" si="92"/>
        <v>2.4679860302677419E-2</v>
      </c>
      <c r="N348" s="17">
        <f t="shared" si="93"/>
        <v>-6.3070059026979399E-3</v>
      </c>
      <c r="O348" s="17">
        <f t="shared" si="94"/>
        <v>-8.2871936394335668E-3</v>
      </c>
      <c r="P348" s="17">
        <f t="shared" si="95"/>
        <v>6.2334748276363363E-3</v>
      </c>
      <c r="Q348" s="22">
        <f t="shared" si="96"/>
        <v>2.1444606589385531E-2</v>
      </c>
      <c r="R348" s="22">
        <f t="shared" si="97"/>
        <v>8.8111031140932824E-3</v>
      </c>
      <c r="S348" s="22">
        <f t="shared" si="98"/>
        <v>3.3364475402185545E-3</v>
      </c>
      <c r="T348" s="22">
        <f t="shared" si="99"/>
        <v>3.3889167047468124E-2</v>
      </c>
      <c r="U348" s="22">
        <f t="shared" si="100"/>
        <v>2.3986632355723656E-2</v>
      </c>
      <c r="V348" s="22">
        <f t="shared" si="101"/>
        <v>-6.0724020931947594E-3</v>
      </c>
      <c r="W348" s="22">
        <f t="shared" si="102"/>
        <v>-8.0329450853428644E-3</v>
      </c>
      <c r="X348" s="22">
        <f t="shared" si="103"/>
        <v>6.5494192122426747E-3</v>
      </c>
    </row>
    <row r="349" spans="1:24" x14ac:dyDescent="0.35">
      <c r="A349" s="3">
        <v>8.64</v>
      </c>
      <c r="B349" s="3">
        <v>57.17</v>
      </c>
      <c r="C349" s="3">
        <v>127.02</v>
      </c>
      <c r="D349" s="3">
        <v>20.38</v>
      </c>
      <c r="E349" s="3">
        <v>43.46</v>
      </c>
      <c r="F349" s="3">
        <v>102.251333</v>
      </c>
      <c r="G349" s="3">
        <v>96.734815999999995</v>
      </c>
      <c r="H349" s="3">
        <v>94.484523999999993</v>
      </c>
      <c r="I349" s="17">
        <f t="shared" si="88"/>
        <v>-2.8121484814398197E-2</v>
      </c>
      <c r="J349" s="17">
        <f t="shared" si="89"/>
        <v>-3.0523995251822915E-2</v>
      </c>
      <c r="K349" s="17">
        <f t="shared" si="90"/>
        <v>-5.131077750392106E-2</v>
      </c>
      <c r="L349" s="17">
        <f t="shared" si="91"/>
        <v>1.595214356929214E-2</v>
      </c>
      <c r="M349" s="17">
        <f t="shared" si="92"/>
        <v>-1.2497159736423477E-2</v>
      </c>
      <c r="N349" s="17">
        <f t="shared" si="93"/>
        <v>5.3022340562423227E-3</v>
      </c>
      <c r="O349" s="17">
        <f t="shared" si="94"/>
        <v>5.757119200874075E-3</v>
      </c>
      <c r="P349" s="17">
        <f t="shared" si="95"/>
        <v>-1.0883932734827493E-2</v>
      </c>
      <c r="Q349" s="22">
        <f t="shared" si="96"/>
        <v>-2.8515958684782929E-2</v>
      </c>
      <c r="R349" s="22">
        <f t="shared" si="97"/>
        <v>-3.0954719965900077E-2</v>
      </c>
      <c r="S349" s="22">
        <f t="shared" si="98"/>
        <v>-5.1722736890758507E-2</v>
      </c>
      <c r="T349" s="22">
        <f t="shared" si="99"/>
        <v>1.5820692060059222E-2</v>
      </c>
      <c r="U349" s="22">
        <f t="shared" si="100"/>
        <v>-1.319038768337724E-2</v>
      </c>
      <c r="V349" s="22">
        <f t="shared" si="101"/>
        <v>5.5368378657455032E-3</v>
      </c>
      <c r="W349" s="22">
        <f t="shared" si="102"/>
        <v>6.0113677549647783E-3</v>
      </c>
      <c r="X349" s="22">
        <f t="shared" si="103"/>
        <v>-1.0567988350221155E-2</v>
      </c>
    </row>
    <row r="350" spans="1:24" x14ac:dyDescent="0.35">
      <c r="A350" s="3">
        <v>8.7200000000000006</v>
      </c>
      <c r="B350" s="3">
        <v>56.46</v>
      </c>
      <c r="C350" s="3">
        <v>128.47</v>
      </c>
      <c r="D350" s="3">
        <v>20.93</v>
      </c>
      <c r="E350" s="3">
        <v>43.62</v>
      </c>
      <c r="F350" s="3">
        <v>102.63491999999999</v>
      </c>
      <c r="G350" s="3">
        <v>97.338559000000004</v>
      </c>
      <c r="H350" s="3">
        <v>94.905648999999997</v>
      </c>
      <c r="I350" s="17">
        <f t="shared" si="88"/>
        <v>9.2592592592592674E-3</v>
      </c>
      <c r="J350" s="17">
        <f t="shared" si="89"/>
        <v>-1.2419100927059661E-2</v>
      </c>
      <c r="K350" s="17">
        <f t="shared" si="90"/>
        <v>1.1415525114155273E-2</v>
      </c>
      <c r="L350" s="17">
        <f t="shared" si="91"/>
        <v>2.6987242394504452E-2</v>
      </c>
      <c r="M350" s="17">
        <f t="shared" si="92"/>
        <v>3.6815462494246796E-3</v>
      </c>
      <c r="N350" s="17">
        <f t="shared" si="93"/>
        <v>3.7514131967354542E-3</v>
      </c>
      <c r="O350" s="17">
        <f t="shared" si="94"/>
        <v>6.2412172262777512E-3</v>
      </c>
      <c r="P350" s="17">
        <f t="shared" si="95"/>
        <v>4.457079129699627E-3</v>
      </c>
      <c r="Q350" s="22">
        <f t="shared" si="96"/>
        <v>8.8647853888745333E-3</v>
      </c>
      <c r="R350" s="22">
        <f t="shared" si="97"/>
        <v>-1.2849825641136825E-2</v>
      </c>
      <c r="S350" s="22">
        <f t="shared" si="98"/>
        <v>1.1003565727317826E-2</v>
      </c>
      <c r="T350" s="22">
        <f t="shared" si="99"/>
        <v>2.6855790885271534E-2</v>
      </c>
      <c r="U350" s="22">
        <f t="shared" si="100"/>
        <v>2.988318302470917E-3</v>
      </c>
      <c r="V350" s="22">
        <f t="shared" si="101"/>
        <v>3.9860170062386343E-3</v>
      </c>
      <c r="W350" s="22">
        <f t="shared" si="102"/>
        <v>6.4954657803684545E-3</v>
      </c>
      <c r="X350" s="22">
        <f t="shared" si="103"/>
        <v>4.7730235143059654E-3</v>
      </c>
    </row>
    <row r="351" spans="1:24" x14ac:dyDescent="0.35">
      <c r="A351" s="3">
        <v>8.81</v>
      </c>
      <c r="B351" s="3">
        <v>57.77</v>
      </c>
      <c r="C351" s="3">
        <v>126.91</v>
      </c>
      <c r="D351" s="3">
        <v>21.2</v>
      </c>
      <c r="E351" s="3">
        <v>43.47</v>
      </c>
      <c r="F351" s="3">
        <v>103.178901</v>
      </c>
      <c r="G351" s="3">
        <v>98.139887000000002</v>
      </c>
      <c r="H351" s="3">
        <v>95.353638000000004</v>
      </c>
      <c r="I351" s="17">
        <f t="shared" si="88"/>
        <v>1.0321100917431176E-2</v>
      </c>
      <c r="J351" s="17">
        <f t="shared" si="89"/>
        <v>2.3202267091746408E-2</v>
      </c>
      <c r="K351" s="17">
        <f t="shared" si="90"/>
        <v>-1.2142912742274478E-2</v>
      </c>
      <c r="L351" s="17">
        <f t="shared" si="91"/>
        <v>1.2900143334925923E-2</v>
      </c>
      <c r="M351" s="17">
        <f t="shared" si="92"/>
        <v>-3.4387895460797476E-3</v>
      </c>
      <c r="N351" s="17">
        <f t="shared" si="93"/>
        <v>5.300155151872309E-3</v>
      </c>
      <c r="O351" s="17">
        <f t="shared" si="94"/>
        <v>8.2323799348621753E-3</v>
      </c>
      <c r="P351" s="17">
        <f t="shared" si="95"/>
        <v>4.7203617984847967E-3</v>
      </c>
      <c r="Q351" s="22">
        <f t="shared" si="96"/>
        <v>9.9266270470464418E-3</v>
      </c>
      <c r="R351" s="22">
        <f t="shared" si="97"/>
        <v>2.2771542377669245E-2</v>
      </c>
      <c r="S351" s="22">
        <f t="shared" si="98"/>
        <v>-1.2554872129111926E-2</v>
      </c>
      <c r="T351" s="22">
        <f t="shared" si="99"/>
        <v>1.2768691825693006E-2</v>
      </c>
      <c r="U351" s="22">
        <f t="shared" si="100"/>
        <v>-4.1320174930335098E-3</v>
      </c>
      <c r="V351" s="22">
        <f t="shared" si="101"/>
        <v>5.5347589613754895E-3</v>
      </c>
      <c r="W351" s="22">
        <f t="shared" si="102"/>
        <v>8.4866284889528777E-3</v>
      </c>
      <c r="X351" s="22">
        <f t="shared" si="103"/>
        <v>5.0363061830911351E-3</v>
      </c>
    </row>
    <row r="352" spans="1:24" x14ac:dyDescent="0.35">
      <c r="A352" s="3">
        <v>8.73</v>
      </c>
      <c r="B352" s="3">
        <v>58.52</v>
      </c>
      <c r="C352" s="3">
        <v>127.75</v>
      </c>
      <c r="D352" s="3">
        <v>21.35</v>
      </c>
      <c r="E352" s="3">
        <v>44.22</v>
      </c>
      <c r="F352" s="3">
        <v>103.411886</v>
      </c>
      <c r="G352" s="3">
        <v>98.223083000000003</v>
      </c>
      <c r="H352" s="3">
        <v>95.376547000000002</v>
      </c>
      <c r="I352" s="17">
        <f t="shared" si="88"/>
        <v>-9.0805902383655004E-3</v>
      </c>
      <c r="J352" s="17">
        <f t="shared" si="89"/>
        <v>1.298251687727194E-2</v>
      </c>
      <c r="K352" s="17">
        <f t="shared" si="90"/>
        <v>6.618863761720932E-3</v>
      </c>
      <c r="L352" s="17">
        <f t="shared" si="91"/>
        <v>7.0754716981133083E-3</v>
      </c>
      <c r="M352" s="17">
        <f t="shared" si="92"/>
        <v>1.725327812284334E-2</v>
      </c>
      <c r="N352" s="17">
        <f t="shared" si="93"/>
        <v>2.2580682459488431E-3</v>
      </c>
      <c r="O352" s="17">
        <f t="shared" si="94"/>
        <v>8.4772871197621145E-4</v>
      </c>
      <c r="P352" s="17">
        <f t="shared" si="95"/>
        <v>2.4025302526997988E-4</v>
      </c>
      <c r="Q352" s="22">
        <f t="shared" si="96"/>
        <v>-9.4750641087502346E-3</v>
      </c>
      <c r="R352" s="22">
        <f t="shared" si="97"/>
        <v>1.2551792163194776E-2</v>
      </c>
      <c r="S352" s="22">
        <f t="shared" si="98"/>
        <v>6.2069043748834854E-3</v>
      </c>
      <c r="T352" s="22">
        <f t="shared" si="99"/>
        <v>6.94402018888039E-3</v>
      </c>
      <c r="U352" s="22">
        <f t="shared" si="100"/>
        <v>1.6560050175889577E-2</v>
      </c>
      <c r="V352" s="22">
        <f t="shared" si="101"/>
        <v>2.4926720554520232E-3</v>
      </c>
      <c r="W352" s="22">
        <f t="shared" si="102"/>
        <v>1.1019772660669145E-3</v>
      </c>
      <c r="X352" s="22">
        <f t="shared" si="103"/>
        <v>5.5619740987631868E-4</v>
      </c>
    </row>
    <row r="353" spans="1:24" x14ac:dyDescent="0.35">
      <c r="A353" s="3">
        <v>8.4</v>
      </c>
      <c r="B353" s="3">
        <v>58.1</v>
      </c>
      <c r="C353" s="3">
        <v>129.96</v>
      </c>
      <c r="D353" s="3">
        <v>21.66</v>
      </c>
      <c r="E353" s="3">
        <v>43.56</v>
      </c>
      <c r="F353" s="3">
        <v>103.645309</v>
      </c>
      <c r="G353" s="3">
        <v>98.426918000000001</v>
      </c>
      <c r="H353" s="3">
        <v>96.329485000000005</v>
      </c>
      <c r="I353" s="17">
        <f t="shared" si="88"/>
        <v>-3.7800687285223372E-2</v>
      </c>
      <c r="J353" s="17">
        <f t="shared" si="89"/>
        <v>-7.1770334928229953E-3</v>
      </c>
      <c r="K353" s="17">
        <f t="shared" si="90"/>
        <v>1.7299412915851336E-2</v>
      </c>
      <c r="L353" s="17">
        <f t="shared" si="91"/>
        <v>1.451990632318495E-2</v>
      </c>
      <c r="M353" s="17">
        <f t="shared" si="92"/>
        <v>-1.4925373134328282E-2</v>
      </c>
      <c r="N353" s="17">
        <f t="shared" si="93"/>
        <v>2.2572163513196342E-3</v>
      </c>
      <c r="O353" s="17">
        <f t="shared" si="94"/>
        <v>2.0752250262802072E-3</v>
      </c>
      <c r="P353" s="17">
        <f t="shared" si="95"/>
        <v>9.9913241774207146E-3</v>
      </c>
      <c r="Q353" s="22">
        <f t="shared" si="96"/>
        <v>-3.8195161155608108E-2</v>
      </c>
      <c r="R353" s="22">
        <f t="shared" si="97"/>
        <v>-7.6077582069001585E-3</v>
      </c>
      <c r="S353" s="22">
        <f t="shared" si="98"/>
        <v>1.6887453529013888E-2</v>
      </c>
      <c r="T353" s="22">
        <f t="shared" si="99"/>
        <v>1.4388454813952033E-2</v>
      </c>
      <c r="U353" s="22">
        <f t="shared" si="100"/>
        <v>-1.5618601081282045E-2</v>
      </c>
      <c r="V353" s="22">
        <f t="shared" si="101"/>
        <v>2.4918201608228143E-3</v>
      </c>
      <c r="W353" s="22">
        <f t="shared" si="102"/>
        <v>2.3294735803709101E-3</v>
      </c>
      <c r="X353" s="22">
        <f t="shared" si="103"/>
        <v>1.0307268562027053E-2</v>
      </c>
    </row>
    <row r="354" spans="1:24" x14ac:dyDescent="0.35">
      <c r="A354" s="3">
        <v>8.59</v>
      </c>
      <c r="B354" s="3">
        <v>59.54</v>
      </c>
      <c r="C354" s="3">
        <v>131.01</v>
      </c>
      <c r="D354" s="3">
        <v>22.02</v>
      </c>
      <c r="E354" s="3">
        <v>43.28</v>
      </c>
      <c r="F354" s="3">
        <v>103.984246</v>
      </c>
      <c r="G354" s="3">
        <v>98.752210000000005</v>
      </c>
      <c r="H354" s="3">
        <v>96.641013999999998</v>
      </c>
      <c r="I354" s="17">
        <f t="shared" si="88"/>
        <v>2.261904761904756E-2</v>
      </c>
      <c r="J354" s="17">
        <f t="shared" si="89"/>
        <v>2.4784853700516311E-2</v>
      </c>
      <c r="K354" s="17">
        <f t="shared" si="90"/>
        <v>8.0794090489380039E-3</v>
      </c>
      <c r="L354" s="17">
        <f t="shared" si="91"/>
        <v>1.6620498614958422E-2</v>
      </c>
      <c r="M354" s="17">
        <f t="shared" si="92"/>
        <v>-6.4279155188246354E-3</v>
      </c>
      <c r="N354" s="17">
        <f t="shared" si="93"/>
        <v>3.2701624730551134E-3</v>
      </c>
      <c r="O354" s="17">
        <f t="shared" si="94"/>
        <v>3.3049089274542211E-3</v>
      </c>
      <c r="P354" s="17">
        <f t="shared" si="95"/>
        <v>3.2339942438184221E-3</v>
      </c>
      <c r="Q354" s="22">
        <f t="shared" si="96"/>
        <v>2.2224573748662827E-2</v>
      </c>
      <c r="R354" s="22">
        <f t="shared" si="97"/>
        <v>2.4354128986439148E-2</v>
      </c>
      <c r="S354" s="22">
        <f t="shared" si="98"/>
        <v>7.6674496621005573E-3</v>
      </c>
      <c r="T354" s="22">
        <f t="shared" si="99"/>
        <v>1.6489047105725504E-2</v>
      </c>
      <c r="U354" s="22">
        <f t="shared" si="100"/>
        <v>-7.1211434657783975E-3</v>
      </c>
      <c r="V354" s="22">
        <f t="shared" si="101"/>
        <v>3.5047662825582935E-3</v>
      </c>
      <c r="W354" s="22">
        <f t="shared" si="102"/>
        <v>3.559157481544924E-3</v>
      </c>
      <c r="X354" s="22">
        <f t="shared" si="103"/>
        <v>3.5499386284247609E-3</v>
      </c>
    </row>
    <row r="355" spans="1:24" x14ac:dyDescent="0.35">
      <c r="A355" s="3">
        <v>8.7799999999999994</v>
      </c>
      <c r="B355" s="3">
        <v>61.16</v>
      </c>
      <c r="C355" s="3">
        <v>134.25</v>
      </c>
      <c r="D355" s="3">
        <v>22.25</v>
      </c>
      <c r="E355" s="3">
        <v>43.16</v>
      </c>
      <c r="F355" s="3">
        <v>103.898967</v>
      </c>
      <c r="G355" s="3">
        <v>98.760430999999997</v>
      </c>
      <c r="H355" s="3">
        <v>97.071871000000002</v>
      </c>
      <c r="I355" s="17">
        <f t="shared" si="88"/>
        <v>2.211874272409773E-2</v>
      </c>
      <c r="J355" s="17">
        <f t="shared" si="89"/>
        <v>2.7208599261000964E-2</v>
      </c>
      <c r="K355" s="17">
        <f t="shared" si="90"/>
        <v>2.4730936569727573E-2</v>
      </c>
      <c r="L355" s="17">
        <f t="shared" si="91"/>
        <v>1.0445049954586758E-2</v>
      </c>
      <c r="M355" s="17">
        <f t="shared" si="92"/>
        <v>-2.7726432532348554E-3</v>
      </c>
      <c r="N355" s="17">
        <f t="shared" si="93"/>
        <v>-8.2011461620830415E-4</v>
      </c>
      <c r="O355" s="17">
        <f t="shared" si="94"/>
        <v>8.32487698249165E-5</v>
      </c>
      <c r="P355" s="17">
        <f t="shared" si="95"/>
        <v>4.4583244956432596E-3</v>
      </c>
      <c r="Q355" s="22">
        <f t="shared" si="96"/>
        <v>2.1724268853712998E-2</v>
      </c>
      <c r="R355" s="22">
        <f t="shared" si="97"/>
        <v>2.6777874546923802E-2</v>
      </c>
      <c r="S355" s="22">
        <f t="shared" si="98"/>
        <v>2.4318977182890125E-2</v>
      </c>
      <c r="T355" s="22">
        <f t="shared" si="99"/>
        <v>1.0313598445353841E-2</v>
      </c>
      <c r="U355" s="22">
        <f t="shared" si="100"/>
        <v>-3.465871200188618E-3</v>
      </c>
      <c r="V355" s="22">
        <f t="shared" si="101"/>
        <v>-5.8551080670512384E-4</v>
      </c>
      <c r="W355" s="22">
        <f t="shared" si="102"/>
        <v>3.374973239156195E-4</v>
      </c>
      <c r="X355" s="22">
        <f t="shared" si="103"/>
        <v>4.774268880249598E-3</v>
      </c>
    </row>
    <row r="356" spans="1:24" x14ac:dyDescent="0.35">
      <c r="A356" s="3">
        <v>9.0399999999999991</v>
      </c>
      <c r="B356" s="3">
        <v>61.44</v>
      </c>
      <c r="C356" s="3">
        <v>131.02000000000001</v>
      </c>
      <c r="D356" s="3">
        <v>22.16</v>
      </c>
      <c r="E356" s="3">
        <v>42.83</v>
      </c>
      <c r="F356" s="3">
        <v>103.923072</v>
      </c>
      <c r="G356" s="3">
        <v>98.904450999999995</v>
      </c>
      <c r="H356" s="3">
        <v>97.385975999999999</v>
      </c>
      <c r="I356" s="17">
        <f t="shared" si="88"/>
        <v>2.9612756264236879E-2</v>
      </c>
      <c r="J356" s="17">
        <f t="shared" si="89"/>
        <v>4.5781556572923668E-3</v>
      </c>
      <c r="K356" s="17">
        <f t="shared" si="90"/>
        <v>-2.4059590316573481E-2</v>
      </c>
      <c r="L356" s="17">
        <f t="shared" si="91"/>
        <v>-4.0449438202247124E-3</v>
      </c>
      <c r="M356" s="17">
        <f t="shared" si="92"/>
        <v>-7.6459684893419441E-3</v>
      </c>
      <c r="N356" s="17">
        <f t="shared" si="93"/>
        <v>2.3200423157244496E-4</v>
      </c>
      <c r="O356" s="17">
        <f t="shared" si="94"/>
        <v>1.4582763414630866E-3</v>
      </c>
      <c r="P356" s="17">
        <f t="shared" si="95"/>
        <v>3.2357983498638638E-3</v>
      </c>
      <c r="Q356" s="22">
        <f t="shared" si="96"/>
        <v>2.9218282393852147E-2</v>
      </c>
      <c r="R356" s="22">
        <f t="shared" si="97"/>
        <v>4.1474309432152036E-3</v>
      </c>
      <c r="S356" s="22">
        <f t="shared" si="98"/>
        <v>-2.4471549703410929E-2</v>
      </c>
      <c r="T356" s="22">
        <f t="shared" si="99"/>
        <v>-4.1763953294576307E-3</v>
      </c>
      <c r="U356" s="22">
        <f t="shared" si="100"/>
        <v>-8.3391964362957063E-3</v>
      </c>
      <c r="V356" s="22">
        <f t="shared" si="101"/>
        <v>4.6660804107562524E-4</v>
      </c>
      <c r="W356" s="22">
        <f t="shared" si="102"/>
        <v>1.7125248955537895E-3</v>
      </c>
      <c r="X356" s="22">
        <f t="shared" si="103"/>
        <v>3.5517427344702026E-3</v>
      </c>
    </row>
    <row r="357" spans="1:24" x14ac:dyDescent="0.35">
      <c r="A357" s="3">
        <v>9.19</v>
      </c>
      <c r="B357" s="3">
        <v>61.09</v>
      </c>
      <c r="C357" s="3">
        <v>129.04</v>
      </c>
      <c r="D357" s="3">
        <v>21.55</v>
      </c>
      <c r="E357" s="3">
        <v>42.7</v>
      </c>
      <c r="F357" s="3">
        <v>104.10451</v>
      </c>
      <c r="G357" s="3">
        <v>99.413584999999998</v>
      </c>
      <c r="H357" s="3">
        <v>98.364079000000004</v>
      </c>
      <c r="I357" s="17">
        <f t="shared" si="88"/>
        <v>1.6592920353982341E-2</v>
      </c>
      <c r="J357" s="17">
        <f t="shared" si="89"/>
        <v>-5.6966145833332411E-3</v>
      </c>
      <c r="K357" s="17">
        <f t="shared" si="90"/>
        <v>-1.5112196611204535E-2</v>
      </c>
      <c r="L357" s="17">
        <f t="shared" si="91"/>
        <v>-2.7527075812274343E-2</v>
      </c>
      <c r="M357" s="17">
        <f t="shared" si="92"/>
        <v>-3.0352556619191095E-3</v>
      </c>
      <c r="N357" s="17">
        <f t="shared" si="93"/>
        <v>1.7458875734543335E-3</v>
      </c>
      <c r="O357" s="17">
        <f t="shared" si="94"/>
        <v>5.1477359699413638E-3</v>
      </c>
      <c r="P357" s="17">
        <f t="shared" si="95"/>
        <v>1.0043571365963457E-2</v>
      </c>
      <c r="Q357" s="22">
        <f t="shared" si="96"/>
        <v>1.6198446483597608E-2</v>
      </c>
      <c r="R357" s="22">
        <f t="shared" si="97"/>
        <v>-6.1273392974104043E-3</v>
      </c>
      <c r="S357" s="22">
        <f t="shared" si="98"/>
        <v>-1.5524155998041982E-2</v>
      </c>
      <c r="T357" s="22">
        <f t="shared" si="99"/>
        <v>-2.7658527321507261E-2</v>
      </c>
      <c r="U357" s="22">
        <f t="shared" si="100"/>
        <v>-3.7284836088728721E-3</v>
      </c>
      <c r="V357" s="22">
        <f t="shared" si="101"/>
        <v>1.9804913829575138E-3</v>
      </c>
      <c r="W357" s="22">
        <f t="shared" si="102"/>
        <v>5.4019845240320672E-3</v>
      </c>
      <c r="X357" s="22">
        <f t="shared" si="103"/>
        <v>1.0359515750569795E-2</v>
      </c>
    </row>
    <row r="358" spans="1:24" x14ac:dyDescent="0.35">
      <c r="A358" s="3">
        <v>9.26</v>
      </c>
      <c r="B358" s="3">
        <v>64.72</v>
      </c>
      <c r="C358" s="3">
        <v>127.59</v>
      </c>
      <c r="D358" s="3">
        <v>20.81</v>
      </c>
      <c r="E358" s="3">
        <v>42.15</v>
      </c>
      <c r="F358" s="3">
        <v>103.34529000000001</v>
      </c>
      <c r="G358" s="3">
        <v>98.527552999999997</v>
      </c>
      <c r="H358" s="3">
        <v>98.609018000000006</v>
      </c>
      <c r="I358" s="17">
        <f t="shared" si="88"/>
        <v>7.6169749727965494E-3</v>
      </c>
      <c r="J358" s="17">
        <f t="shared" si="89"/>
        <v>5.9420527091176872E-2</v>
      </c>
      <c r="K358" s="17">
        <f t="shared" si="90"/>
        <v>-1.1236825790452485E-2</v>
      </c>
      <c r="L358" s="17">
        <f t="shared" si="91"/>
        <v>-3.4338747099768072E-2</v>
      </c>
      <c r="M358" s="17">
        <f t="shared" si="92"/>
        <v>-1.2880562060890029E-2</v>
      </c>
      <c r="N358" s="17">
        <f t="shared" si="93"/>
        <v>-7.2928636809298569E-3</v>
      </c>
      <c r="O358" s="17">
        <f t="shared" si="94"/>
        <v>-8.9125847337665192E-3</v>
      </c>
      <c r="P358" s="17">
        <f t="shared" si="95"/>
        <v>2.4901265023790061E-3</v>
      </c>
      <c r="Q358" s="22">
        <f t="shared" si="96"/>
        <v>7.2225011024118161E-3</v>
      </c>
      <c r="R358" s="22">
        <f t="shared" si="97"/>
        <v>5.8989802377099707E-2</v>
      </c>
      <c r="S358" s="22">
        <f t="shared" si="98"/>
        <v>-1.1648785177289933E-2</v>
      </c>
      <c r="T358" s="22">
        <f t="shared" si="99"/>
        <v>-3.4470198609000989E-2</v>
      </c>
      <c r="U358" s="22">
        <f t="shared" si="100"/>
        <v>-1.3573790007843792E-2</v>
      </c>
      <c r="V358" s="22">
        <f t="shared" si="101"/>
        <v>-7.0582598714266764E-3</v>
      </c>
      <c r="W358" s="22">
        <f t="shared" si="102"/>
        <v>-8.6583361796758167E-3</v>
      </c>
      <c r="X358" s="22">
        <f t="shared" si="103"/>
        <v>2.8060708869853449E-3</v>
      </c>
    </row>
    <row r="359" spans="1:24" x14ac:dyDescent="0.35">
      <c r="A359" s="3">
        <v>8.86</v>
      </c>
      <c r="B359" s="3">
        <v>64.66</v>
      </c>
      <c r="C359" s="3">
        <v>125.83</v>
      </c>
      <c r="D359" s="3">
        <v>20.98</v>
      </c>
      <c r="E359" s="3">
        <v>42.14</v>
      </c>
      <c r="F359" s="3">
        <v>103.11030100000001</v>
      </c>
      <c r="G359" s="3">
        <v>98.190216000000007</v>
      </c>
      <c r="H359" s="3">
        <v>97.527168000000003</v>
      </c>
      <c r="I359" s="17">
        <f t="shared" si="88"/>
        <v>-4.3196544276457922E-2</v>
      </c>
      <c r="J359" s="17">
        <f t="shared" si="89"/>
        <v>-9.2707045735479412E-4</v>
      </c>
      <c r="K359" s="17">
        <f t="shared" si="90"/>
        <v>-1.379418449721769E-2</v>
      </c>
      <c r="L359" s="17">
        <f t="shared" si="91"/>
        <v>8.16914944738115E-3</v>
      </c>
      <c r="M359" s="17">
        <f t="shared" si="92"/>
        <v>-2.3724792408061709E-4</v>
      </c>
      <c r="N359" s="17">
        <f t="shared" si="93"/>
        <v>-2.2738239933334046E-3</v>
      </c>
      <c r="O359" s="17">
        <f t="shared" si="94"/>
        <v>-3.4237833958993269E-3</v>
      </c>
      <c r="P359" s="17">
        <f t="shared" si="95"/>
        <v>-1.0971106111207829E-2</v>
      </c>
      <c r="Q359" s="22">
        <f t="shared" si="96"/>
        <v>-4.3591018146842658E-2</v>
      </c>
      <c r="R359" s="22">
        <f t="shared" si="97"/>
        <v>-1.3577951714319576E-3</v>
      </c>
      <c r="S359" s="22">
        <f t="shared" si="98"/>
        <v>-1.4206143884055137E-2</v>
      </c>
      <c r="T359" s="22">
        <f t="shared" si="99"/>
        <v>8.0376979381482326E-3</v>
      </c>
      <c r="U359" s="22">
        <f t="shared" si="100"/>
        <v>-9.3047587103437966E-4</v>
      </c>
      <c r="V359" s="22">
        <f t="shared" si="101"/>
        <v>-2.0392201838302245E-3</v>
      </c>
      <c r="W359" s="22">
        <f t="shared" si="102"/>
        <v>-3.169534841808624E-3</v>
      </c>
      <c r="X359" s="22">
        <f t="shared" si="103"/>
        <v>-1.0655161726601491E-2</v>
      </c>
    </row>
    <row r="360" spans="1:24" x14ac:dyDescent="0.35">
      <c r="A360" s="3">
        <v>8.6300000000000008</v>
      </c>
      <c r="B360" s="3">
        <v>62.48</v>
      </c>
      <c r="C360" s="3">
        <v>124.52</v>
      </c>
      <c r="D360" s="3">
        <v>20.69</v>
      </c>
      <c r="E360" s="3">
        <v>42.91</v>
      </c>
      <c r="F360" s="3">
        <v>103.287009</v>
      </c>
      <c r="G360" s="3">
        <v>98.379363999999995</v>
      </c>
      <c r="H360" s="3">
        <v>97.086152999999996</v>
      </c>
      <c r="I360" s="17">
        <f t="shared" si="88"/>
        <v>-2.5959367945823777E-2</v>
      </c>
      <c r="J360" s="17">
        <f t="shared" si="89"/>
        <v>-3.371481596040829E-2</v>
      </c>
      <c r="K360" s="17">
        <f t="shared" si="90"/>
        <v>-1.0410871811173825E-2</v>
      </c>
      <c r="L360" s="17">
        <f t="shared" si="91"/>
        <v>-1.3822688274547147E-2</v>
      </c>
      <c r="M360" s="17">
        <f t="shared" si="92"/>
        <v>1.827242524916934E-2</v>
      </c>
      <c r="N360" s="17">
        <f t="shared" si="93"/>
        <v>1.7137763956288979E-3</v>
      </c>
      <c r="O360" s="17">
        <f t="shared" si="94"/>
        <v>1.9263426409000745E-3</v>
      </c>
      <c r="P360" s="17">
        <f t="shared" si="95"/>
        <v>-4.5219707394764837E-3</v>
      </c>
      <c r="Q360" s="22">
        <f t="shared" si="96"/>
        <v>-2.635384181620851E-2</v>
      </c>
      <c r="R360" s="22">
        <f t="shared" si="97"/>
        <v>-3.4145540674485456E-2</v>
      </c>
      <c r="S360" s="22">
        <f t="shared" si="98"/>
        <v>-1.0822831198011272E-2</v>
      </c>
      <c r="T360" s="22">
        <f t="shared" si="99"/>
        <v>-1.3954139783780064E-2</v>
      </c>
      <c r="U360" s="22">
        <f t="shared" si="100"/>
        <v>1.7579197302215577E-2</v>
      </c>
      <c r="V360" s="22">
        <f t="shared" si="101"/>
        <v>1.9483802051320782E-3</v>
      </c>
      <c r="W360" s="22">
        <f t="shared" si="102"/>
        <v>2.1805911949907774E-3</v>
      </c>
      <c r="X360" s="22">
        <f t="shared" si="103"/>
        <v>-4.2060263548701453E-3</v>
      </c>
    </row>
    <row r="361" spans="1:24" x14ac:dyDescent="0.35">
      <c r="A361" s="3">
        <v>8.5500000000000007</v>
      </c>
      <c r="B361" s="3">
        <v>62.18</v>
      </c>
      <c r="C361" s="3">
        <v>123.12</v>
      </c>
      <c r="D361" s="3">
        <v>20.36</v>
      </c>
      <c r="E361" s="3">
        <v>43.07</v>
      </c>
      <c r="F361" s="3">
        <v>103.001312</v>
      </c>
      <c r="G361" s="3">
        <v>97.924325999999994</v>
      </c>
      <c r="H361" s="3">
        <v>97.181466999999998</v>
      </c>
      <c r="I361" s="17">
        <f t="shared" si="88"/>
        <v>-9.2699884125144912E-3</v>
      </c>
      <c r="J361" s="17">
        <f t="shared" si="89"/>
        <v>-4.8015364916772912E-3</v>
      </c>
      <c r="K361" s="17">
        <f t="shared" si="90"/>
        <v>-1.124317378734333E-2</v>
      </c>
      <c r="L361" s="17">
        <f t="shared" si="91"/>
        <v>-1.5949734171097237E-2</v>
      </c>
      <c r="M361" s="17">
        <f t="shared" si="92"/>
        <v>3.728734560708546E-3</v>
      </c>
      <c r="N361" s="17">
        <f t="shared" si="93"/>
        <v>-2.7660496974987337E-3</v>
      </c>
      <c r="O361" s="17">
        <f t="shared" si="94"/>
        <v>-4.6253399239295943E-3</v>
      </c>
      <c r="P361" s="17">
        <f t="shared" si="95"/>
        <v>9.817465936671928E-4</v>
      </c>
      <c r="Q361" s="22">
        <f t="shared" si="96"/>
        <v>-9.6644622828992253E-3</v>
      </c>
      <c r="R361" s="22">
        <f t="shared" si="97"/>
        <v>-5.2322612057544545E-3</v>
      </c>
      <c r="S361" s="22">
        <f t="shared" si="98"/>
        <v>-1.1655133174180777E-2</v>
      </c>
      <c r="T361" s="22">
        <f t="shared" si="99"/>
        <v>-1.6081185680330155E-2</v>
      </c>
      <c r="U361" s="22">
        <f t="shared" si="100"/>
        <v>3.0355066137547834E-3</v>
      </c>
      <c r="V361" s="22">
        <f t="shared" si="101"/>
        <v>-2.5314458879955536E-3</v>
      </c>
      <c r="W361" s="22">
        <f t="shared" si="102"/>
        <v>-4.371091369838891E-3</v>
      </c>
      <c r="X361" s="22">
        <f t="shared" si="103"/>
        <v>1.2976909782735316E-3</v>
      </c>
    </row>
    <row r="362" spans="1:24" x14ac:dyDescent="0.35">
      <c r="A362" s="3">
        <v>8.6199999999999992</v>
      </c>
      <c r="B362" s="3">
        <v>63.44</v>
      </c>
      <c r="C362" s="3">
        <v>121.44</v>
      </c>
      <c r="D362" s="3">
        <v>19.95</v>
      </c>
      <c r="E362" s="3">
        <v>43.03</v>
      </c>
      <c r="F362" s="3">
        <v>102.154144</v>
      </c>
      <c r="G362" s="3">
        <v>96.942019999999999</v>
      </c>
      <c r="H362" s="3">
        <v>96.698404999999994</v>
      </c>
      <c r="I362" s="17">
        <f t="shared" si="88"/>
        <v>8.187134502923802E-3</v>
      </c>
      <c r="J362" s="17">
        <f t="shared" si="89"/>
        <v>2.0263750402058509E-2</v>
      </c>
      <c r="K362" s="17">
        <f t="shared" si="90"/>
        <v>-1.3645224171540016E-2</v>
      </c>
      <c r="L362" s="17">
        <f t="shared" si="91"/>
        <v>-2.0137524557956785E-2</v>
      </c>
      <c r="M362" s="17">
        <f t="shared" si="92"/>
        <v>-9.2872068725328874E-4</v>
      </c>
      <c r="N362" s="17">
        <f t="shared" si="93"/>
        <v>-8.2248272721030611E-3</v>
      </c>
      <c r="O362" s="17">
        <f t="shared" si="94"/>
        <v>-1.0031276600259615E-2</v>
      </c>
      <c r="P362" s="17">
        <f t="shared" si="95"/>
        <v>-4.9707214236640804E-3</v>
      </c>
      <c r="Q362" s="22">
        <f t="shared" si="96"/>
        <v>7.7926606325390687E-3</v>
      </c>
      <c r="R362" s="22">
        <f t="shared" si="97"/>
        <v>1.9833025687981346E-2</v>
      </c>
      <c r="S362" s="22">
        <f t="shared" si="98"/>
        <v>-1.4057183558377463E-2</v>
      </c>
      <c r="T362" s="22">
        <f t="shared" si="99"/>
        <v>-2.0268976067189703E-2</v>
      </c>
      <c r="U362" s="22">
        <f t="shared" si="100"/>
        <v>-1.6219486342070513E-3</v>
      </c>
      <c r="V362" s="22">
        <f t="shared" si="101"/>
        <v>-7.9902234625998814E-3</v>
      </c>
      <c r="W362" s="22">
        <f t="shared" si="102"/>
        <v>-9.7770280461689126E-3</v>
      </c>
      <c r="X362" s="22">
        <f t="shared" si="103"/>
        <v>-4.654777039057742E-3</v>
      </c>
    </row>
    <row r="363" spans="1:24" x14ac:dyDescent="0.35">
      <c r="A363" s="3">
        <v>8.61</v>
      </c>
      <c r="B363" s="3">
        <v>63.57</v>
      </c>
      <c r="C363" s="3">
        <v>121.83</v>
      </c>
      <c r="D363" s="3">
        <v>19.829999999999998</v>
      </c>
      <c r="E363" s="3">
        <v>43.23</v>
      </c>
      <c r="F363" s="3">
        <v>98.034719999999993</v>
      </c>
      <c r="G363" s="3">
        <v>93.106108000000006</v>
      </c>
      <c r="H363" s="3">
        <v>91.731898000000001</v>
      </c>
      <c r="I363" s="17">
        <f t="shared" si="88"/>
        <v>-1.1600928074245694E-3</v>
      </c>
      <c r="J363" s="17">
        <f t="shared" si="89"/>
        <v>2.0491803278688929E-3</v>
      </c>
      <c r="K363" s="17">
        <f t="shared" si="90"/>
        <v>3.2114624505928903E-3</v>
      </c>
      <c r="L363" s="17">
        <f t="shared" si="91"/>
        <v>-6.0150375939850122E-3</v>
      </c>
      <c r="M363" s="17">
        <f t="shared" si="92"/>
        <v>4.6479200557749418E-3</v>
      </c>
      <c r="N363" s="17">
        <f t="shared" si="93"/>
        <v>-4.0325569171232145E-2</v>
      </c>
      <c r="O363" s="17">
        <f t="shared" si="94"/>
        <v>-3.9569136273413671E-2</v>
      </c>
      <c r="P363" s="17">
        <f t="shared" si="95"/>
        <v>-5.1360795454692278E-2</v>
      </c>
      <c r="Q363" s="22">
        <f t="shared" si="96"/>
        <v>-1.5545666778093027E-3</v>
      </c>
      <c r="R363" s="22">
        <f t="shared" si="97"/>
        <v>1.6184556137917294E-3</v>
      </c>
      <c r="S363" s="22">
        <f t="shared" si="98"/>
        <v>2.7995030637554433E-3</v>
      </c>
      <c r="T363" s="22">
        <f t="shared" si="99"/>
        <v>-6.1464891032179305E-3</v>
      </c>
      <c r="U363" s="22">
        <f t="shared" si="100"/>
        <v>3.9546921088211796E-3</v>
      </c>
      <c r="V363" s="22">
        <f t="shared" si="101"/>
        <v>-4.0090965361728965E-2</v>
      </c>
      <c r="W363" s="22">
        <f t="shared" si="102"/>
        <v>-3.9314887719322969E-2</v>
      </c>
      <c r="X363" s="22">
        <f t="shared" si="103"/>
        <v>-5.1044851070085939E-2</v>
      </c>
    </row>
    <row r="364" spans="1:24" x14ac:dyDescent="0.35">
      <c r="A364" s="3">
        <v>8.4</v>
      </c>
      <c r="B364" s="3">
        <v>63.22</v>
      </c>
      <c r="C364" s="3">
        <v>120.74</v>
      </c>
      <c r="D364" s="3">
        <v>19.64</v>
      </c>
      <c r="E364" s="3">
        <v>44.84</v>
      </c>
      <c r="F364" s="3">
        <v>97.650985000000006</v>
      </c>
      <c r="G364" s="3">
        <v>92.835335000000001</v>
      </c>
      <c r="H364" s="3">
        <v>91.683149</v>
      </c>
      <c r="I364" s="17">
        <f t="shared" si="88"/>
        <v>-2.4390243902438918E-2</v>
      </c>
      <c r="J364" s="17">
        <f t="shared" si="89"/>
        <v>-5.5057417020607426E-3</v>
      </c>
      <c r="K364" s="17">
        <f t="shared" si="90"/>
        <v>-8.9468932118526093E-3</v>
      </c>
      <c r="L364" s="17">
        <f t="shared" si="91"/>
        <v>-9.5814422592031129E-3</v>
      </c>
      <c r="M364" s="17">
        <f t="shared" si="92"/>
        <v>3.7242655563266405E-2</v>
      </c>
      <c r="N364" s="17">
        <f t="shared" si="93"/>
        <v>-3.9142764930627369E-3</v>
      </c>
      <c r="O364" s="17">
        <f t="shared" si="94"/>
        <v>-2.9082195123010133E-3</v>
      </c>
      <c r="P364" s="17">
        <f t="shared" si="95"/>
        <v>-5.3142910004980843E-4</v>
      </c>
      <c r="Q364" s="22">
        <f t="shared" si="96"/>
        <v>-2.478471777282365E-2</v>
      </c>
      <c r="R364" s="22">
        <f t="shared" si="97"/>
        <v>-5.9364664161379059E-3</v>
      </c>
      <c r="S364" s="22">
        <f t="shared" si="98"/>
        <v>-9.3588525986900567E-3</v>
      </c>
      <c r="T364" s="22">
        <f t="shared" si="99"/>
        <v>-9.7128937684360303E-3</v>
      </c>
      <c r="U364" s="22">
        <f t="shared" si="100"/>
        <v>3.6549427616312642E-2</v>
      </c>
      <c r="V364" s="22">
        <f t="shared" si="101"/>
        <v>-3.6796726835595568E-3</v>
      </c>
      <c r="W364" s="22">
        <f t="shared" si="102"/>
        <v>-2.6539709582103104E-3</v>
      </c>
      <c r="X364" s="22">
        <f t="shared" si="103"/>
        <v>-2.1548471544346966E-4</v>
      </c>
    </row>
    <row r="365" spans="1:24" x14ac:dyDescent="0.35">
      <c r="A365" s="3">
        <v>8.16</v>
      </c>
      <c r="B365" s="3">
        <v>64.52</v>
      </c>
      <c r="C365" s="3">
        <v>120.85</v>
      </c>
      <c r="D365" s="3">
        <v>19.489999999999998</v>
      </c>
      <c r="E365" s="3">
        <v>43.54</v>
      </c>
      <c r="F365" s="3">
        <v>97.722320999999994</v>
      </c>
      <c r="G365" s="3">
        <v>92.844387999999995</v>
      </c>
      <c r="H365" s="3">
        <v>91.255956999999995</v>
      </c>
      <c r="I365" s="17">
        <f t="shared" si="88"/>
        <v>-2.8571428571428595E-2</v>
      </c>
      <c r="J365" s="17">
        <f t="shared" si="89"/>
        <v>2.0563112938943327E-2</v>
      </c>
      <c r="K365" s="17">
        <f t="shared" si="90"/>
        <v>9.1104853404008149E-4</v>
      </c>
      <c r="L365" s="17">
        <f t="shared" si="91"/>
        <v>-7.6374745417516357E-3</v>
      </c>
      <c r="M365" s="17">
        <f t="shared" si="92"/>
        <v>-2.8991971454058969E-2</v>
      </c>
      <c r="N365" s="17">
        <f t="shared" si="93"/>
        <v>7.3052002496429573E-4</v>
      </c>
      <c r="O365" s="17">
        <f t="shared" si="94"/>
        <v>9.751674833719754E-5</v>
      </c>
      <c r="P365" s="17">
        <f t="shared" si="95"/>
        <v>-4.659438562696021E-3</v>
      </c>
      <c r="Q365" s="22">
        <f t="shared" si="96"/>
        <v>-2.8965902441813327E-2</v>
      </c>
      <c r="R365" s="22">
        <f t="shared" si="97"/>
        <v>2.0132388224866165E-2</v>
      </c>
      <c r="S365" s="22">
        <f t="shared" si="98"/>
        <v>4.990891472026345E-4</v>
      </c>
      <c r="T365" s="22">
        <f t="shared" si="99"/>
        <v>-7.768926050984554E-3</v>
      </c>
      <c r="U365" s="22">
        <f t="shared" si="100"/>
        <v>-2.9685199401012732E-2</v>
      </c>
      <c r="V365" s="22">
        <f t="shared" si="101"/>
        <v>9.6512383446747604E-4</v>
      </c>
      <c r="W365" s="22">
        <f t="shared" si="102"/>
        <v>3.5176530242790052E-4</v>
      </c>
      <c r="X365" s="22">
        <f t="shared" si="103"/>
        <v>-4.3434941780896826E-3</v>
      </c>
    </row>
    <row r="366" spans="1:24" x14ac:dyDescent="0.35">
      <c r="A366" s="3">
        <v>7.83</v>
      </c>
      <c r="B366" s="3">
        <v>61.4</v>
      </c>
      <c r="C366" s="3">
        <v>117.67</v>
      </c>
      <c r="D366" s="3">
        <v>19.45</v>
      </c>
      <c r="E366" s="3">
        <v>42.12</v>
      </c>
      <c r="F366" s="3">
        <v>97.442296999999996</v>
      </c>
      <c r="G366" s="3">
        <v>92.633560000000003</v>
      </c>
      <c r="H366" s="3">
        <v>91.489104999999995</v>
      </c>
      <c r="I366" s="17">
        <f t="shared" si="88"/>
        <v>-4.0441176470588244E-2</v>
      </c>
      <c r="J366" s="17">
        <f t="shared" si="89"/>
        <v>-4.8357098574085516E-2</v>
      </c>
      <c r="K366" s="17">
        <f t="shared" si="90"/>
        <v>-2.6313611915597789E-2</v>
      </c>
      <c r="L366" s="17">
        <f t="shared" si="91"/>
        <v>-2.0523345305284327E-3</v>
      </c>
      <c r="M366" s="17">
        <f t="shared" si="92"/>
        <v>-3.2613688562241658E-2</v>
      </c>
      <c r="N366" s="17">
        <f t="shared" si="93"/>
        <v>-2.8655070523754488E-3</v>
      </c>
      <c r="O366" s="17">
        <f t="shared" si="94"/>
        <v>-2.270767297211246E-3</v>
      </c>
      <c r="P366" s="17">
        <f t="shared" si="95"/>
        <v>2.5548797871902205E-3</v>
      </c>
      <c r="Q366" s="22">
        <f t="shared" si="96"/>
        <v>-4.083565034097298E-2</v>
      </c>
      <c r="R366" s="22">
        <f t="shared" si="97"/>
        <v>-4.8787823288162682E-2</v>
      </c>
      <c r="S366" s="22">
        <f t="shared" si="98"/>
        <v>-2.6725571302435237E-2</v>
      </c>
      <c r="T366" s="22">
        <f t="shared" si="99"/>
        <v>-2.183786039761351E-3</v>
      </c>
      <c r="U366" s="22">
        <f t="shared" si="100"/>
        <v>-3.3306916509195421E-2</v>
      </c>
      <c r="V366" s="22">
        <f t="shared" si="101"/>
        <v>-2.6309032428722687E-3</v>
      </c>
      <c r="W366" s="22">
        <f t="shared" si="102"/>
        <v>-2.0165187431205431E-3</v>
      </c>
      <c r="X366" s="22">
        <f t="shared" si="103"/>
        <v>2.8708241717965593E-3</v>
      </c>
    </row>
    <row r="367" spans="1:24" x14ac:dyDescent="0.35">
      <c r="A367" s="3">
        <v>7.56</v>
      </c>
      <c r="B367" s="3">
        <v>62.29</v>
      </c>
      <c r="C367" s="3">
        <v>118.26</v>
      </c>
      <c r="D367" s="3">
        <v>19.63</v>
      </c>
      <c r="E367" s="3">
        <v>39.67</v>
      </c>
      <c r="F367" s="3">
        <v>97.314756000000003</v>
      </c>
      <c r="G367" s="3">
        <v>92.656136000000004</v>
      </c>
      <c r="H367" s="3">
        <v>90.740881000000002</v>
      </c>
      <c r="I367" s="17">
        <f t="shared" si="88"/>
        <v>-3.4482758620689717E-2</v>
      </c>
      <c r="J367" s="17">
        <f t="shared" si="89"/>
        <v>1.4495114006514667E-2</v>
      </c>
      <c r="K367" s="17">
        <f t="shared" si="90"/>
        <v>5.0140222656582254E-3</v>
      </c>
      <c r="L367" s="17">
        <f t="shared" si="91"/>
        <v>9.2544987146529426E-3</v>
      </c>
      <c r="M367" s="17">
        <f t="shared" si="92"/>
        <v>-5.8167141500474737E-2</v>
      </c>
      <c r="N367" s="17">
        <f t="shared" si="93"/>
        <v>-1.3088874536690538E-3</v>
      </c>
      <c r="O367" s="17">
        <f t="shared" si="94"/>
        <v>2.4371296968399807E-4</v>
      </c>
      <c r="P367" s="17">
        <f t="shared" si="95"/>
        <v>-8.1782852723282558E-3</v>
      </c>
      <c r="Q367" s="22">
        <f t="shared" si="96"/>
        <v>-3.4877232491074453E-2</v>
      </c>
      <c r="R367" s="22">
        <f t="shared" si="97"/>
        <v>1.4064389292437503E-2</v>
      </c>
      <c r="S367" s="22">
        <f t="shared" si="98"/>
        <v>4.6020628788207788E-3</v>
      </c>
      <c r="T367" s="22">
        <f t="shared" si="99"/>
        <v>9.1230472054200252E-3</v>
      </c>
      <c r="U367" s="22">
        <f t="shared" si="100"/>
        <v>-5.88603694474285E-2</v>
      </c>
      <c r="V367" s="22">
        <f t="shared" si="101"/>
        <v>-1.0742836441658735E-3</v>
      </c>
      <c r="W367" s="22">
        <f t="shared" si="102"/>
        <v>4.9796152377470102E-4</v>
      </c>
      <c r="X367" s="22">
        <f t="shared" si="103"/>
        <v>-7.8623408877219175E-3</v>
      </c>
    </row>
    <row r="368" spans="1:24" x14ac:dyDescent="0.35">
      <c r="A368" s="3">
        <v>7.49</v>
      </c>
      <c r="B368" s="3">
        <v>60.72</v>
      </c>
      <c r="C368" s="3">
        <v>118.78</v>
      </c>
      <c r="D368" s="3">
        <v>19.940000000000001</v>
      </c>
      <c r="E368" s="3">
        <v>40.1</v>
      </c>
      <c r="F368" s="3">
        <v>96.039157000000003</v>
      </c>
      <c r="G368" s="3">
        <v>91.066877000000005</v>
      </c>
      <c r="H368" s="3">
        <v>89.658513999999997</v>
      </c>
      <c r="I368" s="17">
        <f t="shared" si="88"/>
        <v>-9.2592592592591807E-3</v>
      </c>
      <c r="J368" s="17">
        <f t="shared" si="89"/>
        <v>-2.5204687750842836E-2</v>
      </c>
      <c r="K368" s="17">
        <f t="shared" si="90"/>
        <v>4.3970911550819886E-3</v>
      </c>
      <c r="L368" s="17">
        <f t="shared" si="91"/>
        <v>1.5792154865002662E-2</v>
      </c>
      <c r="M368" s="17">
        <f t="shared" si="92"/>
        <v>1.083942525838164E-2</v>
      </c>
      <c r="N368" s="17">
        <f t="shared" si="93"/>
        <v>-1.3107971004931664E-2</v>
      </c>
      <c r="O368" s="17">
        <f t="shared" si="94"/>
        <v>-1.7152226162334229E-2</v>
      </c>
      <c r="P368" s="17">
        <f t="shared" si="95"/>
        <v>-1.1928107685002584E-2</v>
      </c>
      <c r="Q368" s="22">
        <f t="shared" si="96"/>
        <v>-9.6537331296439148E-3</v>
      </c>
      <c r="R368" s="22">
        <f t="shared" si="97"/>
        <v>-2.5635412464919998E-2</v>
      </c>
      <c r="S368" s="22">
        <f t="shared" si="98"/>
        <v>3.985131768244542E-3</v>
      </c>
      <c r="T368" s="22">
        <f t="shared" si="99"/>
        <v>1.5660703355769745E-2</v>
      </c>
      <c r="U368" s="22">
        <f t="shared" si="100"/>
        <v>1.0146197311427877E-2</v>
      </c>
      <c r="V368" s="22">
        <f t="shared" si="101"/>
        <v>-1.2873367195428484E-2</v>
      </c>
      <c r="W368" s="22">
        <f t="shared" si="102"/>
        <v>-1.6897977608243527E-2</v>
      </c>
      <c r="X368" s="22">
        <f t="shared" si="103"/>
        <v>-1.1612163300396246E-2</v>
      </c>
    </row>
    <row r="369" spans="1:24" x14ac:dyDescent="0.35">
      <c r="A369" s="3">
        <v>7.19</v>
      </c>
      <c r="B369" s="3">
        <v>62.6</v>
      </c>
      <c r="C369" s="3">
        <v>117.94</v>
      </c>
      <c r="D369" s="3">
        <v>19.86</v>
      </c>
      <c r="E369" s="3">
        <v>40.840000000000003</v>
      </c>
      <c r="F369" s="3">
        <v>96.460820999999996</v>
      </c>
      <c r="G369" s="3">
        <v>91.489208000000005</v>
      </c>
      <c r="H369" s="3">
        <v>89.339489999999998</v>
      </c>
      <c r="I369" s="17">
        <f t="shared" si="88"/>
        <v>-4.0053404539385822E-2</v>
      </c>
      <c r="J369" s="17">
        <f t="shared" si="89"/>
        <v>3.096179183135709E-2</v>
      </c>
      <c r="K369" s="17">
        <f t="shared" si="90"/>
        <v>-7.0718976258629688E-3</v>
      </c>
      <c r="L369" s="17">
        <f t="shared" si="91"/>
        <v>-4.0120361083250677E-3</v>
      </c>
      <c r="M369" s="17">
        <f t="shared" si="92"/>
        <v>1.8453865336658402E-2</v>
      </c>
      <c r="N369" s="17">
        <f t="shared" si="93"/>
        <v>4.3905424950782595E-3</v>
      </c>
      <c r="O369" s="17">
        <f t="shared" si="94"/>
        <v>4.6375917777437322E-3</v>
      </c>
      <c r="P369" s="17">
        <f t="shared" si="95"/>
        <v>-3.5582119953493641E-3</v>
      </c>
      <c r="Q369" s="22">
        <f t="shared" si="96"/>
        <v>-4.0447878409770557E-2</v>
      </c>
      <c r="R369" s="22">
        <f t="shared" si="97"/>
        <v>3.0531067117279927E-2</v>
      </c>
      <c r="S369" s="22">
        <f t="shared" si="98"/>
        <v>-7.4838570127004154E-3</v>
      </c>
      <c r="T369" s="22">
        <f t="shared" si="99"/>
        <v>-4.143487617557986E-3</v>
      </c>
      <c r="U369" s="22">
        <f t="shared" si="100"/>
        <v>1.7760637389704639E-2</v>
      </c>
      <c r="V369" s="22">
        <f t="shared" si="101"/>
        <v>4.62514630458144E-3</v>
      </c>
      <c r="W369" s="22">
        <f t="shared" si="102"/>
        <v>4.8918403318344355E-3</v>
      </c>
      <c r="X369" s="22">
        <f t="shared" si="103"/>
        <v>-3.2422676107430252E-3</v>
      </c>
    </row>
    <row r="370" spans="1:24" x14ac:dyDescent="0.35">
      <c r="A370" s="3">
        <v>6.82</v>
      </c>
      <c r="B370" s="3">
        <v>62.63</v>
      </c>
      <c r="C370" s="3">
        <v>116.64</v>
      </c>
      <c r="D370" s="3">
        <v>19.73</v>
      </c>
      <c r="E370" s="3">
        <v>37.9</v>
      </c>
      <c r="F370" s="3">
        <v>96.682804000000004</v>
      </c>
      <c r="G370" s="3">
        <v>91.672135999999995</v>
      </c>
      <c r="H370" s="3">
        <v>89.816321000000002</v>
      </c>
      <c r="I370" s="17">
        <f t="shared" si="88"/>
        <v>-5.1460361613351886E-2</v>
      </c>
      <c r="J370" s="17">
        <f t="shared" si="89"/>
        <v>4.7923322683707888E-4</v>
      </c>
      <c r="K370" s="17">
        <f t="shared" si="90"/>
        <v>-1.1022553840936046E-2</v>
      </c>
      <c r="L370" s="17">
        <f t="shared" si="91"/>
        <v>-6.5458207452164657E-3</v>
      </c>
      <c r="M370" s="17">
        <f t="shared" si="92"/>
        <v>-7.1988246816846346E-2</v>
      </c>
      <c r="N370" s="17">
        <f t="shared" si="93"/>
        <v>2.3012762870845637E-3</v>
      </c>
      <c r="O370" s="17">
        <f t="shared" si="94"/>
        <v>1.9994489404694567E-3</v>
      </c>
      <c r="P370" s="17">
        <f t="shared" si="95"/>
        <v>5.3372926127069256E-3</v>
      </c>
      <c r="Q370" s="22">
        <f t="shared" si="96"/>
        <v>-5.1854835483736622E-2</v>
      </c>
      <c r="R370" s="22">
        <f t="shared" si="97"/>
        <v>4.8508512759915369E-5</v>
      </c>
      <c r="S370" s="22">
        <f t="shared" si="98"/>
        <v>-1.1434513227773493E-2</v>
      </c>
      <c r="T370" s="22">
        <f t="shared" si="99"/>
        <v>-6.677272254449384E-3</v>
      </c>
      <c r="U370" s="22">
        <f t="shared" si="100"/>
        <v>-7.2681474763800102E-2</v>
      </c>
      <c r="V370" s="22">
        <f t="shared" si="101"/>
        <v>2.5358800965877438E-3</v>
      </c>
      <c r="W370" s="22">
        <f t="shared" si="102"/>
        <v>2.2536974945601596E-3</v>
      </c>
      <c r="X370" s="22">
        <f t="shared" si="103"/>
        <v>5.6532369973132639E-3</v>
      </c>
    </row>
    <row r="371" spans="1:24" x14ac:dyDescent="0.35">
      <c r="A371" s="3">
        <v>6.95</v>
      </c>
      <c r="B371" s="3">
        <v>62.51</v>
      </c>
      <c r="C371" s="3">
        <v>117.69</v>
      </c>
      <c r="D371" s="3">
        <v>19.79</v>
      </c>
      <c r="E371" s="3">
        <v>38.24</v>
      </c>
      <c r="F371" s="3">
        <v>96.557556000000005</v>
      </c>
      <c r="G371" s="3">
        <v>91.694940000000003</v>
      </c>
      <c r="H371" s="3">
        <v>89.770205000000004</v>
      </c>
      <c r="I371" s="17">
        <f t="shared" si="88"/>
        <v>1.9061583577712593E-2</v>
      </c>
      <c r="J371" s="17">
        <f t="shared" si="89"/>
        <v>-1.916014689446025E-3</v>
      </c>
      <c r="K371" s="17">
        <f t="shared" si="90"/>
        <v>9.0020576131687007E-3</v>
      </c>
      <c r="L371" s="17">
        <f t="shared" si="91"/>
        <v>3.0410542321337415E-3</v>
      </c>
      <c r="M371" s="17">
        <f t="shared" si="92"/>
        <v>8.9709762532982438E-3</v>
      </c>
      <c r="N371" s="17">
        <f t="shared" si="93"/>
        <v>-1.2954527053228527E-3</v>
      </c>
      <c r="O371" s="17">
        <f t="shared" si="94"/>
        <v>2.4875606694718905E-4</v>
      </c>
      <c r="P371" s="17">
        <f t="shared" si="95"/>
        <v>-5.134478843772484E-4</v>
      </c>
      <c r="Q371" s="22">
        <f t="shared" si="96"/>
        <v>1.8667109707327861E-2</v>
      </c>
      <c r="R371" s="22">
        <f t="shared" si="97"/>
        <v>-2.3467394035231884E-3</v>
      </c>
      <c r="S371" s="22">
        <f t="shared" si="98"/>
        <v>8.5900982263312532E-3</v>
      </c>
      <c r="T371" s="22">
        <f t="shared" si="99"/>
        <v>2.9096027229008233E-3</v>
      </c>
      <c r="U371" s="22">
        <f t="shared" si="100"/>
        <v>8.2777483063444807E-3</v>
      </c>
      <c r="V371" s="22">
        <f t="shared" si="101"/>
        <v>-1.0608488958196724E-3</v>
      </c>
      <c r="W371" s="22">
        <f t="shared" si="102"/>
        <v>5.0300462103789205E-4</v>
      </c>
      <c r="X371" s="22">
        <f t="shared" si="103"/>
        <v>-1.9750349977090963E-4</v>
      </c>
    </row>
    <row r="372" spans="1:24" x14ac:dyDescent="0.35">
      <c r="A372" s="3">
        <v>7.18</v>
      </c>
      <c r="B372" s="3">
        <v>64.11</v>
      </c>
      <c r="C372" s="3">
        <v>115.01</v>
      </c>
      <c r="D372" s="3">
        <v>20.03</v>
      </c>
      <c r="E372" s="3">
        <v>38.380000000000003</v>
      </c>
      <c r="F372" s="3">
        <v>96.880773000000005</v>
      </c>
      <c r="G372" s="3">
        <v>91.889770999999996</v>
      </c>
      <c r="H372" s="3">
        <v>90.204352</v>
      </c>
      <c r="I372" s="17">
        <f t="shared" si="88"/>
        <v>3.3093525179856045E-2</v>
      </c>
      <c r="J372" s="17">
        <f t="shared" si="89"/>
        <v>2.5595904655255183E-2</v>
      </c>
      <c r="K372" s="17">
        <f t="shared" si="90"/>
        <v>-2.2771688333758117E-2</v>
      </c>
      <c r="L372" s="17">
        <f t="shared" si="91"/>
        <v>1.212733703890864E-2</v>
      </c>
      <c r="M372" s="17">
        <f t="shared" si="92"/>
        <v>3.6610878661088014E-3</v>
      </c>
      <c r="N372" s="17">
        <f t="shared" si="93"/>
        <v>3.3474024549668556E-3</v>
      </c>
      <c r="O372" s="17">
        <f t="shared" si="94"/>
        <v>2.1247737334251326E-3</v>
      </c>
      <c r="P372" s="17">
        <f t="shared" si="95"/>
        <v>4.836203727060619E-3</v>
      </c>
      <c r="Q372" s="22">
        <f t="shared" si="96"/>
        <v>3.269905130947131E-2</v>
      </c>
      <c r="R372" s="22">
        <f t="shared" si="97"/>
        <v>2.516517994117802E-2</v>
      </c>
      <c r="S372" s="22">
        <f t="shared" si="98"/>
        <v>-2.3183647720595564E-2</v>
      </c>
      <c r="T372" s="22">
        <f t="shared" si="99"/>
        <v>1.1995885529675723E-2</v>
      </c>
      <c r="U372" s="22">
        <f t="shared" si="100"/>
        <v>2.9678599191550387E-3</v>
      </c>
      <c r="V372" s="22">
        <f t="shared" si="101"/>
        <v>3.5820062644700357E-3</v>
      </c>
      <c r="W372" s="22">
        <f t="shared" si="102"/>
        <v>2.3790222875158355E-3</v>
      </c>
      <c r="X372" s="22">
        <f t="shared" si="103"/>
        <v>5.1521481116669574E-3</v>
      </c>
    </row>
    <row r="373" spans="1:24" x14ac:dyDescent="0.35">
      <c r="A373" s="3">
        <v>7.35</v>
      </c>
      <c r="B373" s="3">
        <v>61.7</v>
      </c>
      <c r="C373" s="3">
        <v>118.77</v>
      </c>
      <c r="D373" s="3">
        <v>19.93</v>
      </c>
      <c r="E373" s="3">
        <v>37.97</v>
      </c>
      <c r="F373" s="3">
        <v>96.456930999999997</v>
      </c>
      <c r="G373" s="3">
        <v>91.626137999999997</v>
      </c>
      <c r="H373" s="3">
        <v>90.226671999999994</v>
      </c>
      <c r="I373" s="17">
        <f t="shared" si="88"/>
        <v>2.3676880222841215E-2</v>
      </c>
      <c r="J373" s="17">
        <f t="shared" si="89"/>
        <v>-3.7591639369833049E-2</v>
      </c>
      <c r="K373" s="17">
        <f t="shared" si="90"/>
        <v>3.2692809320928537E-2</v>
      </c>
      <c r="L373" s="17">
        <f t="shared" si="91"/>
        <v>-4.9925112331503452E-3</v>
      </c>
      <c r="M373" s="17">
        <f t="shared" si="92"/>
        <v>-1.0682647212089726E-2</v>
      </c>
      <c r="N373" s="17">
        <f t="shared" si="93"/>
        <v>-4.3748825166785941E-3</v>
      </c>
      <c r="O373" s="17">
        <f t="shared" si="94"/>
        <v>-2.8690135706181995E-3</v>
      </c>
      <c r="P373" s="17">
        <f t="shared" si="95"/>
        <v>2.4743817238433749E-4</v>
      </c>
      <c r="Q373" s="22">
        <f t="shared" si="96"/>
        <v>2.3282406352456483E-2</v>
      </c>
      <c r="R373" s="22">
        <f t="shared" si="97"/>
        <v>-3.8022364083910215E-2</v>
      </c>
      <c r="S373" s="22">
        <f t="shared" si="98"/>
        <v>3.228084993409109E-2</v>
      </c>
      <c r="T373" s="22">
        <f t="shared" si="99"/>
        <v>-5.1239627423832635E-3</v>
      </c>
      <c r="U373" s="22">
        <f t="shared" si="100"/>
        <v>-1.1375875159043489E-2</v>
      </c>
      <c r="V373" s="22">
        <f t="shared" si="101"/>
        <v>-4.1402787071754136E-3</v>
      </c>
      <c r="W373" s="22">
        <f t="shared" si="102"/>
        <v>-2.6147650165274966E-3</v>
      </c>
      <c r="X373" s="22">
        <f t="shared" si="103"/>
        <v>5.6338255699067631E-4</v>
      </c>
    </row>
    <row r="374" spans="1:24" x14ac:dyDescent="0.35">
      <c r="A374" s="3">
        <v>7.28</v>
      </c>
      <c r="B374" s="3">
        <v>63.49</v>
      </c>
      <c r="C374" s="3">
        <v>113.08</v>
      </c>
      <c r="D374" s="3">
        <v>19.7</v>
      </c>
      <c r="E374" s="3">
        <v>37.979999999999997</v>
      </c>
      <c r="F374" s="3">
        <v>97.128923</v>
      </c>
      <c r="G374" s="3">
        <v>92.280524</v>
      </c>
      <c r="H374" s="3">
        <v>89.837287000000003</v>
      </c>
      <c r="I374" s="17">
        <f t="shared" si="88"/>
        <v>-9.5238095238094414E-3</v>
      </c>
      <c r="J374" s="17">
        <f t="shared" si="89"/>
        <v>2.9011345218800635E-2</v>
      </c>
      <c r="K374" s="17">
        <f t="shared" si="90"/>
        <v>-4.7907720804917051E-2</v>
      </c>
      <c r="L374" s="17">
        <f t="shared" si="91"/>
        <v>-1.1540391369794302E-2</v>
      </c>
      <c r="M374" s="17">
        <f t="shared" si="92"/>
        <v>2.6336581511714538E-4</v>
      </c>
      <c r="N374" s="17">
        <f t="shared" si="93"/>
        <v>6.9667570078505098E-3</v>
      </c>
      <c r="O374" s="17">
        <f t="shared" si="94"/>
        <v>7.1419140245767244E-3</v>
      </c>
      <c r="P374" s="17">
        <f t="shared" si="95"/>
        <v>-4.3156307483001267E-3</v>
      </c>
      <c r="Q374" s="22">
        <f t="shared" si="96"/>
        <v>-9.9182833941941755E-3</v>
      </c>
      <c r="R374" s="22">
        <f t="shared" si="97"/>
        <v>2.8580620504723472E-2</v>
      </c>
      <c r="S374" s="22">
        <f t="shared" si="98"/>
        <v>-4.8319680191754498E-2</v>
      </c>
      <c r="T374" s="22">
        <f t="shared" si="99"/>
        <v>-1.1671842879027219E-2</v>
      </c>
      <c r="U374" s="22">
        <f t="shared" si="100"/>
        <v>-4.2986213183661713E-4</v>
      </c>
      <c r="V374" s="22">
        <f t="shared" si="101"/>
        <v>7.2013608173536903E-3</v>
      </c>
      <c r="W374" s="22">
        <f t="shared" si="102"/>
        <v>7.3961625786674277E-3</v>
      </c>
      <c r="X374" s="22">
        <f t="shared" si="103"/>
        <v>-3.9996863636937883E-3</v>
      </c>
    </row>
    <row r="375" spans="1:24" x14ac:dyDescent="0.35">
      <c r="A375" s="3">
        <v>7.49</v>
      </c>
      <c r="B375" s="3">
        <v>63.48</v>
      </c>
      <c r="C375" s="3">
        <v>111.69</v>
      </c>
      <c r="D375" s="3">
        <v>19.62</v>
      </c>
      <c r="E375" s="3">
        <v>38.630000000000003</v>
      </c>
      <c r="F375" s="3">
        <v>97.652506000000002</v>
      </c>
      <c r="G375" s="3">
        <v>92.846170999999998</v>
      </c>
      <c r="H375" s="3">
        <v>90.660979999999995</v>
      </c>
      <c r="I375" s="17">
        <f t="shared" si="88"/>
        <v>2.8846153846153841E-2</v>
      </c>
      <c r="J375" s="17">
        <f t="shared" si="89"/>
        <v>-1.5750511891644535E-4</v>
      </c>
      <c r="K375" s="17">
        <f t="shared" si="90"/>
        <v>-1.2292182525645566E-2</v>
      </c>
      <c r="L375" s="17">
        <f t="shared" si="91"/>
        <v>-4.0609137055836698E-3</v>
      </c>
      <c r="M375" s="17">
        <f t="shared" si="92"/>
        <v>1.711427066877319E-2</v>
      </c>
      <c r="N375" s="17">
        <f t="shared" si="93"/>
        <v>5.3905982258240642E-3</v>
      </c>
      <c r="O375" s="17">
        <f t="shared" si="94"/>
        <v>6.1296465980188678E-3</v>
      </c>
      <c r="P375" s="17">
        <f t="shared" si="95"/>
        <v>9.1687207784891308E-3</v>
      </c>
      <c r="Q375" s="22">
        <f t="shared" si="96"/>
        <v>2.8451679975769108E-2</v>
      </c>
      <c r="R375" s="22">
        <f t="shared" si="97"/>
        <v>-5.8822983299360889E-4</v>
      </c>
      <c r="S375" s="22">
        <f t="shared" si="98"/>
        <v>-1.2704141912483013E-2</v>
      </c>
      <c r="T375" s="22">
        <f t="shared" si="99"/>
        <v>-4.1923652148165881E-3</v>
      </c>
      <c r="U375" s="22">
        <f t="shared" si="100"/>
        <v>1.6421042721819427E-2</v>
      </c>
      <c r="V375" s="22">
        <f t="shared" si="101"/>
        <v>5.6252020353272448E-3</v>
      </c>
      <c r="W375" s="22">
        <f t="shared" si="102"/>
        <v>6.3838951521095711E-3</v>
      </c>
      <c r="X375" s="22">
        <f t="shared" si="103"/>
        <v>9.4846651630954692E-3</v>
      </c>
    </row>
    <row r="376" spans="1:24" x14ac:dyDescent="0.35">
      <c r="A376" s="3">
        <v>7.83</v>
      </c>
      <c r="B376" s="3">
        <v>63.81</v>
      </c>
      <c r="C376" s="3">
        <v>114.59</v>
      </c>
      <c r="D376" s="3">
        <v>20.48</v>
      </c>
      <c r="E376" s="3">
        <v>39.96</v>
      </c>
      <c r="F376" s="3">
        <v>97.827475000000007</v>
      </c>
      <c r="G376" s="3">
        <v>93.066412999999997</v>
      </c>
      <c r="H376" s="3">
        <v>91.729060000000004</v>
      </c>
      <c r="I376" s="17">
        <f t="shared" si="88"/>
        <v>4.539385847797061E-2</v>
      </c>
      <c r="J376" s="17">
        <f t="shared" si="89"/>
        <v>5.1984877126654916E-3</v>
      </c>
      <c r="K376" s="17">
        <f t="shared" si="90"/>
        <v>2.5964723789059053E-2</v>
      </c>
      <c r="L376" s="17">
        <f t="shared" si="91"/>
        <v>4.3832823649337382E-2</v>
      </c>
      <c r="M376" s="17">
        <f t="shared" si="92"/>
        <v>3.4429200103546422E-2</v>
      </c>
      <c r="N376" s="17">
        <f t="shared" si="93"/>
        <v>1.7917512531629692E-3</v>
      </c>
      <c r="O376" s="17">
        <f t="shared" si="94"/>
        <v>2.3721172087968921E-3</v>
      </c>
      <c r="P376" s="17">
        <f t="shared" si="95"/>
        <v>1.178103303096888E-2</v>
      </c>
      <c r="Q376" s="22">
        <f t="shared" si="96"/>
        <v>4.4999384607585874E-2</v>
      </c>
      <c r="R376" s="22">
        <f t="shared" si="97"/>
        <v>4.7677629985883284E-3</v>
      </c>
      <c r="S376" s="22">
        <f t="shared" si="98"/>
        <v>2.5552764402221605E-2</v>
      </c>
      <c r="T376" s="22">
        <f t="shared" si="99"/>
        <v>4.3701372140104465E-2</v>
      </c>
      <c r="U376" s="22">
        <f t="shared" si="100"/>
        <v>3.3735972156592658E-2</v>
      </c>
      <c r="V376" s="22">
        <f t="shared" si="101"/>
        <v>2.0263550626661493E-3</v>
      </c>
      <c r="W376" s="22">
        <f t="shared" si="102"/>
        <v>2.626365762887595E-3</v>
      </c>
      <c r="X376" s="22">
        <f t="shared" si="103"/>
        <v>1.2096977415575218E-2</v>
      </c>
    </row>
    <row r="377" spans="1:24" x14ac:dyDescent="0.35">
      <c r="A377" s="3">
        <v>7.87</v>
      </c>
      <c r="B377" s="3">
        <v>65.959999999999994</v>
      </c>
      <c r="C377" s="3">
        <v>117.28</v>
      </c>
      <c r="D377" s="3">
        <v>20.34</v>
      </c>
      <c r="E377" s="3">
        <v>40.44</v>
      </c>
      <c r="F377" s="3">
        <v>97.650222999999997</v>
      </c>
      <c r="G377" s="3">
        <v>92.856696999999997</v>
      </c>
      <c r="H377" s="3">
        <v>91.400880999999998</v>
      </c>
      <c r="I377" s="17">
        <f t="shared" si="88"/>
        <v>5.1085568326947684E-3</v>
      </c>
      <c r="J377" s="17">
        <f t="shared" si="89"/>
        <v>3.3693778404638636E-2</v>
      </c>
      <c r="K377" s="17">
        <f t="shared" si="90"/>
        <v>2.3474997818308731E-2</v>
      </c>
      <c r="L377" s="17">
        <f t="shared" si="91"/>
        <v>-6.8359375000000278E-3</v>
      </c>
      <c r="M377" s="17">
        <f t="shared" si="92"/>
        <v>1.2012012012011934E-2</v>
      </c>
      <c r="N377" s="17">
        <f t="shared" si="93"/>
        <v>-1.8118836247180044E-3</v>
      </c>
      <c r="O377" s="17">
        <f t="shared" si="94"/>
        <v>-2.2534015574447921E-3</v>
      </c>
      <c r="P377" s="17">
        <f t="shared" si="95"/>
        <v>-3.5776993681174295E-3</v>
      </c>
      <c r="Q377" s="22">
        <f t="shared" si="96"/>
        <v>4.7140829623100351E-3</v>
      </c>
      <c r="R377" s="22">
        <f t="shared" si="97"/>
        <v>3.326305369056147E-2</v>
      </c>
      <c r="S377" s="22">
        <f t="shared" si="98"/>
        <v>2.3063038431471283E-2</v>
      </c>
      <c r="T377" s="22">
        <f t="shared" si="99"/>
        <v>-6.9673890092329461E-3</v>
      </c>
      <c r="U377" s="22">
        <f t="shared" si="100"/>
        <v>1.1318784065058171E-2</v>
      </c>
      <c r="V377" s="22">
        <f t="shared" si="101"/>
        <v>-1.577279815214824E-3</v>
      </c>
      <c r="W377" s="22">
        <f t="shared" si="102"/>
        <v>-1.9991530033540892E-3</v>
      </c>
      <c r="X377" s="22">
        <f t="shared" si="103"/>
        <v>-3.2617549835110907E-3</v>
      </c>
    </row>
    <row r="378" spans="1:24" x14ac:dyDescent="0.35">
      <c r="A378" s="3">
        <v>7.87</v>
      </c>
      <c r="B378" s="3">
        <v>66</v>
      </c>
      <c r="C378" s="3">
        <v>116.7</v>
      </c>
      <c r="D378" s="3">
        <v>20.55</v>
      </c>
      <c r="E378" s="3">
        <v>39.630000000000003</v>
      </c>
      <c r="F378" s="3">
        <v>97.573854999999995</v>
      </c>
      <c r="G378" s="3">
        <v>92.301896999999997</v>
      </c>
      <c r="H378" s="3">
        <v>90.866388000000001</v>
      </c>
      <c r="I378" s="17">
        <f t="shared" si="88"/>
        <v>0</v>
      </c>
      <c r="J378" s="17">
        <f t="shared" si="89"/>
        <v>6.0642813826571041E-4</v>
      </c>
      <c r="K378" s="17">
        <f t="shared" si="90"/>
        <v>-4.9454297407912542E-3</v>
      </c>
      <c r="L378" s="17">
        <f t="shared" si="91"/>
        <v>1.0324483775811251E-2</v>
      </c>
      <c r="M378" s="17">
        <f t="shared" si="92"/>
        <v>-2.0029673590504334E-2</v>
      </c>
      <c r="N378" s="17">
        <f t="shared" si="93"/>
        <v>-7.8205658577965779E-4</v>
      </c>
      <c r="O378" s="17">
        <f t="shared" si="94"/>
        <v>-5.9747979189912412E-3</v>
      </c>
      <c r="P378" s="17">
        <f t="shared" si="95"/>
        <v>-5.8477882724127976E-3</v>
      </c>
      <c r="Q378" s="22">
        <f t="shared" si="96"/>
        <v>-3.9447387038473331E-4</v>
      </c>
      <c r="R378" s="22">
        <f t="shared" si="97"/>
        <v>1.757034241885469E-4</v>
      </c>
      <c r="S378" s="22">
        <f t="shared" si="98"/>
        <v>-5.3573891276287007E-3</v>
      </c>
      <c r="T378" s="22">
        <f t="shared" si="99"/>
        <v>1.0193032266578334E-2</v>
      </c>
      <c r="U378" s="22">
        <f t="shared" si="100"/>
        <v>-2.0722901537458097E-2</v>
      </c>
      <c r="V378" s="22">
        <f t="shared" si="101"/>
        <v>-5.4745277627647748E-4</v>
      </c>
      <c r="W378" s="22">
        <f t="shared" si="102"/>
        <v>-5.7205493649005379E-3</v>
      </c>
      <c r="X378" s="22">
        <f t="shared" si="103"/>
        <v>-5.5318438878064593E-3</v>
      </c>
    </row>
    <row r="379" spans="1:24" x14ac:dyDescent="0.35">
      <c r="A379" s="3">
        <v>7.85</v>
      </c>
      <c r="B379" s="3">
        <v>65.849999999999994</v>
      </c>
      <c r="C379" s="3">
        <v>113.91</v>
      </c>
      <c r="D379" s="3">
        <v>20.47</v>
      </c>
      <c r="E379" s="3">
        <v>38.64</v>
      </c>
      <c r="F379" s="3">
        <v>97.597893999999997</v>
      </c>
      <c r="G379" s="3">
        <v>92.382214000000005</v>
      </c>
      <c r="H379" s="3">
        <v>90.612110000000001</v>
      </c>
      <c r="I379" s="17">
        <f t="shared" si="88"/>
        <v>-2.5412960609911641E-3</v>
      </c>
      <c r="J379" s="17">
        <f t="shared" si="89"/>
        <v>-2.2727272727273589E-3</v>
      </c>
      <c r="K379" s="17">
        <f t="shared" si="90"/>
        <v>-2.3907455012853525E-2</v>
      </c>
      <c r="L379" s="17">
        <f t="shared" si="91"/>
        <v>-3.8929440389295304E-3</v>
      </c>
      <c r="M379" s="17">
        <f t="shared" si="92"/>
        <v>-2.4981074943224879E-2</v>
      </c>
      <c r="N379" s="17">
        <f t="shared" si="93"/>
        <v>2.4636722613862003E-4</v>
      </c>
      <c r="O379" s="17">
        <f t="shared" si="94"/>
        <v>8.7015546386883002E-4</v>
      </c>
      <c r="P379" s="17">
        <f t="shared" si="95"/>
        <v>-2.7983724851041655E-3</v>
      </c>
      <c r="Q379" s="22">
        <f t="shared" si="96"/>
        <v>-2.9357699313758974E-3</v>
      </c>
      <c r="R379" s="22">
        <f t="shared" si="97"/>
        <v>-2.7034519868045226E-3</v>
      </c>
      <c r="S379" s="22">
        <f t="shared" si="98"/>
        <v>-2.4319414399690972E-2</v>
      </c>
      <c r="T379" s="22">
        <f t="shared" si="99"/>
        <v>-4.0243955481624486E-3</v>
      </c>
      <c r="U379" s="22">
        <f t="shared" si="100"/>
        <v>-2.5674302890178642E-2</v>
      </c>
      <c r="V379" s="22">
        <f t="shared" si="101"/>
        <v>4.8097103564180034E-4</v>
      </c>
      <c r="W379" s="22">
        <f t="shared" si="102"/>
        <v>1.124404017959533E-3</v>
      </c>
      <c r="X379" s="22">
        <f t="shared" si="103"/>
        <v>-2.4824281004978267E-3</v>
      </c>
    </row>
    <row r="380" spans="1:24" x14ac:dyDescent="0.35">
      <c r="A380" s="3">
        <v>7.83</v>
      </c>
      <c r="B380" s="3">
        <v>65.37</v>
      </c>
      <c r="C380" s="3">
        <v>112.17</v>
      </c>
      <c r="D380" s="3">
        <v>20.55</v>
      </c>
      <c r="E380" s="3">
        <v>38.08</v>
      </c>
      <c r="F380" s="3">
        <v>98.122275000000002</v>
      </c>
      <c r="G380" s="3">
        <v>93.028114000000002</v>
      </c>
      <c r="H380" s="3">
        <v>90.679169999999999</v>
      </c>
      <c r="I380" s="17">
        <f t="shared" si="88"/>
        <v>-2.5477707006368883E-3</v>
      </c>
      <c r="J380" s="17">
        <f t="shared" si="89"/>
        <v>-7.2892938496581594E-3</v>
      </c>
      <c r="K380" s="17">
        <f t="shared" si="90"/>
        <v>-1.5275217276797428E-2</v>
      </c>
      <c r="L380" s="17">
        <f t="shared" si="91"/>
        <v>3.9081582804104467E-3</v>
      </c>
      <c r="M380" s="17">
        <f t="shared" si="92"/>
        <v>-1.4492753623188465E-2</v>
      </c>
      <c r="N380" s="17">
        <f t="shared" si="93"/>
        <v>5.3728720826701996E-3</v>
      </c>
      <c r="O380" s="17">
        <f t="shared" si="94"/>
        <v>6.9916055486611032E-3</v>
      </c>
      <c r="P380" s="17">
        <f t="shared" si="95"/>
        <v>7.400776783588628E-4</v>
      </c>
      <c r="Q380" s="22">
        <f t="shared" si="96"/>
        <v>-2.9422445710216216E-3</v>
      </c>
      <c r="R380" s="22">
        <f t="shared" si="97"/>
        <v>-7.7200185637353227E-3</v>
      </c>
      <c r="S380" s="22">
        <f t="shared" si="98"/>
        <v>-1.5687176663634873E-2</v>
      </c>
      <c r="T380" s="22">
        <f t="shared" si="99"/>
        <v>3.7767067711775284E-3</v>
      </c>
      <c r="U380" s="22">
        <f t="shared" si="100"/>
        <v>-1.5185981570142228E-2</v>
      </c>
      <c r="V380" s="22">
        <f t="shared" si="101"/>
        <v>5.6074758921733801E-3</v>
      </c>
      <c r="W380" s="22">
        <f t="shared" si="102"/>
        <v>7.2458541027518066E-3</v>
      </c>
      <c r="X380" s="22">
        <f t="shared" si="103"/>
        <v>1.0560220629652016E-3</v>
      </c>
    </row>
    <row r="381" spans="1:24" x14ac:dyDescent="0.35">
      <c r="A381" s="3">
        <v>7.81</v>
      </c>
      <c r="B381" s="3">
        <v>65.81</v>
      </c>
      <c r="C381" s="3">
        <v>112.71</v>
      </c>
      <c r="D381" s="3">
        <v>20.8</v>
      </c>
      <c r="E381" s="3">
        <v>37.700000000000003</v>
      </c>
      <c r="F381" s="3">
        <v>98.045517000000004</v>
      </c>
      <c r="G381" s="3">
        <v>93.108811000000003</v>
      </c>
      <c r="H381" s="3">
        <v>91.394915999999995</v>
      </c>
      <c r="I381" s="17">
        <f t="shared" si="88"/>
        <v>-2.554278416347441E-3</v>
      </c>
      <c r="J381" s="17">
        <f t="shared" si="89"/>
        <v>6.7309163224720464E-3</v>
      </c>
      <c r="K381" s="17">
        <f t="shared" si="90"/>
        <v>4.8141214228402604E-3</v>
      </c>
      <c r="L381" s="17">
        <f t="shared" si="91"/>
        <v>1.21654501216545E-2</v>
      </c>
      <c r="M381" s="17">
        <f t="shared" si="92"/>
        <v>-9.9789915966385367E-3</v>
      </c>
      <c r="N381" s="17">
        <f t="shared" si="93"/>
        <v>-7.8226885791221319E-4</v>
      </c>
      <c r="O381" s="17">
        <f t="shared" si="94"/>
        <v>8.6744744712335758E-4</v>
      </c>
      <c r="P381" s="17">
        <f t="shared" si="95"/>
        <v>7.8931688501338929E-3</v>
      </c>
      <c r="Q381" s="22">
        <f t="shared" si="96"/>
        <v>-2.9487522867321743E-3</v>
      </c>
      <c r="R381" s="22">
        <f t="shared" si="97"/>
        <v>6.3001916083948832E-3</v>
      </c>
      <c r="S381" s="22">
        <f t="shared" si="98"/>
        <v>4.4021620360028138E-3</v>
      </c>
      <c r="T381" s="22">
        <f t="shared" si="99"/>
        <v>1.2033998612421583E-2</v>
      </c>
      <c r="U381" s="22">
        <f t="shared" si="100"/>
        <v>-1.06722195435923E-2</v>
      </c>
      <c r="V381" s="22">
        <f t="shared" si="101"/>
        <v>-5.4766504840903288E-4</v>
      </c>
      <c r="W381" s="22">
        <f t="shared" si="102"/>
        <v>1.1216960012140607E-3</v>
      </c>
      <c r="X381" s="22">
        <f t="shared" si="103"/>
        <v>8.2091132347402312E-3</v>
      </c>
    </row>
    <row r="382" spans="1:24" x14ac:dyDescent="0.35">
      <c r="A382" s="3">
        <v>7.75</v>
      </c>
      <c r="B382" s="3">
        <v>69.569999999999993</v>
      </c>
      <c r="C382" s="3">
        <v>112.56</v>
      </c>
      <c r="D382" s="3">
        <v>20.58</v>
      </c>
      <c r="E382" s="3">
        <v>36.61</v>
      </c>
      <c r="F382" s="3">
        <v>98.726198999999994</v>
      </c>
      <c r="G382" s="3">
        <v>94.007002</v>
      </c>
      <c r="H382" s="3">
        <v>92.541777999999994</v>
      </c>
      <c r="I382" s="17">
        <f t="shared" si="88"/>
        <v>-7.6824583866836891E-3</v>
      </c>
      <c r="J382" s="17">
        <f t="shared" si="89"/>
        <v>5.7134174137668907E-2</v>
      </c>
      <c r="K382" s="17">
        <f t="shared" si="90"/>
        <v>-1.3308490817140581E-3</v>
      </c>
      <c r="L382" s="17">
        <f t="shared" si="91"/>
        <v>-1.0576923076923192E-2</v>
      </c>
      <c r="M382" s="17">
        <f t="shared" si="92"/>
        <v>-2.8912466843501416E-2</v>
      </c>
      <c r="N382" s="17">
        <f t="shared" si="93"/>
        <v>6.9425101812660159E-3</v>
      </c>
      <c r="O382" s="17">
        <f t="shared" si="94"/>
        <v>9.6466810214126467E-3</v>
      </c>
      <c r="P382" s="17">
        <f t="shared" si="95"/>
        <v>1.2548422277668036E-2</v>
      </c>
      <c r="Q382" s="22">
        <f t="shared" si="96"/>
        <v>-8.0769322570684223E-3</v>
      </c>
      <c r="R382" s="22">
        <f t="shared" si="97"/>
        <v>5.6703449423591741E-2</v>
      </c>
      <c r="S382" s="22">
        <f t="shared" si="98"/>
        <v>-1.7428084685515051E-3</v>
      </c>
      <c r="T382" s="22">
        <f t="shared" si="99"/>
        <v>-1.0708374586156109E-2</v>
      </c>
      <c r="U382" s="22">
        <f t="shared" si="100"/>
        <v>-2.9605694790455179E-2</v>
      </c>
      <c r="V382" s="22">
        <f t="shared" si="101"/>
        <v>7.1771139907691964E-3</v>
      </c>
      <c r="W382" s="22">
        <f t="shared" si="102"/>
        <v>9.9009295755033491E-3</v>
      </c>
      <c r="X382" s="22">
        <f t="shared" si="103"/>
        <v>1.2864366662274375E-2</v>
      </c>
    </row>
    <row r="383" spans="1:24" x14ac:dyDescent="0.35">
      <c r="A383" s="3">
        <v>8.01</v>
      </c>
      <c r="B383" s="3">
        <v>67.180000000000007</v>
      </c>
      <c r="C383" s="3">
        <v>112.06</v>
      </c>
      <c r="D383" s="3">
        <v>20.68</v>
      </c>
      <c r="E383" s="3">
        <v>36.770000000000003</v>
      </c>
      <c r="F383" s="3">
        <v>98.800730999999999</v>
      </c>
      <c r="G383" s="3">
        <v>93.970850999999996</v>
      </c>
      <c r="H383" s="3">
        <v>92.210538999999997</v>
      </c>
      <c r="I383" s="17">
        <f t="shared" si="88"/>
        <v>3.3548387096774164E-2</v>
      </c>
      <c r="J383" s="17">
        <f t="shared" si="89"/>
        <v>-3.4353888170188106E-2</v>
      </c>
      <c r="K383" s="17">
        <f t="shared" si="90"/>
        <v>-4.4420753375977251E-3</v>
      </c>
      <c r="L383" s="17">
        <f t="shared" si="91"/>
        <v>4.8590864917396224E-3</v>
      </c>
      <c r="M383" s="17">
        <f t="shared" si="92"/>
        <v>4.3703906036603032E-3</v>
      </c>
      <c r="N383" s="17">
        <f t="shared" si="93"/>
        <v>7.5493638725020629E-4</v>
      </c>
      <c r="O383" s="17">
        <f t="shared" si="94"/>
        <v>-3.8455646101769969E-4</v>
      </c>
      <c r="P383" s="17">
        <f t="shared" si="95"/>
        <v>-3.5793455362398215E-3</v>
      </c>
      <c r="Q383" s="22">
        <f t="shared" si="96"/>
        <v>3.3153913226389428E-2</v>
      </c>
      <c r="R383" s="22">
        <f t="shared" si="97"/>
        <v>-3.4784612884265272E-2</v>
      </c>
      <c r="S383" s="22">
        <f t="shared" si="98"/>
        <v>-4.8540347244351717E-3</v>
      </c>
      <c r="T383" s="22">
        <f t="shared" si="99"/>
        <v>4.7276349825067041E-3</v>
      </c>
      <c r="U383" s="22">
        <f t="shared" si="100"/>
        <v>3.6771626567065406E-3</v>
      </c>
      <c r="V383" s="22">
        <f t="shared" si="101"/>
        <v>9.8954019675338649E-4</v>
      </c>
      <c r="W383" s="22">
        <f t="shared" si="102"/>
        <v>-1.3030790692699669E-4</v>
      </c>
      <c r="X383" s="22">
        <f t="shared" si="103"/>
        <v>-3.2634011516334827E-3</v>
      </c>
    </row>
    <row r="384" spans="1:24" x14ac:dyDescent="0.35">
      <c r="A384" s="3">
        <v>8.0399999999999991</v>
      </c>
      <c r="B384" s="3">
        <v>69.91</v>
      </c>
      <c r="C384" s="3">
        <v>112.89</v>
      </c>
      <c r="D384" s="3">
        <v>20.99</v>
      </c>
      <c r="E384" s="3">
        <v>37.18</v>
      </c>
      <c r="F384" s="3">
        <v>98.369236000000001</v>
      </c>
      <c r="G384" s="3">
        <v>93.583995999999999</v>
      </c>
      <c r="H384" s="3">
        <v>92.444575</v>
      </c>
      <c r="I384" s="17">
        <f t="shared" si="88"/>
        <v>3.7453183520598453E-3</v>
      </c>
      <c r="J384" s="17">
        <f t="shared" si="89"/>
        <v>4.0637094373325237E-2</v>
      </c>
      <c r="K384" s="17">
        <f t="shared" si="90"/>
        <v>7.4067463858647001E-3</v>
      </c>
      <c r="L384" s="17">
        <f t="shared" si="91"/>
        <v>1.4990328820115993E-2</v>
      </c>
      <c r="M384" s="17">
        <f t="shared" si="92"/>
        <v>1.1150394343214484E-2</v>
      </c>
      <c r="N384" s="17">
        <f t="shared" si="93"/>
        <v>-4.3673259866872666E-3</v>
      </c>
      <c r="O384" s="17">
        <f t="shared" si="94"/>
        <v>-4.116755311708277E-3</v>
      </c>
      <c r="P384" s="17">
        <f t="shared" si="95"/>
        <v>2.5380612947073569E-3</v>
      </c>
      <c r="Q384" s="22">
        <f t="shared" si="96"/>
        <v>3.3508444816751121E-3</v>
      </c>
      <c r="R384" s="22">
        <f t="shared" si="97"/>
        <v>4.0206369659248072E-2</v>
      </c>
      <c r="S384" s="22">
        <f t="shared" si="98"/>
        <v>6.9947869990272535E-3</v>
      </c>
      <c r="T384" s="22">
        <f t="shared" si="99"/>
        <v>1.4858877310883076E-2</v>
      </c>
      <c r="U384" s="22">
        <f t="shared" si="100"/>
        <v>1.0457166396260721E-2</v>
      </c>
      <c r="V384" s="22">
        <f t="shared" si="101"/>
        <v>-4.1327221771840861E-3</v>
      </c>
      <c r="W384" s="22">
        <f t="shared" si="102"/>
        <v>-3.8625067576175741E-3</v>
      </c>
      <c r="X384" s="22">
        <f t="shared" si="103"/>
        <v>2.8540056793136957E-3</v>
      </c>
    </row>
    <row r="385" spans="1:24" x14ac:dyDescent="0.35">
      <c r="A385" s="3">
        <v>8.0299999999999994</v>
      </c>
      <c r="B385" s="3">
        <v>69.680000000000007</v>
      </c>
      <c r="C385" s="3">
        <v>112.18</v>
      </c>
      <c r="D385" s="3">
        <v>20.16</v>
      </c>
      <c r="E385" s="3">
        <v>38.18</v>
      </c>
      <c r="F385" s="3">
        <v>98.239693000000003</v>
      </c>
      <c r="G385" s="3">
        <v>93.245043999999993</v>
      </c>
      <c r="H385" s="3">
        <v>91.878</v>
      </c>
      <c r="I385" s="17">
        <f t="shared" si="88"/>
        <v>-1.2437810945273367E-3</v>
      </c>
      <c r="J385" s="17">
        <f t="shared" si="89"/>
        <v>-3.289944213989269E-3</v>
      </c>
      <c r="K385" s="17">
        <f t="shared" si="90"/>
        <v>-6.2893081761005738E-3</v>
      </c>
      <c r="L385" s="17">
        <f t="shared" si="91"/>
        <v>-3.9542639352072334E-2</v>
      </c>
      <c r="M385" s="17">
        <f t="shared" si="92"/>
        <v>2.6896180742334588E-2</v>
      </c>
      <c r="N385" s="17">
        <f t="shared" si="93"/>
        <v>-1.3169056228107554E-3</v>
      </c>
      <c r="O385" s="17">
        <f t="shared" si="94"/>
        <v>-3.6219013344974725E-3</v>
      </c>
      <c r="P385" s="17">
        <f t="shared" si="95"/>
        <v>-6.1288074503019815E-3</v>
      </c>
      <c r="Q385" s="22">
        <f t="shared" si="96"/>
        <v>-1.63825496491207E-3</v>
      </c>
      <c r="R385" s="22">
        <f t="shared" si="97"/>
        <v>-3.7206689280664326E-3</v>
      </c>
      <c r="S385" s="22">
        <f t="shared" si="98"/>
        <v>-6.7012675629380203E-3</v>
      </c>
      <c r="T385" s="22">
        <f t="shared" si="99"/>
        <v>-3.9674090861305251E-2</v>
      </c>
      <c r="U385" s="22">
        <f t="shared" si="100"/>
        <v>2.6202952795380825E-2</v>
      </c>
      <c r="V385" s="22">
        <f t="shared" si="101"/>
        <v>-1.0823018133075751E-3</v>
      </c>
      <c r="W385" s="22">
        <f t="shared" si="102"/>
        <v>-3.3676527804067696E-3</v>
      </c>
      <c r="X385" s="22">
        <f t="shared" si="103"/>
        <v>-5.8128630656956431E-3</v>
      </c>
    </row>
    <row r="386" spans="1:24" x14ac:dyDescent="0.35">
      <c r="A386" s="3">
        <v>8.07</v>
      </c>
      <c r="B386" s="3">
        <v>70.599999999999994</v>
      </c>
      <c r="C386" s="3">
        <v>113.73</v>
      </c>
      <c r="D386" s="3">
        <v>20.309999999999999</v>
      </c>
      <c r="E386" s="3">
        <v>37.119999999999997</v>
      </c>
      <c r="F386" s="3">
        <v>98.364256999999995</v>
      </c>
      <c r="G386" s="3">
        <v>93.441827000000004</v>
      </c>
      <c r="H386" s="3">
        <v>91.690568999999996</v>
      </c>
      <c r="I386" s="17">
        <f t="shared" si="88"/>
        <v>4.9813200498133158E-3</v>
      </c>
      <c r="J386" s="17">
        <f t="shared" si="89"/>
        <v>1.3203214695751829E-2</v>
      </c>
      <c r="K386" s="17">
        <f t="shared" si="90"/>
        <v>1.3817079693349946E-2</v>
      </c>
      <c r="L386" s="17">
        <f t="shared" si="91"/>
        <v>7.4404761904761198E-3</v>
      </c>
      <c r="M386" s="17">
        <f t="shared" si="92"/>
        <v>-2.7763226820324838E-2</v>
      </c>
      <c r="N386" s="17">
        <f t="shared" si="93"/>
        <v>1.2679599884335179E-3</v>
      </c>
      <c r="O386" s="17">
        <f t="shared" si="94"/>
        <v>2.1103856200658838E-3</v>
      </c>
      <c r="P386" s="17">
        <f t="shared" si="95"/>
        <v>-2.0399986939202384E-3</v>
      </c>
      <c r="Q386" s="22">
        <f t="shared" si="96"/>
        <v>4.5868461794285826E-3</v>
      </c>
      <c r="R386" s="22">
        <f t="shared" si="97"/>
        <v>1.2772489981674665E-2</v>
      </c>
      <c r="S386" s="22">
        <f t="shared" si="98"/>
        <v>1.3405120306512499E-2</v>
      </c>
      <c r="T386" s="22">
        <f t="shared" si="99"/>
        <v>7.3090246812432015E-3</v>
      </c>
      <c r="U386" s="22">
        <f t="shared" si="100"/>
        <v>-2.8456454767278601E-2</v>
      </c>
      <c r="V386" s="22">
        <f t="shared" si="101"/>
        <v>1.5025637979366982E-3</v>
      </c>
      <c r="W386" s="22">
        <f t="shared" si="102"/>
        <v>2.3646341741565867E-3</v>
      </c>
      <c r="X386" s="22">
        <f t="shared" si="103"/>
        <v>-1.7240543093138996E-3</v>
      </c>
    </row>
    <row r="387" spans="1:24" x14ac:dyDescent="0.35">
      <c r="A387" s="3">
        <v>7.85</v>
      </c>
      <c r="B387" s="3">
        <v>70.760000000000005</v>
      </c>
      <c r="C387" s="3">
        <v>111.57</v>
      </c>
      <c r="D387" s="3">
        <v>20.5</v>
      </c>
      <c r="E387" s="3">
        <v>36.33</v>
      </c>
      <c r="F387" s="3">
        <v>98.337941999999998</v>
      </c>
      <c r="G387" s="3">
        <v>93.406469999999999</v>
      </c>
      <c r="H387" s="3">
        <v>91.712890999999999</v>
      </c>
      <c r="I387" s="17">
        <f t="shared" si="88"/>
        <v>-2.7261462205700204E-2</v>
      </c>
      <c r="J387" s="17">
        <f t="shared" si="89"/>
        <v>2.2662889518415131E-3</v>
      </c>
      <c r="K387" s="17">
        <f t="shared" si="90"/>
        <v>-1.8992350303350135E-2</v>
      </c>
      <c r="L387" s="17">
        <f t="shared" si="91"/>
        <v>9.3549975381586065E-3</v>
      </c>
      <c r="M387" s="17">
        <f t="shared" si="92"/>
        <v>-2.1282327586206875E-2</v>
      </c>
      <c r="N387" s="17">
        <f t="shared" si="93"/>
        <v>-2.675260384470424E-4</v>
      </c>
      <c r="O387" s="17">
        <f t="shared" si="94"/>
        <v>-3.7838515293589823E-4</v>
      </c>
      <c r="P387" s="17">
        <f t="shared" si="95"/>
        <v>2.4344924721759136E-4</v>
      </c>
      <c r="Q387" s="22">
        <f t="shared" si="96"/>
        <v>-2.7655936076084936E-2</v>
      </c>
      <c r="R387" s="22">
        <f t="shared" si="97"/>
        <v>1.8355642377643497E-3</v>
      </c>
      <c r="S387" s="22">
        <f t="shared" si="98"/>
        <v>-1.9404309690187582E-2</v>
      </c>
      <c r="T387" s="22">
        <f t="shared" si="99"/>
        <v>9.2235460289256891E-3</v>
      </c>
      <c r="U387" s="22">
        <f t="shared" si="100"/>
        <v>-2.1975555533160638E-2</v>
      </c>
      <c r="V387" s="22">
        <f t="shared" si="101"/>
        <v>-3.2922228943862113E-5</v>
      </c>
      <c r="W387" s="22">
        <f t="shared" si="102"/>
        <v>-1.2413659884519523E-4</v>
      </c>
      <c r="X387" s="22">
        <f t="shared" si="103"/>
        <v>5.5939363182393013E-4</v>
      </c>
    </row>
    <row r="388" spans="1:24" x14ac:dyDescent="0.35">
      <c r="A388" s="3">
        <v>8.08</v>
      </c>
      <c r="B388" s="3">
        <v>68.56</v>
      </c>
      <c r="C388" s="3">
        <v>115.05</v>
      </c>
      <c r="D388" s="3">
        <v>20.73</v>
      </c>
      <c r="E388" s="3">
        <v>36.19</v>
      </c>
      <c r="F388" s="3">
        <v>97.960922999999994</v>
      </c>
      <c r="G388" s="3">
        <v>92.96651</v>
      </c>
      <c r="H388" s="3">
        <v>91.526196999999996</v>
      </c>
      <c r="I388" s="17">
        <f t="shared" ref="I388:I451" si="104">(A388-A387)/A387</f>
        <v>2.9299363057324897E-2</v>
      </c>
      <c r="J388" s="17">
        <f t="shared" ref="J388:J451" si="105">(B388-B387)/B387</f>
        <v>-3.1091011871113662E-2</v>
      </c>
      <c r="K388" s="17">
        <f t="shared" ref="K388:K451" si="106">(C388-C387)/C387</f>
        <v>3.1191180424845425E-2</v>
      </c>
      <c r="L388" s="17">
        <f t="shared" ref="L388:L451" si="107">(D388-D387)/D387</f>
        <v>1.1219512195121972E-2</v>
      </c>
      <c r="M388" s="17">
        <f t="shared" ref="M388:M451" si="108">(E388-E387)/E387</f>
        <v>-3.8535645472061817E-3</v>
      </c>
      <c r="N388" s="17">
        <f t="shared" ref="N388:N451" si="109">(F388-F387)/F387</f>
        <v>-3.833911838423507E-3</v>
      </c>
      <c r="O388" s="17">
        <f t="shared" ref="O388:O451" si="110">(G388-G387)/G387</f>
        <v>-4.7101662229607783E-3</v>
      </c>
      <c r="P388" s="17">
        <f t="shared" ref="P388:P451" si="111">(H388-H387)/H387</f>
        <v>-2.0356353176131238E-3</v>
      </c>
      <c r="Q388" s="22">
        <f t="shared" si="96"/>
        <v>2.8904889186940164E-2</v>
      </c>
      <c r="R388" s="22">
        <f t="shared" si="97"/>
        <v>-3.1521736585190828E-2</v>
      </c>
      <c r="S388" s="22">
        <f t="shared" si="98"/>
        <v>3.0779221038007978E-2</v>
      </c>
      <c r="T388" s="22">
        <f t="shared" si="99"/>
        <v>1.1088060685889054E-2</v>
      </c>
      <c r="U388" s="22">
        <f t="shared" si="100"/>
        <v>-4.5467924941599439E-3</v>
      </c>
      <c r="V388" s="22">
        <f t="shared" si="101"/>
        <v>-3.5993080289203269E-3</v>
      </c>
      <c r="W388" s="22">
        <f t="shared" si="102"/>
        <v>-4.455917668870075E-3</v>
      </c>
      <c r="X388" s="22">
        <f t="shared" si="103"/>
        <v>-1.719690933006785E-3</v>
      </c>
    </row>
    <row r="389" spans="1:24" x14ac:dyDescent="0.35">
      <c r="A389" s="3">
        <v>8.08</v>
      </c>
      <c r="B389" s="3">
        <v>69.05</v>
      </c>
      <c r="C389" s="3">
        <v>114.96</v>
      </c>
      <c r="D389" s="3">
        <v>19.88</v>
      </c>
      <c r="E389" s="3">
        <v>36.69</v>
      </c>
      <c r="F389" s="3">
        <v>98.185220999999999</v>
      </c>
      <c r="G389" s="3">
        <v>93.220236999999997</v>
      </c>
      <c r="H389" s="3">
        <v>91.270906999999994</v>
      </c>
      <c r="I389" s="17">
        <f t="shared" si="104"/>
        <v>0</v>
      </c>
      <c r="J389" s="17">
        <f t="shared" si="105"/>
        <v>7.1470245040839387E-3</v>
      </c>
      <c r="K389" s="17">
        <f t="shared" si="106"/>
        <v>-7.8226857887877805E-4</v>
      </c>
      <c r="L389" s="17">
        <f t="shared" si="107"/>
        <v>-4.1003376748673485E-2</v>
      </c>
      <c r="M389" s="17">
        <f t="shared" si="108"/>
        <v>1.3815971262779773E-2</v>
      </c>
      <c r="N389" s="17">
        <f t="shared" si="109"/>
        <v>2.289668095511968E-3</v>
      </c>
      <c r="O389" s="17">
        <f t="shared" si="110"/>
        <v>2.729230128139669E-3</v>
      </c>
      <c r="P389" s="17">
        <f t="shared" si="111"/>
        <v>-2.7892560640316155E-3</v>
      </c>
      <c r="Q389" s="22">
        <f t="shared" ref="Q389:Q452" si="112">I389-AB$2</f>
        <v>-3.9447387038473331E-4</v>
      </c>
      <c r="R389" s="22">
        <f t="shared" ref="R389:R452" si="113">J389-AC$2</f>
        <v>6.7162997900067755E-3</v>
      </c>
      <c r="S389" s="22">
        <f t="shared" ref="S389:S452" si="114">K389-AD$2</f>
        <v>-1.194227965716225E-3</v>
      </c>
      <c r="T389" s="22">
        <f t="shared" ref="T389:T452" si="115">L389-AE$2</f>
        <v>-4.1134828257906403E-2</v>
      </c>
      <c r="U389" s="22">
        <f t="shared" ref="U389:U452" si="116">M389-AF$2</f>
        <v>1.312274331582601E-2</v>
      </c>
      <c r="V389" s="22">
        <f t="shared" ref="V389:V452" si="117">N389-AG$2</f>
        <v>2.5242719050151481E-3</v>
      </c>
      <c r="W389" s="22">
        <f t="shared" ref="W389:W452" si="118">O389-AH$2</f>
        <v>2.9834786822303719E-3</v>
      </c>
      <c r="X389" s="22">
        <f t="shared" ref="X389:X452" si="119">P389-AI$2</f>
        <v>-2.4733116794252766E-3</v>
      </c>
    </row>
    <row r="390" spans="1:24" x14ac:dyDescent="0.35">
      <c r="A390" s="3">
        <v>7.92</v>
      </c>
      <c r="B390" s="3">
        <v>70.11</v>
      </c>
      <c r="C390" s="3">
        <v>113.54</v>
      </c>
      <c r="D390" s="3">
        <v>19.260000000000002</v>
      </c>
      <c r="E390" s="3">
        <v>36.92</v>
      </c>
      <c r="F390" s="3">
        <v>98.207362000000003</v>
      </c>
      <c r="G390" s="3">
        <v>93.346373999999997</v>
      </c>
      <c r="H390" s="3">
        <v>91.615647999999993</v>
      </c>
      <c r="I390" s="17">
        <f t="shared" si="104"/>
        <v>-1.980198019801982E-2</v>
      </c>
      <c r="J390" s="17">
        <f t="shared" si="105"/>
        <v>1.535119478638671E-2</v>
      </c>
      <c r="K390" s="17">
        <f t="shared" si="106"/>
        <v>-1.2352122477383329E-2</v>
      </c>
      <c r="L390" s="17">
        <f t="shared" si="107"/>
        <v>-3.1187122736418382E-2</v>
      </c>
      <c r="M390" s="17">
        <f t="shared" si="108"/>
        <v>6.2687380757700736E-3</v>
      </c>
      <c r="N390" s="17">
        <f t="shared" si="109"/>
        <v>2.2550236964893986E-4</v>
      </c>
      <c r="O390" s="17">
        <f t="shared" si="110"/>
        <v>1.353107480299583E-3</v>
      </c>
      <c r="P390" s="17">
        <f t="shared" si="111"/>
        <v>3.7771181566103981E-3</v>
      </c>
      <c r="Q390" s="22">
        <f t="shared" si="112"/>
        <v>-2.0196454068404552E-2</v>
      </c>
      <c r="R390" s="22">
        <f t="shared" si="113"/>
        <v>1.4920470072309545E-2</v>
      </c>
      <c r="S390" s="22">
        <f t="shared" si="114"/>
        <v>-1.2764081864220777E-2</v>
      </c>
      <c r="T390" s="22">
        <f t="shared" si="115"/>
        <v>-3.13185742456513E-2</v>
      </c>
      <c r="U390" s="22">
        <f t="shared" si="116"/>
        <v>5.5755101288163115E-3</v>
      </c>
      <c r="V390" s="22">
        <f t="shared" si="117"/>
        <v>4.6010617915212017E-4</v>
      </c>
      <c r="W390" s="22">
        <f t="shared" si="118"/>
        <v>1.6073560343902861E-3</v>
      </c>
      <c r="X390" s="22">
        <f t="shared" si="119"/>
        <v>4.093062541216737E-3</v>
      </c>
    </row>
    <row r="391" spans="1:24" x14ac:dyDescent="0.35">
      <c r="A391" s="3">
        <v>8.0399999999999991</v>
      </c>
      <c r="B391" s="3">
        <v>72.599999999999994</v>
      </c>
      <c r="C391" s="3">
        <v>113.06</v>
      </c>
      <c r="D391" s="3">
        <v>19.25</v>
      </c>
      <c r="E391" s="3">
        <v>37.56</v>
      </c>
      <c r="F391" s="3">
        <v>98.231453000000002</v>
      </c>
      <c r="G391" s="3">
        <v>93.253585999999999</v>
      </c>
      <c r="H391" s="3">
        <v>91.499116000000001</v>
      </c>
      <c r="I391" s="17">
        <f t="shared" si="104"/>
        <v>1.5151515151515053E-2</v>
      </c>
      <c r="J391" s="17">
        <f t="shared" si="105"/>
        <v>3.5515618314077804E-2</v>
      </c>
      <c r="K391" s="17">
        <f t="shared" si="106"/>
        <v>-4.2275849920733128E-3</v>
      </c>
      <c r="L391" s="17">
        <f t="shared" si="107"/>
        <v>-5.1921079958471244E-4</v>
      </c>
      <c r="M391" s="17">
        <f t="shared" si="108"/>
        <v>1.7334777898158193E-2</v>
      </c>
      <c r="N391" s="17">
        <f t="shared" si="109"/>
        <v>2.4530747501392544E-4</v>
      </c>
      <c r="O391" s="17">
        <f t="shared" si="110"/>
        <v>-9.9401825720620658E-4</v>
      </c>
      <c r="P391" s="17">
        <f t="shared" si="111"/>
        <v>-1.2719661165305769E-3</v>
      </c>
      <c r="Q391" s="22">
        <f t="shared" si="112"/>
        <v>1.4757041281130319E-2</v>
      </c>
      <c r="R391" s="22">
        <f t="shared" si="113"/>
        <v>3.5084893600000638E-2</v>
      </c>
      <c r="S391" s="22">
        <f t="shared" si="114"/>
        <v>-4.6395443789107593E-3</v>
      </c>
      <c r="T391" s="22">
        <f t="shared" si="115"/>
        <v>-6.5066230881763074E-4</v>
      </c>
      <c r="U391" s="22">
        <f t="shared" si="116"/>
        <v>1.664154995120443E-2</v>
      </c>
      <c r="V391" s="22">
        <f t="shared" si="117"/>
        <v>4.799112845171057E-4</v>
      </c>
      <c r="W391" s="22">
        <f t="shared" si="118"/>
        <v>-7.3976970311550358E-4</v>
      </c>
      <c r="X391" s="22">
        <f t="shared" si="119"/>
        <v>-9.5602173192423806E-4</v>
      </c>
    </row>
    <row r="392" spans="1:24" x14ac:dyDescent="0.35">
      <c r="A392" s="3">
        <v>7.95</v>
      </c>
      <c r="B392" s="3">
        <v>71.5</v>
      </c>
      <c r="C392" s="3">
        <v>111.6</v>
      </c>
      <c r="D392" s="3">
        <v>19.28</v>
      </c>
      <c r="E392" s="3">
        <v>38.5</v>
      </c>
      <c r="F392" s="3">
        <v>97.856499999999997</v>
      </c>
      <c r="G392" s="3">
        <v>92.816085000000001</v>
      </c>
      <c r="H392" s="3">
        <v>91.313715999999999</v>
      </c>
      <c r="I392" s="17">
        <f t="shared" si="104"/>
        <v>-1.1194029850746141E-2</v>
      </c>
      <c r="J392" s="17">
        <f t="shared" si="105"/>
        <v>-1.5151515151515074E-2</v>
      </c>
      <c r="K392" s="17">
        <f t="shared" si="106"/>
        <v>-1.2913497258093118E-2</v>
      </c>
      <c r="L392" s="17">
        <f t="shared" si="107"/>
        <v>1.5584415584416174E-3</v>
      </c>
      <c r="M392" s="17">
        <f t="shared" si="108"/>
        <v>2.5026624068157553E-2</v>
      </c>
      <c r="N392" s="17">
        <f t="shared" si="109"/>
        <v>-3.8170360770292686E-3</v>
      </c>
      <c r="O392" s="17">
        <f t="shared" si="110"/>
        <v>-4.6915193159434909E-3</v>
      </c>
      <c r="P392" s="17">
        <f t="shared" si="111"/>
        <v>-2.0262490841988171E-3</v>
      </c>
      <c r="Q392" s="22">
        <f t="shared" si="112"/>
        <v>-1.1588503721130875E-2</v>
      </c>
      <c r="R392" s="22">
        <f t="shared" si="113"/>
        <v>-1.5582239865592238E-2</v>
      </c>
      <c r="S392" s="22">
        <f t="shared" si="114"/>
        <v>-1.3325456644930565E-2</v>
      </c>
      <c r="T392" s="22">
        <f t="shared" si="115"/>
        <v>1.4269900492086991E-3</v>
      </c>
      <c r="U392" s="22">
        <f t="shared" si="116"/>
        <v>2.433339612120379E-2</v>
      </c>
      <c r="V392" s="22">
        <f t="shared" si="117"/>
        <v>-3.5824322675260885E-3</v>
      </c>
      <c r="W392" s="22">
        <f t="shared" si="118"/>
        <v>-4.4372707618527876E-3</v>
      </c>
      <c r="X392" s="22">
        <f t="shared" si="119"/>
        <v>-1.7103046995924783E-3</v>
      </c>
    </row>
    <row r="393" spans="1:24" x14ac:dyDescent="0.35">
      <c r="A393" s="3">
        <v>8.16</v>
      </c>
      <c r="B393" s="3">
        <v>72.069999999999993</v>
      </c>
      <c r="C393" s="3">
        <v>114.28</v>
      </c>
      <c r="D393" s="3">
        <v>19.55</v>
      </c>
      <c r="E393" s="3">
        <v>38.75</v>
      </c>
      <c r="F393" s="3">
        <v>97.830990999999997</v>
      </c>
      <c r="G393" s="3">
        <v>92.724384000000001</v>
      </c>
      <c r="H393" s="3">
        <v>90.853863000000004</v>
      </c>
      <c r="I393" s="17">
        <f t="shared" si="104"/>
        <v>2.6415094339622636E-2</v>
      </c>
      <c r="J393" s="17">
        <f t="shared" si="105"/>
        <v>7.9720279720278762E-3</v>
      </c>
      <c r="K393" s="17">
        <f t="shared" si="106"/>
        <v>2.4014336917562787E-2</v>
      </c>
      <c r="L393" s="17">
        <f t="shared" si="107"/>
        <v>1.4004149377593337E-2</v>
      </c>
      <c r="M393" s="17">
        <f t="shared" si="108"/>
        <v>6.4935064935064939E-3</v>
      </c>
      <c r="N393" s="17">
        <f t="shared" si="109"/>
        <v>-2.6067762488950208E-4</v>
      </c>
      <c r="O393" s="17">
        <f t="shared" si="110"/>
        <v>-9.8798608021444202E-4</v>
      </c>
      <c r="P393" s="17">
        <f t="shared" si="111"/>
        <v>-5.0359685285395177E-3</v>
      </c>
      <c r="Q393" s="22">
        <f t="shared" si="112"/>
        <v>2.6020620469237903E-2</v>
      </c>
      <c r="R393" s="22">
        <f t="shared" si="113"/>
        <v>7.5413032579507129E-3</v>
      </c>
      <c r="S393" s="22">
        <f t="shared" si="114"/>
        <v>2.3602377530725339E-2</v>
      </c>
      <c r="T393" s="22">
        <f t="shared" si="115"/>
        <v>1.387269786836042E-2</v>
      </c>
      <c r="U393" s="22">
        <f t="shared" si="116"/>
        <v>5.8002785465527317E-3</v>
      </c>
      <c r="V393" s="22">
        <f t="shared" si="117"/>
        <v>-2.6073815386321795E-5</v>
      </c>
      <c r="W393" s="22">
        <f t="shared" si="118"/>
        <v>-7.3373752612373902E-4</v>
      </c>
      <c r="X393" s="22">
        <f t="shared" si="119"/>
        <v>-4.7200241439331794E-3</v>
      </c>
    </row>
    <row r="394" spans="1:24" x14ac:dyDescent="0.35">
      <c r="A394" s="3">
        <v>8.11</v>
      </c>
      <c r="B394" s="3">
        <v>72.41</v>
      </c>
      <c r="C394" s="3">
        <v>117.58</v>
      </c>
      <c r="D394" s="3">
        <v>18.989999999999998</v>
      </c>
      <c r="E394" s="3">
        <v>38.72</v>
      </c>
      <c r="F394" s="3">
        <v>97.904932000000002</v>
      </c>
      <c r="G394" s="3">
        <v>92.804564999999997</v>
      </c>
      <c r="H394" s="3">
        <v>90.807740999999993</v>
      </c>
      <c r="I394" s="17">
        <f t="shared" si="104"/>
        <v>-6.1274509803922435E-3</v>
      </c>
      <c r="J394" s="17">
        <f t="shared" si="105"/>
        <v>4.7176356320244688E-3</v>
      </c>
      <c r="K394" s="17">
        <f t="shared" si="106"/>
        <v>2.8876443822191084E-2</v>
      </c>
      <c r="L394" s="17">
        <f t="shared" si="107"/>
        <v>-2.8644501278772494E-2</v>
      </c>
      <c r="M394" s="17">
        <f t="shared" si="108"/>
        <v>-7.7419354838712613E-4</v>
      </c>
      <c r="N394" s="17">
        <f t="shared" si="109"/>
        <v>7.5580344473874257E-4</v>
      </c>
      <c r="O394" s="17">
        <f t="shared" si="110"/>
        <v>8.6472399751931549E-4</v>
      </c>
      <c r="P394" s="17">
        <f t="shared" si="111"/>
        <v>-5.0765040117238709E-4</v>
      </c>
      <c r="Q394" s="22">
        <f t="shared" si="112"/>
        <v>-6.5219248507769768E-3</v>
      </c>
      <c r="R394" s="22">
        <f t="shared" si="113"/>
        <v>4.2869109179473055E-3</v>
      </c>
      <c r="S394" s="22">
        <f t="shared" si="114"/>
        <v>2.8464484435353637E-2</v>
      </c>
      <c r="T394" s="22">
        <f t="shared" si="115"/>
        <v>-2.8775952788005411E-2</v>
      </c>
      <c r="U394" s="22">
        <f t="shared" si="116"/>
        <v>-1.4674214953408885E-3</v>
      </c>
      <c r="V394" s="22">
        <f t="shared" si="117"/>
        <v>9.9040725424192288E-4</v>
      </c>
      <c r="W394" s="22">
        <f t="shared" si="118"/>
        <v>1.1189725516100185E-3</v>
      </c>
      <c r="X394" s="22">
        <f t="shared" si="119"/>
        <v>-1.9170601656604832E-4</v>
      </c>
    </row>
    <row r="395" spans="1:24" x14ac:dyDescent="0.35">
      <c r="A395" s="3">
        <v>8.25</v>
      </c>
      <c r="B395" s="3">
        <v>73</v>
      </c>
      <c r="C395" s="3">
        <v>119.61</v>
      </c>
      <c r="D395" s="3">
        <v>19.16</v>
      </c>
      <c r="E395" s="3">
        <v>38.03</v>
      </c>
      <c r="F395" s="3">
        <v>97.878321999999997</v>
      </c>
      <c r="G395" s="3">
        <v>92.816091999999998</v>
      </c>
      <c r="H395" s="3">
        <v>90.943816999999996</v>
      </c>
      <c r="I395" s="17">
        <f t="shared" si="104"/>
        <v>1.7262638717632624E-2</v>
      </c>
      <c r="J395" s="17">
        <f t="shared" si="105"/>
        <v>8.1480458500207634E-3</v>
      </c>
      <c r="K395" s="17">
        <f t="shared" si="106"/>
        <v>1.7264840959346838E-2</v>
      </c>
      <c r="L395" s="17">
        <f t="shared" si="107"/>
        <v>8.9520800421275266E-3</v>
      </c>
      <c r="M395" s="17">
        <f t="shared" si="108"/>
        <v>-1.7820247933884238E-2</v>
      </c>
      <c r="N395" s="17">
        <f t="shared" si="109"/>
        <v>-2.7179427487887054E-4</v>
      </c>
      <c r="O395" s="17">
        <f t="shared" si="110"/>
        <v>1.2420725208938757E-4</v>
      </c>
      <c r="P395" s="17">
        <f t="shared" si="111"/>
        <v>1.4985066085941149E-3</v>
      </c>
      <c r="Q395" s="22">
        <f t="shared" si="112"/>
        <v>1.6868164847247891E-2</v>
      </c>
      <c r="R395" s="22">
        <f t="shared" si="113"/>
        <v>7.7173211359436002E-3</v>
      </c>
      <c r="S395" s="22">
        <f t="shared" si="114"/>
        <v>1.6852881572509391E-2</v>
      </c>
      <c r="T395" s="22">
        <f t="shared" si="115"/>
        <v>8.8206285328946091E-3</v>
      </c>
      <c r="U395" s="22">
        <f t="shared" si="116"/>
        <v>-1.8513475880838001E-2</v>
      </c>
      <c r="V395" s="22">
        <f t="shared" si="117"/>
        <v>-3.7190465375690256E-5</v>
      </c>
      <c r="W395" s="22">
        <f t="shared" si="118"/>
        <v>3.7845580618009055E-4</v>
      </c>
      <c r="X395" s="22">
        <f t="shared" si="119"/>
        <v>1.8144509932004537E-3</v>
      </c>
    </row>
    <row r="396" spans="1:24" x14ac:dyDescent="0.35">
      <c r="A396" s="3">
        <v>8.2200000000000006</v>
      </c>
      <c r="B396" s="3">
        <v>74.44</v>
      </c>
      <c r="C396" s="3">
        <v>113.56</v>
      </c>
      <c r="D396" s="3">
        <v>19.2</v>
      </c>
      <c r="E396" s="3">
        <v>37.869999999999997</v>
      </c>
      <c r="F396" s="3">
        <v>98.300464000000005</v>
      </c>
      <c r="G396" s="3">
        <v>93.298086999999995</v>
      </c>
      <c r="H396" s="3">
        <v>91.379266000000001</v>
      </c>
      <c r="I396" s="17">
        <f t="shared" si="104"/>
        <v>-3.6363636363635587E-3</v>
      </c>
      <c r="J396" s="17">
        <f t="shared" si="105"/>
        <v>1.9726027397260242E-2</v>
      </c>
      <c r="K396" s="17">
        <f t="shared" si="106"/>
        <v>-5.0581055095727759E-2</v>
      </c>
      <c r="L396" s="17">
        <f t="shared" si="107"/>
        <v>2.087682672233776E-3</v>
      </c>
      <c r="M396" s="17">
        <f t="shared" si="108"/>
        <v>-4.2072048382856614E-3</v>
      </c>
      <c r="N396" s="17">
        <f t="shared" si="109"/>
        <v>4.3129264108145212E-3</v>
      </c>
      <c r="O396" s="17">
        <f t="shared" si="110"/>
        <v>5.1930111429384224E-3</v>
      </c>
      <c r="P396" s="17">
        <f t="shared" si="111"/>
        <v>4.7881100042238773E-3</v>
      </c>
      <c r="Q396" s="22">
        <f t="shared" si="112"/>
        <v>-4.0308375067482924E-3</v>
      </c>
      <c r="R396" s="22">
        <f t="shared" si="113"/>
        <v>1.929530268318308E-2</v>
      </c>
      <c r="S396" s="22">
        <f t="shared" si="114"/>
        <v>-5.0993014482565206E-2</v>
      </c>
      <c r="T396" s="22">
        <f t="shared" si="115"/>
        <v>1.9562311630008577E-3</v>
      </c>
      <c r="U396" s="22">
        <f t="shared" si="116"/>
        <v>-4.9004327852394235E-3</v>
      </c>
      <c r="V396" s="22">
        <f t="shared" si="117"/>
        <v>4.5475302203177017E-3</v>
      </c>
      <c r="W396" s="22">
        <f t="shared" si="118"/>
        <v>5.4472596970291257E-3</v>
      </c>
      <c r="X396" s="22">
        <f t="shared" si="119"/>
        <v>5.1040543888302157E-3</v>
      </c>
    </row>
    <row r="397" spans="1:24" x14ac:dyDescent="0.35">
      <c r="A397" s="3">
        <v>8.31</v>
      </c>
      <c r="B397" s="3">
        <v>74.239999999999995</v>
      </c>
      <c r="C397" s="3">
        <v>116.17</v>
      </c>
      <c r="D397" s="3">
        <v>19.010000000000002</v>
      </c>
      <c r="E397" s="3">
        <v>38.909999999999997</v>
      </c>
      <c r="F397" s="3">
        <v>99.530365000000003</v>
      </c>
      <c r="G397" s="3">
        <v>94.833183000000005</v>
      </c>
      <c r="H397" s="3">
        <v>93.150351999999998</v>
      </c>
      <c r="I397" s="17">
        <f t="shared" si="104"/>
        <v>1.0948905109489033E-2</v>
      </c>
      <c r="J397" s="17">
        <f t="shared" si="105"/>
        <v>-2.6867275658248638E-3</v>
      </c>
      <c r="K397" s="17">
        <f t="shared" si="106"/>
        <v>2.2983444874955964E-2</v>
      </c>
      <c r="L397" s="17">
        <f t="shared" si="107"/>
        <v>-9.8958333333332149E-3</v>
      </c>
      <c r="M397" s="17">
        <f t="shared" si="108"/>
        <v>2.746237127013465E-2</v>
      </c>
      <c r="N397" s="17">
        <f t="shared" si="109"/>
        <v>1.2511649995873855E-2</v>
      </c>
      <c r="O397" s="17">
        <f t="shared" si="110"/>
        <v>1.6453670695306004E-2</v>
      </c>
      <c r="P397" s="17">
        <f t="shared" si="111"/>
        <v>1.9381705254669007E-2</v>
      </c>
      <c r="Q397" s="22">
        <f t="shared" si="112"/>
        <v>1.0554431239104298E-2</v>
      </c>
      <c r="R397" s="22">
        <f t="shared" si="113"/>
        <v>-3.1174522799020275E-3</v>
      </c>
      <c r="S397" s="22">
        <f t="shared" si="114"/>
        <v>2.2571485488118517E-2</v>
      </c>
      <c r="T397" s="22">
        <f t="shared" si="115"/>
        <v>-1.0027284842566132E-2</v>
      </c>
      <c r="U397" s="22">
        <f t="shared" si="116"/>
        <v>2.6769143323180887E-2</v>
      </c>
      <c r="V397" s="22">
        <f t="shared" si="117"/>
        <v>1.2746253805377035E-2</v>
      </c>
      <c r="W397" s="22">
        <f t="shared" si="118"/>
        <v>1.6707919249396706E-2</v>
      </c>
      <c r="X397" s="22">
        <f t="shared" si="119"/>
        <v>1.9697649639275346E-2</v>
      </c>
    </row>
    <row r="398" spans="1:24" x14ac:dyDescent="0.35">
      <c r="A398" s="3">
        <v>8</v>
      </c>
      <c r="B398" s="3">
        <v>74.069999999999993</v>
      </c>
      <c r="C398" s="3">
        <v>114.3</v>
      </c>
      <c r="D398" s="3">
        <v>18.84</v>
      </c>
      <c r="E398" s="3">
        <v>38.29</v>
      </c>
      <c r="F398" s="3">
        <v>99.807693</v>
      </c>
      <c r="G398" s="3">
        <v>95.032268999999999</v>
      </c>
      <c r="H398" s="3">
        <v>93.456659000000002</v>
      </c>
      <c r="I398" s="17">
        <f t="shared" si="104"/>
        <v>-3.7304452466907397E-2</v>
      </c>
      <c r="J398" s="17">
        <f t="shared" si="105"/>
        <v>-2.2898706896551956E-3</v>
      </c>
      <c r="K398" s="17">
        <f t="shared" si="106"/>
        <v>-1.609709907893608E-2</v>
      </c>
      <c r="L398" s="17">
        <f t="shared" si="107"/>
        <v>-8.942661756970104E-3</v>
      </c>
      <c r="M398" s="17">
        <f t="shared" si="108"/>
        <v>-1.5934207144692816E-2</v>
      </c>
      <c r="N398" s="17">
        <f t="shared" si="109"/>
        <v>2.7863657487842745E-3</v>
      </c>
      <c r="O398" s="17">
        <f t="shared" si="110"/>
        <v>2.099328459743823E-3</v>
      </c>
      <c r="P398" s="17">
        <f t="shared" si="111"/>
        <v>3.2883074880919816E-3</v>
      </c>
      <c r="Q398" s="22">
        <f t="shared" si="112"/>
        <v>-3.7698926337292132E-2</v>
      </c>
      <c r="R398" s="22">
        <f t="shared" si="113"/>
        <v>-2.7205954037323593E-3</v>
      </c>
      <c r="S398" s="22">
        <f t="shared" si="114"/>
        <v>-1.6509058465773527E-2</v>
      </c>
      <c r="T398" s="22">
        <f t="shared" si="115"/>
        <v>-9.0741132662030214E-3</v>
      </c>
      <c r="U398" s="22">
        <f t="shared" si="116"/>
        <v>-1.6627435091646579E-2</v>
      </c>
      <c r="V398" s="22">
        <f t="shared" si="117"/>
        <v>3.0209695582874545E-3</v>
      </c>
      <c r="W398" s="22">
        <f t="shared" si="118"/>
        <v>2.3535770138345259E-3</v>
      </c>
      <c r="X398" s="22">
        <f t="shared" si="119"/>
        <v>3.6042518726983204E-3</v>
      </c>
    </row>
    <row r="399" spans="1:24" x14ac:dyDescent="0.35">
      <c r="A399" s="3">
        <v>8.0299999999999994</v>
      </c>
      <c r="B399" s="3">
        <v>73.069999999999993</v>
      </c>
      <c r="C399" s="3">
        <v>113.01</v>
      </c>
      <c r="D399" s="3">
        <v>18.77</v>
      </c>
      <c r="E399" s="3">
        <v>38.58</v>
      </c>
      <c r="F399" s="3">
        <v>99.426378</v>
      </c>
      <c r="G399" s="3">
        <v>94.937128999999999</v>
      </c>
      <c r="H399" s="3">
        <v>92.912114000000003</v>
      </c>
      <c r="I399" s="17">
        <f t="shared" si="104"/>
        <v>3.7499999999999201E-3</v>
      </c>
      <c r="J399" s="17">
        <f t="shared" si="105"/>
        <v>-1.3500742540839748E-2</v>
      </c>
      <c r="K399" s="17">
        <f t="shared" si="106"/>
        <v>-1.1286089238845075E-2</v>
      </c>
      <c r="L399" s="17">
        <f t="shared" si="107"/>
        <v>-3.71549893842889E-3</v>
      </c>
      <c r="M399" s="17">
        <f t="shared" si="108"/>
        <v>7.5737790545834204E-3</v>
      </c>
      <c r="N399" s="17">
        <f t="shared" si="109"/>
        <v>-3.8204970833260392E-3</v>
      </c>
      <c r="O399" s="17">
        <f t="shared" si="110"/>
        <v>-1.0011336254635852E-3</v>
      </c>
      <c r="P399" s="17">
        <f t="shared" si="111"/>
        <v>-5.8267116097099015E-3</v>
      </c>
      <c r="Q399" s="22">
        <f t="shared" si="112"/>
        <v>3.3555261296151868E-3</v>
      </c>
      <c r="R399" s="22">
        <f t="shared" si="113"/>
        <v>-1.3931467254916912E-2</v>
      </c>
      <c r="S399" s="22">
        <f t="shared" si="114"/>
        <v>-1.1698048625682522E-2</v>
      </c>
      <c r="T399" s="22">
        <f t="shared" si="115"/>
        <v>-3.8469504476618083E-3</v>
      </c>
      <c r="U399" s="22">
        <f t="shared" si="116"/>
        <v>6.8805511076296582E-3</v>
      </c>
      <c r="V399" s="22">
        <f t="shared" si="117"/>
        <v>-3.5858932738228591E-3</v>
      </c>
      <c r="W399" s="22">
        <f t="shared" si="118"/>
        <v>-7.4688507137288219E-4</v>
      </c>
      <c r="X399" s="22">
        <f t="shared" si="119"/>
        <v>-5.5107672251035631E-3</v>
      </c>
    </row>
    <row r="400" spans="1:24" x14ac:dyDescent="0.35">
      <c r="A400" s="3">
        <v>8.1300000000000008</v>
      </c>
      <c r="B400" s="3">
        <v>75.08</v>
      </c>
      <c r="C400" s="3">
        <v>117.65</v>
      </c>
      <c r="D400" s="3">
        <v>19.350000000000001</v>
      </c>
      <c r="E400" s="3">
        <v>39.19</v>
      </c>
      <c r="F400" s="3">
        <v>99.801413999999994</v>
      </c>
      <c r="G400" s="3">
        <v>95.004891000000001</v>
      </c>
      <c r="H400" s="3">
        <v>93.261809</v>
      </c>
      <c r="I400" s="17">
        <f t="shared" si="104"/>
        <v>1.2453300124533179E-2</v>
      </c>
      <c r="J400" s="17">
        <f t="shared" si="105"/>
        <v>2.7507869166552693E-2</v>
      </c>
      <c r="K400" s="17">
        <f t="shared" si="106"/>
        <v>4.1058313423590835E-2</v>
      </c>
      <c r="L400" s="17">
        <f t="shared" si="107"/>
        <v>3.0900372935535526E-2</v>
      </c>
      <c r="M400" s="17">
        <f t="shared" si="108"/>
        <v>1.5811301192327615E-2</v>
      </c>
      <c r="N400" s="17">
        <f t="shared" si="109"/>
        <v>3.7719970046580032E-3</v>
      </c>
      <c r="O400" s="17">
        <f t="shared" si="110"/>
        <v>7.1375657462742395E-4</v>
      </c>
      <c r="P400" s="17">
        <f t="shared" si="111"/>
        <v>3.7637180443445403E-3</v>
      </c>
      <c r="Q400" s="22">
        <f t="shared" si="112"/>
        <v>1.2058826254148445E-2</v>
      </c>
      <c r="R400" s="22">
        <f t="shared" si="113"/>
        <v>2.707714445247553E-2</v>
      </c>
      <c r="S400" s="22">
        <f t="shared" si="114"/>
        <v>4.0646354036753388E-2</v>
      </c>
      <c r="T400" s="22">
        <f t="shared" si="115"/>
        <v>3.0768921426302609E-2</v>
      </c>
      <c r="U400" s="22">
        <f t="shared" si="116"/>
        <v>1.5118073245373852E-2</v>
      </c>
      <c r="V400" s="22">
        <f t="shared" si="117"/>
        <v>4.0066008141611837E-3</v>
      </c>
      <c r="W400" s="22">
        <f t="shared" si="118"/>
        <v>9.6800512871812695E-4</v>
      </c>
      <c r="X400" s="22">
        <f t="shared" si="119"/>
        <v>4.0796624289508787E-3</v>
      </c>
    </row>
    <row r="401" spans="1:24" x14ac:dyDescent="0.35">
      <c r="A401" s="3">
        <v>8.23</v>
      </c>
      <c r="B401" s="3">
        <v>72.040000000000006</v>
      </c>
      <c r="C401" s="3">
        <v>115.99</v>
      </c>
      <c r="D401" s="3">
        <v>19.399999999999999</v>
      </c>
      <c r="E401" s="3">
        <v>39.659999999999997</v>
      </c>
      <c r="F401" s="3">
        <v>100.742148</v>
      </c>
      <c r="G401" s="3">
        <v>96.092774000000006</v>
      </c>
      <c r="H401" s="3">
        <v>94.715447999999995</v>
      </c>
      <c r="I401" s="17">
        <f t="shared" si="104"/>
        <v>1.2300123001229967E-2</v>
      </c>
      <c r="J401" s="17">
        <f t="shared" si="105"/>
        <v>-4.0490143846563562E-2</v>
      </c>
      <c r="K401" s="17">
        <f t="shared" si="106"/>
        <v>-1.4109647258818621E-2</v>
      </c>
      <c r="L401" s="17">
        <f t="shared" si="107"/>
        <v>2.5839793281652278E-3</v>
      </c>
      <c r="M401" s="17">
        <f t="shared" si="108"/>
        <v>1.1992855320234726E-2</v>
      </c>
      <c r="N401" s="17">
        <f t="shared" si="109"/>
        <v>9.4260588331945509E-3</v>
      </c>
      <c r="O401" s="17">
        <f t="shared" si="110"/>
        <v>1.1450810464063424E-2</v>
      </c>
      <c r="P401" s="17">
        <f t="shared" si="111"/>
        <v>1.558664812088296E-2</v>
      </c>
      <c r="Q401" s="22">
        <f t="shared" si="112"/>
        <v>1.1905649130845233E-2</v>
      </c>
      <c r="R401" s="22">
        <f t="shared" si="113"/>
        <v>-4.0920868560640727E-2</v>
      </c>
      <c r="S401" s="22">
        <f t="shared" si="114"/>
        <v>-1.4521606645656068E-2</v>
      </c>
      <c r="T401" s="22">
        <f t="shared" si="115"/>
        <v>2.4525278189323095E-3</v>
      </c>
      <c r="U401" s="22">
        <f t="shared" si="116"/>
        <v>1.1299627373280963E-2</v>
      </c>
      <c r="V401" s="22">
        <f t="shared" si="117"/>
        <v>9.6606626426977305E-3</v>
      </c>
      <c r="W401" s="22">
        <f t="shared" si="118"/>
        <v>1.1705059018154126E-2</v>
      </c>
      <c r="X401" s="22">
        <f t="shared" si="119"/>
        <v>1.59025925054893E-2</v>
      </c>
    </row>
    <row r="402" spans="1:24" x14ac:dyDescent="0.35">
      <c r="A402" s="3">
        <v>8.3800000000000008</v>
      </c>
      <c r="B402" s="3">
        <v>71.150000000000006</v>
      </c>
      <c r="C402" s="3">
        <v>112.19</v>
      </c>
      <c r="D402" s="3">
        <v>19.23</v>
      </c>
      <c r="E402" s="3">
        <v>40.82</v>
      </c>
      <c r="F402" s="3">
        <v>101.331174</v>
      </c>
      <c r="G402" s="3">
        <v>96.653536000000003</v>
      </c>
      <c r="H402" s="3">
        <v>95.684117000000001</v>
      </c>
      <c r="I402" s="17">
        <f t="shared" si="104"/>
        <v>1.8226002430133701E-2</v>
      </c>
      <c r="J402" s="17">
        <f t="shared" si="105"/>
        <v>-1.2354247640199895E-2</v>
      </c>
      <c r="K402" s="17">
        <f t="shared" si="106"/>
        <v>-3.2761444952151025E-2</v>
      </c>
      <c r="L402" s="17">
        <f t="shared" si="107"/>
        <v>-8.762886597938049E-3</v>
      </c>
      <c r="M402" s="17">
        <f t="shared" si="108"/>
        <v>2.9248613212304684E-2</v>
      </c>
      <c r="N402" s="17">
        <f t="shared" si="109"/>
        <v>5.8468675891247034E-3</v>
      </c>
      <c r="O402" s="17">
        <f t="shared" si="110"/>
        <v>5.8356313035566737E-3</v>
      </c>
      <c r="P402" s="17">
        <f t="shared" si="111"/>
        <v>1.0227149007414352E-2</v>
      </c>
      <c r="Q402" s="22">
        <f t="shared" si="112"/>
        <v>1.7831528559748969E-2</v>
      </c>
      <c r="R402" s="22">
        <f t="shared" si="113"/>
        <v>-1.2784972354277059E-2</v>
      </c>
      <c r="S402" s="22">
        <f t="shared" si="114"/>
        <v>-3.3173404338988473E-2</v>
      </c>
      <c r="T402" s="22">
        <f t="shared" si="115"/>
        <v>-8.8943381071709664E-3</v>
      </c>
      <c r="U402" s="22">
        <f t="shared" si="116"/>
        <v>2.8555385265350921E-2</v>
      </c>
      <c r="V402" s="22">
        <f t="shared" si="117"/>
        <v>6.0814713986278839E-3</v>
      </c>
      <c r="W402" s="22">
        <f t="shared" si="118"/>
        <v>6.089879857647377E-3</v>
      </c>
      <c r="X402" s="22">
        <f t="shared" si="119"/>
        <v>1.054309339202069E-2</v>
      </c>
    </row>
    <row r="403" spans="1:24" x14ac:dyDescent="0.35">
      <c r="A403" s="3">
        <v>8.5399999999999991</v>
      </c>
      <c r="B403" s="3">
        <v>72.290000000000006</v>
      </c>
      <c r="C403" s="3">
        <v>111.37</v>
      </c>
      <c r="D403" s="3">
        <v>18.61</v>
      </c>
      <c r="E403" s="3">
        <v>39.65</v>
      </c>
      <c r="F403" s="3">
        <v>101.768246</v>
      </c>
      <c r="G403" s="3">
        <v>97.218014999999994</v>
      </c>
      <c r="H403" s="3">
        <v>96.295036999999994</v>
      </c>
      <c r="I403" s="17">
        <f t="shared" si="104"/>
        <v>1.9093078758949684E-2</v>
      </c>
      <c r="J403" s="17">
        <f t="shared" si="105"/>
        <v>1.6022487702037954E-2</v>
      </c>
      <c r="K403" s="17">
        <f t="shared" si="106"/>
        <v>-7.3090293252517447E-3</v>
      </c>
      <c r="L403" s="17">
        <f t="shared" si="107"/>
        <v>-3.2241289651586118E-2</v>
      </c>
      <c r="M403" s="17">
        <f t="shared" si="108"/>
        <v>-2.8662420382165647E-2</v>
      </c>
      <c r="N403" s="17">
        <f t="shared" si="109"/>
        <v>4.3133024393855399E-3</v>
      </c>
      <c r="O403" s="17">
        <f t="shared" si="110"/>
        <v>5.8402312358235035E-3</v>
      </c>
      <c r="P403" s="17">
        <f t="shared" si="111"/>
        <v>6.3847587160154595E-3</v>
      </c>
      <c r="Q403" s="22">
        <f t="shared" si="112"/>
        <v>1.8698604888564951E-2</v>
      </c>
      <c r="R403" s="22">
        <f t="shared" si="113"/>
        <v>1.559176298796079E-2</v>
      </c>
      <c r="S403" s="22">
        <f t="shared" si="114"/>
        <v>-7.7209887120891912E-3</v>
      </c>
      <c r="T403" s="22">
        <f t="shared" si="115"/>
        <v>-3.2372741160819035E-2</v>
      </c>
      <c r="U403" s="22">
        <f t="shared" si="116"/>
        <v>-2.935564832911941E-2</v>
      </c>
      <c r="V403" s="22">
        <f t="shared" si="117"/>
        <v>4.5479062488887204E-3</v>
      </c>
      <c r="W403" s="22">
        <f t="shared" si="118"/>
        <v>6.0944797899142068E-3</v>
      </c>
      <c r="X403" s="22">
        <f t="shared" si="119"/>
        <v>6.7007031006217979E-3</v>
      </c>
    </row>
    <row r="404" spans="1:24" x14ac:dyDescent="0.35">
      <c r="A404" s="3">
        <v>8.89</v>
      </c>
      <c r="B404" s="3">
        <v>71.58</v>
      </c>
      <c r="C404" s="3">
        <v>112.01</v>
      </c>
      <c r="D404" s="3">
        <v>18.57</v>
      </c>
      <c r="E404" s="3">
        <v>40.380000000000003</v>
      </c>
      <c r="F404" s="3">
        <v>101.069226</v>
      </c>
      <c r="G404" s="3">
        <v>96.338928999999993</v>
      </c>
      <c r="H404" s="3">
        <v>95.654961999999998</v>
      </c>
      <c r="I404" s="17">
        <f t="shared" si="104"/>
        <v>4.098360655737722E-2</v>
      </c>
      <c r="J404" s="17">
        <f t="shared" si="105"/>
        <v>-9.8215520818924866E-3</v>
      </c>
      <c r="K404" s="17">
        <f t="shared" si="106"/>
        <v>5.7466103977731929E-3</v>
      </c>
      <c r="L404" s="17">
        <f t="shared" si="107"/>
        <v>-2.1493820526598145E-3</v>
      </c>
      <c r="M404" s="17">
        <f t="shared" si="108"/>
        <v>1.8411097099621791E-2</v>
      </c>
      <c r="N404" s="17">
        <f t="shared" si="109"/>
        <v>-6.8687437140265185E-3</v>
      </c>
      <c r="O404" s="17">
        <f t="shared" si="110"/>
        <v>-9.0424187327832299E-3</v>
      </c>
      <c r="P404" s="17">
        <f t="shared" si="111"/>
        <v>-6.6470196174284249E-3</v>
      </c>
      <c r="Q404" s="22">
        <f t="shared" si="112"/>
        <v>4.0589132686992484E-2</v>
      </c>
      <c r="R404" s="22">
        <f t="shared" si="113"/>
        <v>-1.0252276795969651E-2</v>
      </c>
      <c r="S404" s="22">
        <f t="shared" si="114"/>
        <v>5.3346510109357464E-3</v>
      </c>
      <c r="T404" s="22">
        <f t="shared" si="115"/>
        <v>-2.2808335618927328E-3</v>
      </c>
      <c r="U404" s="22">
        <f t="shared" si="116"/>
        <v>1.7717869152668028E-2</v>
      </c>
      <c r="V404" s="22">
        <f t="shared" si="117"/>
        <v>-6.634139904523338E-3</v>
      </c>
      <c r="W404" s="22">
        <f t="shared" si="118"/>
        <v>-8.7881701786925275E-3</v>
      </c>
      <c r="X404" s="22">
        <f t="shared" si="119"/>
        <v>-6.3310752328220865E-3</v>
      </c>
    </row>
    <row r="405" spans="1:24" x14ac:dyDescent="0.35">
      <c r="A405" s="3">
        <v>8.7799999999999994</v>
      </c>
      <c r="B405" s="3">
        <v>70.849999999999994</v>
      </c>
      <c r="C405" s="3">
        <v>110.93</v>
      </c>
      <c r="D405" s="3">
        <v>18.7</v>
      </c>
      <c r="E405" s="3">
        <v>41.74</v>
      </c>
      <c r="F405" s="3">
        <v>101.80965399999999</v>
      </c>
      <c r="G405" s="3">
        <v>97.246426</v>
      </c>
      <c r="H405" s="3">
        <v>96.235380000000006</v>
      </c>
      <c r="I405" s="17">
        <f t="shared" si="104"/>
        <v>-1.2373453318335344E-2</v>
      </c>
      <c r="J405" s="17">
        <f t="shared" si="105"/>
        <v>-1.0198379435596591E-2</v>
      </c>
      <c r="K405" s="17">
        <f t="shared" si="106"/>
        <v>-9.6419962503347754E-3</v>
      </c>
      <c r="L405" s="17">
        <f t="shared" si="107"/>
        <v>7.0005385029617128E-3</v>
      </c>
      <c r="M405" s="17">
        <f t="shared" si="108"/>
        <v>3.3680039623576012E-2</v>
      </c>
      <c r="N405" s="17">
        <f t="shared" si="109"/>
        <v>7.325949048031636E-3</v>
      </c>
      <c r="O405" s="17">
        <f t="shared" si="110"/>
        <v>9.419836917639042E-3</v>
      </c>
      <c r="P405" s="17">
        <f t="shared" si="111"/>
        <v>6.0678294974390225E-3</v>
      </c>
      <c r="Q405" s="22">
        <f t="shared" si="112"/>
        <v>-1.2767927188720078E-2</v>
      </c>
      <c r="R405" s="22">
        <f t="shared" si="113"/>
        <v>-1.0629104149673755E-2</v>
      </c>
      <c r="S405" s="22">
        <f t="shared" si="114"/>
        <v>-1.0053955637172223E-2</v>
      </c>
      <c r="T405" s="22">
        <f t="shared" si="115"/>
        <v>6.8690869937287945E-3</v>
      </c>
      <c r="U405" s="22">
        <f t="shared" si="116"/>
        <v>3.2986811676622249E-2</v>
      </c>
      <c r="V405" s="22">
        <f t="shared" si="117"/>
        <v>7.5605528575348165E-3</v>
      </c>
      <c r="W405" s="22">
        <f t="shared" si="118"/>
        <v>9.6740854717297445E-3</v>
      </c>
      <c r="X405" s="22">
        <f t="shared" si="119"/>
        <v>6.3837738820453609E-3</v>
      </c>
    </row>
    <row r="406" spans="1:24" x14ac:dyDescent="0.35">
      <c r="A406" s="3">
        <v>8.86</v>
      </c>
      <c r="B406" s="3">
        <v>70.16</v>
      </c>
      <c r="C406" s="3">
        <v>110.2</v>
      </c>
      <c r="D406" s="3">
        <v>18.489999999999998</v>
      </c>
      <c r="E406" s="3">
        <v>40.81</v>
      </c>
      <c r="F406" s="3">
        <v>101.677927</v>
      </c>
      <c r="G406" s="3">
        <v>97.027630000000002</v>
      </c>
      <c r="H406" s="3">
        <v>95.889765999999995</v>
      </c>
      <c r="I406" s="17">
        <f t="shared" si="104"/>
        <v>9.1116173120729012E-3</v>
      </c>
      <c r="J406" s="17">
        <f t="shared" si="105"/>
        <v>-9.7388849682427357E-3</v>
      </c>
      <c r="K406" s="17">
        <f t="shared" si="106"/>
        <v>-6.5807265843324976E-3</v>
      </c>
      <c r="L406" s="17">
        <f t="shared" si="107"/>
        <v>-1.1229946524064217E-2</v>
      </c>
      <c r="M406" s="17">
        <f t="shared" si="108"/>
        <v>-2.2280785816962138E-2</v>
      </c>
      <c r="N406" s="17">
        <f t="shared" si="109"/>
        <v>-1.2938556887738557E-3</v>
      </c>
      <c r="O406" s="17">
        <f t="shared" si="110"/>
        <v>-2.2499130199396485E-3</v>
      </c>
      <c r="P406" s="17">
        <f t="shared" si="111"/>
        <v>-3.5913403157966628E-3</v>
      </c>
      <c r="Q406" s="22">
        <f t="shared" si="112"/>
        <v>8.7171434416881671E-3</v>
      </c>
      <c r="R406" s="22">
        <f t="shared" si="113"/>
        <v>-1.01696096823199E-2</v>
      </c>
      <c r="S406" s="22">
        <f t="shared" si="114"/>
        <v>-6.9926859711699442E-3</v>
      </c>
      <c r="T406" s="22">
        <f t="shared" si="115"/>
        <v>-1.1361398033297134E-2</v>
      </c>
      <c r="U406" s="22">
        <f t="shared" si="116"/>
        <v>-2.2974013763915901E-2</v>
      </c>
      <c r="V406" s="22">
        <f t="shared" si="117"/>
        <v>-1.0592518792706754E-3</v>
      </c>
      <c r="W406" s="22">
        <f t="shared" si="118"/>
        <v>-1.9956644658489456E-3</v>
      </c>
      <c r="X406" s="22">
        <f t="shared" si="119"/>
        <v>-3.275395931190324E-3</v>
      </c>
    </row>
    <row r="407" spans="1:24" x14ac:dyDescent="0.35">
      <c r="A407" s="3">
        <v>9.01</v>
      </c>
      <c r="B407" s="3">
        <v>73.13</v>
      </c>
      <c r="C407" s="3">
        <v>115.29</v>
      </c>
      <c r="D407" s="3">
        <v>18.649999999999999</v>
      </c>
      <c r="E407" s="3">
        <v>39.76</v>
      </c>
      <c r="F407" s="3">
        <v>101.959806</v>
      </c>
      <c r="G407" s="3">
        <v>97.472121000000001</v>
      </c>
      <c r="H407" s="3">
        <v>96.353173999999996</v>
      </c>
      <c r="I407" s="17">
        <f t="shared" si="104"/>
        <v>1.6930022573363471E-2</v>
      </c>
      <c r="J407" s="17">
        <f t="shared" si="105"/>
        <v>4.2331812998859734E-2</v>
      </c>
      <c r="K407" s="17">
        <f t="shared" si="106"/>
        <v>4.6188747731397486E-2</v>
      </c>
      <c r="L407" s="17">
        <f t="shared" si="107"/>
        <v>8.6533261222282391E-3</v>
      </c>
      <c r="M407" s="17">
        <f t="shared" si="108"/>
        <v>-2.5728987993139038E-2</v>
      </c>
      <c r="N407" s="17">
        <f t="shared" si="109"/>
        <v>2.7722732781521359E-3</v>
      </c>
      <c r="O407" s="17">
        <f t="shared" si="110"/>
        <v>4.5810765448975645E-3</v>
      </c>
      <c r="P407" s="17">
        <f t="shared" si="111"/>
        <v>4.8327159334188088E-3</v>
      </c>
      <c r="Q407" s="22">
        <f t="shared" si="112"/>
        <v>1.6535548702978738E-2</v>
      </c>
      <c r="R407" s="22">
        <f t="shared" si="113"/>
        <v>4.1901088284782569E-2</v>
      </c>
      <c r="S407" s="22">
        <f t="shared" si="114"/>
        <v>4.5776788344560039E-2</v>
      </c>
      <c r="T407" s="22">
        <f t="shared" si="115"/>
        <v>8.5218746129953216E-3</v>
      </c>
      <c r="U407" s="22">
        <f t="shared" si="116"/>
        <v>-2.6422215940092801E-2</v>
      </c>
      <c r="V407" s="22">
        <f t="shared" si="117"/>
        <v>3.006877087655316E-3</v>
      </c>
      <c r="W407" s="22">
        <f t="shared" si="118"/>
        <v>4.8353250989882678E-3</v>
      </c>
      <c r="X407" s="22">
        <f t="shared" si="119"/>
        <v>5.1486603180251472E-3</v>
      </c>
    </row>
    <row r="408" spans="1:24" x14ac:dyDescent="0.35">
      <c r="A408" s="3">
        <v>8.75</v>
      </c>
      <c r="B408" s="3">
        <v>75.540000000000006</v>
      </c>
      <c r="C408" s="3">
        <v>116.04</v>
      </c>
      <c r="D408" s="3">
        <v>18.89</v>
      </c>
      <c r="E408" s="3">
        <v>39.090000000000003</v>
      </c>
      <c r="F408" s="3">
        <v>102.190455</v>
      </c>
      <c r="G408" s="3">
        <v>97.675961999999998</v>
      </c>
      <c r="H408" s="3">
        <v>96.819277999999997</v>
      </c>
      <c r="I408" s="17">
        <f t="shared" si="104"/>
        <v>-2.8856825749167567E-2</v>
      </c>
      <c r="J408" s="17">
        <f t="shared" si="105"/>
        <v>3.2955011623137027E-2</v>
      </c>
      <c r="K408" s="17">
        <f t="shared" si="106"/>
        <v>6.5053343741868332E-3</v>
      </c>
      <c r="L408" s="17">
        <f t="shared" si="107"/>
        <v>1.2868632707774906E-2</v>
      </c>
      <c r="M408" s="17">
        <f t="shared" si="108"/>
        <v>-1.6851106639838898E-2</v>
      </c>
      <c r="N408" s="17">
        <f t="shared" si="109"/>
        <v>2.2621561284649721E-3</v>
      </c>
      <c r="O408" s="17">
        <f t="shared" si="110"/>
        <v>2.0912748990041682E-3</v>
      </c>
      <c r="P408" s="17">
        <f t="shared" si="111"/>
        <v>4.8374535124291957E-3</v>
      </c>
      <c r="Q408" s="22">
        <f t="shared" si="112"/>
        <v>-2.92512996195523E-2</v>
      </c>
      <c r="R408" s="22">
        <f t="shared" si="113"/>
        <v>3.2524286909059862E-2</v>
      </c>
      <c r="S408" s="22">
        <f t="shared" si="114"/>
        <v>6.0933749873493866E-3</v>
      </c>
      <c r="T408" s="22">
        <f t="shared" si="115"/>
        <v>1.2737181198541989E-2</v>
      </c>
      <c r="U408" s="22">
        <f t="shared" si="116"/>
        <v>-1.7544334586792661E-2</v>
      </c>
      <c r="V408" s="22">
        <f t="shared" si="117"/>
        <v>2.4967599379681522E-3</v>
      </c>
      <c r="W408" s="22">
        <f t="shared" si="118"/>
        <v>2.345523453094871E-3</v>
      </c>
      <c r="X408" s="22">
        <f t="shared" si="119"/>
        <v>5.1533978970355341E-3</v>
      </c>
    </row>
    <row r="409" spans="1:24" x14ac:dyDescent="0.35">
      <c r="A409" s="3">
        <v>8.99</v>
      </c>
      <c r="B409" s="3">
        <v>76.31</v>
      </c>
      <c r="C409" s="3">
        <v>120.75</v>
      </c>
      <c r="D409" s="3">
        <v>18.88</v>
      </c>
      <c r="E409" s="3">
        <v>38.74</v>
      </c>
      <c r="F409" s="3">
        <v>101.644955</v>
      </c>
      <c r="G409" s="3">
        <v>97.034381999999994</v>
      </c>
      <c r="H409" s="3">
        <v>96.029330999999999</v>
      </c>
      <c r="I409" s="17">
        <f t="shared" si="104"/>
        <v>2.7428571428571451E-2</v>
      </c>
      <c r="J409" s="17">
        <f t="shared" si="105"/>
        <v>1.0193275086047074E-2</v>
      </c>
      <c r="K409" s="17">
        <f t="shared" si="106"/>
        <v>4.0589451913133345E-2</v>
      </c>
      <c r="L409" s="17">
        <f t="shared" si="107"/>
        <v>-5.2938062466921986E-4</v>
      </c>
      <c r="M409" s="17">
        <f t="shared" si="108"/>
        <v>-8.953696597595328E-3</v>
      </c>
      <c r="N409" s="17">
        <f t="shared" si="109"/>
        <v>-5.3380719363663081E-3</v>
      </c>
      <c r="O409" s="17">
        <f t="shared" si="110"/>
        <v>-6.5684533519107264E-3</v>
      </c>
      <c r="P409" s="17">
        <f t="shared" si="111"/>
        <v>-8.1589846187450181E-3</v>
      </c>
      <c r="Q409" s="22">
        <f t="shared" si="112"/>
        <v>2.7034097558186719E-2</v>
      </c>
      <c r="R409" s="22">
        <f t="shared" si="113"/>
        <v>9.7625503719699098E-3</v>
      </c>
      <c r="S409" s="22">
        <f t="shared" si="114"/>
        <v>4.0177492526295898E-2</v>
      </c>
      <c r="T409" s="22">
        <f t="shared" si="115"/>
        <v>-6.6083213390213816E-4</v>
      </c>
      <c r="U409" s="22">
        <f t="shared" si="116"/>
        <v>-9.646924544549091E-3</v>
      </c>
      <c r="V409" s="22">
        <f t="shared" si="117"/>
        <v>-5.1034681268631275E-3</v>
      </c>
      <c r="W409" s="22">
        <f t="shared" si="118"/>
        <v>-6.3142047978200231E-3</v>
      </c>
      <c r="X409" s="22">
        <f t="shared" si="119"/>
        <v>-7.8430402341386797E-3</v>
      </c>
    </row>
    <row r="410" spans="1:24" x14ac:dyDescent="0.35">
      <c r="A410" s="3">
        <v>9.0299999999999994</v>
      </c>
      <c r="B410" s="3">
        <v>76.319999999999993</v>
      </c>
      <c r="C410" s="3">
        <v>121.36</v>
      </c>
      <c r="D410" s="3">
        <v>19.27</v>
      </c>
      <c r="E410" s="3">
        <v>38.770000000000003</v>
      </c>
      <c r="F410" s="3">
        <v>101.766721</v>
      </c>
      <c r="G410" s="3">
        <v>97.161376000000004</v>
      </c>
      <c r="H410" s="3">
        <v>96.242440999999999</v>
      </c>
      <c r="I410" s="17">
        <f t="shared" si="104"/>
        <v>4.4493882091211513E-3</v>
      </c>
      <c r="J410" s="17">
        <f t="shared" si="105"/>
        <v>1.3104442405963707E-4</v>
      </c>
      <c r="K410" s="17">
        <f t="shared" si="106"/>
        <v>5.0517598343685251E-3</v>
      </c>
      <c r="L410" s="17">
        <f t="shared" si="107"/>
        <v>2.0656779661016981E-2</v>
      </c>
      <c r="M410" s="17">
        <f t="shared" si="108"/>
        <v>7.743933918430856E-4</v>
      </c>
      <c r="N410" s="17">
        <f t="shared" si="109"/>
        <v>1.1979541926110159E-3</v>
      </c>
      <c r="O410" s="17">
        <f t="shared" si="110"/>
        <v>1.3087526027631164E-3</v>
      </c>
      <c r="P410" s="17">
        <f t="shared" si="111"/>
        <v>2.2192177929470356E-3</v>
      </c>
      <c r="Q410" s="22">
        <f t="shared" si="112"/>
        <v>4.054914338736418E-3</v>
      </c>
      <c r="R410" s="22">
        <f t="shared" si="113"/>
        <v>-2.9968029001752646E-4</v>
      </c>
      <c r="S410" s="22">
        <f t="shared" si="114"/>
        <v>4.6398004475310785E-3</v>
      </c>
      <c r="T410" s="22">
        <f t="shared" si="115"/>
        <v>2.0525328151784063E-2</v>
      </c>
      <c r="U410" s="22">
        <f t="shared" si="116"/>
        <v>8.1165444889323094E-5</v>
      </c>
      <c r="V410" s="22">
        <f t="shared" si="117"/>
        <v>1.4325580021141962E-3</v>
      </c>
      <c r="W410" s="22">
        <f t="shared" si="118"/>
        <v>1.5630011568538195E-3</v>
      </c>
      <c r="X410" s="22">
        <f t="shared" si="119"/>
        <v>2.5351621775533744E-3</v>
      </c>
    </row>
    <row r="411" spans="1:24" x14ac:dyDescent="0.35">
      <c r="A411" s="3">
        <v>9.2100000000000009</v>
      </c>
      <c r="B411" s="3">
        <v>76.69</v>
      </c>
      <c r="C411" s="3">
        <v>123.49</v>
      </c>
      <c r="D411" s="3">
        <v>19.32</v>
      </c>
      <c r="E411" s="3">
        <v>38.950000000000003</v>
      </c>
      <c r="F411" s="3">
        <v>101.790142</v>
      </c>
      <c r="G411" s="3">
        <v>97.063633999999993</v>
      </c>
      <c r="H411" s="3">
        <v>96.117660000000001</v>
      </c>
      <c r="I411" s="17">
        <f t="shared" si="104"/>
        <v>1.9933554817275913E-2</v>
      </c>
      <c r="J411" s="17">
        <f t="shared" si="105"/>
        <v>4.848008385744295E-3</v>
      </c>
      <c r="K411" s="17">
        <f t="shared" si="106"/>
        <v>1.7551087673038854E-2</v>
      </c>
      <c r="L411" s="17">
        <f t="shared" si="107"/>
        <v>2.5947067981318479E-3</v>
      </c>
      <c r="M411" s="17">
        <f t="shared" si="108"/>
        <v>4.642765024503474E-3</v>
      </c>
      <c r="N411" s="17">
        <f t="shared" si="109"/>
        <v>2.3014399766303786E-4</v>
      </c>
      <c r="O411" s="17">
        <f t="shared" si="110"/>
        <v>-1.005975872552596E-3</v>
      </c>
      <c r="P411" s="17">
        <f t="shared" si="111"/>
        <v>-1.2965277969206818E-3</v>
      </c>
      <c r="Q411" s="22">
        <f t="shared" si="112"/>
        <v>1.953908094689118E-2</v>
      </c>
      <c r="R411" s="22">
        <f t="shared" si="113"/>
        <v>4.4172836716671318E-3</v>
      </c>
      <c r="S411" s="22">
        <f t="shared" si="114"/>
        <v>1.7139128286201406E-2</v>
      </c>
      <c r="T411" s="22">
        <f t="shared" si="115"/>
        <v>2.4632552888989297E-3</v>
      </c>
      <c r="U411" s="22">
        <f t="shared" si="116"/>
        <v>3.9495370775497118E-3</v>
      </c>
      <c r="V411" s="22">
        <f t="shared" si="117"/>
        <v>4.6474780716621814E-4</v>
      </c>
      <c r="W411" s="22">
        <f t="shared" si="118"/>
        <v>-7.5172731846189303E-4</v>
      </c>
      <c r="X411" s="22">
        <f t="shared" si="119"/>
        <v>-9.8058341231434297E-4</v>
      </c>
    </row>
    <row r="412" spans="1:24" x14ac:dyDescent="0.35">
      <c r="A412" s="3">
        <v>9.0500000000000007</v>
      </c>
      <c r="B412" s="3">
        <v>75.239999999999995</v>
      </c>
      <c r="C412" s="3">
        <v>124.25</v>
      </c>
      <c r="D412" s="3">
        <v>19.21</v>
      </c>
      <c r="E412" s="3">
        <v>38.159999999999997</v>
      </c>
      <c r="F412" s="3">
        <v>101.762107</v>
      </c>
      <c r="G412" s="3">
        <v>97.026031000000003</v>
      </c>
      <c r="H412" s="3">
        <v>95.920078000000004</v>
      </c>
      <c r="I412" s="17">
        <f t="shared" si="104"/>
        <v>-1.7372421281216084E-2</v>
      </c>
      <c r="J412" s="17">
        <f t="shared" si="105"/>
        <v>-1.8907289085930406E-2</v>
      </c>
      <c r="K412" s="17">
        <f t="shared" si="106"/>
        <v>6.1543444813345624E-3</v>
      </c>
      <c r="L412" s="17">
        <f t="shared" si="107"/>
        <v>-5.6935817805382725E-3</v>
      </c>
      <c r="M412" s="17">
        <f t="shared" si="108"/>
        <v>-2.0282413350449453E-2</v>
      </c>
      <c r="N412" s="17">
        <f t="shared" si="109"/>
        <v>-2.7541959809823918E-4</v>
      </c>
      <c r="O412" s="17">
        <f t="shared" si="110"/>
        <v>-3.8740564772167979E-4</v>
      </c>
      <c r="P412" s="17">
        <f t="shared" si="111"/>
        <v>-2.0556264062191799E-3</v>
      </c>
      <c r="Q412" s="22">
        <f t="shared" si="112"/>
        <v>-1.7766895151600817E-2</v>
      </c>
      <c r="R412" s="22">
        <f t="shared" si="113"/>
        <v>-1.9338013800007568E-2</v>
      </c>
      <c r="S412" s="22">
        <f t="shared" si="114"/>
        <v>5.7423850944971159E-3</v>
      </c>
      <c r="T412" s="22">
        <f t="shared" si="115"/>
        <v>-5.8250332897711908E-3</v>
      </c>
      <c r="U412" s="22">
        <f t="shared" si="116"/>
        <v>-2.0975641297403216E-2</v>
      </c>
      <c r="V412" s="22">
        <f t="shared" si="117"/>
        <v>-4.0815788595058891E-5</v>
      </c>
      <c r="W412" s="22">
        <f t="shared" si="118"/>
        <v>-1.3315709363097679E-4</v>
      </c>
      <c r="X412" s="22">
        <f t="shared" si="119"/>
        <v>-1.7396820216128411E-3</v>
      </c>
    </row>
    <row r="413" spans="1:24" x14ac:dyDescent="0.35">
      <c r="A413" s="3">
        <v>9.1</v>
      </c>
      <c r="B413" s="3">
        <v>74.77</v>
      </c>
      <c r="C413" s="3">
        <v>123.86</v>
      </c>
      <c r="D413" s="3">
        <v>19.59</v>
      </c>
      <c r="E413" s="3">
        <v>39.28</v>
      </c>
      <c r="F413" s="3">
        <v>101.88847800000001</v>
      </c>
      <c r="G413" s="3">
        <v>97.228318000000002</v>
      </c>
      <c r="H413" s="3">
        <v>96.235225999999997</v>
      </c>
      <c r="I413" s="17">
        <f t="shared" si="104"/>
        <v>5.5248618784529205E-3</v>
      </c>
      <c r="J413" s="17">
        <f t="shared" si="105"/>
        <v>-6.2466772993088632E-3</v>
      </c>
      <c r="K413" s="17">
        <f t="shared" si="106"/>
        <v>-3.1388329979879321E-3</v>
      </c>
      <c r="L413" s="17">
        <f t="shared" si="107"/>
        <v>1.9781363872982769E-2</v>
      </c>
      <c r="M413" s="17">
        <f t="shared" si="108"/>
        <v>2.9350104821803058E-2</v>
      </c>
      <c r="N413" s="17">
        <f t="shared" si="109"/>
        <v>1.2418276677388963E-3</v>
      </c>
      <c r="O413" s="17">
        <f t="shared" si="110"/>
        <v>2.0848734913210903E-3</v>
      </c>
      <c r="P413" s="17">
        <f t="shared" si="111"/>
        <v>3.2855269362895381E-3</v>
      </c>
      <c r="Q413" s="22">
        <f t="shared" si="112"/>
        <v>5.1303880080681872E-3</v>
      </c>
      <c r="R413" s="22">
        <f t="shared" si="113"/>
        <v>-6.6774020133860265E-3</v>
      </c>
      <c r="S413" s="22">
        <f t="shared" si="114"/>
        <v>-3.5507923848253791E-3</v>
      </c>
      <c r="T413" s="22">
        <f t="shared" si="115"/>
        <v>1.9649912363749852E-2</v>
      </c>
      <c r="U413" s="22">
        <f t="shared" si="116"/>
        <v>2.8656876874849295E-2</v>
      </c>
      <c r="V413" s="22">
        <f t="shared" si="117"/>
        <v>1.4764314772420766E-3</v>
      </c>
      <c r="W413" s="22">
        <f t="shared" si="118"/>
        <v>2.3391220454117932E-3</v>
      </c>
      <c r="X413" s="22">
        <f t="shared" si="119"/>
        <v>3.6014713208958769E-3</v>
      </c>
    </row>
    <row r="414" spans="1:24" x14ac:dyDescent="0.35">
      <c r="A414" s="3">
        <v>9</v>
      </c>
      <c r="B414" s="3">
        <v>73.94</v>
      </c>
      <c r="C414" s="3">
        <v>125.98</v>
      </c>
      <c r="D414" s="3">
        <v>19.39</v>
      </c>
      <c r="E414" s="3">
        <v>38.450000000000003</v>
      </c>
      <c r="F414" s="3">
        <v>101.552352</v>
      </c>
      <c r="G414" s="3">
        <v>96.771885999999995</v>
      </c>
      <c r="H414" s="3">
        <v>95.599829</v>
      </c>
      <c r="I414" s="17">
        <f t="shared" si="104"/>
        <v>-1.098901098901095E-2</v>
      </c>
      <c r="J414" s="17">
        <f t="shared" si="105"/>
        <v>-1.1100708840444007E-2</v>
      </c>
      <c r="K414" s="17">
        <f t="shared" si="106"/>
        <v>1.7116098821249835E-2</v>
      </c>
      <c r="L414" s="17">
        <f t="shared" si="107"/>
        <v>-1.0209290454313388E-2</v>
      </c>
      <c r="M414" s="17">
        <f t="shared" si="108"/>
        <v>-2.1130346232179183E-2</v>
      </c>
      <c r="N414" s="17">
        <f t="shared" si="109"/>
        <v>-3.2989598686517549E-3</v>
      </c>
      <c r="O414" s="17">
        <f t="shared" si="110"/>
        <v>-4.6944348044775045E-3</v>
      </c>
      <c r="P414" s="17">
        <f t="shared" si="111"/>
        <v>-6.6025407370061935E-3</v>
      </c>
      <c r="Q414" s="22">
        <f t="shared" si="112"/>
        <v>-1.1383484859395684E-2</v>
      </c>
      <c r="R414" s="22">
        <f t="shared" si="113"/>
        <v>-1.1531433554521171E-2</v>
      </c>
      <c r="S414" s="22">
        <f t="shared" si="114"/>
        <v>1.6704139434412388E-2</v>
      </c>
      <c r="T414" s="22">
        <f t="shared" si="115"/>
        <v>-1.0340741963546306E-2</v>
      </c>
      <c r="U414" s="22">
        <f t="shared" si="116"/>
        <v>-2.1823574179132946E-2</v>
      </c>
      <c r="V414" s="22">
        <f t="shared" si="117"/>
        <v>-3.0643560591485748E-3</v>
      </c>
      <c r="W414" s="22">
        <f t="shared" si="118"/>
        <v>-4.4401862503868012E-3</v>
      </c>
      <c r="X414" s="22">
        <f t="shared" si="119"/>
        <v>-6.2865963523998552E-3</v>
      </c>
    </row>
    <row r="415" spans="1:24" x14ac:dyDescent="0.35">
      <c r="A415" s="3">
        <v>8.8800000000000008</v>
      </c>
      <c r="B415" s="3">
        <v>73.56</v>
      </c>
      <c r="C415" s="3">
        <v>125.22</v>
      </c>
      <c r="D415" s="3">
        <v>19.13</v>
      </c>
      <c r="E415" s="3">
        <v>37.979999999999997</v>
      </c>
      <c r="F415" s="3">
        <v>101.26536</v>
      </c>
      <c r="G415" s="3">
        <v>96.363776000000001</v>
      </c>
      <c r="H415" s="3">
        <v>95.159453999999997</v>
      </c>
      <c r="I415" s="17">
        <f t="shared" si="104"/>
        <v>-1.3333333333333246E-2</v>
      </c>
      <c r="J415" s="17">
        <f t="shared" si="105"/>
        <v>-5.1393021368676692E-3</v>
      </c>
      <c r="K415" s="17">
        <f t="shared" si="106"/>
        <v>-6.0327036037466667E-3</v>
      </c>
      <c r="L415" s="17">
        <f t="shared" si="107"/>
        <v>-1.3408973697782442E-2</v>
      </c>
      <c r="M415" s="17">
        <f t="shared" si="108"/>
        <v>-1.2223667100130193E-2</v>
      </c>
      <c r="N415" s="17">
        <f t="shared" si="109"/>
        <v>-2.8260497600291713E-3</v>
      </c>
      <c r="O415" s="17">
        <f t="shared" si="110"/>
        <v>-4.217237225282491E-3</v>
      </c>
      <c r="P415" s="17">
        <f t="shared" si="111"/>
        <v>-4.6064412939483719E-3</v>
      </c>
      <c r="Q415" s="22">
        <f t="shared" si="112"/>
        <v>-1.372780720371798E-2</v>
      </c>
      <c r="R415" s="22">
        <f t="shared" si="113"/>
        <v>-5.5700268509448324E-3</v>
      </c>
      <c r="S415" s="22">
        <f t="shared" si="114"/>
        <v>-6.4446629905841133E-3</v>
      </c>
      <c r="T415" s="22">
        <f t="shared" si="115"/>
        <v>-1.354042520701536E-2</v>
      </c>
      <c r="U415" s="22">
        <f t="shared" si="116"/>
        <v>-1.2916895047083956E-2</v>
      </c>
      <c r="V415" s="22">
        <f t="shared" si="117"/>
        <v>-2.5914459505259912E-3</v>
      </c>
      <c r="W415" s="22">
        <f t="shared" si="118"/>
        <v>-3.9629886711917877E-3</v>
      </c>
      <c r="X415" s="22">
        <f t="shared" si="119"/>
        <v>-4.2904969093420335E-3</v>
      </c>
    </row>
    <row r="416" spans="1:24" x14ac:dyDescent="0.35">
      <c r="A416" s="3">
        <v>8.66</v>
      </c>
      <c r="B416" s="3">
        <v>73.56</v>
      </c>
      <c r="C416" s="3">
        <v>127.11</v>
      </c>
      <c r="D416" s="3">
        <v>19.29</v>
      </c>
      <c r="E416" s="3">
        <v>37.28</v>
      </c>
      <c r="F416" s="3">
        <v>100.578829</v>
      </c>
      <c r="G416" s="3">
        <v>95.444799000000003</v>
      </c>
      <c r="H416" s="3">
        <v>94.107988000000006</v>
      </c>
      <c r="I416" s="17">
        <f t="shared" si="104"/>
        <v>-2.4774774774774844E-2</v>
      </c>
      <c r="J416" s="17">
        <f t="shared" si="105"/>
        <v>0</v>
      </c>
      <c r="K416" s="17">
        <f t="shared" si="106"/>
        <v>1.5093435553425976E-2</v>
      </c>
      <c r="L416" s="17">
        <f t="shared" si="107"/>
        <v>8.3638264506011584E-3</v>
      </c>
      <c r="M416" s="17">
        <f t="shared" si="108"/>
        <v>-1.8430753027909315E-2</v>
      </c>
      <c r="N416" s="17">
        <f t="shared" si="109"/>
        <v>-6.7795246074274776E-3</v>
      </c>
      <c r="O416" s="17">
        <f t="shared" si="110"/>
        <v>-9.5365399545986884E-3</v>
      </c>
      <c r="P416" s="17">
        <f t="shared" si="111"/>
        <v>-1.1049516950780221E-2</v>
      </c>
      <c r="Q416" s="22">
        <f t="shared" si="112"/>
        <v>-2.5169248645159577E-2</v>
      </c>
      <c r="R416" s="22">
        <f t="shared" si="113"/>
        <v>-4.3072471407716351E-4</v>
      </c>
      <c r="S416" s="22">
        <f t="shared" si="114"/>
        <v>1.4681476166588528E-2</v>
      </c>
      <c r="T416" s="22">
        <f t="shared" si="115"/>
        <v>8.2323749413682409E-3</v>
      </c>
      <c r="U416" s="22">
        <f t="shared" si="116"/>
        <v>-1.9123980974863078E-2</v>
      </c>
      <c r="V416" s="22">
        <f t="shared" si="117"/>
        <v>-6.544920797924297E-3</v>
      </c>
      <c r="W416" s="22">
        <f t="shared" si="118"/>
        <v>-9.282291400507986E-3</v>
      </c>
      <c r="X416" s="22">
        <f t="shared" si="119"/>
        <v>-1.0733572566173882E-2</v>
      </c>
    </row>
    <row r="417" spans="1:24" x14ac:dyDescent="0.35">
      <c r="A417" s="3">
        <v>8.3699999999999992</v>
      </c>
      <c r="B417" s="3">
        <v>74.52</v>
      </c>
      <c r="C417" s="3">
        <v>126.52</v>
      </c>
      <c r="D417" s="3">
        <v>19.27</v>
      </c>
      <c r="E417" s="3">
        <v>36.799999999999997</v>
      </c>
      <c r="F417" s="3">
        <v>100.099473</v>
      </c>
      <c r="G417" s="3">
        <v>95.117628999999994</v>
      </c>
      <c r="H417" s="3">
        <v>93.705627000000007</v>
      </c>
      <c r="I417" s="17">
        <f t="shared" si="104"/>
        <v>-3.3487297921478164E-2</v>
      </c>
      <c r="J417" s="17">
        <f t="shared" si="105"/>
        <v>1.3050570962479522E-2</v>
      </c>
      <c r="K417" s="17">
        <f t="shared" si="106"/>
        <v>-4.6416489654630116E-3</v>
      </c>
      <c r="L417" s="17">
        <f t="shared" si="107"/>
        <v>-1.0368066355624455E-3</v>
      </c>
      <c r="M417" s="17">
        <f t="shared" si="108"/>
        <v>-1.2875536480686801E-2</v>
      </c>
      <c r="N417" s="17">
        <f t="shared" si="109"/>
        <v>-4.7659731651876333E-3</v>
      </c>
      <c r="O417" s="17">
        <f t="shared" si="110"/>
        <v>-3.4278452406820985E-3</v>
      </c>
      <c r="P417" s="17">
        <f t="shared" si="111"/>
        <v>-4.2755244113815193E-3</v>
      </c>
      <c r="Q417" s="22">
        <f t="shared" si="112"/>
        <v>-3.38817717918629E-2</v>
      </c>
      <c r="R417" s="22">
        <f t="shared" si="113"/>
        <v>1.2619846248402358E-2</v>
      </c>
      <c r="S417" s="22">
        <f t="shared" si="114"/>
        <v>-5.0536083523004581E-3</v>
      </c>
      <c r="T417" s="22">
        <f t="shared" si="115"/>
        <v>-1.1682581447953638E-3</v>
      </c>
      <c r="U417" s="22">
        <f t="shared" si="116"/>
        <v>-1.3568764427640564E-2</v>
      </c>
      <c r="V417" s="22">
        <f t="shared" si="117"/>
        <v>-4.5313693556844527E-3</v>
      </c>
      <c r="W417" s="22">
        <f t="shared" si="118"/>
        <v>-3.1735966865913956E-3</v>
      </c>
      <c r="X417" s="22">
        <f t="shared" si="119"/>
        <v>-3.9595800267751809E-3</v>
      </c>
    </row>
    <row r="418" spans="1:24" x14ac:dyDescent="0.35">
      <c r="A418" s="3">
        <v>8.3800000000000008</v>
      </c>
      <c r="B418" s="3">
        <v>73.650000000000006</v>
      </c>
      <c r="C418" s="3">
        <v>127.25</v>
      </c>
      <c r="D418" s="3">
        <v>18.760000000000002</v>
      </c>
      <c r="E418" s="3">
        <v>36.65</v>
      </c>
      <c r="F418" s="3">
        <v>99.723354</v>
      </c>
      <c r="G418" s="3">
        <v>94.676596000000004</v>
      </c>
      <c r="H418" s="3">
        <v>93.026120000000006</v>
      </c>
      <c r="I418" s="17">
        <f t="shared" si="104"/>
        <v>1.194743130227188E-3</v>
      </c>
      <c r="J418" s="17">
        <f t="shared" si="105"/>
        <v>-1.1674718196457198E-2</v>
      </c>
      <c r="K418" s="17">
        <f t="shared" si="106"/>
        <v>5.7698387606702813E-3</v>
      </c>
      <c r="L418" s="17">
        <f t="shared" si="107"/>
        <v>-2.6466009340944372E-2</v>
      </c>
      <c r="M418" s="17">
        <f t="shared" si="108"/>
        <v>-4.0760869565217009E-3</v>
      </c>
      <c r="N418" s="17">
        <f t="shared" si="109"/>
        <v>-3.7574523494244842E-3</v>
      </c>
      <c r="O418" s="17">
        <f t="shared" si="110"/>
        <v>-4.6367114554547008E-3</v>
      </c>
      <c r="P418" s="17">
        <f t="shared" si="111"/>
        <v>-7.2515068918966941E-3</v>
      </c>
      <c r="Q418" s="22">
        <f t="shared" si="112"/>
        <v>8.0026925984245478E-4</v>
      </c>
      <c r="R418" s="22">
        <f t="shared" si="113"/>
        <v>-1.2105442910534362E-2</v>
      </c>
      <c r="S418" s="22">
        <f t="shared" si="114"/>
        <v>5.3578793738328348E-3</v>
      </c>
      <c r="T418" s="22">
        <f t="shared" si="115"/>
        <v>-2.659746085017729E-2</v>
      </c>
      <c r="U418" s="22">
        <f t="shared" si="116"/>
        <v>-4.769314903475463E-3</v>
      </c>
      <c r="V418" s="22">
        <f t="shared" si="117"/>
        <v>-3.5228485399213041E-3</v>
      </c>
      <c r="W418" s="22">
        <f t="shared" si="118"/>
        <v>-4.3824629013639975E-3</v>
      </c>
      <c r="X418" s="22">
        <f t="shared" si="119"/>
        <v>-6.9355625072903557E-3</v>
      </c>
    </row>
    <row r="419" spans="1:24" x14ac:dyDescent="0.35">
      <c r="A419" s="3">
        <v>8.23</v>
      </c>
      <c r="B419" s="3">
        <v>73.5</v>
      </c>
      <c r="C419" s="3">
        <v>126.21</v>
      </c>
      <c r="D419" s="3">
        <v>18.59</v>
      </c>
      <c r="E419" s="3">
        <v>36.82</v>
      </c>
      <c r="F419" s="3">
        <v>99.697640000000007</v>
      </c>
      <c r="G419" s="3">
        <v>94.641734</v>
      </c>
      <c r="H419" s="3">
        <v>93.048642999999998</v>
      </c>
      <c r="I419" s="17">
        <f t="shared" si="104"/>
        <v>-1.7899761336515555E-2</v>
      </c>
      <c r="J419" s="17">
        <f t="shared" si="105"/>
        <v>-2.0366598778004843E-3</v>
      </c>
      <c r="K419" s="17">
        <f t="shared" si="106"/>
        <v>-8.1728880157171408E-3</v>
      </c>
      <c r="L419" s="17">
        <f t="shared" si="107"/>
        <v>-9.0618336886994499E-3</v>
      </c>
      <c r="M419" s="17">
        <f t="shared" si="108"/>
        <v>4.6384720327422024E-3</v>
      </c>
      <c r="N419" s="17">
        <f t="shared" si="109"/>
        <v>-2.5785334095355011E-4</v>
      </c>
      <c r="O419" s="17">
        <f t="shared" si="110"/>
        <v>-3.6822194156625515E-4</v>
      </c>
      <c r="P419" s="17">
        <f t="shared" si="111"/>
        <v>2.4211479528537275E-4</v>
      </c>
      <c r="Q419" s="22">
        <f t="shared" si="112"/>
        <v>-1.8294235206900288E-2</v>
      </c>
      <c r="R419" s="22">
        <f t="shared" si="113"/>
        <v>-2.467384591877648E-3</v>
      </c>
      <c r="S419" s="22">
        <f t="shared" si="114"/>
        <v>-8.5848474025545882E-3</v>
      </c>
      <c r="T419" s="22">
        <f t="shared" si="115"/>
        <v>-9.1932851979323674E-3</v>
      </c>
      <c r="U419" s="22">
        <f t="shared" si="116"/>
        <v>3.9452440857884402E-3</v>
      </c>
      <c r="V419" s="22">
        <f t="shared" si="117"/>
        <v>-2.324953145036983E-5</v>
      </c>
      <c r="W419" s="22">
        <f t="shared" si="118"/>
        <v>-1.1397338747555215E-4</v>
      </c>
      <c r="X419" s="22">
        <f t="shared" si="119"/>
        <v>5.5805917989171152E-4</v>
      </c>
    </row>
    <row r="420" spans="1:24" x14ac:dyDescent="0.35">
      <c r="A420" s="3">
        <v>8.3699999999999992</v>
      </c>
      <c r="B420" s="3">
        <v>73.61</v>
      </c>
      <c r="C420" s="3">
        <v>125.8</v>
      </c>
      <c r="D420" s="3">
        <v>18.45</v>
      </c>
      <c r="E420" s="3">
        <v>38.130000000000003</v>
      </c>
      <c r="F420" s="3">
        <v>100.219645</v>
      </c>
      <c r="G420" s="3">
        <v>95.173597000000001</v>
      </c>
      <c r="H420" s="3">
        <v>93.747380000000007</v>
      </c>
      <c r="I420" s="17">
        <f t="shared" si="104"/>
        <v>1.7010935601457933E-2</v>
      </c>
      <c r="J420" s="17">
        <f t="shared" si="105"/>
        <v>1.4965986394557746E-3</v>
      </c>
      <c r="K420" s="17">
        <f t="shared" si="106"/>
        <v>-3.2485539973060502E-3</v>
      </c>
      <c r="L420" s="17">
        <f t="shared" si="107"/>
        <v>-7.5309306078537152E-3</v>
      </c>
      <c r="M420" s="17">
        <f t="shared" si="108"/>
        <v>3.5578489951113589E-2</v>
      </c>
      <c r="N420" s="17">
        <f t="shared" si="109"/>
        <v>5.2358812104277789E-3</v>
      </c>
      <c r="O420" s="17">
        <f t="shared" si="110"/>
        <v>5.6197512188439118E-3</v>
      </c>
      <c r="P420" s="17">
        <f t="shared" si="111"/>
        <v>7.509373350023045E-3</v>
      </c>
      <c r="Q420" s="22">
        <f t="shared" si="112"/>
        <v>1.6616461731073201E-2</v>
      </c>
      <c r="R420" s="22">
        <f t="shared" si="113"/>
        <v>1.0658739253786111E-3</v>
      </c>
      <c r="S420" s="22">
        <f t="shared" si="114"/>
        <v>-3.6605133841434972E-3</v>
      </c>
      <c r="T420" s="22">
        <f t="shared" si="115"/>
        <v>-7.6623821170866335E-3</v>
      </c>
      <c r="U420" s="22">
        <f t="shared" si="116"/>
        <v>3.4885262004159825E-2</v>
      </c>
      <c r="V420" s="22">
        <f t="shared" si="117"/>
        <v>5.4704850199309594E-3</v>
      </c>
      <c r="W420" s="22">
        <f t="shared" si="118"/>
        <v>5.8739997729346152E-3</v>
      </c>
      <c r="X420" s="22">
        <f t="shared" si="119"/>
        <v>7.8253177346293834E-3</v>
      </c>
    </row>
    <row r="421" spans="1:24" x14ac:dyDescent="0.35">
      <c r="A421" s="3">
        <v>8.09</v>
      </c>
      <c r="B421" s="3">
        <v>73.23</v>
      </c>
      <c r="C421" s="3">
        <v>123.86</v>
      </c>
      <c r="D421" s="3">
        <v>18.079999999999998</v>
      </c>
      <c r="E421" s="3">
        <v>37.68</v>
      </c>
      <c r="F421" s="3">
        <v>100.243696</v>
      </c>
      <c r="G421" s="3">
        <v>95.254521999999994</v>
      </c>
      <c r="H421" s="3">
        <v>93.769853999999995</v>
      </c>
      <c r="I421" s="17">
        <f t="shared" si="104"/>
        <v>-3.3452807646355963E-2</v>
      </c>
      <c r="J421" s="17">
        <f t="shared" si="105"/>
        <v>-5.1623420730878338E-3</v>
      </c>
      <c r="K421" s="17">
        <f t="shared" si="106"/>
        <v>-1.5421303656597756E-2</v>
      </c>
      <c r="L421" s="17">
        <f t="shared" si="107"/>
        <v>-2.0054200542005476E-2</v>
      </c>
      <c r="M421" s="17">
        <f t="shared" si="108"/>
        <v>-1.1801730920535086E-2</v>
      </c>
      <c r="N421" s="17">
        <f t="shared" si="109"/>
        <v>2.3998288958217766E-4</v>
      </c>
      <c r="O421" s="17">
        <f t="shared" si="110"/>
        <v>8.5028834204924997E-4</v>
      </c>
      <c r="P421" s="17">
        <f t="shared" si="111"/>
        <v>2.3972936630323253E-4</v>
      </c>
      <c r="Q421" s="22">
        <f t="shared" si="112"/>
        <v>-3.3847281516740699E-2</v>
      </c>
      <c r="R421" s="22">
        <f t="shared" si="113"/>
        <v>-5.5930667871649971E-3</v>
      </c>
      <c r="S421" s="22">
        <f t="shared" si="114"/>
        <v>-1.5833263043435204E-2</v>
      </c>
      <c r="T421" s="22">
        <f t="shared" si="115"/>
        <v>-2.0185652051238394E-2</v>
      </c>
      <c r="U421" s="22">
        <f t="shared" si="116"/>
        <v>-1.2494958867488849E-2</v>
      </c>
      <c r="V421" s="22">
        <f t="shared" si="117"/>
        <v>4.7458669908535795E-4</v>
      </c>
      <c r="W421" s="22">
        <f t="shared" si="118"/>
        <v>1.104536896139953E-3</v>
      </c>
      <c r="X421" s="22">
        <f t="shared" si="119"/>
        <v>5.556737509095713E-4</v>
      </c>
    </row>
    <row r="422" spans="1:24" x14ac:dyDescent="0.35">
      <c r="A422" s="3">
        <v>7.82</v>
      </c>
      <c r="B422" s="3">
        <v>71.13</v>
      </c>
      <c r="C422" s="3">
        <v>121.11</v>
      </c>
      <c r="D422" s="3">
        <v>17.84</v>
      </c>
      <c r="E422" s="3">
        <v>37.25</v>
      </c>
      <c r="F422" s="3">
        <v>99.918127999999996</v>
      </c>
      <c r="G422" s="3">
        <v>94.929610999999994</v>
      </c>
      <c r="H422" s="3">
        <v>93.371014000000002</v>
      </c>
      <c r="I422" s="17">
        <f t="shared" si="104"/>
        <v>-3.3374536464771273E-2</v>
      </c>
      <c r="J422" s="17">
        <f t="shared" si="105"/>
        <v>-2.8676771814830103E-2</v>
      </c>
      <c r="K422" s="17">
        <f t="shared" si="106"/>
        <v>-2.2202486678507993E-2</v>
      </c>
      <c r="L422" s="17">
        <f t="shared" si="107"/>
        <v>-1.3274336283185756E-2</v>
      </c>
      <c r="M422" s="17">
        <f t="shared" si="108"/>
        <v>-1.1411889596602965E-2</v>
      </c>
      <c r="N422" s="17">
        <f t="shared" si="109"/>
        <v>-3.2477653258116508E-3</v>
      </c>
      <c r="O422" s="17">
        <f t="shared" si="110"/>
        <v>-3.4109771712465282E-3</v>
      </c>
      <c r="P422" s="17">
        <f t="shared" si="111"/>
        <v>-4.2533925668690152E-3</v>
      </c>
      <c r="Q422" s="22">
        <f t="shared" si="112"/>
        <v>-3.3769010335156009E-2</v>
      </c>
      <c r="R422" s="22">
        <f t="shared" si="113"/>
        <v>-2.9107496528907265E-2</v>
      </c>
      <c r="S422" s="22">
        <f t="shared" si="114"/>
        <v>-2.2614446065345441E-2</v>
      </c>
      <c r="T422" s="22">
        <f t="shared" si="115"/>
        <v>-1.3405787792418673E-2</v>
      </c>
      <c r="U422" s="22">
        <f t="shared" si="116"/>
        <v>-1.2105117543556728E-2</v>
      </c>
      <c r="V422" s="22">
        <f t="shared" si="117"/>
        <v>-3.0131615163084707E-3</v>
      </c>
      <c r="W422" s="22">
        <f t="shared" si="118"/>
        <v>-3.1567286171558253E-3</v>
      </c>
      <c r="X422" s="22">
        <f t="shared" si="119"/>
        <v>-3.9374481822626768E-3</v>
      </c>
    </row>
    <row r="423" spans="1:24" x14ac:dyDescent="0.35">
      <c r="A423" s="3">
        <v>7.71</v>
      </c>
      <c r="B423" s="3">
        <v>69.47</v>
      </c>
      <c r="C423" s="3">
        <v>121.41</v>
      </c>
      <c r="D423" s="3">
        <v>17.71</v>
      </c>
      <c r="E423" s="3">
        <v>36.67</v>
      </c>
      <c r="F423" s="3">
        <v>99.445687000000007</v>
      </c>
      <c r="G423" s="3">
        <v>94.262137999999993</v>
      </c>
      <c r="H423" s="3">
        <v>92.628022000000001</v>
      </c>
      <c r="I423" s="17">
        <f t="shared" si="104"/>
        <v>-1.4066496163682905E-2</v>
      </c>
      <c r="J423" s="17">
        <f t="shared" si="105"/>
        <v>-2.3337550963025401E-2</v>
      </c>
      <c r="K423" s="17">
        <f t="shared" si="106"/>
        <v>2.4770869457517723E-3</v>
      </c>
      <c r="L423" s="17">
        <f t="shared" si="107"/>
        <v>-7.286995515695012E-3</v>
      </c>
      <c r="M423" s="17">
        <f t="shared" si="108"/>
        <v>-1.5570469798657673E-2</v>
      </c>
      <c r="N423" s="17">
        <f t="shared" si="109"/>
        <v>-4.7282811383334688E-3</v>
      </c>
      <c r="O423" s="17">
        <f t="shared" si="110"/>
        <v>-7.0312412846609169E-3</v>
      </c>
      <c r="P423" s="17">
        <f t="shared" si="111"/>
        <v>-7.957415992076524E-3</v>
      </c>
      <c r="Q423" s="22">
        <f t="shared" si="112"/>
        <v>-1.4460970034067639E-2</v>
      </c>
      <c r="R423" s="22">
        <f t="shared" si="113"/>
        <v>-2.3768275677102563E-2</v>
      </c>
      <c r="S423" s="22">
        <f t="shared" si="114"/>
        <v>2.0651275589143253E-3</v>
      </c>
      <c r="T423" s="22">
        <f t="shared" si="115"/>
        <v>-7.4184470249279303E-3</v>
      </c>
      <c r="U423" s="22">
        <f t="shared" si="116"/>
        <v>-1.6263697745611434E-2</v>
      </c>
      <c r="V423" s="22">
        <f t="shared" si="117"/>
        <v>-4.4936773288302883E-3</v>
      </c>
      <c r="W423" s="22">
        <f t="shared" si="118"/>
        <v>-6.7769927305702136E-3</v>
      </c>
      <c r="X423" s="22">
        <f t="shared" si="119"/>
        <v>-7.6414716074701856E-3</v>
      </c>
    </row>
    <row r="424" spans="1:24" x14ac:dyDescent="0.35">
      <c r="A424" s="3">
        <v>7.47</v>
      </c>
      <c r="B424" s="3">
        <v>66.22</v>
      </c>
      <c r="C424" s="3">
        <v>118.98</v>
      </c>
      <c r="D424" s="3">
        <v>17.170000000000002</v>
      </c>
      <c r="E424" s="3">
        <v>36.56</v>
      </c>
      <c r="F424" s="3">
        <v>99.420529999999999</v>
      </c>
      <c r="G424" s="3">
        <v>94.170786000000007</v>
      </c>
      <c r="H424" s="3">
        <v>92.581492999999995</v>
      </c>
      <c r="I424" s="17">
        <f t="shared" si="104"/>
        <v>-3.1128404669260729E-2</v>
      </c>
      <c r="J424" s="17">
        <f t="shared" si="105"/>
        <v>-4.6782783935511732E-2</v>
      </c>
      <c r="K424" s="17">
        <f t="shared" si="106"/>
        <v>-2.0014825796886522E-2</v>
      </c>
      <c r="L424" s="17">
        <f t="shared" si="107"/>
        <v>-3.049124788255218E-2</v>
      </c>
      <c r="M424" s="17">
        <f t="shared" si="108"/>
        <v>-2.9997272975183916E-3</v>
      </c>
      <c r="N424" s="17">
        <f t="shared" si="109"/>
        <v>-2.5297225811318693E-4</v>
      </c>
      <c r="O424" s="17">
        <f t="shared" si="110"/>
        <v>-9.6912718020448823E-4</v>
      </c>
      <c r="P424" s="17">
        <f t="shared" si="111"/>
        <v>-5.0232099310084267E-4</v>
      </c>
      <c r="Q424" s="22">
        <f t="shared" si="112"/>
        <v>-3.1522878539645464E-2</v>
      </c>
      <c r="R424" s="22">
        <f t="shared" si="113"/>
        <v>-4.7213508649588898E-2</v>
      </c>
      <c r="S424" s="22">
        <f t="shared" si="114"/>
        <v>-2.0426785183723969E-2</v>
      </c>
      <c r="T424" s="22">
        <f t="shared" si="115"/>
        <v>-3.0622699391785097E-2</v>
      </c>
      <c r="U424" s="22">
        <f t="shared" si="116"/>
        <v>-3.6929552444721543E-3</v>
      </c>
      <c r="V424" s="22">
        <f t="shared" si="117"/>
        <v>-1.8368448610006643E-5</v>
      </c>
      <c r="W424" s="22">
        <f t="shared" si="118"/>
        <v>-7.1487862611378523E-4</v>
      </c>
      <c r="X424" s="22">
        <f t="shared" si="119"/>
        <v>-1.8637660849450389E-4</v>
      </c>
    </row>
    <row r="425" spans="1:24" x14ac:dyDescent="0.35">
      <c r="A425" s="3">
        <v>7.66</v>
      </c>
      <c r="B425" s="3">
        <v>70.27</v>
      </c>
      <c r="C425" s="3">
        <v>119.97</v>
      </c>
      <c r="D425" s="3">
        <v>17.16</v>
      </c>
      <c r="E425" s="3">
        <v>36.35</v>
      </c>
      <c r="F425" s="3">
        <v>99.246885000000006</v>
      </c>
      <c r="G425" s="3">
        <v>94.125878</v>
      </c>
      <c r="H425" s="3">
        <v>92.304852999999994</v>
      </c>
      <c r="I425" s="17">
        <f t="shared" si="104"/>
        <v>2.5435073627844765E-2</v>
      </c>
      <c r="J425" s="17">
        <f t="shared" si="105"/>
        <v>6.1159770462096003E-2</v>
      </c>
      <c r="K425" s="17">
        <f t="shared" si="106"/>
        <v>8.3207261724659171E-3</v>
      </c>
      <c r="L425" s="17">
        <f t="shared" si="107"/>
        <v>-5.8241118229479104E-4</v>
      </c>
      <c r="M425" s="17">
        <f t="shared" si="108"/>
        <v>-5.743982494529563E-3</v>
      </c>
      <c r="N425" s="17">
        <f t="shared" si="109"/>
        <v>-1.7465708541283514E-3</v>
      </c>
      <c r="O425" s="17">
        <f t="shared" si="110"/>
        <v>-4.7687825394179681E-4</v>
      </c>
      <c r="P425" s="17">
        <f t="shared" si="111"/>
        <v>-2.9880701967076773E-3</v>
      </c>
      <c r="Q425" s="22">
        <f t="shared" si="112"/>
        <v>2.5040599757460032E-2</v>
      </c>
      <c r="R425" s="22">
        <f t="shared" si="113"/>
        <v>6.0729045748018837E-2</v>
      </c>
      <c r="S425" s="22">
        <f t="shared" si="114"/>
        <v>7.9087667856284696E-3</v>
      </c>
      <c r="T425" s="22">
        <f t="shared" si="115"/>
        <v>-7.1386269152770934E-4</v>
      </c>
      <c r="U425" s="22">
        <f t="shared" si="116"/>
        <v>-6.4372104414833252E-3</v>
      </c>
      <c r="V425" s="22">
        <f t="shared" si="117"/>
        <v>-1.5119670446251711E-3</v>
      </c>
      <c r="W425" s="22">
        <f t="shared" si="118"/>
        <v>-2.2262969985109381E-4</v>
      </c>
      <c r="X425" s="22">
        <f t="shared" si="119"/>
        <v>-2.6721258121013385E-3</v>
      </c>
    </row>
    <row r="426" spans="1:24" x14ac:dyDescent="0.35">
      <c r="A426" s="3">
        <v>7.8</v>
      </c>
      <c r="B426" s="3">
        <v>71.97</v>
      </c>
      <c r="C426" s="3">
        <v>122.28</v>
      </c>
      <c r="D426" s="3">
        <v>17.52</v>
      </c>
      <c r="E426" s="3">
        <v>37.44</v>
      </c>
      <c r="F426" s="3">
        <v>98.976429999999993</v>
      </c>
      <c r="G426" s="3">
        <v>93.750967000000003</v>
      </c>
      <c r="H426" s="3">
        <v>91.916464000000005</v>
      </c>
      <c r="I426" s="17">
        <f t="shared" si="104"/>
        <v>1.8276762402088732E-2</v>
      </c>
      <c r="J426" s="17">
        <f t="shared" si="105"/>
        <v>2.4192400740002888E-2</v>
      </c>
      <c r="K426" s="17">
        <f t="shared" si="106"/>
        <v>1.9254813703425876E-2</v>
      </c>
      <c r="L426" s="17">
        <f t="shared" si="107"/>
        <v>2.0979020979020945E-2</v>
      </c>
      <c r="M426" s="17">
        <f t="shared" si="108"/>
        <v>2.9986244841815578E-2</v>
      </c>
      <c r="N426" s="17">
        <f t="shared" si="109"/>
        <v>-2.7250729330196362E-3</v>
      </c>
      <c r="O426" s="17">
        <f t="shared" si="110"/>
        <v>-3.983081039626502E-3</v>
      </c>
      <c r="P426" s="17">
        <f t="shared" si="111"/>
        <v>-4.2076769246356905E-3</v>
      </c>
      <c r="Q426" s="22">
        <f t="shared" si="112"/>
        <v>1.7882288531704E-2</v>
      </c>
      <c r="R426" s="22">
        <f t="shared" si="113"/>
        <v>2.3761676025925726E-2</v>
      </c>
      <c r="S426" s="22">
        <f t="shared" si="114"/>
        <v>1.8842854316588428E-2</v>
      </c>
      <c r="T426" s="22">
        <f t="shared" si="115"/>
        <v>2.0847569469788028E-2</v>
      </c>
      <c r="U426" s="22">
        <f t="shared" si="116"/>
        <v>2.9293016894861815E-2</v>
      </c>
      <c r="V426" s="22">
        <f t="shared" si="117"/>
        <v>-2.4904691235164561E-3</v>
      </c>
      <c r="W426" s="22">
        <f t="shared" si="118"/>
        <v>-3.7288324855357991E-3</v>
      </c>
      <c r="X426" s="22">
        <f t="shared" si="119"/>
        <v>-3.8917325400293517E-3</v>
      </c>
    </row>
    <row r="427" spans="1:24" x14ac:dyDescent="0.35">
      <c r="A427" s="3">
        <v>7.71</v>
      </c>
      <c r="B427" s="3">
        <v>70.48</v>
      </c>
      <c r="C427" s="3">
        <v>123.86</v>
      </c>
      <c r="D427" s="3">
        <v>17.38</v>
      </c>
      <c r="E427" s="3">
        <v>37.39</v>
      </c>
      <c r="F427" s="3">
        <v>99.988006999999996</v>
      </c>
      <c r="G427" s="3">
        <v>94.801961000000006</v>
      </c>
      <c r="H427" s="3">
        <v>93.180038999999994</v>
      </c>
      <c r="I427" s="17">
        <f t="shared" si="104"/>
        <v>-1.153846153846152E-2</v>
      </c>
      <c r="J427" s="17">
        <f t="shared" si="105"/>
        <v>-2.070307072391267E-2</v>
      </c>
      <c r="K427" s="17">
        <f t="shared" si="106"/>
        <v>1.292116454039907E-2</v>
      </c>
      <c r="L427" s="17">
        <f t="shared" si="107"/>
        <v>-7.9908675799087083E-3</v>
      </c>
      <c r="M427" s="17">
        <f t="shared" si="108"/>
        <v>-1.3354700854700096E-3</v>
      </c>
      <c r="N427" s="17">
        <f t="shared" si="109"/>
        <v>1.022038277193876E-2</v>
      </c>
      <c r="O427" s="17">
        <f t="shared" si="110"/>
        <v>1.1210487034229768E-2</v>
      </c>
      <c r="P427" s="17">
        <f t="shared" si="111"/>
        <v>1.3746993139335612E-2</v>
      </c>
      <c r="Q427" s="22">
        <f t="shared" si="112"/>
        <v>-1.1932935408846254E-2</v>
      </c>
      <c r="R427" s="22">
        <f t="shared" si="113"/>
        <v>-2.1133795437989832E-2</v>
      </c>
      <c r="S427" s="22">
        <f t="shared" si="114"/>
        <v>1.2509205153561622E-2</v>
      </c>
      <c r="T427" s="22">
        <f t="shared" si="115"/>
        <v>-8.1223190891416257E-3</v>
      </c>
      <c r="U427" s="22">
        <f t="shared" si="116"/>
        <v>-2.0286980324237722E-3</v>
      </c>
      <c r="V427" s="22">
        <f t="shared" si="117"/>
        <v>1.0454986581441939E-2</v>
      </c>
      <c r="W427" s="22">
        <f t="shared" si="118"/>
        <v>1.1464735588320471E-2</v>
      </c>
      <c r="X427" s="22">
        <f t="shared" si="119"/>
        <v>1.406293752394195E-2</v>
      </c>
    </row>
    <row r="428" spans="1:24" x14ac:dyDescent="0.35">
      <c r="A428" s="3">
        <v>7.63</v>
      </c>
      <c r="B428" s="3">
        <v>70.88</v>
      </c>
      <c r="C428" s="3">
        <v>121.66</v>
      </c>
      <c r="D428" s="3">
        <v>17.48</v>
      </c>
      <c r="E428" s="3">
        <v>37.450000000000003</v>
      </c>
      <c r="F428" s="3">
        <v>100.21111399999999</v>
      </c>
      <c r="G428" s="3">
        <v>95.113032000000004</v>
      </c>
      <c r="H428" s="3">
        <v>93.551423999999997</v>
      </c>
      <c r="I428" s="17">
        <f t="shared" si="104"/>
        <v>-1.0376134889753577E-2</v>
      </c>
      <c r="J428" s="17">
        <f t="shared" si="105"/>
        <v>5.675368898978312E-3</v>
      </c>
      <c r="K428" s="17">
        <f t="shared" si="106"/>
        <v>-1.7761989342806418E-2</v>
      </c>
      <c r="L428" s="17">
        <f t="shared" si="107"/>
        <v>5.7537399309552026E-3</v>
      </c>
      <c r="M428" s="17">
        <f t="shared" si="108"/>
        <v>1.6047071409468381E-3</v>
      </c>
      <c r="N428" s="17">
        <f t="shared" si="109"/>
        <v>2.2313376043188744E-3</v>
      </c>
      <c r="O428" s="17">
        <f t="shared" si="110"/>
        <v>3.2812717871943419E-3</v>
      </c>
      <c r="P428" s="17">
        <f t="shared" si="111"/>
        <v>3.9856712229966295E-3</v>
      </c>
      <c r="Q428" s="22">
        <f t="shared" si="112"/>
        <v>-1.0770608760138311E-2</v>
      </c>
      <c r="R428" s="22">
        <f t="shared" si="113"/>
        <v>5.2446441849011488E-3</v>
      </c>
      <c r="S428" s="22">
        <f t="shared" si="114"/>
        <v>-1.8173948729643865E-2</v>
      </c>
      <c r="T428" s="22">
        <f t="shared" si="115"/>
        <v>5.6222884217222843E-3</v>
      </c>
      <c r="U428" s="22">
        <f t="shared" si="116"/>
        <v>9.114791939930756E-4</v>
      </c>
      <c r="V428" s="22">
        <f t="shared" si="117"/>
        <v>2.4659414138220545E-3</v>
      </c>
      <c r="W428" s="22">
        <f t="shared" si="118"/>
        <v>3.5355203412850448E-3</v>
      </c>
      <c r="X428" s="22">
        <f t="shared" si="119"/>
        <v>4.3016156076029679E-3</v>
      </c>
    </row>
    <row r="429" spans="1:24" x14ac:dyDescent="0.35">
      <c r="A429" s="3">
        <v>7.73</v>
      </c>
      <c r="B429" s="3">
        <v>71.94</v>
      </c>
      <c r="C429" s="3">
        <v>123.4</v>
      </c>
      <c r="D429" s="3">
        <v>17.46</v>
      </c>
      <c r="E429" s="3">
        <v>37.61</v>
      </c>
      <c r="F429" s="3">
        <v>99.591004999999996</v>
      </c>
      <c r="G429" s="3">
        <v>94.389534999999995</v>
      </c>
      <c r="H429" s="3">
        <v>92.671042999999997</v>
      </c>
      <c r="I429" s="17">
        <f t="shared" si="104"/>
        <v>1.3106159895150791E-2</v>
      </c>
      <c r="J429" s="17">
        <f t="shared" si="105"/>
        <v>1.495485327313773E-2</v>
      </c>
      <c r="K429" s="17">
        <f t="shared" si="106"/>
        <v>1.4302153542659946E-2</v>
      </c>
      <c r="L429" s="17">
        <f t="shared" si="107"/>
        <v>-1.144164759725376E-3</v>
      </c>
      <c r="M429" s="17">
        <f t="shared" si="108"/>
        <v>4.2723631508677327E-3</v>
      </c>
      <c r="N429" s="17">
        <f t="shared" si="109"/>
        <v>-6.188026210346283E-3</v>
      </c>
      <c r="O429" s="17">
        <f t="shared" si="110"/>
        <v>-7.6067073542562379E-3</v>
      </c>
      <c r="P429" s="17">
        <f t="shared" si="111"/>
        <v>-9.4106638077470616E-3</v>
      </c>
      <c r="Q429" s="22">
        <f t="shared" si="112"/>
        <v>1.2711686024766057E-2</v>
      </c>
      <c r="R429" s="22">
        <f t="shared" si="113"/>
        <v>1.4524128559060566E-2</v>
      </c>
      <c r="S429" s="22">
        <f t="shared" si="114"/>
        <v>1.3890194155822499E-2</v>
      </c>
      <c r="T429" s="22">
        <f t="shared" si="115"/>
        <v>-1.2756162689582943E-3</v>
      </c>
      <c r="U429" s="22">
        <f t="shared" si="116"/>
        <v>3.5791352039139701E-3</v>
      </c>
      <c r="V429" s="22">
        <f t="shared" si="117"/>
        <v>-5.9534224008431025E-3</v>
      </c>
      <c r="W429" s="22">
        <f t="shared" si="118"/>
        <v>-7.3524588001655346E-3</v>
      </c>
      <c r="X429" s="22">
        <f t="shared" si="119"/>
        <v>-9.0947194231407232E-3</v>
      </c>
    </row>
    <row r="430" spans="1:24" x14ac:dyDescent="0.35">
      <c r="A430" s="3">
        <v>7.67</v>
      </c>
      <c r="B430" s="3">
        <v>72.12</v>
      </c>
      <c r="C430" s="3">
        <v>122.28</v>
      </c>
      <c r="D430" s="3">
        <v>17.12</v>
      </c>
      <c r="E430" s="3">
        <v>37.049999999999997</v>
      </c>
      <c r="F430" s="3">
        <v>99.614858999999996</v>
      </c>
      <c r="G430" s="3">
        <v>94.401797999999999</v>
      </c>
      <c r="H430" s="3">
        <v>92.601320000000001</v>
      </c>
      <c r="I430" s="17">
        <f t="shared" si="104"/>
        <v>-7.7619663648124827E-3</v>
      </c>
      <c r="J430" s="17">
        <f t="shared" si="105"/>
        <v>2.5020850708925052E-3</v>
      </c>
      <c r="K430" s="17">
        <f t="shared" si="106"/>
        <v>-9.0761750405186758E-3</v>
      </c>
      <c r="L430" s="17">
        <f t="shared" si="107"/>
        <v>-1.9473081328751422E-2</v>
      </c>
      <c r="M430" s="17">
        <f t="shared" si="108"/>
        <v>-1.4889657006115456E-2</v>
      </c>
      <c r="N430" s="17">
        <f t="shared" si="109"/>
        <v>2.3951962328324774E-4</v>
      </c>
      <c r="O430" s="17">
        <f t="shared" si="110"/>
        <v>1.2991906359115292E-4</v>
      </c>
      <c r="P430" s="17">
        <f t="shared" si="111"/>
        <v>-7.5237094288445859E-4</v>
      </c>
      <c r="Q430" s="22">
        <f t="shared" si="112"/>
        <v>-8.1564402351972168E-3</v>
      </c>
      <c r="R430" s="22">
        <f t="shared" si="113"/>
        <v>2.0713603568153416E-3</v>
      </c>
      <c r="S430" s="22">
        <f t="shared" si="114"/>
        <v>-9.4881344273561232E-3</v>
      </c>
      <c r="T430" s="22">
        <f t="shared" si="115"/>
        <v>-1.9604532837984339E-2</v>
      </c>
      <c r="U430" s="22">
        <f t="shared" si="116"/>
        <v>-1.5582884953069219E-2</v>
      </c>
      <c r="V430" s="22">
        <f t="shared" si="117"/>
        <v>4.7412343278642802E-4</v>
      </c>
      <c r="W430" s="22">
        <f t="shared" si="118"/>
        <v>3.841676176818559E-4</v>
      </c>
      <c r="X430" s="22">
        <f t="shared" si="119"/>
        <v>-4.3642655827811982E-4</v>
      </c>
    </row>
    <row r="431" spans="1:24" x14ac:dyDescent="0.35">
      <c r="A431" s="3">
        <v>7.88</v>
      </c>
      <c r="B431" s="3">
        <v>73.03</v>
      </c>
      <c r="C431" s="3">
        <v>124.99</v>
      </c>
      <c r="D431" s="3">
        <v>17.25</v>
      </c>
      <c r="E431" s="3">
        <v>37.659999999999997</v>
      </c>
      <c r="F431" s="3">
        <v>100.23273399999999</v>
      </c>
      <c r="G431" s="3">
        <v>95.112599000000003</v>
      </c>
      <c r="H431" s="3">
        <v>93.524709000000001</v>
      </c>
      <c r="I431" s="17">
        <f t="shared" si="104"/>
        <v>2.7379400260756189E-2</v>
      </c>
      <c r="J431" s="17">
        <f t="shared" si="105"/>
        <v>1.2617859123682703E-2</v>
      </c>
      <c r="K431" s="17">
        <f t="shared" si="106"/>
        <v>2.2162250572456604E-2</v>
      </c>
      <c r="L431" s="17">
        <f t="shared" si="107"/>
        <v>7.5934579439251755E-3</v>
      </c>
      <c r="M431" s="17">
        <f t="shared" si="108"/>
        <v>1.6464237516869082E-2</v>
      </c>
      <c r="N431" s="17">
        <f t="shared" si="109"/>
        <v>6.202638905507039E-3</v>
      </c>
      <c r="O431" s="17">
        <f t="shared" si="110"/>
        <v>7.5295281981811787E-3</v>
      </c>
      <c r="P431" s="17">
        <f t="shared" si="111"/>
        <v>9.9716613110914648E-3</v>
      </c>
      <c r="Q431" s="22">
        <f t="shared" si="112"/>
        <v>2.6984926390371457E-2</v>
      </c>
      <c r="R431" s="22">
        <f t="shared" si="113"/>
        <v>1.2187134409605539E-2</v>
      </c>
      <c r="S431" s="22">
        <f t="shared" si="114"/>
        <v>2.1750291185619157E-2</v>
      </c>
      <c r="T431" s="22">
        <f t="shared" si="115"/>
        <v>7.4620064346922572E-3</v>
      </c>
      <c r="U431" s="22">
        <f t="shared" si="116"/>
        <v>1.5771009569915319E-2</v>
      </c>
      <c r="V431" s="22">
        <f t="shared" si="117"/>
        <v>6.4372427150102196E-3</v>
      </c>
      <c r="W431" s="22">
        <f t="shared" si="118"/>
        <v>7.783776752271882E-3</v>
      </c>
      <c r="X431" s="22">
        <f t="shared" si="119"/>
        <v>1.0287605695697803E-2</v>
      </c>
    </row>
    <row r="432" spans="1:24" x14ac:dyDescent="0.35">
      <c r="A432" s="3">
        <v>8</v>
      </c>
      <c r="B432" s="3">
        <v>73.7</v>
      </c>
      <c r="C432" s="3">
        <v>127.64</v>
      </c>
      <c r="D432" s="3">
        <v>17.489999999999998</v>
      </c>
      <c r="E432" s="3">
        <v>38.75</v>
      </c>
      <c r="F432" s="3">
        <v>100.555328</v>
      </c>
      <c r="G432" s="3">
        <v>95.481838999999994</v>
      </c>
      <c r="H432" s="3">
        <v>94.037312999999997</v>
      </c>
      <c r="I432" s="17">
        <f t="shared" si="104"/>
        <v>1.5228426395939101E-2</v>
      </c>
      <c r="J432" s="17">
        <f t="shared" si="105"/>
        <v>9.1743119266055276E-3</v>
      </c>
      <c r="K432" s="17">
        <f t="shared" si="106"/>
        <v>2.1201696135690902E-2</v>
      </c>
      <c r="L432" s="17">
        <f t="shared" si="107"/>
        <v>1.3913043478260778E-2</v>
      </c>
      <c r="M432" s="17">
        <f t="shared" si="108"/>
        <v>2.8943175783324577E-2</v>
      </c>
      <c r="N432" s="17">
        <f t="shared" si="109"/>
        <v>3.2184495735695425E-3</v>
      </c>
      <c r="O432" s="17">
        <f t="shared" si="110"/>
        <v>3.8821355307511961E-3</v>
      </c>
      <c r="P432" s="17">
        <f t="shared" si="111"/>
        <v>5.4809472863475688E-3</v>
      </c>
      <c r="Q432" s="22">
        <f t="shared" si="112"/>
        <v>1.4833952525554367E-2</v>
      </c>
      <c r="R432" s="22">
        <f t="shared" si="113"/>
        <v>8.7435872125283635E-3</v>
      </c>
      <c r="S432" s="22">
        <f t="shared" si="114"/>
        <v>2.0789736748853455E-2</v>
      </c>
      <c r="T432" s="22">
        <f t="shared" si="115"/>
        <v>1.3781591969027861E-2</v>
      </c>
      <c r="U432" s="22">
        <f t="shared" si="116"/>
        <v>2.8249947836370814E-2</v>
      </c>
      <c r="V432" s="22">
        <f t="shared" si="117"/>
        <v>3.4530533830727226E-3</v>
      </c>
      <c r="W432" s="22">
        <f t="shared" si="118"/>
        <v>4.136384084841899E-3</v>
      </c>
      <c r="X432" s="22">
        <f t="shared" si="119"/>
        <v>5.7968916709539072E-3</v>
      </c>
    </row>
    <row r="433" spans="1:24" x14ac:dyDescent="0.35">
      <c r="A433" s="3">
        <v>7.72</v>
      </c>
      <c r="B433" s="3">
        <v>73.03</v>
      </c>
      <c r="C433" s="3">
        <v>125.04</v>
      </c>
      <c r="D433" s="3">
        <v>17.11</v>
      </c>
      <c r="E433" s="3">
        <v>38.56</v>
      </c>
      <c r="F433" s="3">
        <v>100.479939</v>
      </c>
      <c r="G433" s="3">
        <v>95.331487999999993</v>
      </c>
      <c r="H433" s="3">
        <v>93.779486000000006</v>
      </c>
      <c r="I433" s="17">
        <f t="shared" si="104"/>
        <v>-3.5000000000000031E-2</v>
      </c>
      <c r="J433" s="17">
        <f t="shared" si="105"/>
        <v>-9.090909090909113E-3</v>
      </c>
      <c r="K433" s="17">
        <f t="shared" si="106"/>
        <v>-2.0369790034471907E-2</v>
      </c>
      <c r="L433" s="17">
        <f t="shared" si="107"/>
        <v>-2.1726700971983936E-2</v>
      </c>
      <c r="M433" s="17">
        <f t="shared" si="108"/>
        <v>-4.9032258064515546E-3</v>
      </c>
      <c r="N433" s="17">
        <f t="shared" si="109"/>
        <v>-7.4972655849724101E-4</v>
      </c>
      <c r="O433" s="17">
        <f t="shared" si="110"/>
        <v>-1.5746554692982041E-3</v>
      </c>
      <c r="P433" s="17">
        <f t="shared" si="111"/>
        <v>-2.7417520957876778E-3</v>
      </c>
      <c r="Q433" s="22">
        <f t="shared" si="112"/>
        <v>-3.5394473870384767E-2</v>
      </c>
      <c r="R433" s="22">
        <f t="shared" si="113"/>
        <v>-9.5216338049862771E-3</v>
      </c>
      <c r="S433" s="22">
        <f t="shared" si="114"/>
        <v>-2.0781749421309354E-2</v>
      </c>
      <c r="T433" s="22">
        <f t="shared" si="115"/>
        <v>-2.1858152481216853E-2</v>
      </c>
      <c r="U433" s="22">
        <f t="shared" si="116"/>
        <v>-5.5964537534053168E-3</v>
      </c>
      <c r="V433" s="22">
        <f t="shared" si="117"/>
        <v>-5.1512274899406069E-4</v>
      </c>
      <c r="W433" s="22">
        <f t="shared" si="118"/>
        <v>-1.320406915207501E-3</v>
      </c>
      <c r="X433" s="22">
        <f t="shared" si="119"/>
        <v>-2.425807711181339E-3</v>
      </c>
    </row>
    <row r="434" spans="1:24" x14ac:dyDescent="0.35">
      <c r="A434" s="3">
        <v>7.56</v>
      </c>
      <c r="B434" s="3">
        <v>72.650000000000006</v>
      </c>
      <c r="C434" s="3">
        <v>129.43</v>
      </c>
      <c r="D434" s="3">
        <v>17</v>
      </c>
      <c r="E434" s="3">
        <v>38.71</v>
      </c>
      <c r="F434" s="3">
        <v>99.835048</v>
      </c>
      <c r="G434" s="3">
        <v>94.620830999999995</v>
      </c>
      <c r="H434" s="3">
        <v>92.898128999999997</v>
      </c>
      <c r="I434" s="17">
        <f t="shared" si="104"/>
        <v>-2.0725388601036288E-2</v>
      </c>
      <c r="J434" s="17">
        <f t="shared" si="105"/>
        <v>-5.2033410927015671E-3</v>
      </c>
      <c r="K434" s="17">
        <f t="shared" si="106"/>
        <v>3.5108765195137559E-2</v>
      </c>
      <c r="L434" s="17">
        <f t="shared" si="107"/>
        <v>-6.4289888953827845E-3</v>
      </c>
      <c r="M434" s="17">
        <f t="shared" si="108"/>
        <v>3.8900414937758964E-3</v>
      </c>
      <c r="N434" s="17">
        <f t="shared" si="109"/>
        <v>-6.4181070014383791E-3</v>
      </c>
      <c r="O434" s="17">
        <f t="shared" si="110"/>
        <v>-7.4545883517521273E-3</v>
      </c>
      <c r="P434" s="17">
        <f t="shared" si="111"/>
        <v>-9.3981854411103113E-3</v>
      </c>
      <c r="Q434" s="22">
        <f t="shared" si="112"/>
        <v>-2.111986247142102E-2</v>
      </c>
      <c r="R434" s="22">
        <f t="shared" si="113"/>
        <v>-5.6340658067787304E-3</v>
      </c>
      <c r="S434" s="22">
        <f t="shared" si="114"/>
        <v>3.4696805808300112E-2</v>
      </c>
      <c r="T434" s="22">
        <f t="shared" si="115"/>
        <v>-6.5604404046157028E-3</v>
      </c>
      <c r="U434" s="22">
        <f t="shared" si="116"/>
        <v>3.1968135468221338E-3</v>
      </c>
      <c r="V434" s="22">
        <f t="shared" si="117"/>
        <v>-6.1835031919351986E-3</v>
      </c>
      <c r="W434" s="22">
        <f t="shared" si="118"/>
        <v>-7.2003397976614239E-3</v>
      </c>
      <c r="X434" s="22">
        <f t="shared" si="119"/>
        <v>-9.082241056503973E-3</v>
      </c>
    </row>
    <row r="435" spans="1:24" x14ac:dyDescent="0.35">
      <c r="A435" s="3">
        <v>7.26</v>
      </c>
      <c r="B435" s="3">
        <v>73.45</v>
      </c>
      <c r="C435" s="3">
        <v>133.94</v>
      </c>
      <c r="D435" s="3">
        <v>17.03</v>
      </c>
      <c r="E435" s="3">
        <v>38.46</v>
      </c>
      <c r="F435" s="3">
        <v>99.222565000000003</v>
      </c>
      <c r="G435" s="3">
        <v>93.963238000000004</v>
      </c>
      <c r="H435" s="3">
        <v>92.235378999999995</v>
      </c>
      <c r="I435" s="17">
        <f t="shared" si="104"/>
        <v>-3.968253968253966E-2</v>
      </c>
      <c r="J435" s="17">
        <f t="shared" si="105"/>
        <v>1.1011699931176835E-2</v>
      </c>
      <c r="K435" s="17">
        <f t="shared" si="106"/>
        <v>3.4845090010043968E-2</v>
      </c>
      <c r="L435" s="17">
        <f t="shared" si="107"/>
        <v>1.764705882353008E-3</v>
      </c>
      <c r="M435" s="17">
        <f t="shared" si="108"/>
        <v>-6.4582795143373808E-3</v>
      </c>
      <c r="N435" s="17">
        <f t="shared" si="109"/>
        <v>-6.1349497222658467E-3</v>
      </c>
      <c r="O435" s="17">
        <f t="shared" si="110"/>
        <v>-6.9497698662146761E-3</v>
      </c>
      <c r="P435" s="17">
        <f t="shared" si="111"/>
        <v>-7.1341587514642266E-3</v>
      </c>
      <c r="Q435" s="22">
        <f t="shared" si="112"/>
        <v>-4.0077013552924395E-2</v>
      </c>
      <c r="R435" s="22">
        <f t="shared" si="113"/>
        <v>1.0580975217099671E-2</v>
      </c>
      <c r="S435" s="22">
        <f t="shared" si="114"/>
        <v>3.443313062320652E-2</v>
      </c>
      <c r="T435" s="22">
        <f t="shared" si="115"/>
        <v>1.6332543731200897E-3</v>
      </c>
      <c r="U435" s="22">
        <f t="shared" si="116"/>
        <v>-7.151507461291143E-3</v>
      </c>
      <c r="V435" s="22">
        <f t="shared" si="117"/>
        <v>-5.9003459127626662E-3</v>
      </c>
      <c r="W435" s="22">
        <f t="shared" si="118"/>
        <v>-6.6955213121239728E-3</v>
      </c>
      <c r="X435" s="22">
        <f t="shared" si="119"/>
        <v>-6.8182143668578882E-3</v>
      </c>
    </row>
    <row r="436" spans="1:24" x14ac:dyDescent="0.35">
      <c r="A436" s="3">
        <v>7.36</v>
      </c>
      <c r="B436" s="3">
        <v>72.92</v>
      </c>
      <c r="C436" s="3">
        <v>138.63999999999999</v>
      </c>
      <c r="D436" s="3">
        <v>16.649999999999999</v>
      </c>
      <c r="E436" s="3">
        <v>38.71</v>
      </c>
      <c r="F436" s="3">
        <v>99.198432999999994</v>
      </c>
      <c r="G436" s="3">
        <v>93.930109999999999</v>
      </c>
      <c r="H436" s="3">
        <v>92.326424000000003</v>
      </c>
      <c r="I436" s="17">
        <f t="shared" si="104"/>
        <v>1.3774104683195666E-2</v>
      </c>
      <c r="J436" s="17">
        <f t="shared" si="105"/>
        <v>-7.2157930565010363E-3</v>
      </c>
      <c r="K436" s="17">
        <f t="shared" si="106"/>
        <v>3.509033895774219E-2</v>
      </c>
      <c r="L436" s="17">
        <f t="shared" si="107"/>
        <v>-2.231356429829727E-2</v>
      </c>
      <c r="M436" s="17">
        <f t="shared" si="108"/>
        <v>6.5002600104004157E-3</v>
      </c>
      <c r="N436" s="17">
        <f t="shared" si="109"/>
        <v>-2.4321080592916241E-4</v>
      </c>
      <c r="O436" s="17">
        <f t="shared" si="110"/>
        <v>-3.5256341421530118E-4</v>
      </c>
      <c r="P436" s="17">
        <f t="shared" si="111"/>
        <v>9.8709411710671516E-4</v>
      </c>
      <c r="Q436" s="22">
        <f t="shared" si="112"/>
        <v>1.3379630812810931E-2</v>
      </c>
      <c r="R436" s="22">
        <f t="shared" si="113"/>
        <v>-7.6465177705781996E-3</v>
      </c>
      <c r="S436" s="22">
        <f t="shared" si="114"/>
        <v>3.4678379570904742E-2</v>
      </c>
      <c r="T436" s="22">
        <f t="shared" si="115"/>
        <v>-2.2445015807530187E-2</v>
      </c>
      <c r="U436" s="22">
        <f t="shared" si="116"/>
        <v>5.8070320634466535E-3</v>
      </c>
      <c r="V436" s="22">
        <f t="shared" si="117"/>
        <v>-8.606996425982122E-6</v>
      </c>
      <c r="W436" s="22">
        <f t="shared" si="118"/>
        <v>-9.8314860124598181E-5</v>
      </c>
      <c r="X436" s="22">
        <f t="shared" si="119"/>
        <v>1.303038501713054E-3</v>
      </c>
    </row>
    <row r="437" spans="1:24" x14ac:dyDescent="0.35">
      <c r="A437" s="3">
        <v>7.13</v>
      </c>
      <c r="B437" s="3">
        <v>72.97</v>
      </c>
      <c r="C437" s="3">
        <v>135.38999999999999</v>
      </c>
      <c r="D437" s="3">
        <v>17.489999999999998</v>
      </c>
      <c r="E437" s="3">
        <v>38.28</v>
      </c>
      <c r="F437" s="3">
        <v>98.882715000000005</v>
      </c>
      <c r="G437" s="3">
        <v>93.615869000000004</v>
      </c>
      <c r="H437" s="3">
        <v>91.941012999999998</v>
      </c>
      <c r="I437" s="17">
        <f t="shared" si="104"/>
        <v>-3.1250000000000056E-2</v>
      </c>
      <c r="J437" s="17">
        <f t="shared" si="105"/>
        <v>6.8568294020840859E-4</v>
      </c>
      <c r="K437" s="17">
        <f t="shared" si="106"/>
        <v>-2.3442008078476632E-2</v>
      </c>
      <c r="L437" s="17">
        <f t="shared" si="107"/>
        <v>5.0450450450450449E-2</v>
      </c>
      <c r="M437" s="17">
        <f t="shared" si="108"/>
        <v>-1.1108240764660287E-2</v>
      </c>
      <c r="N437" s="17">
        <f t="shared" si="109"/>
        <v>-3.1826914040062482E-3</v>
      </c>
      <c r="O437" s="17">
        <f t="shared" si="110"/>
        <v>-3.3454767592627707E-3</v>
      </c>
      <c r="P437" s="17">
        <f t="shared" si="111"/>
        <v>-4.1744387283970275E-3</v>
      </c>
      <c r="Q437" s="22">
        <f t="shared" si="112"/>
        <v>-3.1644473870384791E-2</v>
      </c>
      <c r="R437" s="22">
        <f t="shared" si="113"/>
        <v>2.5495822613124508E-4</v>
      </c>
      <c r="S437" s="22">
        <f t="shared" si="114"/>
        <v>-2.3853967465314079E-2</v>
      </c>
      <c r="T437" s="22">
        <f t="shared" si="115"/>
        <v>5.0318998941217531E-2</v>
      </c>
      <c r="U437" s="22">
        <f t="shared" si="116"/>
        <v>-1.180146871161405E-2</v>
      </c>
      <c r="V437" s="22">
        <f t="shared" si="117"/>
        <v>-2.9480875945030681E-3</v>
      </c>
      <c r="W437" s="22">
        <f t="shared" si="118"/>
        <v>-3.0912282051720678E-3</v>
      </c>
      <c r="X437" s="22">
        <f t="shared" si="119"/>
        <v>-3.8584943437906887E-3</v>
      </c>
    </row>
    <row r="438" spans="1:24" x14ac:dyDescent="0.35">
      <c r="A438" s="3">
        <v>7.19</v>
      </c>
      <c r="B438" s="3">
        <v>73.59</v>
      </c>
      <c r="C438" s="3">
        <v>136.29</v>
      </c>
      <c r="D438" s="3">
        <v>17.77</v>
      </c>
      <c r="E438" s="3">
        <v>38.299999999999997</v>
      </c>
      <c r="F438" s="3">
        <v>98.907470000000004</v>
      </c>
      <c r="G438" s="3">
        <v>93.583162999999999</v>
      </c>
      <c r="H438" s="3">
        <v>91.963883999999993</v>
      </c>
      <c r="I438" s="17">
        <f t="shared" si="104"/>
        <v>8.415147265077208E-3</v>
      </c>
      <c r="J438" s="17">
        <f t="shared" si="105"/>
        <v>8.496642455803817E-3</v>
      </c>
      <c r="K438" s="17">
        <f t="shared" si="106"/>
        <v>6.6474628849989351E-3</v>
      </c>
      <c r="L438" s="17">
        <f t="shared" si="107"/>
        <v>1.600914808461985E-2</v>
      </c>
      <c r="M438" s="17">
        <f t="shared" si="108"/>
        <v>5.2246603970731509E-4</v>
      </c>
      <c r="N438" s="17">
        <f t="shared" si="109"/>
        <v>2.503470904899706E-4</v>
      </c>
      <c r="O438" s="17">
        <f t="shared" si="110"/>
        <v>-3.49363845567727E-4</v>
      </c>
      <c r="P438" s="17">
        <f t="shared" si="111"/>
        <v>2.4875732008733663E-4</v>
      </c>
      <c r="Q438" s="22">
        <f t="shared" si="112"/>
        <v>8.0206733946924739E-3</v>
      </c>
      <c r="R438" s="22">
        <f t="shared" si="113"/>
        <v>8.0659177417266529E-3</v>
      </c>
      <c r="S438" s="22">
        <f t="shared" si="114"/>
        <v>6.2355034981614885E-3</v>
      </c>
      <c r="T438" s="22">
        <f t="shared" si="115"/>
        <v>1.5877696575386933E-2</v>
      </c>
      <c r="U438" s="22">
        <f t="shared" si="116"/>
        <v>-1.7076190724644742E-4</v>
      </c>
      <c r="V438" s="22">
        <f t="shared" si="117"/>
        <v>4.8495089999315091E-4</v>
      </c>
      <c r="W438" s="22">
        <f t="shared" si="118"/>
        <v>-9.5115291477023995E-5</v>
      </c>
      <c r="X438" s="22">
        <f t="shared" si="119"/>
        <v>5.647017046936754E-4</v>
      </c>
    </row>
    <row r="439" spans="1:24" x14ac:dyDescent="0.35">
      <c r="A439" s="3">
        <v>7.05</v>
      </c>
      <c r="B439" s="3">
        <v>75.180000000000007</v>
      </c>
      <c r="C439" s="3">
        <v>134.26</v>
      </c>
      <c r="D439" s="3">
        <v>17.77</v>
      </c>
      <c r="E439" s="3">
        <v>36.54</v>
      </c>
      <c r="F439" s="3">
        <v>98.306340000000006</v>
      </c>
      <c r="G439" s="3">
        <v>92.984111999999996</v>
      </c>
      <c r="H439" s="3">
        <v>90.890037000000007</v>
      </c>
      <c r="I439" s="17">
        <f t="shared" si="104"/>
        <v>-1.9471488178025114E-2</v>
      </c>
      <c r="J439" s="17">
        <f t="shared" si="105"/>
        <v>2.1606196494088917E-2</v>
      </c>
      <c r="K439" s="17">
        <f t="shared" si="106"/>
        <v>-1.4894709809964057E-2</v>
      </c>
      <c r="L439" s="17">
        <f t="shared" si="107"/>
        <v>0</v>
      </c>
      <c r="M439" s="17">
        <f t="shared" si="108"/>
        <v>-4.5953002610966007E-2</v>
      </c>
      <c r="N439" s="17">
        <f t="shared" si="109"/>
        <v>-6.0777007034958806E-3</v>
      </c>
      <c r="O439" s="17">
        <f t="shared" si="110"/>
        <v>-6.4012689975012161E-3</v>
      </c>
      <c r="P439" s="17">
        <f t="shared" si="111"/>
        <v>-1.1676833918845648E-2</v>
      </c>
      <c r="Q439" s="22">
        <f t="shared" si="112"/>
        <v>-1.9865962048409846E-2</v>
      </c>
      <c r="R439" s="22">
        <f t="shared" si="113"/>
        <v>2.1175471780011754E-2</v>
      </c>
      <c r="S439" s="22">
        <f t="shared" si="114"/>
        <v>-1.5306669196801504E-2</v>
      </c>
      <c r="T439" s="22">
        <f t="shared" si="115"/>
        <v>-1.3145150923291827E-4</v>
      </c>
      <c r="U439" s="22">
        <f t="shared" si="116"/>
        <v>-4.664623055791977E-2</v>
      </c>
      <c r="V439" s="22">
        <f t="shared" si="117"/>
        <v>-5.8430968939927001E-3</v>
      </c>
      <c r="W439" s="22">
        <f t="shared" si="118"/>
        <v>-6.1470204434105127E-3</v>
      </c>
      <c r="X439" s="22">
        <f t="shared" si="119"/>
        <v>-1.136088953423931E-2</v>
      </c>
    </row>
    <row r="440" spans="1:24" x14ac:dyDescent="0.35">
      <c r="A440" s="3">
        <v>6.97</v>
      </c>
      <c r="B440" s="3">
        <v>72.39</v>
      </c>
      <c r="C440" s="3">
        <v>131.33000000000001</v>
      </c>
      <c r="D440" s="3">
        <v>17.670000000000002</v>
      </c>
      <c r="E440" s="3">
        <v>36.340000000000003</v>
      </c>
      <c r="F440" s="3">
        <v>98.091606999999996</v>
      </c>
      <c r="G440" s="3">
        <v>92.565072999999998</v>
      </c>
      <c r="H440" s="3">
        <v>90.382362000000001</v>
      </c>
      <c r="I440" s="17">
        <f t="shared" si="104"/>
        <v>-1.1347517730496465E-2</v>
      </c>
      <c r="J440" s="17">
        <f t="shared" si="105"/>
        <v>-3.7110933758978532E-2</v>
      </c>
      <c r="K440" s="17">
        <f t="shared" si="106"/>
        <v>-2.1823327871294342E-2</v>
      </c>
      <c r="L440" s="17">
        <f t="shared" si="107"/>
        <v>-5.6274620146312812E-3</v>
      </c>
      <c r="M440" s="17">
        <f t="shared" si="108"/>
        <v>-5.473453749315702E-3</v>
      </c>
      <c r="N440" s="17">
        <f t="shared" si="109"/>
        <v>-2.1843250394634728E-3</v>
      </c>
      <c r="O440" s="17">
        <f t="shared" si="110"/>
        <v>-4.5065655947759973E-3</v>
      </c>
      <c r="P440" s="17">
        <f t="shared" si="111"/>
        <v>-5.5855957017599857E-3</v>
      </c>
      <c r="Q440" s="22">
        <f t="shared" si="112"/>
        <v>-1.1741991600881199E-2</v>
      </c>
      <c r="R440" s="22">
        <f t="shared" si="113"/>
        <v>-3.7541658473055697E-2</v>
      </c>
      <c r="S440" s="22">
        <f t="shared" si="114"/>
        <v>-2.223528725813179E-2</v>
      </c>
      <c r="T440" s="22">
        <f t="shared" si="115"/>
        <v>-5.7589135238641995E-3</v>
      </c>
      <c r="U440" s="22">
        <f t="shared" si="116"/>
        <v>-6.1666816962694642E-3</v>
      </c>
      <c r="V440" s="22">
        <f t="shared" si="117"/>
        <v>-1.9497212299602925E-3</v>
      </c>
      <c r="W440" s="22">
        <f t="shared" si="118"/>
        <v>-4.2523170406852939E-3</v>
      </c>
      <c r="X440" s="22">
        <f t="shared" si="119"/>
        <v>-5.2696513171536473E-3</v>
      </c>
    </row>
    <row r="441" spans="1:24" x14ac:dyDescent="0.35">
      <c r="A441" s="3">
        <v>6.78</v>
      </c>
      <c r="B441" s="3">
        <v>71.56</v>
      </c>
      <c r="C441" s="3">
        <v>130.47999999999999</v>
      </c>
      <c r="D441" s="3">
        <v>17.59</v>
      </c>
      <c r="E441" s="3">
        <v>35.04</v>
      </c>
      <c r="F441" s="3">
        <v>98.116658999999999</v>
      </c>
      <c r="G441" s="3">
        <v>92.533596000000003</v>
      </c>
      <c r="H441" s="3">
        <v>90.405445</v>
      </c>
      <c r="I441" s="17">
        <f t="shared" si="104"/>
        <v>-2.7259684361549429E-2</v>
      </c>
      <c r="J441" s="17">
        <f t="shared" si="105"/>
        <v>-1.1465672054151102E-2</v>
      </c>
      <c r="K441" s="17">
        <f t="shared" si="106"/>
        <v>-6.4722454884643468E-3</v>
      </c>
      <c r="L441" s="17">
        <f t="shared" si="107"/>
        <v>-4.5274476513866352E-3</v>
      </c>
      <c r="M441" s="17">
        <f t="shared" si="108"/>
        <v>-3.5773252614199343E-2</v>
      </c>
      <c r="N441" s="17">
        <f t="shared" si="109"/>
        <v>2.5539391968573108E-4</v>
      </c>
      <c r="O441" s="17">
        <f t="shared" si="110"/>
        <v>-3.4005266759737026E-4</v>
      </c>
      <c r="P441" s="17">
        <f t="shared" si="111"/>
        <v>2.5539275019167724E-4</v>
      </c>
      <c r="Q441" s="22">
        <f t="shared" si="112"/>
        <v>-2.7654158231934161E-2</v>
      </c>
      <c r="R441" s="22">
        <f t="shared" si="113"/>
        <v>-1.1896396768228266E-2</v>
      </c>
      <c r="S441" s="22">
        <f t="shared" si="114"/>
        <v>-6.8842048753017934E-3</v>
      </c>
      <c r="T441" s="22">
        <f t="shared" si="115"/>
        <v>-4.6588991606195534E-3</v>
      </c>
      <c r="U441" s="22">
        <f t="shared" si="116"/>
        <v>-3.6466480561153106E-2</v>
      </c>
      <c r="V441" s="22">
        <f t="shared" si="117"/>
        <v>4.8999772918891134E-4</v>
      </c>
      <c r="W441" s="22">
        <f t="shared" si="118"/>
        <v>-8.5804113506667262E-5</v>
      </c>
      <c r="X441" s="22">
        <f t="shared" si="119"/>
        <v>5.7133713479801595E-4</v>
      </c>
    </row>
    <row r="442" spans="1:24" x14ac:dyDescent="0.35">
      <c r="A442" s="3">
        <v>6.74</v>
      </c>
      <c r="B442" s="3">
        <v>73.260000000000005</v>
      </c>
      <c r="C442" s="3">
        <v>129.43</v>
      </c>
      <c r="D442" s="3">
        <v>17.68</v>
      </c>
      <c r="E442" s="3">
        <v>35.92</v>
      </c>
      <c r="F442" s="3">
        <v>96.767037000000002</v>
      </c>
      <c r="G442" s="3">
        <v>90.709237000000002</v>
      </c>
      <c r="H442" s="3">
        <v>87.967022999999998</v>
      </c>
      <c r="I442" s="17">
        <f t="shared" si="104"/>
        <v>-5.8997050147492677E-3</v>
      </c>
      <c r="J442" s="17">
        <f t="shared" si="105"/>
        <v>2.3756288429290146E-2</v>
      </c>
      <c r="K442" s="17">
        <f t="shared" si="106"/>
        <v>-8.047210300429054E-3</v>
      </c>
      <c r="L442" s="17">
        <f t="shared" si="107"/>
        <v>5.1165434906196624E-3</v>
      </c>
      <c r="M442" s="17">
        <f t="shared" si="108"/>
        <v>2.5114155251141627E-2</v>
      </c>
      <c r="N442" s="17">
        <f t="shared" si="109"/>
        <v>-1.3755278805406496E-2</v>
      </c>
      <c r="O442" s="17">
        <f t="shared" si="110"/>
        <v>-1.9715639279813582E-2</v>
      </c>
      <c r="P442" s="17">
        <f t="shared" si="111"/>
        <v>-2.697207010042374E-2</v>
      </c>
      <c r="Q442" s="22">
        <f t="shared" si="112"/>
        <v>-6.2941788851340009E-3</v>
      </c>
      <c r="R442" s="22">
        <f t="shared" si="113"/>
        <v>2.3325563715212983E-2</v>
      </c>
      <c r="S442" s="22">
        <f t="shared" si="114"/>
        <v>-8.4591696872665014E-3</v>
      </c>
      <c r="T442" s="22">
        <f t="shared" si="115"/>
        <v>4.9850919813867441E-3</v>
      </c>
      <c r="U442" s="22">
        <f t="shared" si="116"/>
        <v>2.4420927304187864E-2</v>
      </c>
      <c r="V442" s="22">
        <f t="shared" si="117"/>
        <v>-1.3520674995903316E-2</v>
      </c>
      <c r="W442" s="22">
        <f t="shared" si="118"/>
        <v>-1.946139072572288E-2</v>
      </c>
      <c r="X442" s="22">
        <f t="shared" si="119"/>
        <v>-2.6656125715817401E-2</v>
      </c>
    </row>
    <row r="443" spans="1:24" x14ac:dyDescent="0.35">
      <c r="A443" s="3">
        <v>6.85</v>
      </c>
      <c r="B443" s="3">
        <v>73.099999999999994</v>
      </c>
      <c r="C443" s="3">
        <v>132.15</v>
      </c>
      <c r="D443" s="3">
        <v>18.03</v>
      </c>
      <c r="E443" s="3">
        <v>36.01</v>
      </c>
      <c r="F443" s="3">
        <v>96.558080000000004</v>
      </c>
      <c r="G443" s="3">
        <v>90.786884999999998</v>
      </c>
      <c r="H443" s="3">
        <v>88.181214999999995</v>
      </c>
      <c r="I443" s="17">
        <f t="shared" si="104"/>
        <v>1.6320474777447986E-2</v>
      </c>
      <c r="J443" s="17">
        <f t="shared" si="105"/>
        <v>-2.1840021840023312E-3</v>
      </c>
      <c r="K443" s="17">
        <f t="shared" si="106"/>
        <v>2.1015220582554266E-2</v>
      </c>
      <c r="L443" s="17">
        <f t="shared" si="107"/>
        <v>1.979638009049782E-2</v>
      </c>
      <c r="M443" s="17">
        <f t="shared" si="108"/>
        <v>2.5055679287304092E-3</v>
      </c>
      <c r="N443" s="17">
        <f t="shared" si="109"/>
        <v>-2.1593820217932071E-3</v>
      </c>
      <c r="O443" s="17">
        <f t="shared" si="110"/>
        <v>8.5600984605345518E-4</v>
      </c>
      <c r="P443" s="17">
        <f t="shared" si="111"/>
        <v>2.434912455773308E-3</v>
      </c>
      <c r="Q443" s="22">
        <f t="shared" si="112"/>
        <v>1.5926000907063254E-2</v>
      </c>
      <c r="R443" s="22">
        <f t="shared" si="113"/>
        <v>-2.6147268980794948E-3</v>
      </c>
      <c r="S443" s="22">
        <f t="shared" si="114"/>
        <v>2.0603261195716819E-2</v>
      </c>
      <c r="T443" s="22">
        <f t="shared" si="115"/>
        <v>1.9664928581264902E-2</v>
      </c>
      <c r="U443" s="22">
        <f t="shared" si="116"/>
        <v>1.8123399817766466E-3</v>
      </c>
      <c r="V443" s="22">
        <f t="shared" si="117"/>
        <v>-1.9247782122900267E-3</v>
      </c>
      <c r="W443" s="22">
        <f t="shared" si="118"/>
        <v>1.1102584001441581E-3</v>
      </c>
      <c r="X443" s="22">
        <f t="shared" si="119"/>
        <v>2.7508568403796468E-3</v>
      </c>
    </row>
    <row r="444" spans="1:24" x14ac:dyDescent="0.35">
      <c r="A444" s="3">
        <v>6.87</v>
      </c>
      <c r="B444" s="3">
        <v>72.81</v>
      </c>
      <c r="C444" s="3">
        <v>128.66</v>
      </c>
      <c r="D444" s="3">
        <v>17.12</v>
      </c>
      <c r="E444" s="3">
        <v>35.28</v>
      </c>
      <c r="F444" s="3">
        <v>96.634691000000004</v>
      </c>
      <c r="G444" s="3">
        <v>90.858918000000003</v>
      </c>
      <c r="H444" s="3">
        <v>88.251249999999999</v>
      </c>
      <c r="I444" s="17">
        <f t="shared" si="104"/>
        <v>2.9197080291971478E-3</v>
      </c>
      <c r="J444" s="17">
        <f t="shared" si="105"/>
        <v>-3.9671682626537903E-3</v>
      </c>
      <c r="K444" s="17">
        <f t="shared" si="106"/>
        <v>-2.6409383276579712E-2</v>
      </c>
      <c r="L444" s="17">
        <f t="shared" si="107"/>
        <v>-5.0471436494731008E-2</v>
      </c>
      <c r="M444" s="17">
        <f t="shared" si="108"/>
        <v>-2.0272146625937154E-2</v>
      </c>
      <c r="N444" s="17">
        <f t="shared" si="109"/>
        <v>7.9341884179966876E-4</v>
      </c>
      <c r="O444" s="17">
        <f t="shared" si="110"/>
        <v>7.9342957961389118E-4</v>
      </c>
      <c r="P444" s="17">
        <f t="shared" si="111"/>
        <v>7.9421677281271631E-4</v>
      </c>
      <c r="Q444" s="22">
        <f t="shared" si="112"/>
        <v>2.5252341588124145E-3</v>
      </c>
      <c r="R444" s="22">
        <f t="shared" si="113"/>
        <v>-4.3978929767309535E-3</v>
      </c>
      <c r="S444" s="22">
        <f t="shared" si="114"/>
        <v>-2.682134266341716E-2</v>
      </c>
      <c r="T444" s="22">
        <f t="shared" si="115"/>
        <v>-5.0602888003963925E-2</v>
      </c>
      <c r="U444" s="22">
        <f t="shared" si="116"/>
        <v>-2.0965374572890917E-2</v>
      </c>
      <c r="V444" s="22">
        <f t="shared" si="117"/>
        <v>1.0280226513028491E-3</v>
      </c>
      <c r="W444" s="22">
        <f t="shared" si="118"/>
        <v>1.0476781337045941E-3</v>
      </c>
      <c r="X444" s="22">
        <f t="shared" si="119"/>
        <v>1.1101611574190551E-3</v>
      </c>
    </row>
    <row r="445" spans="1:24" x14ac:dyDescent="0.35">
      <c r="A445" s="3">
        <v>6.94</v>
      </c>
      <c r="B445" s="3">
        <v>70.97</v>
      </c>
      <c r="C445" s="3">
        <v>129.32</v>
      </c>
      <c r="D445" s="3">
        <v>16.63</v>
      </c>
      <c r="E445" s="3">
        <v>36.29</v>
      </c>
      <c r="F445" s="3">
        <v>97.082243000000005</v>
      </c>
      <c r="G445" s="3">
        <v>91.367251999999993</v>
      </c>
      <c r="H445" s="3">
        <v>88.914732000000001</v>
      </c>
      <c r="I445" s="17">
        <f t="shared" si="104"/>
        <v>1.0189228529839925E-2</v>
      </c>
      <c r="J445" s="17">
        <f t="shared" si="105"/>
        <v>-2.5271253948633474E-2</v>
      </c>
      <c r="K445" s="17">
        <f t="shared" si="106"/>
        <v>5.1297994714751792E-3</v>
      </c>
      <c r="L445" s="17">
        <f t="shared" si="107"/>
        <v>-2.8621495327102918E-2</v>
      </c>
      <c r="M445" s="17">
        <f t="shared" si="108"/>
        <v>2.8628117913832143E-2</v>
      </c>
      <c r="N445" s="17">
        <f t="shared" si="109"/>
        <v>4.6313802565995862E-3</v>
      </c>
      <c r="O445" s="17">
        <f t="shared" si="110"/>
        <v>5.5947617602048784E-3</v>
      </c>
      <c r="P445" s="17">
        <f t="shared" si="111"/>
        <v>7.518103143014993E-3</v>
      </c>
      <c r="Q445" s="22">
        <f t="shared" si="112"/>
        <v>9.7947546594551911E-3</v>
      </c>
      <c r="R445" s="22">
        <f t="shared" si="113"/>
        <v>-2.5701978662710637E-2</v>
      </c>
      <c r="S445" s="22">
        <f t="shared" si="114"/>
        <v>4.7178400846377326E-3</v>
      </c>
      <c r="T445" s="22">
        <f t="shared" si="115"/>
        <v>-2.8752946836335835E-2</v>
      </c>
      <c r="U445" s="22">
        <f t="shared" si="116"/>
        <v>2.793488996687838E-2</v>
      </c>
      <c r="V445" s="22">
        <f t="shared" si="117"/>
        <v>4.8659840661027668E-3</v>
      </c>
      <c r="W445" s="22">
        <f t="shared" si="118"/>
        <v>5.8490103142955817E-3</v>
      </c>
      <c r="X445" s="22">
        <f t="shared" si="119"/>
        <v>7.8340475276213323E-3</v>
      </c>
    </row>
    <row r="446" spans="1:24" x14ac:dyDescent="0.35">
      <c r="A446" s="3">
        <v>7</v>
      </c>
      <c r="B446" s="3">
        <v>71.62</v>
      </c>
      <c r="C446" s="3">
        <v>131.5</v>
      </c>
      <c r="D446" s="3">
        <v>16.920000000000002</v>
      </c>
      <c r="E446" s="3">
        <v>36.270000000000003</v>
      </c>
      <c r="F446" s="3">
        <v>97.626570999999998</v>
      </c>
      <c r="G446" s="3">
        <v>92.042169999999999</v>
      </c>
      <c r="H446" s="3">
        <v>89.71481</v>
      </c>
      <c r="I446" s="17">
        <f t="shared" si="104"/>
        <v>8.6455331412103181E-3</v>
      </c>
      <c r="J446" s="17">
        <f t="shared" si="105"/>
        <v>9.1587994927434923E-3</v>
      </c>
      <c r="K446" s="17">
        <f t="shared" si="106"/>
        <v>1.6857407980204197E-2</v>
      </c>
      <c r="L446" s="17">
        <f t="shared" si="107"/>
        <v>1.7438364401683868E-2</v>
      </c>
      <c r="M446" s="17">
        <f t="shared" si="108"/>
        <v>-5.5111600991997851E-4</v>
      </c>
      <c r="N446" s="17">
        <f t="shared" si="109"/>
        <v>5.6068749874268256E-3</v>
      </c>
      <c r="O446" s="17">
        <f t="shared" si="110"/>
        <v>7.3868698601114247E-3</v>
      </c>
      <c r="P446" s="17">
        <f t="shared" si="111"/>
        <v>8.9982613904746305E-3</v>
      </c>
      <c r="Q446" s="22">
        <f t="shared" si="112"/>
        <v>8.251059270825584E-3</v>
      </c>
      <c r="R446" s="22">
        <f t="shared" si="113"/>
        <v>8.7280747786663282E-3</v>
      </c>
      <c r="S446" s="22">
        <f t="shared" si="114"/>
        <v>1.6445448593366749E-2</v>
      </c>
      <c r="T446" s="22">
        <f t="shared" si="115"/>
        <v>1.7306912892450951E-2</v>
      </c>
      <c r="U446" s="22">
        <f t="shared" si="116"/>
        <v>-1.244343956873741E-3</v>
      </c>
      <c r="V446" s="22">
        <f t="shared" si="117"/>
        <v>5.8414787969300061E-3</v>
      </c>
      <c r="W446" s="22">
        <f t="shared" si="118"/>
        <v>7.641118414202128E-3</v>
      </c>
      <c r="X446" s="22">
        <f t="shared" si="119"/>
        <v>9.3142057750809689E-3</v>
      </c>
    </row>
    <row r="447" spans="1:24" x14ac:dyDescent="0.35">
      <c r="A447" s="3">
        <v>7.46</v>
      </c>
      <c r="B447" s="3">
        <v>71.44</v>
      </c>
      <c r="C447" s="3">
        <v>132.41999999999999</v>
      </c>
      <c r="D447" s="3">
        <v>17</v>
      </c>
      <c r="E447" s="3">
        <v>36.450000000000003</v>
      </c>
      <c r="F447" s="3">
        <v>98.078975</v>
      </c>
      <c r="G447" s="3">
        <v>92.448507000000006</v>
      </c>
      <c r="H447" s="3">
        <v>90.195543000000001</v>
      </c>
      <c r="I447" s="17">
        <f t="shared" si="104"/>
        <v>6.5714285714285711E-2</v>
      </c>
      <c r="J447" s="17">
        <f t="shared" si="105"/>
        <v>-2.5132644512706899E-3</v>
      </c>
      <c r="K447" s="17">
        <f t="shared" si="106"/>
        <v>6.9961977186310835E-3</v>
      </c>
      <c r="L447" s="17">
        <f t="shared" si="107"/>
        <v>4.7281323877067542E-3</v>
      </c>
      <c r="M447" s="17">
        <f t="shared" si="108"/>
        <v>4.9627791563275347E-3</v>
      </c>
      <c r="N447" s="17">
        <f t="shared" si="109"/>
        <v>4.6340253003457569E-3</v>
      </c>
      <c r="O447" s="17">
        <f t="shared" si="110"/>
        <v>4.414682965427779E-3</v>
      </c>
      <c r="P447" s="17">
        <f t="shared" si="111"/>
        <v>5.3584575389503779E-3</v>
      </c>
      <c r="Q447" s="22">
        <f t="shared" si="112"/>
        <v>6.5319811843900982E-2</v>
      </c>
      <c r="R447" s="22">
        <f t="shared" si="113"/>
        <v>-2.9439891653478536E-3</v>
      </c>
      <c r="S447" s="22">
        <f t="shared" si="114"/>
        <v>6.5842383317936369E-3</v>
      </c>
      <c r="T447" s="22">
        <f t="shared" si="115"/>
        <v>4.5966808784738359E-3</v>
      </c>
      <c r="U447" s="22">
        <f t="shared" si="116"/>
        <v>4.2695512093737726E-3</v>
      </c>
      <c r="V447" s="22">
        <f t="shared" si="117"/>
        <v>4.8686291098489374E-3</v>
      </c>
      <c r="W447" s="22">
        <f t="shared" si="118"/>
        <v>4.6689315195184823E-3</v>
      </c>
      <c r="X447" s="22">
        <f t="shared" si="119"/>
        <v>5.6744019235567163E-3</v>
      </c>
    </row>
    <row r="448" spans="1:24" x14ac:dyDescent="0.35">
      <c r="A448" s="3">
        <v>7.3</v>
      </c>
      <c r="B448" s="3">
        <v>71.81</v>
      </c>
      <c r="C448" s="3">
        <v>133.34</v>
      </c>
      <c r="D448" s="3">
        <v>16.600000000000001</v>
      </c>
      <c r="E448" s="3">
        <v>36.75</v>
      </c>
      <c r="F448" s="3">
        <v>97.771844999999999</v>
      </c>
      <c r="G448" s="3">
        <v>92.144329999999997</v>
      </c>
      <c r="H448" s="3">
        <v>89.761259999999993</v>
      </c>
      <c r="I448" s="17">
        <f t="shared" si="104"/>
        <v>-2.1447721179624683E-2</v>
      </c>
      <c r="J448" s="17">
        <f t="shared" si="105"/>
        <v>5.1791713325868502E-3</v>
      </c>
      <c r="K448" s="17">
        <f t="shared" si="106"/>
        <v>6.9475909983387407E-3</v>
      </c>
      <c r="L448" s="17">
        <f t="shared" si="107"/>
        <v>-2.3529411764705799E-2</v>
      </c>
      <c r="M448" s="17">
        <f t="shared" si="108"/>
        <v>8.2304526748970402E-3</v>
      </c>
      <c r="N448" s="17">
        <f t="shared" si="109"/>
        <v>-3.1314560536547286E-3</v>
      </c>
      <c r="O448" s="17">
        <f t="shared" si="110"/>
        <v>-3.2902316096895959E-3</v>
      </c>
      <c r="P448" s="17">
        <f t="shared" si="111"/>
        <v>-4.8149053218739168E-3</v>
      </c>
      <c r="Q448" s="22">
        <f t="shared" si="112"/>
        <v>-2.1842195050009415E-2</v>
      </c>
      <c r="R448" s="22">
        <f t="shared" si="113"/>
        <v>4.748446618509687E-3</v>
      </c>
      <c r="S448" s="22">
        <f t="shared" si="114"/>
        <v>6.5356316115012941E-3</v>
      </c>
      <c r="T448" s="22">
        <f t="shared" si="115"/>
        <v>-2.3660863273938716E-2</v>
      </c>
      <c r="U448" s="22">
        <f t="shared" si="116"/>
        <v>7.5372247279432781E-3</v>
      </c>
      <c r="V448" s="22">
        <f t="shared" si="117"/>
        <v>-2.8968522441515485E-3</v>
      </c>
      <c r="W448" s="22">
        <f t="shared" si="118"/>
        <v>-3.035983055598893E-3</v>
      </c>
      <c r="X448" s="22">
        <f t="shared" si="119"/>
        <v>-4.4989609372675784E-3</v>
      </c>
    </row>
    <row r="449" spans="1:24" x14ac:dyDescent="0.35">
      <c r="A449" s="3">
        <v>7.31</v>
      </c>
      <c r="B449" s="3">
        <v>71.239999999999995</v>
      </c>
      <c r="C449" s="3">
        <v>138.53</v>
      </c>
      <c r="D449" s="3">
        <v>16.53</v>
      </c>
      <c r="E449" s="3">
        <v>36.81</v>
      </c>
      <c r="F449" s="3">
        <v>97.611446000000001</v>
      </c>
      <c r="G449" s="3">
        <v>91.943883</v>
      </c>
      <c r="H449" s="3">
        <v>89.441601000000006</v>
      </c>
      <c r="I449" s="17">
        <f t="shared" si="104"/>
        <v>1.3698630136986009E-3</v>
      </c>
      <c r="J449" s="17">
        <f t="shared" si="105"/>
        <v>-7.9376131458015232E-3</v>
      </c>
      <c r="K449" s="17">
        <f t="shared" si="106"/>
        <v>3.8923053847307619E-2</v>
      </c>
      <c r="L449" s="17">
        <f t="shared" si="107"/>
        <v>-4.2168674698795346E-3</v>
      </c>
      <c r="M449" s="17">
        <f t="shared" si="108"/>
        <v>1.6326530612245517E-3</v>
      </c>
      <c r="N449" s="17">
        <f t="shared" si="109"/>
        <v>-1.6405438600447621E-3</v>
      </c>
      <c r="O449" s="17">
        <f t="shared" si="110"/>
        <v>-2.1753590264316528E-3</v>
      </c>
      <c r="P449" s="17">
        <f t="shared" si="111"/>
        <v>-3.5612133786890612E-3</v>
      </c>
      <c r="Q449" s="22">
        <f t="shared" si="112"/>
        <v>9.7538914331386762E-4</v>
      </c>
      <c r="R449" s="22">
        <f t="shared" si="113"/>
        <v>-8.3683378598786873E-3</v>
      </c>
      <c r="S449" s="22">
        <f t="shared" si="114"/>
        <v>3.8511094460470172E-2</v>
      </c>
      <c r="T449" s="22">
        <f t="shared" si="115"/>
        <v>-4.3483189791124529E-3</v>
      </c>
      <c r="U449" s="22">
        <f t="shared" si="116"/>
        <v>9.3942511427078915E-4</v>
      </c>
      <c r="V449" s="22">
        <f t="shared" si="117"/>
        <v>-1.4059400505415818E-3</v>
      </c>
      <c r="W449" s="22">
        <f t="shared" si="118"/>
        <v>-1.92111047234095E-3</v>
      </c>
      <c r="X449" s="22">
        <f t="shared" si="119"/>
        <v>-3.2452689940827223E-3</v>
      </c>
    </row>
    <row r="450" spans="1:24" x14ac:dyDescent="0.35">
      <c r="A450" s="3">
        <v>7.12</v>
      </c>
      <c r="B450" s="3">
        <v>72.47</v>
      </c>
      <c r="C450" s="3">
        <v>140.80000000000001</v>
      </c>
      <c r="D450" s="3">
        <v>16.41</v>
      </c>
      <c r="E450" s="3">
        <v>36.22</v>
      </c>
      <c r="F450" s="3">
        <v>97.448393999999993</v>
      </c>
      <c r="G450" s="3">
        <v>91.642912999999993</v>
      </c>
      <c r="H450" s="3">
        <v>89.013682000000003</v>
      </c>
      <c r="I450" s="17">
        <f t="shared" si="104"/>
        <v>-2.5991792065663408E-2</v>
      </c>
      <c r="J450" s="17">
        <f t="shared" si="105"/>
        <v>1.7265581134194331E-2</v>
      </c>
      <c r="K450" s="17">
        <f t="shared" si="106"/>
        <v>1.6386342308525304E-2</v>
      </c>
      <c r="L450" s="17">
        <f t="shared" si="107"/>
        <v>-7.2595281306715659E-3</v>
      </c>
      <c r="M450" s="17">
        <f t="shared" si="108"/>
        <v>-1.6028253192067465E-2</v>
      </c>
      <c r="N450" s="17">
        <f t="shared" si="109"/>
        <v>-1.67041885641165E-3</v>
      </c>
      <c r="O450" s="17">
        <f t="shared" si="110"/>
        <v>-3.2734097166638768E-3</v>
      </c>
      <c r="P450" s="17">
        <f t="shared" si="111"/>
        <v>-4.7843396720951229E-3</v>
      </c>
      <c r="Q450" s="22">
        <f t="shared" si="112"/>
        <v>-2.6386265936048141E-2</v>
      </c>
      <c r="R450" s="22">
        <f t="shared" si="113"/>
        <v>1.6834856420117169E-2</v>
      </c>
      <c r="S450" s="22">
        <f t="shared" si="114"/>
        <v>1.5974382921687857E-2</v>
      </c>
      <c r="T450" s="22">
        <f t="shared" si="115"/>
        <v>-7.3909796399044842E-3</v>
      </c>
      <c r="U450" s="22">
        <f t="shared" si="116"/>
        <v>-1.6721481139021228E-2</v>
      </c>
      <c r="V450" s="22">
        <f t="shared" si="117"/>
        <v>-1.4358150469084697E-3</v>
      </c>
      <c r="W450" s="22">
        <f t="shared" si="118"/>
        <v>-3.0191611625731739E-3</v>
      </c>
      <c r="X450" s="22">
        <f t="shared" si="119"/>
        <v>-4.4683952874887845E-3</v>
      </c>
    </row>
    <row r="451" spans="1:24" x14ac:dyDescent="0.35">
      <c r="A451" s="3">
        <v>6.91</v>
      </c>
      <c r="B451" s="3">
        <v>70.569999999999993</v>
      </c>
      <c r="C451" s="3">
        <v>140.83000000000001</v>
      </c>
      <c r="D451" s="3">
        <v>16.53</v>
      </c>
      <c r="E451" s="3">
        <v>35.07</v>
      </c>
      <c r="F451" s="3">
        <v>97.332858999999999</v>
      </c>
      <c r="G451" s="3">
        <v>91.558948000000001</v>
      </c>
      <c r="H451" s="3">
        <v>88.972841000000003</v>
      </c>
      <c r="I451" s="17">
        <f t="shared" si="104"/>
        <v>-2.9494382022471906E-2</v>
      </c>
      <c r="J451" s="17">
        <f t="shared" si="105"/>
        <v>-2.6217745273906523E-2</v>
      </c>
      <c r="K451" s="17">
        <f t="shared" si="106"/>
        <v>2.1306818181818989E-4</v>
      </c>
      <c r="L451" s="17">
        <f t="shared" si="107"/>
        <v>7.3126142595978669E-3</v>
      </c>
      <c r="M451" s="17">
        <f t="shared" si="108"/>
        <v>-3.1750414135836513E-2</v>
      </c>
      <c r="N451" s="17">
        <f t="shared" si="109"/>
        <v>-1.1856018889340977E-3</v>
      </c>
      <c r="O451" s="17">
        <f t="shared" si="110"/>
        <v>-9.1621923890603614E-4</v>
      </c>
      <c r="P451" s="17">
        <f t="shared" si="111"/>
        <v>-4.5881710634102684E-4</v>
      </c>
      <c r="Q451" s="22">
        <f t="shared" si="112"/>
        <v>-2.9888855892856638E-2</v>
      </c>
      <c r="R451" s="22">
        <f t="shared" si="113"/>
        <v>-2.6648469987983685E-2</v>
      </c>
      <c r="S451" s="22">
        <f t="shared" si="114"/>
        <v>-1.9889120501925705E-4</v>
      </c>
      <c r="T451" s="22">
        <f t="shared" si="115"/>
        <v>7.1811627503649486E-3</v>
      </c>
      <c r="U451" s="22">
        <f t="shared" si="116"/>
        <v>-3.2443642082790276E-2</v>
      </c>
      <c r="V451" s="22">
        <f t="shared" si="117"/>
        <v>-9.5099807943091735E-4</v>
      </c>
      <c r="W451" s="22">
        <f t="shared" si="118"/>
        <v>-6.6197068481533314E-4</v>
      </c>
      <c r="X451" s="22">
        <f t="shared" si="119"/>
        <v>-1.4287272173468807E-4</v>
      </c>
    </row>
    <row r="452" spans="1:24" x14ac:dyDescent="0.35">
      <c r="A452" s="3">
        <v>6.82</v>
      </c>
      <c r="B452" s="3">
        <v>71.98</v>
      </c>
      <c r="C452" s="3">
        <v>143.87</v>
      </c>
      <c r="D452" s="3">
        <v>16.79</v>
      </c>
      <c r="E452" s="3">
        <v>35.61</v>
      </c>
      <c r="F452" s="3">
        <v>96.937154000000007</v>
      </c>
      <c r="G452" s="3">
        <v>91.099439000000004</v>
      </c>
      <c r="H452" s="3">
        <v>88.612486000000004</v>
      </c>
      <c r="I452" s="17">
        <f t="shared" ref="I452:I515" si="120">(A452-A451)/A451</f>
        <v>-1.3024602026049183E-2</v>
      </c>
      <c r="J452" s="17">
        <f t="shared" ref="J452:J515" si="121">(B452-B451)/B451</f>
        <v>1.998016154173177E-2</v>
      </c>
      <c r="K452" s="17">
        <f t="shared" ref="K452:K515" si="122">(C452-C451)/C451</f>
        <v>2.1586309735141602E-2</v>
      </c>
      <c r="L452" s="17">
        <f t="shared" ref="L452:L515" si="123">(D452-D451)/D451</f>
        <v>1.5728977616454809E-2</v>
      </c>
      <c r="M452" s="17">
        <f t="shared" ref="M452:M515" si="124">(E452-E451)/E451</f>
        <v>1.5397775876817768E-2</v>
      </c>
      <c r="N452" s="17">
        <f t="shared" ref="N452:N515" si="125">(F452-F451)/F451</f>
        <v>-4.0654821410310406E-3</v>
      </c>
      <c r="O452" s="17">
        <f t="shared" ref="O452:O515" si="126">(G452-G451)/G451</f>
        <v>-5.0187230198406934E-3</v>
      </c>
      <c r="P452" s="17">
        <f t="shared" ref="P452:P515" si="127">(H452-H451)/H451</f>
        <v>-4.0501685227742525E-3</v>
      </c>
      <c r="Q452" s="22">
        <f t="shared" si="112"/>
        <v>-1.3419075896433917E-2</v>
      </c>
      <c r="R452" s="22">
        <f t="shared" si="113"/>
        <v>1.9549436827654608E-2</v>
      </c>
      <c r="S452" s="22">
        <f t="shared" si="114"/>
        <v>2.1174350348304154E-2</v>
      </c>
      <c r="T452" s="22">
        <f t="shared" si="115"/>
        <v>1.5597526107221892E-2</v>
      </c>
      <c r="U452" s="22">
        <f t="shared" si="116"/>
        <v>1.4704547929864005E-2</v>
      </c>
      <c r="V452" s="22">
        <f t="shared" si="117"/>
        <v>-3.8308783315278605E-3</v>
      </c>
      <c r="W452" s="22">
        <f t="shared" si="118"/>
        <v>-4.7644744657499901E-3</v>
      </c>
      <c r="X452" s="22">
        <f t="shared" si="119"/>
        <v>-3.7342241381679137E-3</v>
      </c>
    </row>
    <row r="453" spans="1:24" x14ac:dyDescent="0.35">
      <c r="A453" s="3">
        <v>6.85</v>
      </c>
      <c r="B453" s="3">
        <v>71</v>
      </c>
      <c r="C453" s="3">
        <v>145.03</v>
      </c>
      <c r="D453" s="3">
        <v>16.399999999999999</v>
      </c>
      <c r="E453" s="3">
        <v>35.200000000000003</v>
      </c>
      <c r="F453" s="3">
        <v>97.196387999999999</v>
      </c>
      <c r="G453" s="3">
        <v>91.391666000000001</v>
      </c>
      <c r="H453" s="3">
        <v>88.763521999999995</v>
      </c>
      <c r="I453" s="17">
        <f t="shared" si="120"/>
        <v>4.3988269794720466E-3</v>
      </c>
      <c r="J453" s="17">
        <f t="shared" si="121"/>
        <v>-1.3614893025840565E-2</v>
      </c>
      <c r="K453" s="17">
        <f t="shared" si="122"/>
        <v>8.0628345033710754E-3</v>
      </c>
      <c r="L453" s="17">
        <f t="shared" si="123"/>
        <v>-2.3228111971411589E-2</v>
      </c>
      <c r="M453" s="17">
        <f t="shared" si="124"/>
        <v>-1.1513619769727508E-2</v>
      </c>
      <c r="N453" s="17">
        <f t="shared" si="125"/>
        <v>2.6742481009912069E-3</v>
      </c>
      <c r="O453" s="17">
        <f t="shared" si="126"/>
        <v>3.2077804562550259E-3</v>
      </c>
      <c r="P453" s="17">
        <f t="shared" si="127"/>
        <v>1.7044550583987749E-3</v>
      </c>
      <c r="Q453" s="22">
        <f t="shared" ref="Q453:Q516" si="128">I453-AB$2</f>
        <v>4.0043531090873134E-3</v>
      </c>
      <c r="R453" s="22">
        <f t="shared" ref="R453:R516" si="129">J453-AC$2</f>
        <v>-1.4045617739917729E-2</v>
      </c>
      <c r="S453" s="22">
        <f t="shared" ref="S453:S516" si="130">K453-AD$2</f>
        <v>7.6508751165336288E-3</v>
      </c>
      <c r="T453" s="22">
        <f t="shared" ref="T453:T516" si="131">L453-AE$2</f>
        <v>-2.3359563480644507E-2</v>
      </c>
      <c r="U453" s="22">
        <f t="shared" ref="U453:U516" si="132">M453-AF$2</f>
        <v>-1.2206847716681271E-2</v>
      </c>
      <c r="V453" s="22">
        <f t="shared" ref="V453:V516" si="133">N453-AG$2</f>
        <v>2.908851910494387E-3</v>
      </c>
      <c r="W453" s="22">
        <f t="shared" ref="W453:W516" si="134">O453-AH$2</f>
        <v>3.4620290103457288E-3</v>
      </c>
      <c r="X453" s="22">
        <f t="shared" ref="X453:X516" si="135">P453-AI$2</f>
        <v>2.0203994430051135E-3</v>
      </c>
    </row>
    <row r="454" spans="1:24" x14ac:dyDescent="0.35">
      <c r="A454" s="3">
        <v>6.75</v>
      </c>
      <c r="B454" s="3">
        <v>70.72</v>
      </c>
      <c r="C454" s="3">
        <v>146.77000000000001</v>
      </c>
      <c r="D454" s="3">
        <v>16.52</v>
      </c>
      <c r="E454" s="3">
        <v>35.590000000000003</v>
      </c>
      <c r="F454" s="3">
        <v>97.039614</v>
      </c>
      <c r="G454" s="3">
        <v>91.035534999999996</v>
      </c>
      <c r="H454" s="3">
        <v>88.451747999999995</v>
      </c>
      <c r="I454" s="17">
        <f t="shared" si="120"/>
        <v>-1.4598540145985351E-2</v>
      </c>
      <c r="J454" s="17">
        <f t="shared" si="121"/>
        <v>-3.9436619718310022E-3</v>
      </c>
      <c r="K454" s="17">
        <f t="shared" si="122"/>
        <v>1.1997517754947316E-2</v>
      </c>
      <c r="L454" s="17">
        <f t="shared" si="123"/>
        <v>7.3170731707317685E-3</v>
      </c>
      <c r="M454" s="17">
        <f t="shared" si="124"/>
        <v>1.107954545454547E-2</v>
      </c>
      <c r="N454" s="17">
        <f t="shared" si="125"/>
        <v>-1.6129611730016E-3</v>
      </c>
      <c r="O454" s="17">
        <f t="shared" si="126"/>
        <v>-3.8967557501359573E-3</v>
      </c>
      <c r="P454" s="17">
        <f t="shared" si="127"/>
        <v>-3.5124113259047988E-3</v>
      </c>
      <c r="Q454" s="22">
        <f t="shared" si="128"/>
        <v>-1.4993014016370085E-2</v>
      </c>
      <c r="R454" s="22">
        <f t="shared" si="129"/>
        <v>-4.3743866859081654E-3</v>
      </c>
      <c r="S454" s="22">
        <f t="shared" si="130"/>
        <v>1.1585558368109868E-2</v>
      </c>
      <c r="T454" s="22">
        <f t="shared" si="131"/>
        <v>7.1856216614988502E-3</v>
      </c>
      <c r="U454" s="22">
        <f t="shared" si="132"/>
        <v>1.0386317507591707E-2</v>
      </c>
      <c r="V454" s="22">
        <f t="shared" si="133"/>
        <v>-1.3783573634984197E-3</v>
      </c>
      <c r="W454" s="22">
        <f t="shared" si="134"/>
        <v>-3.6425071960452544E-3</v>
      </c>
      <c r="X454" s="22">
        <f t="shared" si="135"/>
        <v>-3.19646694129846E-3</v>
      </c>
    </row>
    <row r="455" spans="1:24" x14ac:dyDescent="0.35">
      <c r="A455" s="3">
        <v>6.52</v>
      </c>
      <c r="B455" s="3">
        <v>70.069999999999993</v>
      </c>
      <c r="C455" s="3">
        <v>147.59</v>
      </c>
      <c r="D455" s="3">
        <v>16.27</v>
      </c>
      <c r="E455" s="3">
        <v>35.82</v>
      </c>
      <c r="F455" s="3">
        <v>96.739766000000003</v>
      </c>
      <c r="G455" s="3">
        <v>90.846581</v>
      </c>
      <c r="H455" s="3">
        <v>88.221868000000001</v>
      </c>
      <c r="I455" s="17">
        <f t="shared" si="120"/>
        <v>-3.4074074074074139E-2</v>
      </c>
      <c r="J455" s="17">
        <f t="shared" si="121"/>
        <v>-9.1911764705883154E-3</v>
      </c>
      <c r="K455" s="17">
        <f t="shared" si="122"/>
        <v>5.5869728146078429E-3</v>
      </c>
      <c r="L455" s="17">
        <f t="shared" si="123"/>
        <v>-1.513317191283293E-2</v>
      </c>
      <c r="M455" s="17">
        <f t="shared" si="124"/>
        <v>6.4624894633323084E-3</v>
      </c>
      <c r="N455" s="17">
        <f t="shared" si="125"/>
        <v>-3.0899545828778465E-3</v>
      </c>
      <c r="O455" s="17">
        <f t="shared" si="126"/>
        <v>-2.0756070692614197E-3</v>
      </c>
      <c r="P455" s="17">
        <f t="shared" si="127"/>
        <v>-2.5989311143969061E-3</v>
      </c>
      <c r="Q455" s="22">
        <f t="shared" si="128"/>
        <v>-3.4468547944458874E-2</v>
      </c>
      <c r="R455" s="22">
        <f t="shared" si="129"/>
        <v>-9.6219011846654795E-3</v>
      </c>
      <c r="S455" s="22">
        <f t="shared" si="130"/>
        <v>5.1750134277703964E-3</v>
      </c>
      <c r="T455" s="22">
        <f t="shared" si="131"/>
        <v>-1.5264623422065847E-2</v>
      </c>
      <c r="U455" s="22">
        <f t="shared" si="132"/>
        <v>5.7692615163785462E-3</v>
      </c>
      <c r="V455" s="22">
        <f t="shared" si="133"/>
        <v>-2.8553507733746664E-3</v>
      </c>
      <c r="W455" s="22">
        <f t="shared" si="134"/>
        <v>-1.8213585151707168E-3</v>
      </c>
      <c r="X455" s="22">
        <f t="shared" si="135"/>
        <v>-2.2829867297905673E-3</v>
      </c>
    </row>
    <row r="456" spans="1:24" x14ac:dyDescent="0.35">
      <c r="A456" s="3">
        <v>6.91</v>
      </c>
      <c r="B456" s="3">
        <v>73.180000000000007</v>
      </c>
      <c r="C456" s="3">
        <v>153.26</v>
      </c>
      <c r="D456" s="3">
        <v>16.62</v>
      </c>
      <c r="E456" s="3">
        <v>36.31</v>
      </c>
      <c r="F456" s="3">
        <v>96.997771999999998</v>
      </c>
      <c r="G456" s="3">
        <v>91.190606000000002</v>
      </c>
      <c r="H456" s="3">
        <v>88.689330999999996</v>
      </c>
      <c r="I456" s="17">
        <f t="shared" si="120"/>
        <v>5.9815950920245491E-2</v>
      </c>
      <c r="J456" s="17">
        <f t="shared" si="121"/>
        <v>4.4384187241330295E-2</v>
      </c>
      <c r="K456" s="17">
        <f t="shared" si="122"/>
        <v>3.841723694017201E-2</v>
      </c>
      <c r="L456" s="17">
        <f t="shared" si="123"/>
        <v>2.1511985248924489E-2</v>
      </c>
      <c r="M456" s="17">
        <f t="shared" si="124"/>
        <v>1.3679508654383082E-2</v>
      </c>
      <c r="N456" s="17">
        <f t="shared" si="125"/>
        <v>2.6670107926454424E-3</v>
      </c>
      <c r="O456" s="17">
        <f t="shared" si="126"/>
        <v>3.7868788920080768E-3</v>
      </c>
      <c r="P456" s="17">
        <f t="shared" si="127"/>
        <v>5.2987202674057536E-3</v>
      </c>
      <c r="Q456" s="22">
        <f t="shared" si="128"/>
        <v>5.9421477049860755E-2</v>
      </c>
      <c r="R456" s="22">
        <f t="shared" si="129"/>
        <v>4.3953462527253129E-2</v>
      </c>
      <c r="S456" s="22">
        <f t="shared" si="130"/>
        <v>3.8005277553334563E-2</v>
      </c>
      <c r="T456" s="22">
        <f t="shared" si="131"/>
        <v>2.1380533739691572E-2</v>
      </c>
      <c r="U456" s="22">
        <f t="shared" si="132"/>
        <v>1.2986280707429319E-2</v>
      </c>
      <c r="V456" s="22">
        <f t="shared" si="133"/>
        <v>2.9016146021486225E-3</v>
      </c>
      <c r="W456" s="22">
        <f t="shared" si="134"/>
        <v>4.0411274460987797E-3</v>
      </c>
      <c r="X456" s="22">
        <f t="shared" si="135"/>
        <v>5.614664652012092E-3</v>
      </c>
    </row>
    <row r="457" spans="1:24" x14ac:dyDescent="0.35">
      <c r="A457" s="3">
        <v>6.99</v>
      </c>
      <c r="B457" s="3">
        <v>71.739999999999995</v>
      </c>
      <c r="C457" s="3">
        <v>151.62</v>
      </c>
      <c r="D457" s="3">
        <v>16.38</v>
      </c>
      <c r="E457" s="3">
        <v>37.57</v>
      </c>
      <c r="F457" s="3">
        <v>96.930474000000004</v>
      </c>
      <c r="G457" s="3">
        <v>91.054665</v>
      </c>
      <c r="H457" s="3">
        <v>88.395366999999993</v>
      </c>
      <c r="I457" s="17">
        <f t="shared" si="120"/>
        <v>1.1577424023154858E-2</v>
      </c>
      <c r="J457" s="17">
        <f t="shared" si="121"/>
        <v>-1.9677507515714836E-2</v>
      </c>
      <c r="K457" s="17">
        <f t="shared" si="122"/>
        <v>-1.0700769933446342E-2</v>
      </c>
      <c r="L457" s="17">
        <f t="shared" si="123"/>
        <v>-1.4440433212996508E-2</v>
      </c>
      <c r="M457" s="17">
        <f t="shared" si="124"/>
        <v>3.4701184246763918E-2</v>
      </c>
      <c r="N457" s="17">
        <f t="shared" si="125"/>
        <v>-6.9380975059915671E-4</v>
      </c>
      <c r="O457" s="17">
        <f t="shared" si="126"/>
        <v>-1.4907346925625488E-3</v>
      </c>
      <c r="P457" s="17">
        <f t="shared" si="127"/>
        <v>-3.3145362208223507E-3</v>
      </c>
      <c r="Q457" s="22">
        <f t="shared" si="128"/>
        <v>1.1182950152770123E-2</v>
      </c>
      <c r="R457" s="22">
        <f t="shared" si="129"/>
        <v>-2.0108232229791998E-2</v>
      </c>
      <c r="S457" s="22">
        <f t="shared" si="130"/>
        <v>-1.1112729320283789E-2</v>
      </c>
      <c r="T457" s="22">
        <f t="shared" si="131"/>
        <v>-1.4571884722229426E-2</v>
      </c>
      <c r="U457" s="22">
        <f t="shared" si="132"/>
        <v>3.4007956299810155E-2</v>
      </c>
      <c r="V457" s="22">
        <f t="shared" si="133"/>
        <v>-4.5920594109597639E-4</v>
      </c>
      <c r="W457" s="22">
        <f t="shared" si="134"/>
        <v>-1.2364861384718457E-3</v>
      </c>
      <c r="X457" s="22">
        <f t="shared" si="135"/>
        <v>-2.9985918362160119E-3</v>
      </c>
    </row>
    <row r="458" spans="1:24" x14ac:dyDescent="0.35">
      <c r="A458" s="3">
        <v>6.8</v>
      </c>
      <c r="B458" s="3">
        <v>70.14</v>
      </c>
      <c r="C458" s="3">
        <v>150.59</v>
      </c>
      <c r="D458" s="3">
        <v>16.940000000000001</v>
      </c>
      <c r="E458" s="3">
        <v>37.54</v>
      </c>
      <c r="F458" s="3">
        <v>96.447067000000004</v>
      </c>
      <c r="G458" s="3">
        <v>90.548053999999993</v>
      </c>
      <c r="H458" s="3">
        <v>87.726290000000006</v>
      </c>
      <c r="I458" s="17">
        <f t="shared" si="120"/>
        <v>-2.718168812589419E-2</v>
      </c>
      <c r="J458" s="17">
        <f t="shared" si="121"/>
        <v>-2.2302759966545783E-2</v>
      </c>
      <c r="K458" s="17">
        <f t="shared" si="122"/>
        <v>-6.793299037066357E-3</v>
      </c>
      <c r="L458" s="17">
        <f t="shared" si="123"/>
        <v>3.418803418803433E-2</v>
      </c>
      <c r="M458" s="17">
        <f t="shared" si="124"/>
        <v>-7.9850944902851043E-4</v>
      </c>
      <c r="N458" s="17">
        <f t="shared" si="125"/>
        <v>-4.9871519249972893E-3</v>
      </c>
      <c r="O458" s="17">
        <f t="shared" si="126"/>
        <v>-5.5638115850517554E-3</v>
      </c>
      <c r="P458" s="17">
        <f t="shared" si="127"/>
        <v>-7.5691410388056572E-3</v>
      </c>
      <c r="Q458" s="22">
        <f t="shared" si="128"/>
        <v>-2.7576161996278922E-2</v>
      </c>
      <c r="R458" s="22">
        <f t="shared" si="129"/>
        <v>-2.2733484680622945E-2</v>
      </c>
      <c r="S458" s="22">
        <f t="shared" si="130"/>
        <v>-7.2052584239038035E-3</v>
      </c>
      <c r="T458" s="22">
        <f t="shared" si="131"/>
        <v>3.4056582678801413E-2</v>
      </c>
      <c r="U458" s="22">
        <f t="shared" si="132"/>
        <v>-1.4917373959822729E-3</v>
      </c>
      <c r="V458" s="22">
        <f t="shared" si="133"/>
        <v>-4.7525481154941087E-3</v>
      </c>
      <c r="W458" s="22">
        <f t="shared" si="134"/>
        <v>-5.3095630309610521E-3</v>
      </c>
      <c r="X458" s="22">
        <f t="shared" si="135"/>
        <v>-7.2531966541993188E-3</v>
      </c>
    </row>
    <row r="459" spans="1:24" x14ac:dyDescent="0.35">
      <c r="A459" s="3">
        <v>6.79</v>
      </c>
      <c r="B459" s="3">
        <v>70.72</v>
      </c>
      <c r="C459" s="3">
        <v>152.13999999999999</v>
      </c>
      <c r="D459" s="3">
        <v>16.78</v>
      </c>
      <c r="E459" s="3">
        <v>36.49</v>
      </c>
      <c r="F459" s="3">
        <v>96.663045999999994</v>
      </c>
      <c r="G459" s="3">
        <v>90.779615000000007</v>
      </c>
      <c r="H459" s="3">
        <v>88.047876000000002</v>
      </c>
      <c r="I459" s="17">
        <f t="shared" si="120"/>
        <v>-1.4705882352940864E-3</v>
      </c>
      <c r="J459" s="17">
        <f t="shared" si="121"/>
        <v>8.2691759338465679E-3</v>
      </c>
      <c r="K459" s="17">
        <f t="shared" si="122"/>
        <v>1.0292848130685855E-2</v>
      </c>
      <c r="L459" s="17">
        <f t="shared" si="123"/>
        <v>-9.4451003541912715E-3</v>
      </c>
      <c r="M459" s="17">
        <f t="shared" si="124"/>
        <v>-2.7970165157165616E-2</v>
      </c>
      <c r="N459" s="17">
        <f t="shared" si="125"/>
        <v>2.23935270110381E-3</v>
      </c>
      <c r="O459" s="17">
        <f t="shared" si="126"/>
        <v>2.5573271845247326E-3</v>
      </c>
      <c r="P459" s="17">
        <f t="shared" si="127"/>
        <v>3.665788214684519E-3</v>
      </c>
      <c r="Q459" s="22">
        <f t="shared" si="128"/>
        <v>-1.8650621056788197E-3</v>
      </c>
      <c r="R459" s="22">
        <f t="shared" si="129"/>
        <v>7.8384512197694038E-3</v>
      </c>
      <c r="S459" s="22">
        <f t="shared" si="130"/>
        <v>9.8808887438484073E-3</v>
      </c>
      <c r="T459" s="22">
        <f t="shared" si="131"/>
        <v>-9.5765518634241889E-3</v>
      </c>
      <c r="U459" s="22">
        <f t="shared" si="132"/>
        <v>-2.8663393104119379E-2</v>
      </c>
      <c r="V459" s="22">
        <f t="shared" si="133"/>
        <v>2.4739565106069901E-3</v>
      </c>
      <c r="W459" s="22">
        <f t="shared" si="134"/>
        <v>2.8115757386154355E-3</v>
      </c>
      <c r="X459" s="22">
        <f t="shared" si="135"/>
        <v>3.9817325992908574E-3</v>
      </c>
    </row>
    <row r="460" spans="1:24" x14ac:dyDescent="0.35">
      <c r="A460" s="3">
        <v>7.01</v>
      </c>
      <c r="B460" s="3">
        <v>72.14</v>
      </c>
      <c r="C460" s="3">
        <v>156.30000000000001</v>
      </c>
      <c r="D460" s="3">
        <v>17.059999999999999</v>
      </c>
      <c r="E460" s="3">
        <v>36.56</v>
      </c>
      <c r="F460" s="3">
        <v>96.091265000000007</v>
      </c>
      <c r="G460" s="3">
        <v>90.118934999999993</v>
      </c>
      <c r="H460" s="3">
        <v>87.259922000000003</v>
      </c>
      <c r="I460" s="17">
        <f t="shared" si="120"/>
        <v>3.2400589101619991E-2</v>
      </c>
      <c r="J460" s="17">
        <f t="shared" si="121"/>
        <v>2.0079185520362017E-2</v>
      </c>
      <c r="K460" s="17">
        <f t="shared" si="122"/>
        <v>2.7343236492704256E-2</v>
      </c>
      <c r="L460" s="17">
        <f t="shared" si="123"/>
        <v>1.6686531585220356E-2</v>
      </c>
      <c r="M460" s="17">
        <f t="shared" si="124"/>
        <v>1.9183337900794816E-3</v>
      </c>
      <c r="N460" s="17">
        <f t="shared" si="125"/>
        <v>-5.915197416807942E-3</v>
      </c>
      <c r="O460" s="17">
        <f t="shared" si="126"/>
        <v>-7.2778453620894233E-3</v>
      </c>
      <c r="P460" s="17">
        <f t="shared" si="127"/>
        <v>-8.9491539807274745E-3</v>
      </c>
      <c r="Q460" s="22">
        <f t="shared" si="128"/>
        <v>3.2006115231235255E-2</v>
      </c>
      <c r="R460" s="22">
        <f t="shared" si="129"/>
        <v>1.9648460806284854E-2</v>
      </c>
      <c r="S460" s="22">
        <f t="shared" si="130"/>
        <v>2.6931277105866808E-2</v>
      </c>
      <c r="T460" s="22">
        <f t="shared" si="131"/>
        <v>1.6555080075987438E-2</v>
      </c>
      <c r="U460" s="22">
        <f t="shared" si="132"/>
        <v>1.2251058431257192E-3</v>
      </c>
      <c r="V460" s="22">
        <f t="shared" si="133"/>
        <v>-5.6805936073047614E-3</v>
      </c>
      <c r="W460" s="22">
        <f t="shared" si="134"/>
        <v>-7.02359680799872E-3</v>
      </c>
      <c r="X460" s="22">
        <f t="shared" si="135"/>
        <v>-8.6332095961211362E-3</v>
      </c>
    </row>
    <row r="461" spans="1:24" x14ac:dyDescent="0.35">
      <c r="A461" s="3">
        <v>7.06</v>
      </c>
      <c r="B461" s="3">
        <v>73.13</v>
      </c>
      <c r="C461" s="3">
        <v>161.13999999999999</v>
      </c>
      <c r="D461" s="3">
        <v>17.59</v>
      </c>
      <c r="E461" s="3">
        <v>36.72</v>
      </c>
      <c r="F461" s="3">
        <v>96.576429000000005</v>
      </c>
      <c r="G461" s="3">
        <v>90.616702000000004</v>
      </c>
      <c r="H461" s="3">
        <v>87.906795000000002</v>
      </c>
      <c r="I461" s="17">
        <f t="shared" si="120"/>
        <v>7.1326676176889908E-3</v>
      </c>
      <c r="J461" s="17">
        <f t="shared" si="121"/>
        <v>1.3723315774882103E-2</v>
      </c>
      <c r="K461" s="17">
        <f t="shared" si="122"/>
        <v>3.0966090850927542E-2</v>
      </c>
      <c r="L461" s="17">
        <f t="shared" si="123"/>
        <v>3.1066822977725742E-2</v>
      </c>
      <c r="M461" s="17">
        <f t="shared" si="124"/>
        <v>4.3763676148795561E-3</v>
      </c>
      <c r="N461" s="17">
        <f t="shared" si="125"/>
        <v>5.0489917059578461E-3</v>
      </c>
      <c r="O461" s="17">
        <f t="shared" si="126"/>
        <v>5.5234452115974332E-3</v>
      </c>
      <c r="P461" s="17">
        <f t="shared" si="127"/>
        <v>7.4131741717577901E-3</v>
      </c>
      <c r="Q461" s="22">
        <f t="shared" si="128"/>
        <v>6.7381937473042575E-3</v>
      </c>
      <c r="R461" s="22">
        <f t="shared" si="129"/>
        <v>1.3292591060804939E-2</v>
      </c>
      <c r="S461" s="22">
        <f t="shared" si="130"/>
        <v>3.0554131464090094E-2</v>
      </c>
      <c r="T461" s="22">
        <f t="shared" si="131"/>
        <v>3.0935371468492824E-2</v>
      </c>
      <c r="U461" s="22">
        <f t="shared" si="132"/>
        <v>3.6831396679257934E-3</v>
      </c>
      <c r="V461" s="22">
        <f t="shared" si="133"/>
        <v>5.2835955154610266E-3</v>
      </c>
      <c r="W461" s="22">
        <f t="shared" si="134"/>
        <v>5.7776937656881366E-3</v>
      </c>
      <c r="X461" s="22">
        <f t="shared" si="135"/>
        <v>7.7291185563641285E-3</v>
      </c>
    </row>
    <row r="462" spans="1:24" x14ac:dyDescent="0.35">
      <c r="A462" s="3">
        <v>7.29</v>
      </c>
      <c r="B462" s="3">
        <v>75.16</v>
      </c>
      <c r="C462" s="3">
        <v>165.02</v>
      </c>
      <c r="D462" s="3">
        <v>17.850000000000001</v>
      </c>
      <c r="E462" s="3">
        <v>37.22</v>
      </c>
      <c r="F462" s="3">
        <v>96.832905999999994</v>
      </c>
      <c r="G462" s="3">
        <v>90.958389999999994</v>
      </c>
      <c r="H462" s="3">
        <v>88.181432000000001</v>
      </c>
      <c r="I462" s="17">
        <f t="shared" si="120"/>
        <v>3.2577903682719608E-2</v>
      </c>
      <c r="J462" s="17">
        <f t="shared" si="121"/>
        <v>2.7758785724053072E-2</v>
      </c>
      <c r="K462" s="17">
        <f t="shared" si="122"/>
        <v>2.4078441107111978E-2</v>
      </c>
      <c r="L462" s="17">
        <f t="shared" si="123"/>
        <v>1.4781125639568026E-2</v>
      </c>
      <c r="M462" s="17">
        <f t="shared" si="124"/>
        <v>1.3616557734204794E-2</v>
      </c>
      <c r="N462" s="17">
        <f t="shared" si="125"/>
        <v>2.6556894125790219E-3</v>
      </c>
      <c r="O462" s="17">
        <f t="shared" si="126"/>
        <v>3.7706956053199844E-3</v>
      </c>
      <c r="P462" s="17">
        <f t="shared" si="127"/>
        <v>3.1241839723538832E-3</v>
      </c>
      <c r="Q462" s="22">
        <f t="shared" si="128"/>
        <v>3.2183429812334872E-2</v>
      </c>
      <c r="R462" s="22">
        <f t="shared" si="129"/>
        <v>2.732806100997591E-2</v>
      </c>
      <c r="S462" s="22">
        <f t="shared" si="130"/>
        <v>2.3666481720274531E-2</v>
      </c>
      <c r="T462" s="22">
        <f t="shared" si="131"/>
        <v>1.4649674130335109E-2</v>
      </c>
      <c r="U462" s="22">
        <f t="shared" si="132"/>
        <v>1.2923329787251031E-2</v>
      </c>
      <c r="V462" s="22">
        <f t="shared" si="133"/>
        <v>2.890293222082202E-3</v>
      </c>
      <c r="W462" s="22">
        <f t="shared" si="134"/>
        <v>4.0249441594106877E-3</v>
      </c>
      <c r="X462" s="22">
        <f t="shared" si="135"/>
        <v>3.440128356960222E-3</v>
      </c>
    </row>
    <row r="463" spans="1:24" x14ac:dyDescent="0.35">
      <c r="A463" s="3">
        <v>7.43</v>
      </c>
      <c r="B463" s="3">
        <v>74.72</v>
      </c>
      <c r="C463" s="3">
        <v>159.81</v>
      </c>
      <c r="D463" s="3">
        <v>18.43</v>
      </c>
      <c r="E463" s="3">
        <v>37.799999999999997</v>
      </c>
      <c r="F463" s="3">
        <v>97.321939999999998</v>
      </c>
      <c r="G463" s="3">
        <v>91.461416</v>
      </c>
      <c r="H463" s="3">
        <v>88.710121000000001</v>
      </c>
      <c r="I463" s="17">
        <f t="shared" si="120"/>
        <v>1.9204389574759902E-2</v>
      </c>
      <c r="J463" s="17">
        <f t="shared" si="121"/>
        <v>-5.8541777541245045E-3</v>
      </c>
      <c r="K463" s="17">
        <f t="shared" si="122"/>
        <v>-3.1571930675069734E-2</v>
      </c>
      <c r="L463" s="17">
        <f t="shared" si="123"/>
        <v>3.249299719887945E-2</v>
      </c>
      <c r="M463" s="17">
        <f t="shared" si="124"/>
        <v>1.5583019881783941E-2</v>
      </c>
      <c r="N463" s="17">
        <f t="shared" si="125"/>
        <v>5.0502873475676106E-3</v>
      </c>
      <c r="O463" s="17">
        <f t="shared" si="126"/>
        <v>5.5302869806733114E-3</v>
      </c>
      <c r="P463" s="17">
        <f t="shared" si="127"/>
        <v>5.995468524484837E-3</v>
      </c>
      <c r="Q463" s="22">
        <f t="shared" si="128"/>
        <v>1.8809915704375169E-2</v>
      </c>
      <c r="R463" s="22">
        <f t="shared" si="129"/>
        <v>-6.2849024682016677E-3</v>
      </c>
      <c r="S463" s="22">
        <f t="shared" si="130"/>
        <v>-3.1983890061907182E-2</v>
      </c>
      <c r="T463" s="22">
        <f t="shared" si="131"/>
        <v>3.2361545689646533E-2</v>
      </c>
      <c r="U463" s="22">
        <f t="shared" si="132"/>
        <v>1.4889791934830178E-2</v>
      </c>
      <c r="V463" s="22">
        <f t="shared" si="133"/>
        <v>5.2848911570707912E-3</v>
      </c>
      <c r="W463" s="22">
        <f t="shared" si="134"/>
        <v>5.7845355347640147E-3</v>
      </c>
      <c r="X463" s="22">
        <f t="shared" si="135"/>
        <v>6.3114129090911754E-3</v>
      </c>
    </row>
    <row r="464" spans="1:24" x14ac:dyDescent="0.35">
      <c r="A464" s="3">
        <v>7.03</v>
      </c>
      <c r="B464" s="3">
        <v>74.510000000000005</v>
      </c>
      <c r="C464" s="3">
        <v>156.31</v>
      </c>
      <c r="D464" s="3">
        <v>18.36</v>
      </c>
      <c r="E464" s="3">
        <v>38.21</v>
      </c>
      <c r="F464" s="3">
        <v>97.213614000000007</v>
      </c>
      <c r="G464" s="3">
        <v>91.427363</v>
      </c>
      <c r="H464" s="3">
        <v>88.654092000000006</v>
      </c>
      <c r="I464" s="17">
        <f t="shared" si="120"/>
        <v>-5.3835800807536943E-2</v>
      </c>
      <c r="J464" s="17">
        <f t="shared" si="121"/>
        <v>-2.8104925053532353E-3</v>
      </c>
      <c r="K464" s="17">
        <f t="shared" si="122"/>
        <v>-2.1901007446342532E-2</v>
      </c>
      <c r="L464" s="17">
        <f t="shared" si="123"/>
        <v>-3.7981551817688705E-3</v>
      </c>
      <c r="M464" s="17">
        <f t="shared" si="124"/>
        <v>1.0846560846560944E-2</v>
      </c>
      <c r="N464" s="17">
        <f t="shared" si="125"/>
        <v>-1.1130686461859581E-3</v>
      </c>
      <c r="O464" s="17">
        <f t="shared" si="126"/>
        <v>-3.72320935857806E-4</v>
      </c>
      <c r="P464" s="17">
        <f t="shared" si="127"/>
        <v>-6.3159647815152033E-4</v>
      </c>
      <c r="Q464" s="22">
        <f t="shared" si="128"/>
        <v>-5.4230274677921679E-2</v>
      </c>
      <c r="R464" s="22">
        <f t="shared" si="129"/>
        <v>-3.241217219430399E-3</v>
      </c>
      <c r="S464" s="22">
        <f t="shared" si="130"/>
        <v>-2.231296683317998E-2</v>
      </c>
      <c r="T464" s="22">
        <f t="shared" si="131"/>
        <v>-3.9296066910017883E-3</v>
      </c>
      <c r="U464" s="22">
        <f t="shared" si="132"/>
        <v>1.0153332899607181E-2</v>
      </c>
      <c r="V464" s="22">
        <f t="shared" si="133"/>
        <v>-8.7846483668277777E-4</v>
      </c>
      <c r="W464" s="22">
        <f t="shared" si="134"/>
        <v>-1.18072381767103E-4</v>
      </c>
      <c r="X464" s="22">
        <f t="shared" si="135"/>
        <v>-3.1565209354518156E-4</v>
      </c>
    </row>
    <row r="465" spans="1:24" x14ac:dyDescent="0.35">
      <c r="A465" s="3">
        <v>7.44</v>
      </c>
      <c r="B465" s="3">
        <v>76.319999999999993</v>
      </c>
      <c r="C465" s="3">
        <v>157.58000000000001</v>
      </c>
      <c r="D465" s="3">
        <v>18.43</v>
      </c>
      <c r="E465" s="3">
        <v>36.96</v>
      </c>
      <c r="F465" s="3">
        <v>97.703793000000005</v>
      </c>
      <c r="G465" s="3">
        <v>91.932601000000005</v>
      </c>
      <c r="H465" s="3">
        <v>89.121921999999998</v>
      </c>
      <c r="I465" s="17">
        <f t="shared" si="120"/>
        <v>5.8321479374110974E-2</v>
      </c>
      <c r="J465" s="17">
        <f t="shared" si="121"/>
        <v>2.4292041336733163E-2</v>
      </c>
      <c r="K465" s="17">
        <f t="shared" si="122"/>
        <v>8.1248800460623771E-3</v>
      </c>
      <c r="L465" s="17">
        <f t="shared" si="123"/>
        <v>3.8126361655773577E-3</v>
      </c>
      <c r="M465" s="17">
        <f t="shared" si="124"/>
        <v>-3.2713949227950796E-2</v>
      </c>
      <c r="N465" s="17">
        <f t="shared" si="125"/>
        <v>5.0422875956447587E-3</v>
      </c>
      <c r="O465" s="17">
        <f t="shared" si="126"/>
        <v>5.5261136646805138E-3</v>
      </c>
      <c r="P465" s="17">
        <f t="shared" si="127"/>
        <v>5.2770265810177398E-3</v>
      </c>
      <c r="Q465" s="22">
        <f t="shared" si="128"/>
        <v>5.7927005503726238E-2</v>
      </c>
      <c r="R465" s="22">
        <f t="shared" si="129"/>
        <v>2.3861316622656E-2</v>
      </c>
      <c r="S465" s="22">
        <f t="shared" si="130"/>
        <v>7.7129206592249306E-3</v>
      </c>
      <c r="T465" s="22">
        <f t="shared" si="131"/>
        <v>3.6811846563444394E-3</v>
      </c>
      <c r="U465" s="22">
        <f t="shared" si="132"/>
        <v>-3.3407177174904559E-2</v>
      </c>
      <c r="V465" s="22">
        <f t="shared" si="133"/>
        <v>5.2768914051479392E-3</v>
      </c>
      <c r="W465" s="22">
        <f t="shared" si="134"/>
        <v>5.7803622187712171E-3</v>
      </c>
      <c r="X465" s="22">
        <f t="shared" si="135"/>
        <v>5.5929709656240782E-3</v>
      </c>
    </row>
    <row r="466" spans="1:24" x14ac:dyDescent="0.35">
      <c r="A466" s="3">
        <v>7.7</v>
      </c>
      <c r="B466" s="3">
        <v>76.709999999999994</v>
      </c>
      <c r="C466" s="3">
        <v>161.05000000000001</v>
      </c>
      <c r="D466" s="3">
        <v>18.75</v>
      </c>
      <c r="E466" s="3">
        <v>37.99</v>
      </c>
      <c r="F466" s="3">
        <v>97.337260000000001</v>
      </c>
      <c r="G466" s="3">
        <v>91.553308000000001</v>
      </c>
      <c r="H466" s="3">
        <v>88.661587999999995</v>
      </c>
      <c r="I466" s="17">
        <f t="shared" si="120"/>
        <v>3.4946236559139754E-2</v>
      </c>
      <c r="J466" s="17">
        <f t="shared" si="121"/>
        <v>5.1100628930817685E-3</v>
      </c>
      <c r="K466" s="17">
        <f t="shared" si="122"/>
        <v>2.2020560984896551E-2</v>
      </c>
      <c r="L466" s="17">
        <f t="shared" si="123"/>
        <v>1.7362995116657638E-2</v>
      </c>
      <c r="M466" s="17">
        <f t="shared" si="124"/>
        <v>2.7867965367965399E-2</v>
      </c>
      <c r="N466" s="17">
        <f t="shared" si="125"/>
        <v>-3.7514715523890049E-3</v>
      </c>
      <c r="O466" s="17">
        <f t="shared" si="126"/>
        <v>-4.1257725319879084E-3</v>
      </c>
      <c r="P466" s="17">
        <f t="shared" si="127"/>
        <v>-5.1652162528541875E-3</v>
      </c>
      <c r="Q466" s="22">
        <f t="shared" si="128"/>
        <v>3.4551762688755018E-2</v>
      </c>
      <c r="R466" s="22">
        <f t="shared" si="129"/>
        <v>4.6793381790046053E-3</v>
      </c>
      <c r="S466" s="22">
        <f t="shared" si="130"/>
        <v>2.1608601598059104E-2</v>
      </c>
      <c r="T466" s="22">
        <f t="shared" si="131"/>
        <v>1.723154360742472E-2</v>
      </c>
      <c r="U466" s="22">
        <f t="shared" si="132"/>
        <v>2.7174737421011636E-2</v>
      </c>
      <c r="V466" s="22">
        <f t="shared" si="133"/>
        <v>-3.5168677428858248E-3</v>
      </c>
      <c r="W466" s="22">
        <f t="shared" si="134"/>
        <v>-3.8715239778972055E-3</v>
      </c>
      <c r="X466" s="22">
        <f t="shared" si="135"/>
        <v>-4.8492718682478491E-3</v>
      </c>
    </row>
    <row r="467" spans="1:24" x14ac:dyDescent="0.35">
      <c r="A467" s="3">
        <v>7.8</v>
      </c>
      <c r="B467" s="3">
        <v>81.400000000000006</v>
      </c>
      <c r="C467" s="3">
        <v>163.47999999999999</v>
      </c>
      <c r="D467" s="3">
        <v>18.93</v>
      </c>
      <c r="E467" s="3">
        <v>38.11</v>
      </c>
      <c r="F467" s="3">
        <v>97.363048000000006</v>
      </c>
      <c r="G467" s="3">
        <v>91.471081999999996</v>
      </c>
      <c r="H467" s="3">
        <v>88.685171999999994</v>
      </c>
      <c r="I467" s="17">
        <f t="shared" si="120"/>
        <v>1.2987012987012941E-2</v>
      </c>
      <c r="J467" s="17">
        <f t="shared" si="121"/>
        <v>6.1139356016164936E-2</v>
      </c>
      <c r="K467" s="17">
        <f t="shared" si="122"/>
        <v>1.5088481837938393E-2</v>
      </c>
      <c r="L467" s="17">
        <f t="shared" si="123"/>
        <v>9.5999999999999853E-3</v>
      </c>
      <c r="M467" s="17">
        <f t="shared" si="124"/>
        <v>3.1587259805211224E-3</v>
      </c>
      <c r="N467" s="17">
        <f t="shared" si="125"/>
        <v>2.6493451736781675E-4</v>
      </c>
      <c r="O467" s="17">
        <f t="shared" si="126"/>
        <v>-8.9812156213957533E-4</v>
      </c>
      <c r="P467" s="17">
        <f t="shared" si="127"/>
        <v>2.6600019841737559E-4</v>
      </c>
      <c r="Q467" s="22">
        <f t="shared" si="128"/>
        <v>1.2592539116628207E-2</v>
      </c>
      <c r="R467" s="22">
        <f t="shared" si="129"/>
        <v>6.070863130208777E-2</v>
      </c>
      <c r="S467" s="22">
        <f t="shared" si="130"/>
        <v>1.4676522451100946E-2</v>
      </c>
      <c r="T467" s="22">
        <f t="shared" si="131"/>
        <v>9.4685484907670679E-3</v>
      </c>
      <c r="U467" s="22">
        <f t="shared" si="132"/>
        <v>2.4654980335673598E-3</v>
      </c>
      <c r="V467" s="22">
        <f t="shared" si="133"/>
        <v>4.9953832687099707E-4</v>
      </c>
      <c r="W467" s="22">
        <f t="shared" si="134"/>
        <v>-6.4387300804887233E-4</v>
      </c>
      <c r="X467" s="22">
        <f t="shared" si="135"/>
        <v>5.8194458302371441E-4</v>
      </c>
    </row>
    <row r="468" spans="1:24" x14ac:dyDescent="0.35">
      <c r="A468" s="3">
        <v>7.43</v>
      </c>
      <c r="B468" s="3">
        <v>79.680000000000007</v>
      </c>
      <c r="C468" s="3">
        <v>163.38</v>
      </c>
      <c r="D468" s="3">
        <v>19.010000000000002</v>
      </c>
      <c r="E468" s="3">
        <v>37.06</v>
      </c>
      <c r="F468" s="3">
        <v>97.071430000000007</v>
      </c>
      <c r="G468" s="3">
        <v>91.119943000000006</v>
      </c>
      <c r="H468" s="3">
        <v>88.252911999999995</v>
      </c>
      <c r="I468" s="17">
        <f t="shared" si="120"/>
        <v>-4.7435897435897448E-2</v>
      </c>
      <c r="J468" s="17">
        <f t="shared" si="121"/>
        <v>-2.1130221130221116E-2</v>
      </c>
      <c r="K468" s="17">
        <f t="shared" si="122"/>
        <v>-6.1169562025932425E-4</v>
      </c>
      <c r="L468" s="17">
        <f t="shared" si="123"/>
        <v>4.2260961436873662E-3</v>
      </c>
      <c r="M468" s="17">
        <f t="shared" si="124"/>
        <v>-2.7551823668328448E-2</v>
      </c>
      <c r="N468" s="17">
        <f t="shared" si="125"/>
        <v>-2.9951609567522956E-3</v>
      </c>
      <c r="O468" s="17">
        <f t="shared" si="126"/>
        <v>-3.8387979274148E-3</v>
      </c>
      <c r="P468" s="17">
        <f t="shared" si="127"/>
        <v>-4.8740955252361629E-3</v>
      </c>
      <c r="Q468" s="22">
        <f t="shared" si="128"/>
        <v>-4.7830371306282184E-2</v>
      </c>
      <c r="R468" s="22">
        <f t="shared" si="129"/>
        <v>-2.1560945844298279E-2</v>
      </c>
      <c r="S468" s="22">
        <f t="shared" si="130"/>
        <v>-1.0236550070967711E-3</v>
      </c>
      <c r="T468" s="22">
        <f t="shared" si="131"/>
        <v>4.0946446344544479E-3</v>
      </c>
      <c r="U468" s="22">
        <f t="shared" si="132"/>
        <v>-2.8245051615282211E-2</v>
      </c>
      <c r="V468" s="22">
        <f t="shared" si="133"/>
        <v>-2.7605571472491155E-3</v>
      </c>
      <c r="W468" s="22">
        <f t="shared" si="134"/>
        <v>-3.5845493733240971E-3</v>
      </c>
      <c r="X468" s="22">
        <f t="shared" si="135"/>
        <v>-4.5581511406298245E-3</v>
      </c>
    </row>
    <row r="469" spans="1:24" x14ac:dyDescent="0.35">
      <c r="A469" s="3">
        <v>7.89</v>
      </c>
      <c r="B469" s="3">
        <v>81.540000000000006</v>
      </c>
      <c r="C469" s="3">
        <v>166.33</v>
      </c>
      <c r="D469" s="3">
        <v>19.489999999999998</v>
      </c>
      <c r="E469" s="3">
        <v>38.22</v>
      </c>
      <c r="F469" s="3">
        <v>97.605086</v>
      </c>
      <c r="G469" s="3">
        <v>91.727778999999998</v>
      </c>
      <c r="H469" s="3">
        <v>88.969249000000005</v>
      </c>
      <c r="I469" s="17">
        <f t="shared" si="120"/>
        <v>6.1911170928667561E-2</v>
      </c>
      <c r="J469" s="17">
        <f t="shared" si="121"/>
        <v>2.3343373493975896E-2</v>
      </c>
      <c r="K469" s="17">
        <f t="shared" si="122"/>
        <v>1.8056065613906335E-2</v>
      </c>
      <c r="L469" s="17">
        <f t="shared" si="123"/>
        <v>2.5249868490268113E-2</v>
      </c>
      <c r="M469" s="17">
        <f t="shared" si="124"/>
        <v>3.13005936319481E-2</v>
      </c>
      <c r="N469" s="17">
        <f t="shared" si="125"/>
        <v>5.4975598896605665E-3</v>
      </c>
      <c r="O469" s="17">
        <f t="shared" si="126"/>
        <v>6.67072410262583E-3</v>
      </c>
      <c r="P469" s="17">
        <f t="shared" si="127"/>
        <v>8.1168653109147271E-3</v>
      </c>
      <c r="Q469" s="22">
        <f t="shared" si="128"/>
        <v>6.1516697058282825E-2</v>
      </c>
      <c r="R469" s="22">
        <f t="shared" si="129"/>
        <v>2.2912648779898733E-2</v>
      </c>
      <c r="S469" s="22">
        <f t="shared" si="130"/>
        <v>1.7644106227068888E-2</v>
      </c>
      <c r="T469" s="22">
        <f t="shared" si="131"/>
        <v>2.5118416981035195E-2</v>
      </c>
      <c r="U469" s="22">
        <f t="shared" si="132"/>
        <v>3.0607365684994337E-2</v>
      </c>
      <c r="V469" s="22">
        <f t="shared" si="133"/>
        <v>5.7321636991637471E-3</v>
      </c>
      <c r="W469" s="22">
        <f t="shared" si="134"/>
        <v>6.9249726567165333E-3</v>
      </c>
      <c r="X469" s="22">
        <f t="shared" si="135"/>
        <v>8.4328096955210655E-3</v>
      </c>
    </row>
    <row r="470" spans="1:24" x14ac:dyDescent="0.35">
      <c r="A470" s="3">
        <v>7.9</v>
      </c>
      <c r="B470" s="3">
        <v>80.819999999999993</v>
      </c>
      <c r="C470" s="3">
        <v>160.31</v>
      </c>
      <c r="D470" s="3">
        <v>19.559999999999999</v>
      </c>
      <c r="E470" s="3">
        <v>38.25</v>
      </c>
      <c r="F470" s="3">
        <v>97.723528999999999</v>
      </c>
      <c r="G470" s="3">
        <v>91.858637000000002</v>
      </c>
      <c r="H470" s="3">
        <v>89.119605000000007</v>
      </c>
      <c r="I470" s="17">
        <f t="shared" si="120"/>
        <v>1.2674271229405165E-3</v>
      </c>
      <c r="J470" s="17">
        <f t="shared" si="121"/>
        <v>-8.8300220750553472E-3</v>
      </c>
      <c r="K470" s="17">
        <f t="shared" si="122"/>
        <v>-3.6193110082366441E-2</v>
      </c>
      <c r="L470" s="17">
        <f t="shared" si="123"/>
        <v>3.5915854284248481E-3</v>
      </c>
      <c r="M470" s="17">
        <f t="shared" si="124"/>
        <v>7.8492935635795754E-4</v>
      </c>
      <c r="N470" s="17">
        <f t="shared" si="125"/>
        <v>1.2134920920001974E-3</v>
      </c>
      <c r="O470" s="17">
        <f t="shared" si="126"/>
        <v>1.4265907386682008E-3</v>
      </c>
      <c r="P470" s="17">
        <f t="shared" si="127"/>
        <v>1.6899771740233769E-3</v>
      </c>
      <c r="Q470" s="22">
        <f t="shared" si="128"/>
        <v>8.7295325255578324E-4</v>
      </c>
      <c r="R470" s="22">
        <f t="shared" si="129"/>
        <v>-9.2607467891325113E-3</v>
      </c>
      <c r="S470" s="22">
        <f t="shared" si="130"/>
        <v>-3.6605069469203888E-2</v>
      </c>
      <c r="T470" s="22">
        <f t="shared" si="131"/>
        <v>3.4601339191919298E-3</v>
      </c>
      <c r="U470" s="22">
        <f t="shared" si="132"/>
        <v>9.1701409404195029E-5</v>
      </c>
      <c r="V470" s="22">
        <f t="shared" si="133"/>
        <v>1.4480959015033777E-3</v>
      </c>
      <c r="W470" s="22">
        <f t="shared" si="134"/>
        <v>1.6808392927589039E-3</v>
      </c>
      <c r="X470" s="22">
        <f t="shared" si="135"/>
        <v>2.0059215586297158E-3</v>
      </c>
    </row>
    <row r="471" spans="1:24" x14ac:dyDescent="0.35">
      <c r="A471" s="3">
        <v>8.0500000000000007</v>
      </c>
      <c r="B471" s="3">
        <v>81.84</v>
      </c>
      <c r="C471" s="3">
        <v>156.19999999999999</v>
      </c>
      <c r="D471" s="3">
        <v>19.64</v>
      </c>
      <c r="E471" s="3">
        <v>38.770000000000003</v>
      </c>
      <c r="F471" s="3">
        <v>97.749290000000002</v>
      </c>
      <c r="G471" s="3">
        <v>91.882875999999996</v>
      </c>
      <c r="H471" s="3">
        <v>89.143191999999999</v>
      </c>
      <c r="I471" s="17">
        <f t="shared" si="120"/>
        <v>1.8987341772151944E-2</v>
      </c>
      <c r="J471" s="17">
        <f t="shared" si="121"/>
        <v>1.2620638455827893E-2</v>
      </c>
      <c r="K471" s="17">
        <f t="shared" si="122"/>
        <v>-2.5637826710748012E-2</v>
      </c>
      <c r="L471" s="17">
        <f t="shared" si="123"/>
        <v>4.0899795501023444E-3</v>
      </c>
      <c r="M471" s="17">
        <f t="shared" si="124"/>
        <v>1.3594771241830146E-2</v>
      </c>
      <c r="N471" s="17">
        <f t="shared" si="125"/>
        <v>2.6361102861934926E-4</v>
      </c>
      <c r="O471" s="17">
        <f t="shared" si="126"/>
        <v>2.6387284627350121E-4</v>
      </c>
      <c r="P471" s="17">
        <f t="shared" si="127"/>
        <v>2.6466679245259252E-4</v>
      </c>
      <c r="Q471" s="22">
        <f t="shared" si="128"/>
        <v>1.8592867901767212E-2</v>
      </c>
      <c r="R471" s="22">
        <f t="shared" si="129"/>
        <v>1.2189913741750729E-2</v>
      </c>
      <c r="S471" s="22">
        <f t="shared" si="130"/>
        <v>-2.6049786097585459E-2</v>
      </c>
      <c r="T471" s="22">
        <f t="shared" si="131"/>
        <v>3.9585280408694261E-3</v>
      </c>
      <c r="U471" s="22">
        <f t="shared" si="132"/>
        <v>1.2901543294876383E-2</v>
      </c>
      <c r="V471" s="22">
        <f t="shared" si="133"/>
        <v>4.9821483812252957E-4</v>
      </c>
      <c r="W471" s="22">
        <f t="shared" si="134"/>
        <v>5.1812140036420421E-4</v>
      </c>
      <c r="X471" s="22">
        <f t="shared" si="135"/>
        <v>5.8061117705893129E-4</v>
      </c>
    </row>
    <row r="472" spans="1:24" x14ac:dyDescent="0.35">
      <c r="A472" s="3">
        <v>7.94</v>
      </c>
      <c r="B472" s="3">
        <v>81.41</v>
      </c>
      <c r="C472" s="3">
        <v>152.94</v>
      </c>
      <c r="D472" s="3">
        <v>19.78</v>
      </c>
      <c r="E472" s="3">
        <v>38.700000000000003</v>
      </c>
      <c r="F472" s="3">
        <v>98.146641000000002</v>
      </c>
      <c r="G472" s="3">
        <v>92.335036000000002</v>
      </c>
      <c r="H472" s="3">
        <v>89.484753999999995</v>
      </c>
      <c r="I472" s="17">
        <f t="shared" si="120"/>
        <v>-1.3664596273291965E-2</v>
      </c>
      <c r="J472" s="17">
        <f t="shared" si="121"/>
        <v>-5.2541544477029177E-3</v>
      </c>
      <c r="K472" s="17">
        <f t="shared" si="122"/>
        <v>-2.0870678617157433E-2</v>
      </c>
      <c r="L472" s="17">
        <f t="shared" si="123"/>
        <v>7.1283095723014547E-3</v>
      </c>
      <c r="M472" s="17">
        <f t="shared" si="124"/>
        <v>-1.8055197317513613E-3</v>
      </c>
      <c r="N472" s="17">
        <f t="shared" si="125"/>
        <v>4.0650013928489959E-3</v>
      </c>
      <c r="O472" s="17">
        <f t="shared" si="126"/>
        <v>4.9210475301187393E-3</v>
      </c>
      <c r="P472" s="17">
        <f t="shared" si="127"/>
        <v>3.8316106068985744E-3</v>
      </c>
      <c r="Q472" s="22">
        <f t="shared" si="128"/>
        <v>-1.4059070143676699E-2</v>
      </c>
      <c r="R472" s="22">
        <f t="shared" si="129"/>
        <v>-5.684879161780081E-3</v>
      </c>
      <c r="S472" s="22">
        <f t="shared" si="130"/>
        <v>-2.128263800399488E-2</v>
      </c>
      <c r="T472" s="22">
        <f t="shared" si="131"/>
        <v>6.9968580630685364E-3</v>
      </c>
      <c r="U472" s="22">
        <f t="shared" si="132"/>
        <v>-2.4987476787051237E-3</v>
      </c>
      <c r="V472" s="22">
        <f t="shared" si="133"/>
        <v>4.2996052023521764E-3</v>
      </c>
      <c r="W472" s="22">
        <f t="shared" si="134"/>
        <v>5.1752960842094426E-3</v>
      </c>
      <c r="X472" s="22">
        <f t="shared" si="135"/>
        <v>4.1475549915049132E-3</v>
      </c>
    </row>
    <row r="473" spans="1:24" x14ac:dyDescent="0.35">
      <c r="A473" s="3">
        <v>8.49</v>
      </c>
      <c r="B473" s="3">
        <v>82.73</v>
      </c>
      <c r="C473" s="3">
        <v>154.22</v>
      </c>
      <c r="D473" s="3">
        <v>19.38</v>
      </c>
      <c r="E473" s="3">
        <v>38.42</v>
      </c>
      <c r="F473" s="3">
        <v>99.395795000000007</v>
      </c>
      <c r="G473" s="3">
        <v>93.761317000000005</v>
      </c>
      <c r="H473" s="3">
        <v>91.169296000000003</v>
      </c>
      <c r="I473" s="17">
        <f t="shared" si="120"/>
        <v>6.9269521410579321E-2</v>
      </c>
      <c r="J473" s="17">
        <f t="shared" si="121"/>
        <v>1.6214224296769528E-2</v>
      </c>
      <c r="K473" s="17">
        <f t="shared" si="122"/>
        <v>8.3692951484242266E-3</v>
      </c>
      <c r="L473" s="17">
        <f t="shared" si="123"/>
        <v>-2.0222446916076952E-2</v>
      </c>
      <c r="M473" s="17">
        <f t="shared" si="124"/>
        <v>-7.2351421188630782E-3</v>
      </c>
      <c r="N473" s="17">
        <f t="shared" si="125"/>
        <v>1.2727424874377558E-2</v>
      </c>
      <c r="O473" s="17">
        <f t="shared" si="126"/>
        <v>1.5446801796882421E-2</v>
      </c>
      <c r="P473" s="17">
        <f t="shared" si="127"/>
        <v>1.8824905078243918E-2</v>
      </c>
      <c r="Q473" s="22">
        <f t="shared" si="128"/>
        <v>6.8875047540194592E-2</v>
      </c>
      <c r="R473" s="22">
        <f t="shared" si="129"/>
        <v>1.5783499582692366E-2</v>
      </c>
      <c r="S473" s="22">
        <f t="shared" si="130"/>
        <v>7.9573357615867792E-3</v>
      </c>
      <c r="T473" s="22">
        <f t="shared" si="131"/>
        <v>-2.0353898425309869E-2</v>
      </c>
      <c r="U473" s="22">
        <f t="shared" si="132"/>
        <v>-7.9283700658168404E-3</v>
      </c>
      <c r="V473" s="22">
        <f t="shared" si="133"/>
        <v>1.2962028683880737E-2</v>
      </c>
      <c r="W473" s="22">
        <f t="shared" si="134"/>
        <v>1.5701050350973123E-2</v>
      </c>
      <c r="X473" s="22">
        <f t="shared" si="135"/>
        <v>1.9140849462850256E-2</v>
      </c>
    </row>
    <row r="474" spans="1:24" x14ac:dyDescent="0.35">
      <c r="A474" s="3">
        <v>8.98</v>
      </c>
      <c r="B474" s="3">
        <v>83.2</v>
      </c>
      <c r="C474" s="3">
        <v>151.54</v>
      </c>
      <c r="D474" s="3">
        <v>19.66</v>
      </c>
      <c r="E474" s="3">
        <v>39.08</v>
      </c>
      <c r="F474" s="3">
        <v>100.803449</v>
      </c>
      <c r="G474" s="3">
        <v>95.221130000000002</v>
      </c>
      <c r="H474" s="3">
        <v>93.049555999999995</v>
      </c>
      <c r="I474" s="17">
        <f t="shared" si="120"/>
        <v>5.7714958775029468E-2</v>
      </c>
      <c r="J474" s="17">
        <f t="shared" si="121"/>
        <v>5.6811313912728013E-3</v>
      </c>
      <c r="K474" s="17">
        <f t="shared" si="122"/>
        <v>-1.7377772014006011E-2</v>
      </c>
      <c r="L474" s="17">
        <f t="shared" si="123"/>
        <v>1.4447884416924723E-2</v>
      </c>
      <c r="M474" s="17">
        <f t="shared" si="124"/>
        <v>1.7178552837063939E-2</v>
      </c>
      <c r="N474" s="17">
        <f t="shared" si="125"/>
        <v>1.4162108165642154E-2</v>
      </c>
      <c r="O474" s="17">
        <f t="shared" si="126"/>
        <v>1.5569459204588571E-2</v>
      </c>
      <c r="P474" s="17">
        <f t="shared" si="127"/>
        <v>2.0623829320783531E-2</v>
      </c>
      <c r="Q474" s="22">
        <f t="shared" si="128"/>
        <v>5.7320484904644732E-2</v>
      </c>
      <c r="R474" s="22">
        <f t="shared" si="129"/>
        <v>5.2504066771956381E-3</v>
      </c>
      <c r="S474" s="22">
        <f t="shared" si="130"/>
        <v>-1.7789731400843459E-2</v>
      </c>
      <c r="T474" s="22">
        <f t="shared" si="131"/>
        <v>1.4316432907691806E-2</v>
      </c>
      <c r="U474" s="22">
        <f t="shared" si="132"/>
        <v>1.6485324890110176E-2</v>
      </c>
      <c r="V474" s="22">
        <f t="shared" si="133"/>
        <v>1.4396711975145334E-2</v>
      </c>
      <c r="W474" s="22">
        <f t="shared" si="134"/>
        <v>1.5823707758679275E-2</v>
      </c>
      <c r="X474" s="22">
        <f t="shared" si="135"/>
        <v>2.093977370538987E-2</v>
      </c>
    </row>
    <row r="475" spans="1:24" x14ac:dyDescent="0.35">
      <c r="A475" s="3">
        <v>8.75</v>
      </c>
      <c r="B475" s="3">
        <v>85.45</v>
      </c>
      <c r="C475" s="3">
        <v>150.44</v>
      </c>
      <c r="D475" s="3">
        <v>19.68</v>
      </c>
      <c r="E475" s="3">
        <v>38.369999999999997</v>
      </c>
      <c r="F475" s="3">
        <v>100.876463</v>
      </c>
      <c r="G475" s="3">
        <v>95.300566000000003</v>
      </c>
      <c r="H475" s="3">
        <v>93.072753000000006</v>
      </c>
      <c r="I475" s="17">
        <f t="shared" si="120"/>
        <v>-2.5612472160356392E-2</v>
      </c>
      <c r="J475" s="17">
        <f t="shared" si="121"/>
        <v>2.7043269230769228E-2</v>
      </c>
      <c r="K475" s="17">
        <f t="shared" si="122"/>
        <v>-7.2588095552329045E-3</v>
      </c>
      <c r="L475" s="17">
        <f t="shared" si="123"/>
        <v>1.0172939979653903E-3</v>
      </c>
      <c r="M475" s="17">
        <f t="shared" si="124"/>
        <v>-1.8167860798362356E-2</v>
      </c>
      <c r="N475" s="17">
        <f t="shared" si="125"/>
        <v>7.2432045455111938E-4</v>
      </c>
      <c r="O475" s="17">
        <f t="shared" si="126"/>
        <v>8.3422660495628622E-4</v>
      </c>
      <c r="P475" s="17">
        <f t="shared" si="127"/>
        <v>2.4929726693172346E-4</v>
      </c>
      <c r="Q475" s="22">
        <f t="shared" si="128"/>
        <v>-2.6006946030741124E-2</v>
      </c>
      <c r="R475" s="22">
        <f t="shared" si="129"/>
        <v>2.6612544516692066E-2</v>
      </c>
      <c r="S475" s="22">
        <f t="shared" si="130"/>
        <v>-7.6707689420703511E-3</v>
      </c>
      <c r="T475" s="22">
        <f t="shared" si="131"/>
        <v>8.8584248873247199E-4</v>
      </c>
      <c r="U475" s="22">
        <f t="shared" si="132"/>
        <v>-1.8861088745316119E-2</v>
      </c>
      <c r="V475" s="22">
        <f t="shared" si="133"/>
        <v>9.5892426405429969E-4</v>
      </c>
      <c r="W475" s="22">
        <f t="shared" si="134"/>
        <v>1.0884751590469893E-3</v>
      </c>
      <c r="X475" s="22">
        <f t="shared" si="135"/>
        <v>5.6524165153806218E-4</v>
      </c>
    </row>
    <row r="476" spans="1:24" x14ac:dyDescent="0.35">
      <c r="A476" s="3">
        <v>8.74</v>
      </c>
      <c r="B476" s="3">
        <v>85.42</v>
      </c>
      <c r="C476" s="3">
        <v>152.94</v>
      </c>
      <c r="D476" s="3">
        <v>19.43</v>
      </c>
      <c r="E476" s="3">
        <v>38.409999999999997</v>
      </c>
      <c r="F476" s="3">
        <v>100.853286</v>
      </c>
      <c r="G476" s="3">
        <v>95.324196999999998</v>
      </c>
      <c r="H476" s="3">
        <v>93.298029</v>
      </c>
      <c r="I476" s="17">
        <f t="shared" si="120"/>
        <v>-1.1428571428571184E-3</v>
      </c>
      <c r="J476" s="17">
        <f t="shared" si="121"/>
        <v>-3.5108250438854461E-4</v>
      </c>
      <c r="K476" s="17">
        <f t="shared" si="122"/>
        <v>1.6617920765753788E-2</v>
      </c>
      <c r="L476" s="17">
        <f t="shared" si="123"/>
        <v>-1.2703252032520325E-2</v>
      </c>
      <c r="M476" s="17">
        <f t="shared" si="124"/>
        <v>1.0424811050299492E-3</v>
      </c>
      <c r="N476" s="17">
        <f t="shared" si="125"/>
        <v>-2.2975627129198612E-4</v>
      </c>
      <c r="O476" s="17">
        <f t="shared" si="126"/>
        <v>2.4796285050389551E-4</v>
      </c>
      <c r="P476" s="17">
        <f t="shared" si="127"/>
        <v>2.4204291023818087E-3</v>
      </c>
      <c r="Q476" s="22">
        <f t="shared" si="128"/>
        <v>-1.5373310132418517E-3</v>
      </c>
      <c r="R476" s="22">
        <f t="shared" si="129"/>
        <v>-7.8180721846570812E-4</v>
      </c>
      <c r="S476" s="22">
        <f t="shared" si="130"/>
        <v>1.6205961378916341E-2</v>
      </c>
      <c r="T476" s="22">
        <f t="shared" si="131"/>
        <v>-1.2834703541753242E-2</v>
      </c>
      <c r="U476" s="22">
        <f t="shared" si="132"/>
        <v>3.4925315807618669E-4</v>
      </c>
      <c r="V476" s="22">
        <f t="shared" si="133"/>
        <v>4.8475382111941615E-6</v>
      </c>
      <c r="W476" s="22">
        <f t="shared" si="134"/>
        <v>5.0221140459459851E-4</v>
      </c>
      <c r="X476" s="22">
        <f t="shared" si="135"/>
        <v>2.7363734869881476E-3</v>
      </c>
    </row>
    <row r="477" spans="1:24" x14ac:dyDescent="0.35">
      <c r="A477" s="3">
        <v>8.89</v>
      </c>
      <c r="B477" s="3">
        <v>85.88</v>
      </c>
      <c r="C477" s="3">
        <v>150.72</v>
      </c>
      <c r="D477" s="3">
        <v>19.170000000000002</v>
      </c>
      <c r="E477" s="3">
        <v>38.44</v>
      </c>
      <c r="F477" s="3">
        <v>101.11885700000001</v>
      </c>
      <c r="G477" s="3">
        <v>95.571376000000001</v>
      </c>
      <c r="H477" s="3">
        <v>93.591583</v>
      </c>
      <c r="I477" s="17">
        <f t="shared" si="120"/>
        <v>1.7162471395881049E-2</v>
      </c>
      <c r="J477" s="17">
        <f t="shared" si="121"/>
        <v>5.3851557012408536E-3</v>
      </c>
      <c r="K477" s="17">
        <f t="shared" si="122"/>
        <v>-1.4515496273048246E-2</v>
      </c>
      <c r="L477" s="17">
        <f t="shared" si="123"/>
        <v>-1.3381369016983943E-2</v>
      </c>
      <c r="M477" s="17">
        <f t="shared" si="124"/>
        <v>7.8104660244730903E-4</v>
      </c>
      <c r="N477" s="17">
        <f t="shared" si="125"/>
        <v>2.6332409238505965E-3</v>
      </c>
      <c r="O477" s="17">
        <f t="shared" si="126"/>
        <v>2.5930352185395563E-3</v>
      </c>
      <c r="P477" s="17">
        <f t="shared" si="127"/>
        <v>3.1464115924678356E-3</v>
      </c>
      <c r="Q477" s="22">
        <f t="shared" si="128"/>
        <v>1.6767997525496316E-2</v>
      </c>
      <c r="R477" s="22">
        <f t="shared" si="129"/>
        <v>4.9544309871636903E-3</v>
      </c>
      <c r="S477" s="22">
        <f t="shared" si="130"/>
        <v>-1.4927455659885694E-2</v>
      </c>
      <c r="T477" s="22">
        <f t="shared" si="131"/>
        <v>-1.351282052621686E-2</v>
      </c>
      <c r="U477" s="22">
        <f t="shared" si="132"/>
        <v>8.7818655493546519E-5</v>
      </c>
      <c r="V477" s="22">
        <f t="shared" si="133"/>
        <v>2.8678447333537766E-3</v>
      </c>
      <c r="W477" s="22">
        <f t="shared" si="134"/>
        <v>2.8472837726302592E-3</v>
      </c>
      <c r="X477" s="22">
        <f t="shared" si="135"/>
        <v>3.4623559770741745E-3</v>
      </c>
    </row>
    <row r="478" spans="1:24" x14ac:dyDescent="0.35">
      <c r="A478" s="3">
        <v>8.7899999999999991</v>
      </c>
      <c r="B478" s="3">
        <v>85.67</v>
      </c>
      <c r="C478" s="3">
        <v>149.16999999999999</v>
      </c>
      <c r="D478" s="3">
        <v>19.45</v>
      </c>
      <c r="E478" s="3">
        <v>39.229999999999997</v>
      </c>
      <c r="F478" s="3">
        <v>100.834137</v>
      </c>
      <c r="G478" s="3">
        <v>95.331023000000002</v>
      </c>
      <c r="H478" s="3">
        <v>93.279302000000001</v>
      </c>
      <c r="I478" s="17">
        <f t="shared" si="120"/>
        <v>-1.1248593925759439E-2</v>
      </c>
      <c r="J478" s="17">
        <f t="shared" si="121"/>
        <v>-2.4452724732183717E-3</v>
      </c>
      <c r="K478" s="17">
        <f t="shared" si="122"/>
        <v>-1.0283970276008568E-2</v>
      </c>
      <c r="L478" s="17">
        <f t="shared" si="123"/>
        <v>1.4606155451225747E-2</v>
      </c>
      <c r="M478" s="17">
        <f t="shared" si="124"/>
        <v>2.0551508844953152E-2</v>
      </c>
      <c r="N478" s="17">
        <f t="shared" si="125"/>
        <v>-2.8156963839099484E-3</v>
      </c>
      <c r="O478" s="17">
        <f t="shared" si="126"/>
        <v>-2.5149057182141956E-3</v>
      </c>
      <c r="P478" s="17">
        <f t="shared" si="127"/>
        <v>-3.336635517747346E-3</v>
      </c>
      <c r="Q478" s="22">
        <f t="shared" si="128"/>
        <v>-1.1643067796144173E-2</v>
      </c>
      <c r="R478" s="22">
        <f t="shared" si="129"/>
        <v>-2.8759971872955353E-3</v>
      </c>
      <c r="S478" s="22">
        <f t="shared" si="130"/>
        <v>-1.0695929662846016E-2</v>
      </c>
      <c r="T478" s="22">
        <f t="shared" si="131"/>
        <v>1.4474703941992829E-2</v>
      </c>
      <c r="U478" s="22">
        <f t="shared" si="132"/>
        <v>1.9858280897999389E-2</v>
      </c>
      <c r="V478" s="22">
        <f t="shared" si="133"/>
        <v>-2.5810925744067684E-3</v>
      </c>
      <c r="W478" s="22">
        <f t="shared" si="134"/>
        <v>-2.2606571641234927E-3</v>
      </c>
      <c r="X478" s="22">
        <f t="shared" si="135"/>
        <v>-3.0206911331410072E-3</v>
      </c>
    </row>
    <row r="479" spans="1:24" x14ac:dyDescent="0.35">
      <c r="A479" s="3">
        <v>8.76</v>
      </c>
      <c r="B479" s="3">
        <v>87.56</v>
      </c>
      <c r="C479" s="3">
        <v>152.84</v>
      </c>
      <c r="D479" s="3">
        <v>19.46</v>
      </c>
      <c r="E479" s="3">
        <v>39.97</v>
      </c>
      <c r="F479" s="3">
        <v>100.429338</v>
      </c>
      <c r="G479" s="3">
        <v>94.910865999999999</v>
      </c>
      <c r="H479" s="3">
        <v>92.699826999999999</v>
      </c>
      <c r="I479" s="17">
        <f t="shared" si="120"/>
        <v>-3.4129692832763781E-3</v>
      </c>
      <c r="J479" s="17">
        <f t="shared" si="121"/>
        <v>2.2061398389167743E-2</v>
      </c>
      <c r="K479" s="17">
        <f t="shared" si="122"/>
        <v>2.4602802172018611E-2</v>
      </c>
      <c r="L479" s="17">
        <f t="shared" si="123"/>
        <v>5.141388174808002E-4</v>
      </c>
      <c r="M479" s="17">
        <f t="shared" si="124"/>
        <v>1.8863114963038542E-2</v>
      </c>
      <c r="N479" s="17">
        <f t="shared" si="125"/>
        <v>-4.0145035406015028E-3</v>
      </c>
      <c r="O479" s="17">
        <f t="shared" si="126"/>
        <v>-4.4073480675855458E-3</v>
      </c>
      <c r="P479" s="17">
        <f t="shared" si="127"/>
        <v>-6.2122570342561332E-3</v>
      </c>
      <c r="Q479" s="22">
        <f t="shared" si="128"/>
        <v>-3.8074431536611114E-3</v>
      </c>
      <c r="R479" s="22">
        <f t="shared" si="129"/>
        <v>2.163067367509058E-2</v>
      </c>
      <c r="S479" s="22">
        <f t="shared" si="130"/>
        <v>2.4190842785181164E-2</v>
      </c>
      <c r="T479" s="22">
        <f t="shared" si="131"/>
        <v>3.8268730824788191E-4</v>
      </c>
      <c r="U479" s="22">
        <f t="shared" si="132"/>
        <v>1.8169887016084778E-2</v>
      </c>
      <c r="V479" s="22">
        <f t="shared" si="133"/>
        <v>-3.7798997310983227E-3</v>
      </c>
      <c r="W479" s="22">
        <f t="shared" si="134"/>
        <v>-4.1530995134948425E-3</v>
      </c>
      <c r="X479" s="22">
        <f t="shared" si="135"/>
        <v>-5.8963126496497948E-3</v>
      </c>
    </row>
    <row r="480" spans="1:24" x14ac:dyDescent="0.35">
      <c r="A480" s="3">
        <v>8.7100000000000009</v>
      </c>
      <c r="B480" s="3">
        <v>85.27</v>
      </c>
      <c r="C480" s="3">
        <v>152.41</v>
      </c>
      <c r="D480" s="3">
        <v>19.98</v>
      </c>
      <c r="E480" s="3">
        <v>41.03</v>
      </c>
      <c r="F480" s="3">
        <v>100.50210300000001</v>
      </c>
      <c r="G480" s="3">
        <v>95.045332000000002</v>
      </c>
      <c r="H480" s="3">
        <v>92.923394000000002</v>
      </c>
      <c r="I480" s="17">
        <f t="shared" si="120"/>
        <v>-5.7077625570775038E-3</v>
      </c>
      <c r="J480" s="17">
        <f t="shared" si="121"/>
        <v>-2.615349474645964E-2</v>
      </c>
      <c r="K480" s="17">
        <f t="shared" si="122"/>
        <v>-2.8133996336038134E-3</v>
      </c>
      <c r="L480" s="17">
        <f t="shared" si="123"/>
        <v>2.6721479958890008E-2</v>
      </c>
      <c r="M480" s="17">
        <f t="shared" si="124"/>
        <v>2.6519889917438137E-2</v>
      </c>
      <c r="N480" s="17">
        <f t="shared" si="125"/>
        <v>7.2453927755656384E-4</v>
      </c>
      <c r="O480" s="17">
        <f t="shared" si="126"/>
        <v>1.416760858551257E-3</v>
      </c>
      <c r="P480" s="17">
        <f t="shared" si="127"/>
        <v>2.4117304986988027E-3</v>
      </c>
      <c r="Q480" s="22">
        <f t="shared" si="128"/>
        <v>-6.1022364274622371E-3</v>
      </c>
      <c r="R480" s="22">
        <f t="shared" si="129"/>
        <v>-2.6584219460536802E-2</v>
      </c>
      <c r="S480" s="22">
        <f t="shared" si="130"/>
        <v>-3.2253590204412604E-3</v>
      </c>
      <c r="T480" s="22">
        <f t="shared" si="131"/>
        <v>2.6590028449657091E-2</v>
      </c>
      <c r="U480" s="22">
        <f t="shared" si="132"/>
        <v>2.5826661970484374E-2</v>
      </c>
      <c r="V480" s="22">
        <f t="shared" si="133"/>
        <v>9.5914308705974415E-4</v>
      </c>
      <c r="W480" s="22">
        <f t="shared" si="134"/>
        <v>1.6710094126419599E-3</v>
      </c>
      <c r="X480" s="22">
        <f t="shared" si="135"/>
        <v>2.7276748833051415E-3</v>
      </c>
    </row>
    <row r="481" spans="1:24" x14ac:dyDescent="0.35">
      <c r="A481" s="3">
        <v>8.93</v>
      </c>
      <c r="B481" s="3">
        <v>86.9</v>
      </c>
      <c r="C481" s="3">
        <v>153.94999999999999</v>
      </c>
      <c r="D481" s="3">
        <v>19.78</v>
      </c>
      <c r="E481" s="3">
        <v>40.5</v>
      </c>
      <c r="F481" s="3">
        <v>101.148836</v>
      </c>
      <c r="G481" s="3">
        <v>95.848545999999999</v>
      </c>
      <c r="H481" s="3">
        <v>93.821513999999993</v>
      </c>
      <c r="I481" s="17">
        <f t="shared" si="120"/>
        <v>2.5258323765786319E-2</v>
      </c>
      <c r="J481" s="17">
        <f t="shared" si="121"/>
        <v>1.9115749970681481E-2</v>
      </c>
      <c r="K481" s="17">
        <f t="shared" si="122"/>
        <v>1.0104323863263513E-2</v>
      </c>
      <c r="L481" s="17">
        <f t="shared" si="123"/>
        <v>-1.0010010010009973E-2</v>
      </c>
      <c r="M481" s="17">
        <f t="shared" si="124"/>
        <v>-1.291737752863761E-2</v>
      </c>
      <c r="N481" s="17">
        <f t="shared" si="125"/>
        <v>6.435019573669991E-3</v>
      </c>
      <c r="O481" s="17">
        <f t="shared" si="126"/>
        <v>8.4508516420353716E-3</v>
      </c>
      <c r="P481" s="17">
        <f t="shared" si="127"/>
        <v>9.6651656955189513E-3</v>
      </c>
      <c r="Q481" s="22">
        <f t="shared" si="128"/>
        <v>2.4863849895401587E-2</v>
      </c>
      <c r="R481" s="22">
        <f t="shared" si="129"/>
        <v>1.8685025256604319E-2</v>
      </c>
      <c r="S481" s="22">
        <f t="shared" si="130"/>
        <v>9.6923644764260655E-3</v>
      </c>
      <c r="T481" s="22">
        <f t="shared" si="131"/>
        <v>-1.0141461519242891E-2</v>
      </c>
      <c r="U481" s="22">
        <f t="shared" si="132"/>
        <v>-1.3610605475591373E-2</v>
      </c>
      <c r="V481" s="22">
        <f t="shared" si="133"/>
        <v>6.6696233831731715E-3</v>
      </c>
      <c r="W481" s="22">
        <f t="shared" si="134"/>
        <v>8.7051001961260741E-3</v>
      </c>
      <c r="X481" s="22">
        <f t="shared" si="135"/>
        <v>9.9811100801252897E-3</v>
      </c>
    </row>
    <row r="482" spans="1:24" x14ac:dyDescent="0.35">
      <c r="A482" s="3">
        <v>8.9700000000000006</v>
      </c>
      <c r="B482" s="3">
        <v>87.26</v>
      </c>
      <c r="C482" s="3">
        <v>153.49</v>
      </c>
      <c r="D482" s="3">
        <v>19.920000000000002</v>
      </c>
      <c r="E482" s="3">
        <v>40.39</v>
      </c>
      <c r="F482" s="3">
        <v>101.271674</v>
      </c>
      <c r="G482" s="3">
        <v>95.863484</v>
      </c>
      <c r="H482" s="3">
        <v>93.891099999999994</v>
      </c>
      <c r="I482" s="17">
        <f t="shared" si="120"/>
        <v>4.4792833146697561E-3</v>
      </c>
      <c r="J482" s="17">
        <f t="shared" si="121"/>
        <v>4.14269275028768E-3</v>
      </c>
      <c r="K482" s="17">
        <f t="shared" si="122"/>
        <v>-2.9879831113996725E-3</v>
      </c>
      <c r="L482" s="17">
        <f t="shared" si="123"/>
        <v>7.0778564206269243E-3</v>
      </c>
      <c r="M482" s="17">
        <f t="shared" si="124"/>
        <v>-2.7160493827160354E-3</v>
      </c>
      <c r="N482" s="17">
        <f t="shared" si="125"/>
        <v>1.2144282115120093E-3</v>
      </c>
      <c r="O482" s="17">
        <f t="shared" si="126"/>
        <v>1.5585004283738205E-4</v>
      </c>
      <c r="P482" s="17">
        <f t="shared" si="127"/>
        <v>7.4168489755986079E-4</v>
      </c>
      <c r="Q482" s="22">
        <f t="shared" si="128"/>
        <v>4.0848094442850228E-3</v>
      </c>
      <c r="R482" s="22">
        <f t="shared" si="129"/>
        <v>3.7119680362105163E-3</v>
      </c>
      <c r="S482" s="22">
        <f t="shared" si="130"/>
        <v>-3.3999424982371195E-3</v>
      </c>
      <c r="T482" s="22">
        <f t="shared" si="131"/>
        <v>6.946404911394006E-3</v>
      </c>
      <c r="U482" s="22">
        <f t="shared" si="132"/>
        <v>-3.409277329669798E-3</v>
      </c>
      <c r="V482" s="22">
        <f t="shared" si="133"/>
        <v>1.4490320210151896E-3</v>
      </c>
      <c r="W482" s="22">
        <f t="shared" si="134"/>
        <v>4.1009859692808505E-4</v>
      </c>
      <c r="X482" s="22">
        <f t="shared" si="135"/>
        <v>1.0576292821661995E-3</v>
      </c>
    </row>
    <row r="483" spans="1:24" x14ac:dyDescent="0.35">
      <c r="A483" s="3">
        <v>8.75</v>
      </c>
      <c r="B483" s="3">
        <v>86.45</v>
      </c>
      <c r="C483" s="3">
        <v>156.54</v>
      </c>
      <c r="D483" s="3">
        <v>19.77</v>
      </c>
      <c r="E483" s="3">
        <v>40.51</v>
      </c>
      <c r="F483" s="3">
        <v>101.200727</v>
      </c>
      <c r="G483" s="3">
        <v>95.887127000000007</v>
      </c>
      <c r="H483" s="3">
        <v>93.914306999999994</v>
      </c>
      <c r="I483" s="17">
        <f t="shared" si="120"/>
        <v>-2.4526198439241986E-2</v>
      </c>
      <c r="J483" s="17">
        <f t="shared" si="121"/>
        <v>-9.2826037130415099E-3</v>
      </c>
      <c r="K483" s="17">
        <f t="shared" si="122"/>
        <v>1.9871001368167194E-2</v>
      </c>
      <c r="L483" s="17">
        <f t="shared" si="123"/>
        <v>-7.5301204819278175E-3</v>
      </c>
      <c r="M483" s="17">
        <f t="shared" si="124"/>
        <v>2.9710324337706719E-3</v>
      </c>
      <c r="N483" s="17">
        <f t="shared" si="125"/>
        <v>-7.0056114605159849E-4</v>
      </c>
      <c r="O483" s="17">
        <f t="shared" si="126"/>
        <v>2.4663197093908004E-4</v>
      </c>
      <c r="P483" s="17">
        <f t="shared" si="127"/>
        <v>2.4716932701820846E-4</v>
      </c>
      <c r="Q483" s="22">
        <f t="shared" si="128"/>
        <v>-2.4920672309626718E-2</v>
      </c>
      <c r="R483" s="22">
        <f t="shared" si="129"/>
        <v>-9.713328427118674E-3</v>
      </c>
      <c r="S483" s="22">
        <f t="shared" si="130"/>
        <v>1.9459041981329746E-2</v>
      </c>
      <c r="T483" s="22">
        <f t="shared" si="131"/>
        <v>-7.6615719911607358E-3</v>
      </c>
      <c r="U483" s="22">
        <f t="shared" si="132"/>
        <v>2.2778044868169093E-3</v>
      </c>
      <c r="V483" s="22">
        <f t="shared" si="133"/>
        <v>-4.6595733654841817E-4</v>
      </c>
      <c r="W483" s="22">
        <f t="shared" si="134"/>
        <v>5.0088052502978309E-4</v>
      </c>
      <c r="X483" s="22">
        <f t="shared" si="135"/>
        <v>5.6311371162454723E-4</v>
      </c>
    </row>
    <row r="484" spans="1:24" x14ac:dyDescent="0.35">
      <c r="A484" s="3">
        <v>8.6</v>
      </c>
      <c r="B484" s="3">
        <v>84.11</v>
      </c>
      <c r="C484" s="3">
        <v>153.22</v>
      </c>
      <c r="D484" s="3">
        <v>19.28</v>
      </c>
      <c r="E484" s="3">
        <v>39.58</v>
      </c>
      <c r="F484" s="3">
        <v>100.843433</v>
      </c>
      <c r="G484" s="3">
        <v>95.465148999999997</v>
      </c>
      <c r="H484" s="3">
        <v>93.398110000000003</v>
      </c>
      <c r="I484" s="17">
        <f t="shared" si="120"/>
        <v>-1.7142857142857182E-2</v>
      </c>
      <c r="J484" s="17">
        <f t="shared" si="121"/>
        <v>-2.7067669172932369E-2</v>
      </c>
      <c r="K484" s="17">
        <f t="shared" si="122"/>
        <v>-2.1208636770154551E-2</v>
      </c>
      <c r="L484" s="17">
        <f t="shared" si="123"/>
        <v>-2.4785027819929108E-2</v>
      </c>
      <c r="M484" s="17">
        <f t="shared" si="124"/>
        <v>-2.2957294495186367E-2</v>
      </c>
      <c r="N484" s="17">
        <f t="shared" si="125"/>
        <v>-3.5305477598001444E-3</v>
      </c>
      <c r="O484" s="17">
        <f t="shared" si="126"/>
        <v>-4.4007784277446324E-3</v>
      </c>
      <c r="P484" s="17">
        <f t="shared" si="127"/>
        <v>-5.496468179230574E-3</v>
      </c>
      <c r="Q484" s="22">
        <f t="shared" si="128"/>
        <v>-1.7537331013241914E-2</v>
      </c>
      <c r="R484" s="22">
        <f t="shared" si="129"/>
        <v>-2.7498393887009531E-2</v>
      </c>
      <c r="S484" s="22">
        <f t="shared" si="130"/>
        <v>-2.1620596156991998E-2</v>
      </c>
      <c r="T484" s="22">
        <f t="shared" si="131"/>
        <v>-2.4916479329162026E-2</v>
      </c>
      <c r="U484" s="22">
        <f t="shared" si="132"/>
        <v>-2.365052244214013E-2</v>
      </c>
      <c r="V484" s="22">
        <f t="shared" si="133"/>
        <v>-3.2959439502969643E-3</v>
      </c>
      <c r="W484" s="22">
        <f t="shared" si="134"/>
        <v>-4.1465298736539291E-3</v>
      </c>
      <c r="X484" s="22">
        <f t="shared" si="135"/>
        <v>-5.1805237946242356E-3</v>
      </c>
    </row>
    <row r="485" spans="1:24" x14ac:dyDescent="0.35">
      <c r="A485" s="3">
        <v>8.4600000000000009</v>
      </c>
      <c r="B485" s="3">
        <v>81.680000000000007</v>
      </c>
      <c r="C485" s="3">
        <v>149.63999999999999</v>
      </c>
      <c r="D485" s="3">
        <v>18.64</v>
      </c>
      <c r="E485" s="3">
        <v>38.42</v>
      </c>
      <c r="F485" s="3">
        <v>100.535707</v>
      </c>
      <c r="G485" s="3">
        <v>95.101324000000005</v>
      </c>
      <c r="H485" s="3">
        <v>93.019768999999997</v>
      </c>
      <c r="I485" s="17">
        <f t="shared" si="120"/>
        <v>-1.6279069767441721E-2</v>
      </c>
      <c r="J485" s="17">
        <f t="shared" si="121"/>
        <v>-2.889073831886806E-2</v>
      </c>
      <c r="K485" s="17">
        <f t="shared" si="122"/>
        <v>-2.3365095940477826E-2</v>
      </c>
      <c r="L485" s="17">
        <f t="shared" si="123"/>
        <v>-3.3195020746887995E-2</v>
      </c>
      <c r="M485" s="17">
        <f t="shared" si="124"/>
        <v>-2.9307731177362219E-2</v>
      </c>
      <c r="N485" s="17">
        <f t="shared" si="125"/>
        <v>-3.051522452632115E-3</v>
      </c>
      <c r="O485" s="17">
        <f t="shared" si="126"/>
        <v>-3.8110766474579263E-3</v>
      </c>
      <c r="P485" s="17">
        <f t="shared" si="127"/>
        <v>-4.0508421423089396E-3</v>
      </c>
      <c r="Q485" s="22">
        <f t="shared" si="128"/>
        <v>-1.6673543637826454E-2</v>
      </c>
      <c r="R485" s="22">
        <f t="shared" si="129"/>
        <v>-2.9321463032945222E-2</v>
      </c>
      <c r="S485" s="22">
        <f t="shared" si="130"/>
        <v>-2.3777055327315274E-2</v>
      </c>
      <c r="T485" s="22">
        <f t="shared" si="131"/>
        <v>-3.3326472256120912E-2</v>
      </c>
      <c r="U485" s="22">
        <f t="shared" si="132"/>
        <v>-3.0000959124315982E-2</v>
      </c>
      <c r="V485" s="22">
        <f t="shared" si="133"/>
        <v>-2.8169186431289349E-3</v>
      </c>
      <c r="W485" s="22">
        <f t="shared" si="134"/>
        <v>-3.5568280933672234E-3</v>
      </c>
      <c r="X485" s="22">
        <f t="shared" si="135"/>
        <v>-3.7348977577026008E-3</v>
      </c>
    </row>
    <row r="486" spans="1:24" x14ac:dyDescent="0.35">
      <c r="A486" s="3">
        <v>8.85</v>
      </c>
      <c r="B486" s="3">
        <v>81.94</v>
      </c>
      <c r="C486" s="3">
        <v>154.30000000000001</v>
      </c>
      <c r="D486" s="3">
        <v>18.77</v>
      </c>
      <c r="E486" s="3">
        <v>38.47</v>
      </c>
      <c r="F486" s="3">
        <v>100.70335300000001</v>
      </c>
      <c r="G486" s="3">
        <v>95.290968000000007</v>
      </c>
      <c r="H486" s="3">
        <v>93.243585999999993</v>
      </c>
      <c r="I486" s="17">
        <f t="shared" si="120"/>
        <v>4.6099290780141695E-2</v>
      </c>
      <c r="J486" s="17">
        <f t="shared" si="121"/>
        <v>3.183153770812817E-3</v>
      </c>
      <c r="K486" s="17">
        <f t="shared" si="122"/>
        <v>3.1141406041165633E-2</v>
      </c>
      <c r="L486" s="17">
        <f t="shared" si="123"/>
        <v>6.9742489270385732E-3</v>
      </c>
      <c r="M486" s="17">
        <f t="shared" si="124"/>
        <v>1.3014055179593222E-3</v>
      </c>
      <c r="N486" s="17">
        <f t="shared" si="125"/>
        <v>1.6675269414478265E-3</v>
      </c>
      <c r="O486" s="17">
        <f t="shared" si="126"/>
        <v>1.9941257600157203E-3</v>
      </c>
      <c r="P486" s="17">
        <f t="shared" si="127"/>
        <v>2.4061229393076309E-3</v>
      </c>
      <c r="Q486" s="22">
        <f t="shared" si="128"/>
        <v>4.570481690975696E-2</v>
      </c>
      <c r="R486" s="22">
        <f t="shared" si="129"/>
        <v>2.7524290567356533E-3</v>
      </c>
      <c r="S486" s="22">
        <f t="shared" si="130"/>
        <v>3.0729446654328186E-2</v>
      </c>
      <c r="T486" s="22">
        <f t="shared" si="131"/>
        <v>6.8427974178056549E-3</v>
      </c>
      <c r="U486" s="22">
        <f t="shared" si="132"/>
        <v>6.0817757100555968E-4</v>
      </c>
      <c r="V486" s="22">
        <f t="shared" si="133"/>
        <v>1.9021307509510068E-3</v>
      </c>
      <c r="W486" s="22">
        <f t="shared" si="134"/>
        <v>2.2483743141064232E-3</v>
      </c>
      <c r="X486" s="22">
        <f t="shared" si="135"/>
        <v>2.7220673239139698E-3</v>
      </c>
    </row>
    <row r="487" spans="1:24" x14ac:dyDescent="0.35">
      <c r="A487" s="3">
        <v>8.7100000000000009</v>
      </c>
      <c r="B487" s="3">
        <v>82.12</v>
      </c>
      <c r="C487" s="3">
        <v>152.06</v>
      </c>
      <c r="D487" s="3">
        <v>18.760000000000002</v>
      </c>
      <c r="E487" s="3">
        <v>39.56</v>
      </c>
      <c r="F487" s="3">
        <v>101.68626399999999</v>
      </c>
      <c r="G487" s="3">
        <v>96.308745000000002</v>
      </c>
      <c r="H487" s="3">
        <v>94.324866</v>
      </c>
      <c r="I487" s="17">
        <f t="shared" si="120"/>
        <v>-1.5819209039547887E-2</v>
      </c>
      <c r="J487" s="17">
        <f t="shared" si="121"/>
        <v>2.1967293141323752E-3</v>
      </c>
      <c r="K487" s="17">
        <f t="shared" si="122"/>
        <v>-1.4517174335709714E-2</v>
      </c>
      <c r="L487" s="17">
        <f t="shared" si="123"/>
        <v>-5.3276505061257385E-4</v>
      </c>
      <c r="M487" s="17">
        <f t="shared" si="124"/>
        <v>2.8333766571354391E-2</v>
      </c>
      <c r="N487" s="17">
        <f t="shared" si="125"/>
        <v>9.7604595151860249E-3</v>
      </c>
      <c r="O487" s="17">
        <f t="shared" si="126"/>
        <v>1.0680728943796595E-2</v>
      </c>
      <c r="P487" s="17">
        <f t="shared" si="127"/>
        <v>1.1596293604581089E-2</v>
      </c>
      <c r="Q487" s="22">
        <f t="shared" si="128"/>
        <v>-1.6213682909932619E-2</v>
      </c>
      <c r="R487" s="22">
        <f t="shared" si="129"/>
        <v>1.7660046000552117E-3</v>
      </c>
      <c r="S487" s="22">
        <f t="shared" si="130"/>
        <v>-1.4929133722547162E-2</v>
      </c>
      <c r="T487" s="22">
        <f t="shared" si="131"/>
        <v>-6.6421655984549215E-4</v>
      </c>
      <c r="U487" s="22">
        <f t="shared" si="132"/>
        <v>2.7640538624400628E-2</v>
      </c>
      <c r="V487" s="22">
        <f t="shared" si="133"/>
        <v>9.9950633246892046E-3</v>
      </c>
      <c r="W487" s="22">
        <f t="shared" si="134"/>
        <v>1.0934977497887298E-2</v>
      </c>
      <c r="X487" s="22">
        <f t="shared" si="135"/>
        <v>1.1912237989187427E-2</v>
      </c>
    </row>
    <row r="488" spans="1:24" x14ac:dyDescent="0.35">
      <c r="A488" s="3">
        <v>8.5</v>
      </c>
      <c r="B488" s="3">
        <v>82.86</v>
      </c>
      <c r="C488" s="3">
        <v>149.82</v>
      </c>
      <c r="D488" s="3">
        <v>18.309999999999999</v>
      </c>
      <c r="E488" s="3">
        <v>39.89</v>
      </c>
      <c r="F488" s="3">
        <v>102.337979</v>
      </c>
      <c r="G488" s="3">
        <v>97.064380999999997</v>
      </c>
      <c r="H488" s="3">
        <v>95.237069000000005</v>
      </c>
      <c r="I488" s="17">
        <f t="shared" si="120"/>
        <v>-2.4110218140068983E-2</v>
      </c>
      <c r="J488" s="17">
        <f t="shared" si="121"/>
        <v>9.0112031173891233E-3</v>
      </c>
      <c r="K488" s="17">
        <f t="shared" si="122"/>
        <v>-1.4731027226095022E-2</v>
      </c>
      <c r="L488" s="17">
        <f t="shared" si="123"/>
        <v>-2.3987206823027869E-2</v>
      </c>
      <c r="M488" s="17">
        <f t="shared" si="124"/>
        <v>8.3417593528816551E-3</v>
      </c>
      <c r="N488" s="17">
        <f t="shared" si="125"/>
        <v>6.4090760577063793E-3</v>
      </c>
      <c r="O488" s="17">
        <f t="shared" si="126"/>
        <v>7.845974942358511E-3</v>
      </c>
      <c r="P488" s="17">
        <f t="shared" si="127"/>
        <v>9.6708645204966973E-3</v>
      </c>
      <c r="Q488" s="22">
        <f t="shared" si="128"/>
        <v>-2.4504692010453716E-2</v>
      </c>
      <c r="R488" s="22">
        <f t="shared" si="129"/>
        <v>8.5804784033119592E-3</v>
      </c>
      <c r="S488" s="22">
        <f t="shared" si="130"/>
        <v>-1.5142986612932469E-2</v>
      </c>
      <c r="T488" s="22">
        <f t="shared" si="131"/>
        <v>-2.4118658332260786E-2</v>
      </c>
      <c r="U488" s="22">
        <f t="shared" si="132"/>
        <v>7.6485314059278929E-3</v>
      </c>
      <c r="V488" s="22">
        <f t="shared" si="133"/>
        <v>6.6436798672095598E-3</v>
      </c>
      <c r="W488" s="22">
        <f t="shared" si="134"/>
        <v>8.1002234964492135E-3</v>
      </c>
      <c r="X488" s="22">
        <f t="shared" si="135"/>
        <v>9.9868089051030357E-3</v>
      </c>
    </row>
    <row r="489" spans="1:24" x14ac:dyDescent="0.35">
      <c r="A489" s="3">
        <v>8.32</v>
      </c>
      <c r="B489" s="3">
        <v>83.62</v>
      </c>
      <c r="C489" s="3">
        <v>150.33000000000001</v>
      </c>
      <c r="D489" s="3">
        <v>18.36</v>
      </c>
      <c r="E489" s="3">
        <v>39.119999999999997</v>
      </c>
      <c r="F489" s="3">
        <v>102.024676</v>
      </c>
      <c r="G489" s="3">
        <v>96.749155999999999</v>
      </c>
      <c r="H489" s="3">
        <v>94.916901999999993</v>
      </c>
      <c r="I489" s="17">
        <f t="shared" si="120"/>
        <v>-2.1176470588235262E-2</v>
      </c>
      <c r="J489" s="17">
        <f t="shared" si="121"/>
        <v>9.1720975138788931E-3</v>
      </c>
      <c r="K489" s="17">
        <f t="shared" si="122"/>
        <v>3.4040849018823877E-3</v>
      </c>
      <c r="L489" s="17">
        <f t="shared" si="123"/>
        <v>2.7307482250136929E-3</v>
      </c>
      <c r="M489" s="17">
        <f t="shared" si="124"/>
        <v>-1.9303083479568894E-2</v>
      </c>
      <c r="N489" s="17">
        <f t="shared" si="125"/>
        <v>-3.0614538518491238E-3</v>
      </c>
      <c r="O489" s="17">
        <f t="shared" si="126"/>
        <v>-3.2475867743904747E-3</v>
      </c>
      <c r="P489" s="17">
        <f t="shared" si="127"/>
        <v>-3.3617897249653078E-3</v>
      </c>
      <c r="Q489" s="22">
        <f t="shared" si="128"/>
        <v>-2.1570944458619994E-2</v>
      </c>
      <c r="R489" s="22">
        <f t="shared" si="129"/>
        <v>8.741372799801729E-3</v>
      </c>
      <c r="S489" s="22">
        <f t="shared" si="130"/>
        <v>2.9921255150449407E-3</v>
      </c>
      <c r="T489" s="22">
        <f t="shared" si="131"/>
        <v>2.5992967157807746E-3</v>
      </c>
      <c r="U489" s="22">
        <f t="shared" si="132"/>
        <v>-1.9996311426522657E-2</v>
      </c>
      <c r="V489" s="22">
        <f t="shared" si="133"/>
        <v>-2.8268500423459437E-3</v>
      </c>
      <c r="W489" s="22">
        <f t="shared" si="134"/>
        <v>-2.9933382202997718E-3</v>
      </c>
      <c r="X489" s="22">
        <f t="shared" si="135"/>
        <v>-3.045845340358969E-3</v>
      </c>
    </row>
    <row r="490" spans="1:24" x14ac:dyDescent="0.35">
      <c r="A490" s="3">
        <v>8.4499999999999993</v>
      </c>
      <c r="B490" s="3">
        <v>82.49</v>
      </c>
      <c r="C490" s="3">
        <v>147.57</v>
      </c>
      <c r="D490" s="3">
        <v>18.420000000000002</v>
      </c>
      <c r="E490" s="3">
        <v>38.659999999999997</v>
      </c>
      <c r="F490" s="3">
        <v>97.319974000000002</v>
      </c>
      <c r="G490" s="3">
        <v>92.293775999999994</v>
      </c>
      <c r="H490" s="3">
        <v>90.340781000000007</v>
      </c>
      <c r="I490" s="17">
        <f t="shared" si="120"/>
        <v>1.562499999999988E-2</v>
      </c>
      <c r="J490" s="17">
        <f t="shared" si="121"/>
        <v>-1.3513513513513629E-2</v>
      </c>
      <c r="K490" s="17">
        <f t="shared" si="122"/>
        <v>-1.8359608860507012E-2</v>
      </c>
      <c r="L490" s="17">
        <f t="shared" si="123"/>
        <v>3.2679738562092745E-3</v>
      </c>
      <c r="M490" s="17">
        <f t="shared" si="124"/>
        <v>-1.175869120654399E-2</v>
      </c>
      <c r="N490" s="17">
        <f t="shared" si="125"/>
        <v>-4.6113373592090577E-2</v>
      </c>
      <c r="O490" s="17">
        <f t="shared" si="126"/>
        <v>-4.6050841001651792E-2</v>
      </c>
      <c r="P490" s="17">
        <f t="shared" si="127"/>
        <v>-4.8211866417637465E-2</v>
      </c>
      <c r="Q490" s="22">
        <f t="shared" si="128"/>
        <v>1.5230526129615146E-2</v>
      </c>
      <c r="R490" s="22">
        <f t="shared" si="129"/>
        <v>-1.3944238227590793E-2</v>
      </c>
      <c r="S490" s="22">
        <f t="shared" si="130"/>
        <v>-1.877156824734446E-2</v>
      </c>
      <c r="T490" s="22">
        <f t="shared" si="131"/>
        <v>3.1365223469763562E-3</v>
      </c>
      <c r="U490" s="22">
        <f t="shared" si="132"/>
        <v>-1.2451919153497753E-2</v>
      </c>
      <c r="V490" s="22">
        <f t="shared" si="133"/>
        <v>-4.5878769782587397E-2</v>
      </c>
      <c r="W490" s="22">
        <f t="shared" si="134"/>
        <v>-4.5796592447561089E-2</v>
      </c>
      <c r="X490" s="22">
        <f t="shared" si="135"/>
        <v>-4.7895922033031127E-2</v>
      </c>
    </row>
    <row r="491" spans="1:24" x14ac:dyDescent="0.35">
      <c r="A491" s="3">
        <v>8.33</v>
      </c>
      <c r="B491" s="3">
        <v>83.5</v>
      </c>
      <c r="C491" s="3">
        <v>145.43</v>
      </c>
      <c r="D491" s="3">
        <v>18.309999999999999</v>
      </c>
      <c r="E491" s="3">
        <v>38.729999999999997</v>
      </c>
      <c r="F491" s="3">
        <v>97.679839000000001</v>
      </c>
      <c r="G491" s="3">
        <v>92.596329999999995</v>
      </c>
      <c r="H491" s="3">
        <v>90.634686000000002</v>
      </c>
      <c r="I491" s="17">
        <f t="shared" si="120"/>
        <v>-1.4201183431952572E-2</v>
      </c>
      <c r="J491" s="17">
        <f t="shared" si="121"/>
        <v>1.2243908352527642E-2</v>
      </c>
      <c r="K491" s="17">
        <f t="shared" si="122"/>
        <v>-1.4501592464592983E-2</v>
      </c>
      <c r="L491" s="17">
        <f t="shared" si="123"/>
        <v>-5.9717698154181853E-3</v>
      </c>
      <c r="M491" s="17">
        <f t="shared" si="124"/>
        <v>1.8106570098292884E-3</v>
      </c>
      <c r="N491" s="17">
        <f t="shared" si="125"/>
        <v>3.6977506796292323E-3</v>
      </c>
      <c r="O491" s="17">
        <f t="shared" si="126"/>
        <v>3.278162549119246E-3</v>
      </c>
      <c r="P491" s="17">
        <f t="shared" si="127"/>
        <v>3.2532926630332673E-3</v>
      </c>
      <c r="Q491" s="22">
        <f t="shared" si="128"/>
        <v>-1.4595657302337306E-2</v>
      </c>
      <c r="R491" s="22">
        <f t="shared" si="129"/>
        <v>1.1813183638450478E-2</v>
      </c>
      <c r="S491" s="22">
        <f t="shared" si="130"/>
        <v>-1.491355185143043E-2</v>
      </c>
      <c r="T491" s="22">
        <f t="shared" si="131"/>
        <v>-6.1032213246511036E-3</v>
      </c>
      <c r="U491" s="22">
        <f t="shared" si="132"/>
        <v>1.117429062875526E-3</v>
      </c>
      <c r="V491" s="22">
        <f t="shared" si="133"/>
        <v>3.9323544891324124E-3</v>
      </c>
      <c r="W491" s="22">
        <f t="shared" si="134"/>
        <v>3.5324111032099489E-3</v>
      </c>
      <c r="X491" s="22">
        <f t="shared" si="135"/>
        <v>3.5692370476396061E-3</v>
      </c>
    </row>
    <row r="492" spans="1:24" x14ac:dyDescent="0.35">
      <c r="A492" s="3">
        <v>8.32</v>
      </c>
      <c r="B492" s="3">
        <v>85.53</v>
      </c>
      <c r="C492" s="3">
        <v>147.32</v>
      </c>
      <c r="D492" s="3">
        <v>18.21</v>
      </c>
      <c r="E492" s="3">
        <v>39.020000000000003</v>
      </c>
      <c r="F492" s="3">
        <v>98.402219000000002</v>
      </c>
      <c r="G492" s="3">
        <v>93.362566000000001</v>
      </c>
      <c r="H492" s="3">
        <v>91.407390000000007</v>
      </c>
      <c r="I492" s="17">
        <f t="shared" si="120"/>
        <v>-1.2004801920768051E-3</v>
      </c>
      <c r="J492" s="17">
        <f t="shared" si="121"/>
        <v>2.4311377245508997E-2</v>
      </c>
      <c r="K492" s="17">
        <f t="shared" si="122"/>
        <v>1.2995943065392191E-2</v>
      </c>
      <c r="L492" s="17">
        <f t="shared" si="123"/>
        <v>-5.4614964500271914E-3</v>
      </c>
      <c r="M492" s="17">
        <f t="shared" si="124"/>
        <v>7.4877356054739554E-3</v>
      </c>
      <c r="N492" s="17">
        <f t="shared" si="125"/>
        <v>7.3953848347354575E-3</v>
      </c>
      <c r="O492" s="17">
        <f t="shared" si="126"/>
        <v>8.2750147873031938E-3</v>
      </c>
      <c r="P492" s="17">
        <f t="shared" si="127"/>
        <v>8.5254777624540392E-3</v>
      </c>
      <c r="Q492" s="22">
        <f t="shared" si="128"/>
        <v>-1.5949540624615383E-3</v>
      </c>
      <c r="R492" s="22">
        <f t="shared" si="129"/>
        <v>2.3880652531431835E-2</v>
      </c>
      <c r="S492" s="22">
        <f t="shared" si="130"/>
        <v>1.2583983678554744E-2</v>
      </c>
      <c r="T492" s="22">
        <f t="shared" si="131"/>
        <v>-5.5929479592601097E-3</v>
      </c>
      <c r="U492" s="22">
        <f t="shared" si="132"/>
        <v>6.7945076585201932E-3</v>
      </c>
      <c r="V492" s="22">
        <f t="shared" si="133"/>
        <v>7.629988644238638E-3</v>
      </c>
      <c r="W492" s="22">
        <f t="shared" si="134"/>
        <v>8.5292633413938963E-3</v>
      </c>
      <c r="X492" s="22">
        <f t="shared" si="135"/>
        <v>8.8414221470603776E-3</v>
      </c>
    </row>
    <row r="493" spans="1:24" x14ac:dyDescent="0.35">
      <c r="A493" s="3">
        <v>8.33</v>
      </c>
      <c r="B493" s="3">
        <v>85.99</v>
      </c>
      <c r="C493" s="3">
        <v>143.32</v>
      </c>
      <c r="D493" s="3">
        <v>17.989999999999998</v>
      </c>
      <c r="E493" s="3">
        <v>38.99</v>
      </c>
      <c r="F493" s="3">
        <v>98.474312999999995</v>
      </c>
      <c r="G493" s="3">
        <v>93.328596000000005</v>
      </c>
      <c r="H493" s="3">
        <v>90.950365000000005</v>
      </c>
      <c r="I493" s="17">
        <f t="shared" si="120"/>
        <v>1.2019230769230512E-3</v>
      </c>
      <c r="J493" s="17">
        <f t="shared" si="121"/>
        <v>5.3782298608674589E-3</v>
      </c>
      <c r="K493" s="17">
        <f t="shared" si="122"/>
        <v>-2.7151778441487917E-2</v>
      </c>
      <c r="L493" s="17">
        <f t="shared" si="123"/>
        <v>-1.2081274025260979E-2</v>
      </c>
      <c r="M493" s="17">
        <f t="shared" si="124"/>
        <v>-7.6883649410561597E-4</v>
      </c>
      <c r="N493" s="17">
        <f t="shared" si="125"/>
        <v>7.3264607986119469E-4</v>
      </c>
      <c r="O493" s="17">
        <f t="shared" si="126"/>
        <v>-3.6385032519346675E-4</v>
      </c>
      <c r="P493" s="17">
        <f t="shared" si="127"/>
        <v>-4.9998692665877619E-3</v>
      </c>
      <c r="Q493" s="22">
        <f t="shared" si="128"/>
        <v>8.0744920653831793E-4</v>
      </c>
      <c r="R493" s="22">
        <f t="shared" si="129"/>
        <v>4.9475051467902957E-3</v>
      </c>
      <c r="S493" s="22">
        <f t="shared" si="130"/>
        <v>-2.7563737828325365E-2</v>
      </c>
      <c r="T493" s="22">
        <f t="shared" si="131"/>
        <v>-1.2212725534493896E-2</v>
      </c>
      <c r="U493" s="22">
        <f t="shared" si="132"/>
        <v>-1.4620644410593786E-3</v>
      </c>
      <c r="V493" s="22">
        <f t="shared" si="133"/>
        <v>9.67249889364375E-4</v>
      </c>
      <c r="W493" s="22">
        <f t="shared" si="134"/>
        <v>-1.0960177110276375E-4</v>
      </c>
      <c r="X493" s="22">
        <f t="shared" si="135"/>
        <v>-4.6839248819814236E-3</v>
      </c>
    </row>
    <row r="494" spans="1:24" x14ac:dyDescent="0.35">
      <c r="A494" s="3">
        <v>8.24</v>
      </c>
      <c r="B494" s="3">
        <v>86.57</v>
      </c>
      <c r="C494" s="3">
        <v>144.03</v>
      </c>
      <c r="D494" s="3">
        <v>17.89</v>
      </c>
      <c r="E494" s="3">
        <v>38.78</v>
      </c>
      <c r="F494" s="3">
        <v>98.594887</v>
      </c>
      <c r="G494" s="3">
        <v>93.464240000000004</v>
      </c>
      <c r="H494" s="3">
        <v>91.246022999999994</v>
      </c>
      <c r="I494" s="17">
        <f t="shared" si="120"/>
        <v>-1.080432172869146E-2</v>
      </c>
      <c r="J494" s="17">
        <f t="shared" si="121"/>
        <v>6.744970345388979E-3</v>
      </c>
      <c r="K494" s="17">
        <f t="shared" si="122"/>
        <v>4.9539492045772258E-3</v>
      </c>
      <c r="L494" s="17">
        <f t="shared" si="123"/>
        <v>-5.558643690939293E-3</v>
      </c>
      <c r="M494" s="17">
        <f t="shared" si="124"/>
        <v>-5.385996409335749E-3</v>
      </c>
      <c r="N494" s="17">
        <f t="shared" si="125"/>
        <v>1.2244208294197986E-3</v>
      </c>
      <c r="O494" s="17">
        <f t="shared" si="126"/>
        <v>1.4534023419788635E-3</v>
      </c>
      <c r="P494" s="17">
        <f t="shared" si="127"/>
        <v>3.2507621052426656E-3</v>
      </c>
      <c r="Q494" s="22">
        <f t="shared" si="128"/>
        <v>-1.1198795599076194E-2</v>
      </c>
      <c r="R494" s="22">
        <f t="shared" si="129"/>
        <v>6.3142456313118158E-3</v>
      </c>
      <c r="S494" s="22">
        <f t="shared" si="130"/>
        <v>4.5419898177397793E-3</v>
      </c>
      <c r="T494" s="22">
        <f t="shared" si="131"/>
        <v>-5.6900952001722113E-3</v>
      </c>
      <c r="U494" s="22">
        <f t="shared" si="132"/>
        <v>-6.0792243562895112E-3</v>
      </c>
      <c r="V494" s="22">
        <f t="shared" si="133"/>
        <v>1.4590246389229789E-3</v>
      </c>
      <c r="W494" s="22">
        <f t="shared" si="134"/>
        <v>1.7076508960695664E-3</v>
      </c>
      <c r="X494" s="22">
        <f t="shared" si="135"/>
        <v>3.5667064898490045E-3</v>
      </c>
    </row>
    <row r="495" spans="1:24" x14ac:dyDescent="0.35">
      <c r="A495" s="3">
        <v>8.25</v>
      </c>
      <c r="B495" s="3">
        <v>85.99</v>
      </c>
      <c r="C495" s="3">
        <v>143.35</v>
      </c>
      <c r="D495" s="3">
        <v>18.11</v>
      </c>
      <c r="E495" s="3">
        <v>39.01</v>
      </c>
      <c r="F495" s="3">
        <v>99.446907999999993</v>
      </c>
      <c r="G495" s="3">
        <v>94.283079999999998</v>
      </c>
      <c r="H495" s="3">
        <v>92.095095000000001</v>
      </c>
      <c r="I495" s="17">
        <f t="shared" si="120"/>
        <v>1.2135922330096828E-3</v>
      </c>
      <c r="J495" s="17">
        <f t="shared" si="121"/>
        <v>-6.6997805244310774E-3</v>
      </c>
      <c r="K495" s="17">
        <f t="shared" si="122"/>
        <v>-4.721238630840844E-3</v>
      </c>
      <c r="L495" s="17">
        <f t="shared" si="123"/>
        <v>1.2297372833985402E-2</v>
      </c>
      <c r="M495" s="17">
        <f t="shared" si="124"/>
        <v>5.9308922124805792E-3</v>
      </c>
      <c r="N495" s="17">
        <f t="shared" si="125"/>
        <v>8.6416347330464868E-3</v>
      </c>
      <c r="O495" s="17">
        <f t="shared" si="126"/>
        <v>8.7609977891008849E-3</v>
      </c>
      <c r="P495" s="17">
        <f t="shared" si="127"/>
        <v>9.3053041884357725E-3</v>
      </c>
      <c r="Q495" s="22">
        <f t="shared" si="128"/>
        <v>8.1911836262494957E-4</v>
      </c>
      <c r="R495" s="22">
        <f t="shared" si="129"/>
        <v>-7.1305052385082406E-3</v>
      </c>
      <c r="S495" s="22">
        <f t="shared" si="130"/>
        <v>-5.1331980176782905E-3</v>
      </c>
      <c r="T495" s="22">
        <f t="shared" si="131"/>
        <v>1.2165921324752485E-2</v>
      </c>
      <c r="U495" s="22">
        <f t="shared" si="132"/>
        <v>5.2376642655268171E-3</v>
      </c>
      <c r="V495" s="22">
        <f t="shared" si="133"/>
        <v>8.8762385425496665E-3</v>
      </c>
      <c r="W495" s="22">
        <f t="shared" si="134"/>
        <v>9.0152463431915873E-3</v>
      </c>
      <c r="X495" s="22">
        <f t="shared" si="135"/>
        <v>9.6212485730421109E-3</v>
      </c>
    </row>
    <row r="496" spans="1:24" x14ac:dyDescent="0.35">
      <c r="A496" s="3">
        <v>7.99</v>
      </c>
      <c r="B496" s="3">
        <v>84.64</v>
      </c>
      <c r="C496" s="3">
        <v>143.13</v>
      </c>
      <c r="D496" s="3">
        <v>17.8</v>
      </c>
      <c r="E496" s="3">
        <v>39.450000000000003</v>
      </c>
      <c r="F496" s="3">
        <v>99.272769999999994</v>
      </c>
      <c r="G496" s="3">
        <v>94.065088000000003</v>
      </c>
      <c r="H496" s="3">
        <v>91.403498999999996</v>
      </c>
      <c r="I496" s="17">
        <f t="shared" si="120"/>
        <v>-3.1515151515151489E-2</v>
      </c>
      <c r="J496" s="17">
        <f t="shared" si="121"/>
        <v>-1.5699499941853639E-2</v>
      </c>
      <c r="K496" s="17">
        <f t="shared" si="122"/>
        <v>-1.5347052668294307E-3</v>
      </c>
      <c r="L496" s="17">
        <f t="shared" si="123"/>
        <v>-1.7117614577581378E-2</v>
      </c>
      <c r="M496" s="17">
        <f t="shared" si="124"/>
        <v>1.127915918995142E-2</v>
      </c>
      <c r="N496" s="17">
        <f t="shared" si="125"/>
        <v>-1.7510650004321829E-3</v>
      </c>
      <c r="O496" s="17">
        <f t="shared" si="126"/>
        <v>-2.3121009623359281E-3</v>
      </c>
      <c r="P496" s="17">
        <f t="shared" si="127"/>
        <v>-7.5095856082238047E-3</v>
      </c>
      <c r="Q496" s="22">
        <f t="shared" si="128"/>
        <v>-3.1909625385536225E-2</v>
      </c>
      <c r="R496" s="22">
        <f t="shared" si="129"/>
        <v>-1.6130224655930801E-2</v>
      </c>
      <c r="S496" s="22">
        <f t="shared" si="130"/>
        <v>-1.9466646536668776E-3</v>
      </c>
      <c r="T496" s="22">
        <f t="shared" si="131"/>
        <v>-1.7249066086814296E-2</v>
      </c>
      <c r="U496" s="22">
        <f t="shared" si="132"/>
        <v>1.0585931242997657E-2</v>
      </c>
      <c r="V496" s="22">
        <f t="shared" si="133"/>
        <v>-1.5164611909290026E-3</v>
      </c>
      <c r="W496" s="22">
        <f t="shared" si="134"/>
        <v>-2.0578524082452252E-3</v>
      </c>
      <c r="X496" s="22">
        <f t="shared" si="135"/>
        <v>-7.1936412236174663E-3</v>
      </c>
    </row>
    <row r="497" spans="1:24" x14ac:dyDescent="0.35">
      <c r="A497" s="3">
        <v>8.06</v>
      </c>
      <c r="B497" s="3">
        <v>85.59</v>
      </c>
      <c r="C497" s="3">
        <v>145.96</v>
      </c>
      <c r="D497" s="3">
        <v>17.75</v>
      </c>
      <c r="E497" s="3">
        <v>38.61</v>
      </c>
      <c r="F497" s="3">
        <v>99.345039999999997</v>
      </c>
      <c r="G497" s="3">
        <v>94.429879999999997</v>
      </c>
      <c r="H497" s="3">
        <v>91.907115000000005</v>
      </c>
      <c r="I497" s="17">
        <f t="shared" si="120"/>
        <v>8.7609511889862688E-3</v>
      </c>
      <c r="J497" s="17">
        <f t="shared" si="121"/>
        <v>1.1224007561436707E-2</v>
      </c>
      <c r="K497" s="17">
        <f t="shared" si="122"/>
        <v>1.9772235031090706E-2</v>
      </c>
      <c r="L497" s="17">
        <f t="shared" si="123"/>
        <v>-2.8089887640449836E-3</v>
      </c>
      <c r="M497" s="17">
        <f t="shared" si="124"/>
        <v>-2.1292775665399326E-2</v>
      </c>
      <c r="N497" s="17">
        <f t="shared" si="125"/>
        <v>7.2799419216370382E-4</v>
      </c>
      <c r="O497" s="17">
        <f t="shared" si="126"/>
        <v>3.8780806753722936E-3</v>
      </c>
      <c r="P497" s="17">
        <f t="shared" si="127"/>
        <v>5.5098109537361157E-3</v>
      </c>
      <c r="Q497" s="22">
        <f t="shared" si="128"/>
        <v>8.3664773186015347E-3</v>
      </c>
      <c r="R497" s="22">
        <f t="shared" si="129"/>
        <v>1.0793282847359543E-2</v>
      </c>
      <c r="S497" s="22">
        <f t="shared" si="130"/>
        <v>1.9360275644253258E-2</v>
      </c>
      <c r="T497" s="22">
        <f t="shared" si="131"/>
        <v>-2.9404402732779019E-3</v>
      </c>
      <c r="U497" s="22">
        <f t="shared" si="132"/>
        <v>-2.1986003612353089E-2</v>
      </c>
      <c r="V497" s="22">
        <f t="shared" si="133"/>
        <v>9.6259800166688413E-4</v>
      </c>
      <c r="W497" s="22">
        <f t="shared" si="134"/>
        <v>4.1323292294629969E-3</v>
      </c>
      <c r="X497" s="22">
        <f t="shared" si="135"/>
        <v>5.825755338342454E-3</v>
      </c>
    </row>
    <row r="498" spans="1:24" x14ac:dyDescent="0.35">
      <c r="A498" s="3">
        <v>8.08</v>
      </c>
      <c r="B498" s="3">
        <v>86.34</v>
      </c>
      <c r="C498" s="3">
        <v>148.71</v>
      </c>
      <c r="D498" s="3">
        <v>18.02</v>
      </c>
      <c r="E498" s="3">
        <v>37.75</v>
      </c>
      <c r="F498" s="3">
        <v>98.930622999999997</v>
      </c>
      <c r="G498" s="3">
        <v>94.624015</v>
      </c>
      <c r="H498" s="3">
        <v>91.379530000000003</v>
      </c>
      <c r="I498" s="17">
        <f t="shared" si="120"/>
        <v>2.4813895781637188E-3</v>
      </c>
      <c r="J498" s="17">
        <f t="shared" si="121"/>
        <v>8.7627059235892042E-3</v>
      </c>
      <c r="K498" s="17">
        <f t="shared" si="122"/>
        <v>1.8840778295423403E-2</v>
      </c>
      <c r="L498" s="17">
        <f t="shared" si="123"/>
        <v>1.5211267605633778E-2</v>
      </c>
      <c r="M498" s="17">
        <f t="shared" si="124"/>
        <v>-2.2274022274022261E-2</v>
      </c>
      <c r="N498" s="17">
        <f t="shared" si="125"/>
        <v>-4.1714916013924829E-3</v>
      </c>
      <c r="O498" s="17">
        <f t="shared" si="126"/>
        <v>2.0558640972539923E-3</v>
      </c>
      <c r="P498" s="17">
        <f t="shared" si="127"/>
        <v>-5.7404152007165272E-3</v>
      </c>
      <c r="Q498" s="22">
        <f t="shared" si="128"/>
        <v>2.0869157077789855E-3</v>
      </c>
      <c r="R498" s="22">
        <f t="shared" si="129"/>
        <v>8.3319812095120401E-3</v>
      </c>
      <c r="S498" s="22">
        <f t="shared" si="130"/>
        <v>1.8428818908585956E-2</v>
      </c>
      <c r="T498" s="22">
        <f t="shared" si="131"/>
        <v>1.5079816096400861E-2</v>
      </c>
      <c r="U498" s="22">
        <f t="shared" si="132"/>
        <v>-2.2967250220976024E-2</v>
      </c>
      <c r="V498" s="22">
        <f t="shared" si="133"/>
        <v>-3.9368877918893024E-3</v>
      </c>
      <c r="W498" s="22">
        <f t="shared" si="134"/>
        <v>2.3101126513446952E-3</v>
      </c>
      <c r="X498" s="22">
        <f t="shared" si="135"/>
        <v>-5.4244708161101888E-3</v>
      </c>
    </row>
    <row r="499" spans="1:24" x14ac:dyDescent="0.35">
      <c r="A499" s="3">
        <v>8.14</v>
      </c>
      <c r="B499" s="3">
        <v>85.32</v>
      </c>
      <c r="C499" s="3">
        <v>147.5</v>
      </c>
      <c r="D499" s="3">
        <v>18.09</v>
      </c>
      <c r="E499" s="3">
        <v>37.44</v>
      </c>
      <c r="F499" s="3">
        <v>98.663745000000006</v>
      </c>
      <c r="G499" s="3">
        <v>94.303417999999994</v>
      </c>
      <c r="H499" s="3">
        <v>91.470270999999997</v>
      </c>
      <c r="I499" s="17">
        <f t="shared" si="120"/>
        <v>7.425742574257487E-3</v>
      </c>
      <c r="J499" s="17">
        <f t="shared" si="121"/>
        <v>-1.1813759555246817E-2</v>
      </c>
      <c r="K499" s="17">
        <f t="shared" si="122"/>
        <v>-8.1366417860265477E-3</v>
      </c>
      <c r="L499" s="17">
        <f t="shared" si="123"/>
        <v>3.8845726970033454E-3</v>
      </c>
      <c r="M499" s="17">
        <f t="shared" si="124"/>
        <v>-8.2119205298013843E-3</v>
      </c>
      <c r="N499" s="17">
        <f t="shared" si="125"/>
        <v>-2.6976278113602023E-3</v>
      </c>
      <c r="O499" s="17">
        <f t="shared" si="126"/>
        <v>-3.3881145288540805E-3</v>
      </c>
      <c r="P499" s="17">
        <f t="shared" si="127"/>
        <v>9.9301233000426018E-4</v>
      </c>
      <c r="Q499" s="22">
        <f t="shared" si="128"/>
        <v>7.0312687038727537E-3</v>
      </c>
      <c r="R499" s="22">
        <f t="shared" si="129"/>
        <v>-1.2244484269323981E-2</v>
      </c>
      <c r="S499" s="22">
        <f t="shared" si="130"/>
        <v>-8.5486011728639951E-3</v>
      </c>
      <c r="T499" s="22">
        <f t="shared" si="131"/>
        <v>3.7531211877704271E-3</v>
      </c>
      <c r="U499" s="22">
        <f t="shared" si="132"/>
        <v>-8.9051484767551474E-3</v>
      </c>
      <c r="V499" s="22">
        <f t="shared" si="133"/>
        <v>-2.4630240018570222E-3</v>
      </c>
      <c r="W499" s="22">
        <f t="shared" si="134"/>
        <v>-3.1338659747633777E-3</v>
      </c>
      <c r="X499" s="22">
        <f t="shared" si="135"/>
        <v>1.308956714610599E-3</v>
      </c>
    </row>
    <row r="500" spans="1:24" x14ac:dyDescent="0.35">
      <c r="A500" s="3">
        <v>8.2200000000000006</v>
      </c>
      <c r="B500" s="3">
        <v>86.31</v>
      </c>
      <c r="C500" s="3">
        <v>147.1</v>
      </c>
      <c r="D500" s="3">
        <v>18.12</v>
      </c>
      <c r="E500" s="3">
        <v>37.04</v>
      </c>
      <c r="F500" s="3">
        <v>98.832515000000001</v>
      </c>
      <c r="G500" s="3">
        <v>95.128488000000004</v>
      </c>
      <c r="H500" s="3">
        <v>91.767090999999994</v>
      </c>
      <c r="I500" s="17">
        <f t="shared" si="120"/>
        <v>9.8280098280098364E-3</v>
      </c>
      <c r="J500" s="17">
        <f t="shared" si="121"/>
        <v>1.1603375527426268E-2</v>
      </c>
      <c r="K500" s="17">
        <f t="shared" si="122"/>
        <v>-2.7118644067796994E-3</v>
      </c>
      <c r="L500" s="17">
        <f t="shared" si="123"/>
        <v>1.6583747927032138E-3</v>
      </c>
      <c r="M500" s="17">
        <f t="shared" si="124"/>
        <v>-1.0683760683760646E-2</v>
      </c>
      <c r="N500" s="17">
        <f t="shared" si="125"/>
        <v>1.710557408904304E-3</v>
      </c>
      <c r="O500" s="17">
        <f t="shared" si="126"/>
        <v>8.7490996349677483E-3</v>
      </c>
      <c r="P500" s="17">
        <f t="shared" si="127"/>
        <v>3.2449887461249213E-3</v>
      </c>
      <c r="Q500" s="22">
        <f t="shared" si="128"/>
        <v>9.4335359576251023E-3</v>
      </c>
      <c r="R500" s="22">
        <f t="shared" si="129"/>
        <v>1.1172650813349104E-2</v>
      </c>
      <c r="S500" s="22">
        <f t="shared" si="130"/>
        <v>-3.1238237936171464E-3</v>
      </c>
      <c r="T500" s="22">
        <f t="shared" si="131"/>
        <v>1.5269232834702955E-3</v>
      </c>
      <c r="U500" s="22">
        <f t="shared" si="132"/>
        <v>-1.1376988630714409E-2</v>
      </c>
      <c r="V500" s="22">
        <f t="shared" si="133"/>
        <v>1.9451612184074843E-3</v>
      </c>
      <c r="W500" s="22">
        <f t="shared" si="134"/>
        <v>9.0033481890584507E-3</v>
      </c>
      <c r="X500" s="22">
        <f t="shared" si="135"/>
        <v>3.5609331307312601E-3</v>
      </c>
    </row>
    <row r="501" spans="1:24" x14ac:dyDescent="0.35">
      <c r="A501" s="3">
        <v>8.1300000000000008</v>
      </c>
      <c r="B501" s="3">
        <v>85.7</v>
      </c>
      <c r="C501" s="3">
        <v>146.49</v>
      </c>
      <c r="D501" s="3">
        <v>18.059999999999999</v>
      </c>
      <c r="E501" s="3">
        <v>36.71</v>
      </c>
      <c r="F501" s="3">
        <v>99.048732999999999</v>
      </c>
      <c r="G501" s="3">
        <v>94.279396000000006</v>
      </c>
      <c r="H501" s="3">
        <v>91.833834999999993</v>
      </c>
      <c r="I501" s="17">
        <f t="shared" si="120"/>
        <v>-1.0948905109489033E-2</v>
      </c>
      <c r="J501" s="17">
        <f t="shared" si="121"/>
        <v>-7.0675472135326078E-3</v>
      </c>
      <c r="K501" s="17">
        <f t="shared" si="122"/>
        <v>-4.1468388851120686E-3</v>
      </c>
      <c r="L501" s="17">
        <f t="shared" si="123"/>
        <v>-3.3112582781458207E-3</v>
      </c>
      <c r="M501" s="17">
        <f t="shared" si="124"/>
        <v>-8.909287257019392E-3</v>
      </c>
      <c r="N501" s="17">
        <f t="shared" si="125"/>
        <v>2.1877213182321404E-3</v>
      </c>
      <c r="O501" s="17">
        <f t="shared" si="126"/>
        <v>-8.9257384181276878E-3</v>
      </c>
      <c r="P501" s="17">
        <f t="shared" si="127"/>
        <v>7.2731955729096742E-4</v>
      </c>
      <c r="Q501" s="22">
        <f t="shared" si="128"/>
        <v>-1.1343378979873767E-2</v>
      </c>
      <c r="R501" s="22">
        <f t="shared" si="129"/>
        <v>-7.498271927609771E-3</v>
      </c>
      <c r="S501" s="22">
        <f t="shared" si="130"/>
        <v>-4.5587982719495152E-3</v>
      </c>
      <c r="T501" s="22">
        <f t="shared" si="131"/>
        <v>-3.442709787378739E-3</v>
      </c>
      <c r="U501" s="22">
        <f t="shared" si="132"/>
        <v>-9.602515203973155E-3</v>
      </c>
      <c r="V501" s="22">
        <f t="shared" si="133"/>
        <v>2.4223251277353205E-3</v>
      </c>
      <c r="W501" s="22">
        <f t="shared" si="134"/>
        <v>-8.6714898640369853E-3</v>
      </c>
      <c r="X501" s="22">
        <f t="shared" si="135"/>
        <v>1.0432639418973062E-3</v>
      </c>
    </row>
    <row r="502" spans="1:24" x14ac:dyDescent="0.35">
      <c r="A502" s="3">
        <v>8.26</v>
      </c>
      <c r="B502" s="3">
        <v>85.94</v>
      </c>
      <c r="C502" s="3">
        <v>148.46</v>
      </c>
      <c r="D502" s="3">
        <v>18.21</v>
      </c>
      <c r="E502" s="3">
        <v>36.97</v>
      </c>
      <c r="F502" s="3">
        <v>98.878887000000006</v>
      </c>
      <c r="G502" s="3">
        <v>94.301896999999997</v>
      </c>
      <c r="H502" s="3">
        <v>91.924875999999998</v>
      </c>
      <c r="I502" s="17">
        <f t="shared" si="120"/>
        <v>1.5990159901598893E-2</v>
      </c>
      <c r="J502" s="17">
        <f t="shared" si="121"/>
        <v>2.8004667444573497E-3</v>
      </c>
      <c r="K502" s="17">
        <f t="shared" si="122"/>
        <v>1.3448016929483232E-2</v>
      </c>
      <c r="L502" s="17">
        <f t="shared" si="123"/>
        <v>8.3056478405316801E-3</v>
      </c>
      <c r="M502" s="17">
        <f t="shared" si="124"/>
        <v>7.0825388177607734E-3</v>
      </c>
      <c r="N502" s="17">
        <f t="shared" si="125"/>
        <v>-1.7147720607389558E-3</v>
      </c>
      <c r="O502" s="17">
        <f t="shared" si="126"/>
        <v>2.3866296300828255E-4</v>
      </c>
      <c r="P502" s="17">
        <f t="shared" si="127"/>
        <v>9.9136663518412517E-4</v>
      </c>
      <c r="Q502" s="22">
        <f t="shared" si="128"/>
        <v>1.5595686031214159E-2</v>
      </c>
      <c r="R502" s="22">
        <f t="shared" si="129"/>
        <v>2.369742030380186E-3</v>
      </c>
      <c r="S502" s="22">
        <f t="shared" si="130"/>
        <v>1.3036057542645784E-2</v>
      </c>
      <c r="T502" s="22">
        <f t="shared" si="131"/>
        <v>8.1741963312987626E-3</v>
      </c>
      <c r="U502" s="22">
        <f t="shared" si="132"/>
        <v>6.3893108708070112E-3</v>
      </c>
      <c r="V502" s="22">
        <f t="shared" si="133"/>
        <v>-1.4801682512357755E-3</v>
      </c>
      <c r="W502" s="22">
        <f t="shared" si="134"/>
        <v>4.9291151709898555E-4</v>
      </c>
      <c r="X502" s="22">
        <f t="shared" si="135"/>
        <v>1.307311019790464E-3</v>
      </c>
    </row>
    <row r="503" spans="1:24" x14ac:dyDescent="0.35">
      <c r="A503" s="3">
        <v>8.18</v>
      </c>
      <c r="B503" s="3">
        <v>85.82</v>
      </c>
      <c r="C503" s="3">
        <v>147.31</v>
      </c>
      <c r="D503" s="3">
        <v>18.260000000000002</v>
      </c>
      <c r="E503" s="3">
        <v>37.17</v>
      </c>
      <c r="F503" s="3">
        <v>98.613344999999995</v>
      </c>
      <c r="G503" s="3">
        <v>93.983959999999996</v>
      </c>
      <c r="H503" s="3">
        <v>91.809653999999995</v>
      </c>
      <c r="I503" s="17">
        <f t="shared" si="120"/>
        <v>-9.6852300242130842E-3</v>
      </c>
      <c r="J503" s="17">
        <f t="shared" si="121"/>
        <v>-1.3963230160577676E-3</v>
      </c>
      <c r="K503" s="17">
        <f t="shared" si="122"/>
        <v>-7.7461942610804633E-3</v>
      </c>
      <c r="L503" s="17">
        <f t="shared" si="123"/>
        <v>2.7457440966502313E-3</v>
      </c>
      <c r="M503" s="17">
        <f t="shared" si="124"/>
        <v>5.409791723018741E-3</v>
      </c>
      <c r="N503" s="17">
        <f t="shared" si="125"/>
        <v>-2.685527801299084E-3</v>
      </c>
      <c r="O503" s="17">
        <f t="shared" si="126"/>
        <v>-3.3714804273767746E-3</v>
      </c>
      <c r="P503" s="17">
        <f t="shared" si="127"/>
        <v>-1.2534365561722685E-3</v>
      </c>
      <c r="Q503" s="22">
        <f t="shared" si="128"/>
        <v>-1.0079703894597818E-2</v>
      </c>
      <c r="R503" s="22">
        <f t="shared" si="129"/>
        <v>-1.8270477301349311E-3</v>
      </c>
      <c r="S503" s="22">
        <f t="shared" si="130"/>
        <v>-8.1581536479179099E-3</v>
      </c>
      <c r="T503" s="22">
        <f t="shared" si="131"/>
        <v>2.614292587417313E-3</v>
      </c>
      <c r="U503" s="22">
        <f t="shared" si="132"/>
        <v>4.7165637760649788E-3</v>
      </c>
      <c r="V503" s="22">
        <f t="shared" si="133"/>
        <v>-2.4509239917959039E-3</v>
      </c>
      <c r="W503" s="22">
        <f t="shared" si="134"/>
        <v>-3.1172318732860717E-3</v>
      </c>
      <c r="X503" s="22">
        <f t="shared" si="135"/>
        <v>-9.3749217156592971E-4</v>
      </c>
    </row>
    <row r="504" spans="1:24" x14ac:dyDescent="0.35">
      <c r="A504" s="3">
        <v>8.1999999999999993</v>
      </c>
      <c r="B504" s="3">
        <v>86.71</v>
      </c>
      <c r="C504" s="3">
        <v>146.80000000000001</v>
      </c>
      <c r="D504" s="3">
        <v>18.260000000000002</v>
      </c>
      <c r="E504" s="3">
        <v>37.58</v>
      </c>
      <c r="F504" s="3">
        <v>98.301137999999995</v>
      </c>
      <c r="G504" s="3">
        <v>93.949965000000006</v>
      </c>
      <c r="H504" s="3">
        <v>91.284873000000005</v>
      </c>
      <c r="I504" s="17">
        <f t="shared" si="120"/>
        <v>2.4449877750610726E-3</v>
      </c>
      <c r="J504" s="17">
        <f t="shared" si="121"/>
        <v>1.0370542996970411E-2</v>
      </c>
      <c r="K504" s="17">
        <f t="shared" si="122"/>
        <v>-3.4620867558209957E-3</v>
      </c>
      <c r="L504" s="17">
        <f t="shared" si="123"/>
        <v>0</v>
      </c>
      <c r="M504" s="17">
        <f t="shared" si="124"/>
        <v>1.1030400860909242E-2</v>
      </c>
      <c r="N504" s="17">
        <f t="shared" si="125"/>
        <v>-3.1659710965082953E-3</v>
      </c>
      <c r="O504" s="17">
        <f t="shared" si="126"/>
        <v>-3.6171065786108853E-4</v>
      </c>
      <c r="P504" s="17">
        <f t="shared" si="127"/>
        <v>-5.7159675168799813E-3</v>
      </c>
      <c r="Q504" s="22">
        <f t="shared" si="128"/>
        <v>2.0505139046763394E-3</v>
      </c>
      <c r="R504" s="22">
        <f t="shared" si="129"/>
        <v>9.9398182828932466E-3</v>
      </c>
      <c r="S504" s="22">
        <f t="shared" si="130"/>
        <v>-3.8740461426584427E-3</v>
      </c>
      <c r="T504" s="22">
        <f t="shared" si="131"/>
        <v>-1.3145150923291827E-4</v>
      </c>
      <c r="U504" s="22">
        <f t="shared" si="132"/>
        <v>1.0337172913955479E-2</v>
      </c>
      <c r="V504" s="22">
        <f t="shared" si="133"/>
        <v>-2.9313672870051152E-3</v>
      </c>
      <c r="W504" s="22">
        <f t="shared" si="134"/>
        <v>-1.0746210377038552E-4</v>
      </c>
      <c r="X504" s="22">
        <f t="shared" si="135"/>
        <v>-5.4000231322736429E-3</v>
      </c>
    </row>
    <row r="505" spans="1:24" x14ac:dyDescent="0.35">
      <c r="A505" s="3">
        <v>8.0299999999999994</v>
      </c>
      <c r="B505" s="3">
        <v>85.26</v>
      </c>
      <c r="C505" s="3">
        <v>145</v>
      </c>
      <c r="D505" s="3">
        <v>17.829999999999998</v>
      </c>
      <c r="E505" s="3">
        <v>37.5</v>
      </c>
      <c r="F505" s="3">
        <v>98.133747</v>
      </c>
      <c r="G505" s="3">
        <v>93.972561999999996</v>
      </c>
      <c r="H505" s="3">
        <v>91.171163000000007</v>
      </c>
      <c r="I505" s="17">
        <f t="shared" si="120"/>
        <v>-2.0731707317073165E-2</v>
      </c>
      <c r="J505" s="17">
        <f t="shared" si="121"/>
        <v>-1.6722408026755724E-2</v>
      </c>
      <c r="K505" s="17">
        <f t="shared" si="122"/>
        <v>-1.2261580381471467E-2</v>
      </c>
      <c r="L505" s="17">
        <f t="shared" si="123"/>
        <v>-2.3548740416210474E-2</v>
      </c>
      <c r="M505" s="17">
        <f t="shared" si="124"/>
        <v>-2.1287919105906945E-3</v>
      </c>
      <c r="N505" s="17">
        <f t="shared" si="125"/>
        <v>-1.7028388826993536E-3</v>
      </c>
      <c r="O505" s="17">
        <f t="shared" si="126"/>
        <v>2.4052164362158547E-4</v>
      </c>
      <c r="P505" s="17">
        <f t="shared" si="127"/>
        <v>-1.2456609322335096E-3</v>
      </c>
      <c r="Q505" s="22">
        <f t="shared" si="128"/>
        <v>-2.1126181187457897E-2</v>
      </c>
      <c r="R505" s="22">
        <f t="shared" si="129"/>
        <v>-1.7153132740832886E-2</v>
      </c>
      <c r="S505" s="22">
        <f t="shared" si="130"/>
        <v>-1.2673539768308914E-2</v>
      </c>
      <c r="T505" s="22">
        <f t="shared" si="131"/>
        <v>-2.3680191925443392E-2</v>
      </c>
      <c r="U505" s="22">
        <f t="shared" si="132"/>
        <v>-2.8220198575444571E-3</v>
      </c>
      <c r="V505" s="22">
        <f t="shared" si="133"/>
        <v>-1.4682350731961733E-3</v>
      </c>
      <c r="W505" s="22">
        <f t="shared" si="134"/>
        <v>4.9477019771228844E-4</v>
      </c>
      <c r="X505" s="22">
        <f t="shared" si="135"/>
        <v>-9.2971654762717074E-4</v>
      </c>
    </row>
    <row r="506" spans="1:24" x14ac:dyDescent="0.35">
      <c r="A506" s="3">
        <v>8.1199999999999992</v>
      </c>
      <c r="B506" s="3">
        <v>84.24</v>
      </c>
      <c r="C506" s="3">
        <v>143.68</v>
      </c>
      <c r="D506" s="3">
        <v>17.93</v>
      </c>
      <c r="E506" s="3">
        <v>37.479999999999997</v>
      </c>
      <c r="F506" s="3">
        <v>98.110285000000005</v>
      </c>
      <c r="G506" s="3">
        <v>94.266767000000002</v>
      </c>
      <c r="H506" s="3">
        <v>90.764419000000004</v>
      </c>
      <c r="I506" s="17">
        <f t="shared" si="120"/>
        <v>1.1207970112079683E-2</v>
      </c>
      <c r="J506" s="17">
        <f t="shared" si="121"/>
        <v>-1.1963406052076122E-2</v>
      </c>
      <c r="K506" s="17">
        <f t="shared" si="122"/>
        <v>-9.1034482758620226E-3</v>
      </c>
      <c r="L506" s="17">
        <f t="shared" si="123"/>
        <v>5.6085249579361429E-3</v>
      </c>
      <c r="M506" s="17">
        <f t="shared" si="124"/>
        <v>-5.3333333333341673E-4</v>
      </c>
      <c r="N506" s="17">
        <f t="shared" si="125"/>
        <v>-2.3908187262018017E-4</v>
      </c>
      <c r="O506" s="17">
        <f t="shared" si="126"/>
        <v>3.130754272720639E-3</v>
      </c>
      <c r="P506" s="17">
        <f t="shared" si="127"/>
        <v>-4.4613229294881681E-3</v>
      </c>
      <c r="Q506" s="22">
        <f t="shared" si="128"/>
        <v>1.0813496241694949E-2</v>
      </c>
      <c r="R506" s="22">
        <f t="shared" si="129"/>
        <v>-1.2394130766153286E-2</v>
      </c>
      <c r="S506" s="22">
        <f t="shared" si="130"/>
        <v>-9.51540766269947E-3</v>
      </c>
      <c r="T506" s="22">
        <f t="shared" si="131"/>
        <v>5.4770734487032246E-3</v>
      </c>
      <c r="U506" s="22">
        <f t="shared" si="132"/>
        <v>-1.2265612802871792E-3</v>
      </c>
      <c r="V506" s="22">
        <f t="shared" si="133"/>
        <v>-4.4780631169998877E-6</v>
      </c>
      <c r="W506" s="22">
        <f t="shared" si="134"/>
        <v>3.3850028268113419E-3</v>
      </c>
      <c r="X506" s="22">
        <f t="shared" si="135"/>
        <v>-4.1453785448818297E-3</v>
      </c>
    </row>
    <row r="507" spans="1:24" x14ac:dyDescent="0.35">
      <c r="A507" s="3">
        <v>7.88</v>
      </c>
      <c r="B507" s="3">
        <v>82.36</v>
      </c>
      <c r="C507" s="3">
        <v>139.91</v>
      </c>
      <c r="D507" s="3">
        <v>17.68</v>
      </c>
      <c r="E507" s="3">
        <v>36.86</v>
      </c>
      <c r="F507" s="3">
        <v>98.181963999999994</v>
      </c>
      <c r="G507" s="3">
        <v>94.402771000000001</v>
      </c>
      <c r="H507" s="3">
        <v>90.921880999999999</v>
      </c>
      <c r="I507" s="17">
        <f t="shared" si="120"/>
        <v>-2.9556650246305338E-2</v>
      </c>
      <c r="J507" s="17">
        <f t="shared" si="121"/>
        <v>-2.2317188983855599E-2</v>
      </c>
      <c r="K507" s="17">
        <f t="shared" si="122"/>
        <v>-2.6238864142539047E-2</v>
      </c>
      <c r="L507" s="17">
        <f t="shared" si="123"/>
        <v>-1.3943112102621306E-2</v>
      </c>
      <c r="M507" s="17">
        <f t="shared" si="124"/>
        <v>-1.6542155816435367E-2</v>
      </c>
      <c r="N507" s="17">
        <f t="shared" si="125"/>
        <v>7.3059618571069218E-4</v>
      </c>
      <c r="O507" s="17">
        <f t="shared" si="126"/>
        <v>1.442756597348881E-3</v>
      </c>
      <c r="P507" s="17">
        <f t="shared" si="127"/>
        <v>1.7348428132393523E-3</v>
      </c>
      <c r="Q507" s="22">
        <f t="shared" si="128"/>
        <v>-2.995112411669007E-2</v>
      </c>
      <c r="R507" s="22">
        <f t="shared" si="129"/>
        <v>-2.2747913697932762E-2</v>
      </c>
      <c r="S507" s="22">
        <f t="shared" si="130"/>
        <v>-2.6650823529376495E-2</v>
      </c>
      <c r="T507" s="22">
        <f t="shared" si="131"/>
        <v>-1.4074563611854224E-2</v>
      </c>
      <c r="U507" s="22">
        <f t="shared" si="132"/>
        <v>-1.723538376338913E-2</v>
      </c>
      <c r="V507" s="22">
        <f t="shared" si="133"/>
        <v>9.6519999521387249E-4</v>
      </c>
      <c r="W507" s="22">
        <f t="shared" si="134"/>
        <v>1.6970051514395841E-3</v>
      </c>
      <c r="X507" s="22">
        <f t="shared" si="135"/>
        <v>2.0507871978456909E-3</v>
      </c>
    </row>
    <row r="508" spans="1:24" x14ac:dyDescent="0.35">
      <c r="A508" s="3">
        <v>7.96</v>
      </c>
      <c r="B508" s="3">
        <v>84.72</v>
      </c>
      <c r="C508" s="3">
        <v>142.86000000000001</v>
      </c>
      <c r="D508" s="3">
        <v>17.760000000000002</v>
      </c>
      <c r="E508" s="3">
        <v>37.07</v>
      </c>
      <c r="F508" s="3">
        <v>98.063109999999995</v>
      </c>
      <c r="G508" s="3">
        <v>93.410942000000006</v>
      </c>
      <c r="H508" s="3">
        <v>91.419021000000001</v>
      </c>
      <c r="I508" s="17">
        <f t="shared" si="120"/>
        <v>1.01522842639594E-2</v>
      </c>
      <c r="J508" s="17">
        <f t="shared" si="121"/>
        <v>2.8654686741136467E-2</v>
      </c>
      <c r="K508" s="17">
        <f t="shared" si="122"/>
        <v>2.1084983203488079E-2</v>
      </c>
      <c r="L508" s="17">
        <f t="shared" si="123"/>
        <v>4.5248868778281588E-3</v>
      </c>
      <c r="M508" s="17">
        <f t="shared" si="124"/>
        <v>5.6972327726533059E-3</v>
      </c>
      <c r="N508" s="17">
        <f t="shared" si="125"/>
        <v>-1.2105482021117333E-3</v>
      </c>
      <c r="O508" s="17">
        <f t="shared" si="126"/>
        <v>-1.0506354734015124E-2</v>
      </c>
      <c r="P508" s="17">
        <f t="shared" si="127"/>
        <v>5.4677707338677004E-3</v>
      </c>
      <c r="Q508" s="22">
        <f t="shared" si="128"/>
        <v>9.7578103935746664E-3</v>
      </c>
      <c r="R508" s="22">
        <f t="shared" si="129"/>
        <v>2.8223962027059304E-2</v>
      </c>
      <c r="S508" s="22">
        <f t="shared" si="130"/>
        <v>2.0673023816650631E-2</v>
      </c>
      <c r="T508" s="22">
        <f t="shared" si="131"/>
        <v>4.3934353685952405E-3</v>
      </c>
      <c r="U508" s="22">
        <f t="shared" si="132"/>
        <v>5.0040048256995437E-3</v>
      </c>
      <c r="V508" s="22">
        <f t="shared" si="133"/>
        <v>-9.7594439260855295E-4</v>
      </c>
      <c r="W508" s="22">
        <f t="shared" si="134"/>
        <v>-1.0252106179924421E-2</v>
      </c>
      <c r="X508" s="22">
        <f t="shared" si="135"/>
        <v>5.7837151184740388E-3</v>
      </c>
    </row>
    <row r="509" spans="1:24" x14ac:dyDescent="0.35">
      <c r="A509" s="3">
        <v>8.01</v>
      </c>
      <c r="B509" s="3">
        <v>84.89</v>
      </c>
      <c r="C509" s="3">
        <v>142.30000000000001</v>
      </c>
      <c r="D509" s="3">
        <v>17.809999999999999</v>
      </c>
      <c r="E509" s="3">
        <v>36.590000000000003</v>
      </c>
      <c r="F509" s="3">
        <v>98.612114000000005</v>
      </c>
      <c r="G509" s="3">
        <v>93.489682000000002</v>
      </c>
      <c r="H509" s="3">
        <v>91.509483000000003</v>
      </c>
      <c r="I509" s="17">
        <f t="shared" si="120"/>
        <v>6.2814070351758572E-3</v>
      </c>
      <c r="J509" s="17">
        <f t="shared" si="121"/>
        <v>2.0066100094428907E-3</v>
      </c>
      <c r="K509" s="17">
        <f t="shared" si="122"/>
        <v>-3.9199216015679845E-3</v>
      </c>
      <c r="L509" s="17">
        <f t="shared" si="123"/>
        <v>2.8153153153151552E-3</v>
      </c>
      <c r="M509" s="17">
        <f t="shared" si="124"/>
        <v>-1.2948475856487642E-2</v>
      </c>
      <c r="N509" s="17">
        <f t="shared" si="125"/>
        <v>5.5984763281524599E-3</v>
      </c>
      <c r="O509" s="17">
        <f t="shared" si="126"/>
        <v>8.4294193286260036E-4</v>
      </c>
      <c r="P509" s="17">
        <f t="shared" si="127"/>
        <v>9.8953148929479639E-4</v>
      </c>
      <c r="Q509" s="22">
        <f t="shared" si="128"/>
        <v>5.8869331647911239E-3</v>
      </c>
      <c r="R509" s="22">
        <f t="shared" si="129"/>
        <v>1.5758852953657273E-3</v>
      </c>
      <c r="S509" s="22">
        <f t="shared" si="130"/>
        <v>-4.331880988405431E-3</v>
      </c>
      <c r="T509" s="22">
        <f t="shared" si="131"/>
        <v>2.6838638060822369E-3</v>
      </c>
      <c r="U509" s="22">
        <f t="shared" si="132"/>
        <v>-1.3641703803441405E-2</v>
      </c>
      <c r="V509" s="22">
        <f t="shared" si="133"/>
        <v>5.8330801376556404E-3</v>
      </c>
      <c r="W509" s="22">
        <f t="shared" si="134"/>
        <v>1.0971904869533033E-3</v>
      </c>
      <c r="X509" s="22">
        <f t="shared" si="135"/>
        <v>1.3054758739011352E-3</v>
      </c>
    </row>
    <row r="510" spans="1:24" x14ac:dyDescent="0.35">
      <c r="A510" s="3">
        <v>8.4700000000000006</v>
      </c>
      <c r="B510" s="3">
        <v>85.39</v>
      </c>
      <c r="C510" s="3">
        <v>145.43</v>
      </c>
      <c r="D510" s="3">
        <v>18.059999999999999</v>
      </c>
      <c r="E510" s="3">
        <v>37.270000000000003</v>
      </c>
      <c r="F510" s="3">
        <v>98.779756000000006</v>
      </c>
      <c r="G510" s="3">
        <v>93.792903999999993</v>
      </c>
      <c r="H510" s="3">
        <v>92.285302999999999</v>
      </c>
      <c r="I510" s="17">
        <f t="shared" si="120"/>
        <v>5.7428214731585624E-2</v>
      </c>
      <c r="J510" s="17">
        <f t="shared" si="121"/>
        <v>5.8899752621038989E-3</v>
      </c>
      <c r="K510" s="17">
        <f t="shared" si="122"/>
        <v>2.199578355586785E-2</v>
      </c>
      <c r="L510" s="17">
        <f t="shared" si="123"/>
        <v>1.4037057832678272E-2</v>
      </c>
      <c r="M510" s="17">
        <f t="shared" si="124"/>
        <v>1.8584312653730516E-2</v>
      </c>
      <c r="N510" s="17">
        <f t="shared" si="125"/>
        <v>1.70001425991132E-3</v>
      </c>
      <c r="O510" s="17">
        <f t="shared" si="126"/>
        <v>3.243373958636323E-3</v>
      </c>
      <c r="P510" s="17">
        <f t="shared" si="127"/>
        <v>8.4780284465162583E-3</v>
      </c>
      <c r="Q510" s="22">
        <f t="shared" si="128"/>
        <v>5.7033740861200888E-2</v>
      </c>
      <c r="R510" s="22">
        <f t="shared" si="129"/>
        <v>5.4592505480267357E-3</v>
      </c>
      <c r="S510" s="22">
        <f t="shared" si="130"/>
        <v>2.1583824169030402E-2</v>
      </c>
      <c r="T510" s="22">
        <f t="shared" si="131"/>
        <v>1.3905606323445355E-2</v>
      </c>
      <c r="U510" s="22">
        <f t="shared" si="132"/>
        <v>1.7891084706776753E-2</v>
      </c>
      <c r="V510" s="22">
        <f t="shared" si="133"/>
        <v>1.9346180694145003E-3</v>
      </c>
      <c r="W510" s="22">
        <f t="shared" si="134"/>
        <v>3.4976225127270259E-3</v>
      </c>
      <c r="X510" s="22">
        <f t="shared" si="135"/>
        <v>8.7939728311225967E-3</v>
      </c>
    </row>
    <row r="511" spans="1:24" x14ac:dyDescent="0.35">
      <c r="A511" s="3">
        <v>8.5399999999999991</v>
      </c>
      <c r="B511" s="3">
        <v>87.73</v>
      </c>
      <c r="C511" s="3">
        <v>145.94</v>
      </c>
      <c r="D511" s="3">
        <v>18.47</v>
      </c>
      <c r="E511" s="3">
        <v>38.799999999999997</v>
      </c>
      <c r="F511" s="3">
        <v>99.091297999999995</v>
      </c>
      <c r="G511" s="3">
        <v>94.142425000000003</v>
      </c>
      <c r="H511" s="3">
        <v>92.628189000000006</v>
      </c>
      <c r="I511" s="17">
        <f t="shared" si="120"/>
        <v>8.2644628099171787E-3</v>
      </c>
      <c r="J511" s="17">
        <f t="shared" si="121"/>
        <v>2.7403677245579149E-2</v>
      </c>
      <c r="K511" s="17">
        <f t="shared" si="122"/>
        <v>3.5068417795502366E-3</v>
      </c>
      <c r="L511" s="17">
        <f t="shared" si="123"/>
        <v>2.2702104097452946E-2</v>
      </c>
      <c r="M511" s="17">
        <f t="shared" si="124"/>
        <v>4.1051784276898144E-2</v>
      </c>
      <c r="N511" s="17">
        <f t="shared" si="125"/>
        <v>3.153905340685278E-3</v>
      </c>
      <c r="O511" s="17">
        <f t="shared" si="126"/>
        <v>3.7265185860969824E-3</v>
      </c>
      <c r="P511" s="17">
        <f t="shared" si="127"/>
        <v>3.7154995308408658E-3</v>
      </c>
      <c r="Q511" s="22">
        <f t="shared" si="128"/>
        <v>7.8699889395324445E-3</v>
      </c>
      <c r="R511" s="22">
        <f t="shared" si="129"/>
        <v>2.6972952531501986E-2</v>
      </c>
      <c r="S511" s="22">
        <f t="shared" si="130"/>
        <v>3.0948823927127896E-3</v>
      </c>
      <c r="T511" s="22">
        <f t="shared" si="131"/>
        <v>2.2570652588220028E-2</v>
      </c>
      <c r="U511" s="22">
        <f t="shared" si="132"/>
        <v>4.0358556329944381E-2</v>
      </c>
      <c r="V511" s="22">
        <f t="shared" si="133"/>
        <v>3.3885091501884581E-3</v>
      </c>
      <c r="W511" s="22">
        <f t="shared" si="134"/>
        <v>3.9807671401876858E-3</v>
      </c>
      <c r="X511" s="22">
        <f t="shared" si="135"/>
        <v>4.0314439154472042E-3</v>
      </c>
    </row>
    <row r="512" spans="1:24" x14ac:dyDescent="0.35">
      <c r="A512" s="3">
        <v>8.7899999999999991</v>
      </c>
      <c r="B512" s="3">
        <v>88.41</v>
      </c>
      <c r="C512" s="3">
        <v>150.72</v>
      </c>
      <c r="D512" s="3">
        <v>18.55</v>
      </c>
      <c r="E512" s="3">
        <v>39.46</v>
      </c>
      <c r="F512" s="3">
        <v>100.033309</v>
      </c>
      <c r="G512" s="3">
        <v>94.844710000000006</v>
      </c>
      <c r="H512" s="3">
        <v>93.625210999999993</v>
      </c>
      <c r="I512" s="17">
        <f t="shared" si="120"/>
        <v>2.9274004683840751E-2</v>
      </c>
      <c r="J512" s="17">
        <f t="shared" si="121"/>
        <v>7.7510543713666087E-3</v>
      </c>
      <c r="K512" s="17">
        <f t="shared" si="122"/>
        <v>3.2753186240920933E-2</v>
      </c>
      <c r="L512" s="17">
        <f t="shared" si="123"/>
        <v>4.3313481321062179E-3</v>
      </c>
      <c r="M512" s="17">
        <f t="shared" si="124"/>
        <v>1.7010309278350611E-2</v>
      </c>
      <c r="N512" s="17">
        <f t="shared" si="125"/>
        <v>9.5064957167077177E-3</v>
      </c>
      <c r="O512" s="17">
        <f t="shared" si="126"/>
        <v>7.459814212349038E-3</v>
      </c>
      <c r="P512" s="17">
        <f t="shared" si="127"/>
        <v>1.0763699590412882E-2</v>
      </c>
      <c r="Q512" s="22">
        <f t="shared" si="128"/>
        <v>2.8879530813456018E-2</v>
      </c>
      <c r="R512" s="22">
        <f t="shared" si="129"/>
        <v>7.3203296572894455E-3</v>
      </c>
      <c r="S512" s="22">
        <f t="shared" si="130"/>
        <v>3.2341226854083485E-2</v>
      </c>
      <c r="T512" s="22">
        <f t="shared" si="131"/>
        <v>4.1998966228732997E-3</v>
      </c>
      <c r="U512" s="22">
        <f t="shared" si="132"/>
        <v>1.6317081331396848E-2</v>
      </c>
      <c r="V512" s="22">
        <f t="shared" si="133"/>
        <v>9.7410995262108974E-3</v>
      </c>
      <c r="W512" s="22">
        <f t="shared" si="134"/>
        <v>7.7140627664397414E-3</v>
      </c>
      <c r="X512" s="22">
        <f t="shared" si="135"/>
        <v>1.107964397501922E-2</v>
      </c>
    </row>
    <row r="513" spans="1:24" x14ac:dyDescent="0.35">
      <c r="A513" s="3">
        <v>8.64</v>
      </c>
      <c r="B513" s="3">
        <v>90.3</v>
      </c>
      <c r="C513" s="3">
        <v>154.65</v>
      </c>
      <c r="D513" s="3">
        <v>18.63</v>
      </c>
      <c r="E513" s="3">
        <v>40.42</v>
      </c>
      <c r="F513" s="3">
        <v>100.83816299999999</v>
      </c>
      <c r="G513" s="3">
        <v>96.361241000000007</v>
      </c>
      <c r="H513" s="3">
        <v>94.069357999999994</v>
      </c>
      <c r="I513" s="17">
        <f t="shared" si="120"/>
        <v>-1.7064846416382094E-2</v>
      </c>
      <c r="J513" s="17">
        <f t="shared" si="121"/>
        <v>2.1377672209026137E-2</v>
      </c>
      <c r="K513" s="17">
        <f t="shared" si="122"/>
        <v>2.6074840764331256E-2</v>
      </c>
      <c r="L513" s="17">
        <f t="shared" si="123"/>
        <v>4.3126684636117674E-3</v>
      </c>
      <c r="M513" s="17">
        <f t="shared" si="124"/>
        <v>2.4328433857070474E-2</v>
      </c>
      <c r="N513" s="17">
        <f t="shared" si="125"/>
        <v>8.0458600044910206E-3</v>
      </c>
      <c r="O513" s="17">
        <f t="shared" si="126"/>
        <v>1.5989621350521295E-2</v>
      </c>
      <c r="P513" s="17">
        <f t="shared" si="127"/>
        <v>4.7438824997681553E-3</v>
      </c>
      <c r="Q513" s="22">
        <f t="shared" si="128"/>
        <v>-1.7459320286766826E-2</v>
      </c>
      <c r="R513" s="22">
        <f t="shared" si="129"/>
        <v>2.0946947494948975E-2</v>
      </c>
      <c r="S513" s="22">
        <f t="shared" si="130"/>
        <v>2.5662881377493809E-2</v>
      </c>
      <c r="T513" s="22">
        <f t="shared" si="131"/>
        <v>4.1812169543788491E-3</v>
      </c>
      <c r="U513" s="22">
        <f t="shared" si="132"/>
        <v>2.3635205910116711E-2</v>
      </c>
      <c r="V513" s="22">
        <f t="shared" si="133"/>
        <v>8.2804638139942002E-3</v>
      </c>
      <c r="W513" s="22">
        <f t="shared" si="134"/>
        <v>1.6243869904611997E-2</v>
      </c>
      <c r="X513" s="22">
        <f t="shared" si="135"/>
        <v>5.0598268843744937E-3</v>
      </c>
    </row>
    <row r="514" spans="1:24" x14ac:dyDescent="0.35">
      <c r="A514" s="3">
        <v>8.61</v>
      </c>
      <c r="B514" s="3">
        <v>90.38</v>
      </c>
      <c r="C514" s="3">
        <v>153.41999999999999</v>
      </c>
      <c r="D514" s="3">
        <v>18.82</v>
      </c>
      <c r="E514" s="3">
        <v>40.46</v>
      </c>
      <c r="F514" s="3">
        <v>100.46995200000001</v>
      </c>
      <c r="G514" s="3">
        <v>95.690343999999996</v>
      </c>
      <c r="H514" s="3">
        <v>93.880196999999995</v>
      </c>
      <c r="I514" s="17">
        <f t="shared" si="120"/>
        <v>-3.4722222222223534E-3</v>
      </c>
      <c r="J514" s="17">
        <f t="shared" si="121"/>
        <v>8.8593576965668107E-4</v>
      </c>
      <c r="K514" s="17">
        <f t="shared" si="122"/>
        <v>-7.953443258971989E-3</v>
      </c>
      <c r="L514" s="17">
        <f t="shared" si="123"/>
        <v>1.0198604401503022E-2</v>
      </c>
      <c r="M514" s="17">
        <f t="shared" si="124"/>
        <v>9.8960910440373936E-4</v>
      </c>
      <c r="N514" s="17">
        <f t="shared" si="125"/>
        <v>-3.6515044408334581E-3</v>
      </c>
      <c r="O514" s="17">
        <f t="shared" si="126"/>
        <v>-6.9623117452380125E-3</v>
      </c>
      <c r="P514" s="17">
        <f t="shared" si="127"/>
        <v>-2.0108673432213558E-3</v>
      </c>
      <c r="Q514" s="22">
        <f t="shared" si="128"/>
        <v>-3.8666960926070867E-3</v>
      </c>
      <c r="R514" s="22">
        <f t="shared" si="129"/>
        <v>4.5521105557951757E-4</v>
      </c>
      <c r="S514" s="22">
        <f t="shared" si="130"/>
        <v>-8.3654026458094364E-3</v>
      </c>
      <c r="T514" s="22">
        <f t="shared" si="131"/>
        <v>1.0067152892270104E-2</v>
      </c>
      <c r="U514" s="22">
        <f t="shared" si="132"/>
        <v>2.9638115744997685E-4</v>
      </c>
      <c r="V514" s="22">
        <f t="shared" si="133"/>
        <v>-3.416900631330278E-3</v>
      </c>
      <c r="W514" s="22">
        <f t="shared" si="134"/>
        <v>-6.7080631911473091E-3</v>
      </c>
      <c r="X514" s="22">
        <f t="shared" si="135"/>
        <v>-1.694922958615017E-3</v>
      </c>
    </row>
    <row r="515" spans="1:24" x14ac:dyDescent="0.35">
      <c r="A515" s="3">
        <v>9.3000000000000007</v>
      </c>
      <c r="B515" s="3">
        <v>90.56</v>
      </c>
      <c r="C515" s="3">
        <v>154.75</v>
      </c>
      <c r="D515" s="3">
        <v>18.989999999999998</v>
      </c>
      <c r="E515" s="3">
        <v>41.17</v>
      </c>
      <c r="F515" s="3">
        <v>101.032005</v>
      </c>
      <c r="G515" s="3">
        <v>96.116179000000002</v>
      </c>
      <c r="H515" s="3">
        <v>94.680152000000007</v>
      </c>
      <c r="I515" s="17">
        <f t="shared" si="120"/>
        <v>8.0139372822299812E-2</v>
      </c>
      <c r="J515" s="17">
        <f t="shared" si="121"/>
        <v>1.9915910599690952E-3</v>
      </c>
      <c r="K515" s="17">
        <f t="shared" si="122"/>
        <v>8.6690131664712081E-3</v>
      </c>
      <c r="L515" s="17">
        <f t="shared" si="123"/>
        <v>9.0329436769393274E-3</v>
      </c>
      <c r="M515" s="17">
        <f t="shared" si="124"/>
        <v>1.7548195748887812E-2</v>
      </c>
      <c r="N515" s="17">
        <f t="shared" si="125"/>
        <v>5.5942397583706588E-3</v>
      </c>
      <c r="O515" s="17">
        <f t="shared" si="126"/>
        <v>4.4501355330064064E-3</v>
      </c>
      <c r="P515" s="17">
        <f t="shared" si="127"/>
        <v>8.5210196139662055E-3</v>
      </c>
      <c r="Q515" s="22">
        <f t="shared" si="128"/>
        <v>7.9744898951915083E-2</v>
      </c>
      <c r="R515" s="22">
        <f t="shared" si="129"/>
        <v>1.5608663458919318E-3</v>
      </c>
      <c r="S515" s="22">
        <f t="shared" si="130"/>
        <v>8.2570537796337606E-3</v>
      </c>
      <c r="T515" s="22">
        <f t="shared" si="131"/>
        <v>8.90149216770641E-3</v>
      </c>
      <c r="U515" s="22">
        <f t="shared" si="132"/>
        <v>1.6854967801934049E-2</v>
      </c>
      <c r="V515" s="22">
        <f t="shared" si="133"/>
        <v>5.8288435678738393E-3</v>
      </c>
      <c r="W515" s="22">
        <f t="shared" si="134"/>
        <v>4.7043840870971097E-3</v>
      </c>
      <c r="X515" s="22">
        <f t="shared" si="135"/>
        <v>8.8369639985725439E-3</v>
      </c>
    </row>
    <row r="516" spans="1:24" x14ac:dyDescent="0.35">
      <c r="A516" s="3">
        <v>9.57</v>
      </c>
      <c r="B516" s="3">
        <v>91.08</v>
      </c>
      <c r="C516" s="3">
        <v>156.28</v>
      </c>
      <c r="D516" s="3">
        <v>19.25</v>
      </c>
      <c r="E516" s="3">
        <v>42.13</v>
      </c>
      <c r="F516" s="3">
        <v>101.34758100000001</v>
      </c>
      <c r="G516" s="3">
        <v>96.414473999999998</v>
      </c>
      <c r="H516" s="3">
        <v>94.746368000000004</v>
      </c>
      <c r="I516" s="17">
        <f t="shared" ref="I516:I579" si="136">(A516-A515)/A515</f>
        <v>2.9032258064516082E-2</v>
      </c>
      <c r="J516" s="17">
        <f t="shared" ref="J516:J579" si="137">(B516-B515)/B515</f>
        <v>5.7420494699646201E-3</v>
      </c>
      <c r="K516" s="17">
        <f t="shared" ref="K516:K579" si="138">(C516-C515)/C515</f>
        <v>9.8869143780290873E-3</v>
      </c>
      <c r="L516" s="17">
        <f t="shared" ref="L516:L579" si="139">(D516-D515)/D515</f>
        <v>1.3691416535018514E-2</v>
      </c>
      <c r="M516" s="17">
        <f t="shared" ref="M516:M579" si="140">(E516-E515)/E515</f>
        <v>2.3317949963565721E-2</v>
      </c>
      <c r="N516" s="17">
        <f t="shared" ref="N516:N579" si="141">(F516-F515)/F515</f>
        <v>3.1235250651514557E-3</v>
      </c>
      <c r="O516" s="17">
        <f t="shared" ref="O516:O579" si="142">(G516-G515)/G515</f>
        <v>3.1034837537600819E-3</v>
      </c>
      <c r="P516" s="17">
        <f t="shared" ref="P516:P579" si="143">(H516-H515)/H515</f>
        <v>6.9936516367228858E-4</v>
      </c>
      <c r="Q516" s="22">
        <f t="shared" si="128"/>
        <v>2.8637784194131349E-2</v>
      </c>
      <c r="R516" s="22">
        <f t="shared" si="129"/>
        <v>5.3113247558874569E-3</v>
      </c>
      <c r="S516" s="22">
        <f t="shared" si="130"/>
        <v>9.4749549911916399E-3</v>
      </c>
      <c r="T516" s="22">
        <f t="shared" si="131"/>
        <v>1.3559965025785596E-2</v>
      </c>
      <c r="U516" s="22">
        <f t="shared" si="132"/>
        <v>2.2624722016611958E-2</v>
      </c>
      <c r="V516" s="22">
        <f t="shared" si="133"/>
        <v>3.3581288746546358E-3</v>
      </c>
      <c r="W516" s="22">
        <f t="shared" si="134"/>
        <v>3.3577323078507848E-3</v>
      </c>
      <c r="X516" s="22">
        <f t="shared" si="135"/>
        <v>1.0153095482786274E-3</v>
      </c>
    </row>
    <row r="517" spans="1:24" x14ac:dyDescent="0.35">
      <c r="A517" s="3">
        <v>9.4</v>
      </c>
      <c r="B517" s="3">
        <v>90.93</v>
      </c>
      <c r="C517" s="3">
        <v>157.47</v>
      </c>
      <c r="D517" s="3">
        <v>19.239999999999998</v>
      </c>
      <c r="E517" s="3">
        <v>42.4</v>
      </c>
      <c r="F517" s="3">
        <v>101.518567</v>
      </c>
      <c r="G517" s="3">
        <v>97.018212000000005</v>
      </c>
      <c r="H517" s="3">
        <v>95.124722000000006</v>
      </c>
      <c r="I517" s="17">
        <f t="shared" si="136"/>
        <v>-1.7763845350052238E-2</v>
      </c>
      <c r="J517" s="17">
        <f t="shared" si="137"/>
        <v>-1.6469038208167708E-3</v>
      </c>
      <c r="K517" s="17">
        <f t="shared" si="138"/>
        <v>7.6145380087023146E-3</v>
      </c>
      <c r="L517" s="17">
        <f t="shared" si="139"/>
        <v>-5.1948051948060069E-4</v>
      </c>
      <c r="M517" s="17">
        <f t="shared" si="140"/>
        <v>6.4087348682647996E-3</v>
      </c>
      <c r="N517" s="17">
        <f t="shared" si="141"/>
        <v>1.6871246290525591E-3</v>
      </c>
      <c r="O517" s="17">
        <f t="shared" si="142"/>
        <v>6.2619021289273121E-3</v>
      </c>
      <c r="P517" s="17">
        <f t="shared" si="143"/>
        <v>3.9933351323820834E-3</v>
      </c>
      <c r="Q517" s="22">
        <f t="shared" ref="Q517:Q580" si="144">I517-AB$2</f>
        <v>-1.815831922043697E-2</v>
      </c>
      <c r="R517" s="22">
        <f t="shared" ref="R517:R580" si="145">J517-AC$2</f>
        <v>-2.0776285348939345E-3</v>
      </c>
      <c r="S517" s="22">
        <f t="shared" ref="S517:S580" si="146">K517-AD$2</f>
        <v>7.202578621864868E-3</v>
      </c>
      <c r="T517" s="22">
        <f t="shared" ref="T517:T580" si="147">L517-AE$2</f>
        <v>-6.5093202871351898E-4</v>
      </c>
      <c r="U517" s="22">
        <f t="shared" ref="U517:U580" si="148">M517-AF$2</f>
        <v>5.7155069213110374E-3</v>
      </c>
      <c r="V517" s="22">
        <f t="shared" ref="V517:V580" si="149">N517-AG$2</f>
        <v>1.9217284385557394E-3</v>
      </c>
      <c r="W517" s="22">
        <f t="shared" ref="W517:W580" si="150">O517-AH$2</f>
        <v>6.5161506830180155E-3</v>
      </c>
      <c r="X517" s="22">
        <f t="shared" ref="X517:X580" si="151">P517-AI$2</f>
        <v>4.3092795169884218E-3</v>
      </c>
    </row>
    <row r="518" spans="1:24" x14ac:dyDescent="0.35">
      <c r="A518" s="3">
        <v>9.5299999999999994</v>
      </c>
      <c r="B518" s="3">
        <v>93.28</v>
      </c>
      <c r="C518" s="3">
        <v>155.1</v>
      </c>
      <c r="D518" s="3">
        <v>19.63</v>
      </c>
      <c r="E518" s="3">
        <v>41.96</v>
      </c>
      <c r="F518" s="3">
        <v>101.492434</v>
      </c>
      <c r="G518" s="3">
        <v>96.923728999999994</v>
      </c>
      <c r="H518" s="3">
        <v>95.146766</v>
      </c>
      <c r="I518" s="17">
        <f t="shared" si="136"/>
        <v>1.3829787234042447E-2</v>
      </c>
      <c r="J518" s="17">
        <f t="shared" si="137"/>
        <v>2.5844055867150491E-2</v>
      </c>
      <c r="K518" s="17">
        <f t="shared" si="138"/>
        <v>-1.5050485806820375E-2</v>
      </c>
      <c r="L518" s="17">
        <f t="shared" si="139"/>
        <v>2.0270270270270303E-2</v>
      </c>
      <c r="M518" s="17">
        <f t="shared" si="140"/>
        <v>-1.0377358490565985E-2</v>
      </c>
      <c r="N518" s="17">
        <f t="shared" si="141"/>
        <v>-2.5742089129372281E-4</v>
      </c>
      <c r="O518" s="17">
        <f t="shared" si="142"/>
        <v>-9.7386870003346351E-4</v>
      </c>
      <c r="P518" s="17">
        <f t="shared" si="143"/>
        <v>2.3173786515763963E-4</v>
      </c>
      <c r="Q518" s="22">
        <f t="shared" si="144"/>
        <v>1.3435313363657712E-2</v>
      </c>
      <c r="R518" s="22">
        <f t="shared" si="145"/>
        <v>2.5413331153073329E-2</v>
      </c>
      <c r="S518" s="22">
        <f t="shared" si="146"/>
        <v>-1.5462445193657822E-2</v>
      </c>
      <c r="T518" s="22">
        <f t="shared" si="147"/>
        <v>2.0138818761037385E-2</v>
      </c>
      <c r="U518" s="22">
        <f t="shared" si="148"/>
        <v>-1.1070586437519748E-2</v>
      </c>
      <c r="V518" s="22">
        <f t="shared" si="149"/>
        <v>-2.2817081790542528E-5</v>
      </c>
      <c r="W518" s="22">
        <f t="shared" si="150"/>
        <v>-7.1962014594276051E-4</v>
      </c>
      <c r="X518" s="22">
        <f t="shared" si="151"/>
        <v>5.4768224976397845E-4</v>
      </c>
    </row>
    <row r="519" spans="1:24" x14ac:dyDescent="0.35">
      <c r="A519" s="3">
        <v>9.34</v>
      </c>
      <c r="B519" s="3">
        <v>92.32</v>
      </c>
      <c r="C519" s="3">
        <v>155.85</v>
      </c>
      <c r="D519" s="3">
        <v>19.43</v>
      </c>
      <c r="E519" s="3">
        <v>41.82</v>
      </c>
      <c r="F519" s="3">
        <v>101.024614</v>
      </c>
      <c r="G519" s="3">
        <v>96.713238000000004</v>
      </c>
      <c r="H519" s="3">
        <v>93.754919000000001</v>
      </c>
      <c r="I519" s="17">
        <f t="shared" si="136"/>
        <v>-1.9937040923399738E-2</v>
      </c>
      <c r="J519" s="17">
        <f t="shared" si="137"/>
        <v>-1.029159519725566E-2</v>
      </c>
      <c r="K519" s="17">
        <f t="shared" si="138"/>
        <v>4.8355899419729211E-3</v>
      </c>
      <c r="L519" s="17">
        <f t="shared" si="139"/>
        <v>-1.0188487009679026E-2</v>
      </c>
      <c r="M519" s="17">
        <f t="shared" si="140"/>
        <v>-3.3365109628217485E-3</v>
      </c>
      <c r="N519" s="17">
        <f t="shared" si="141"/>
        <v>-4.6094076332823313E-3</v>
      </c>
      <c r="O519" s="17">
        <f t="shared" si="142"/>
        <v>-2.1717179288468199E-3</v>
      </c>
      <c r="P519" s="17">
        <f t="shared" si="143"/>
        <v>-1.4628421527222464E-2</v>
      </c>
      <c r="Q519" s="22">
        <f t="shared" si="144"/>
        <v>-2.0331514793784471E-2</v>
      </c>
      <c r="R519" s="22">
        <f t="shared" si="145"/>
        <v>-1.0722319911332824E-2</v>
      </c>
      <c r="S519" s="22">
        <f t="shared" si="146"/>
        <v>4.4236305551354745E-3</v>
      </c>
      <c r="T519" s="22">
        <f t="shared" si="147"/>
        <v>-1.0319938518911944E-2</v>
      </c>
      <c r="U519" s="22">
        <f t="shared" si="148"/>
        <v>-4.0297389097755107E-3</v>
      </c>
      <c r="V519" s="22">
        <f t="shared" si="149"/>
        <v>-4.3748038237791508E-3</v>
      </c>
      <c r="W519" s="22">
        <f t="shared" si="150"/>
        <v>-1.917469374756117E-3</v>
      </c>
      <c r="X519" s="22">
        <f t="shared" si="151"/>
        <v>-1.4312477142616126E-2</v>
      </c>
    </row>
    <row r="520" spans="1:24" x14ac:dyDescent="0.35">
      <c r="A520" s="3">
        <v>9.2899999999999991</v>
      </c>
      <c r="B520" s="3">
        <v>91.86</v>
      </c>
      <c r="C520" s="3">
        <v>152.93</v>
      </c>
      <c r="D520" s="3">
        <v>19.62</v>
      </c>
      <c r="E520" s="3">
        <v>41.6</v>
      </c>
      <c r="F520" s="3">
        <v>100.803653</v>
      </c>
      <c r="G520" s="3">
        <v>96.387887000000006</v>
      </c>
      <c r="H520" s="3">
        <v>94.480401999999998</v>
      </c>
      <c r="I520" s="17">
        <f t="shared" si="136"/>
        <v>-5.3533190578159218E-3</v>
      </c>
      <c r="J520" s="17">
        <f t="shared" si="137"/>
        <v>-4.9826689774696035E-3</v>
      </c>
      <c r="K520" s="17">
        <f t="shared" si="138"/>
        <v>-1.8735964068014036E-2</v>
      </c>
      <c r="L520" s="17">
        <f t="shared" si="139"/>
        <v>9.7786927431807152E-3</v>
      </c>
      <c r="M520" s="17">
        <f t="shared" si="140"/>
        <v>-5.2606408417025076E-3</v>
      </c>
      <c r="N520" s="17">
        <f t="shared" si="141"/>
        <v>-2.1871996462169371E-3</v>
      </c>
      <c r="O520" s="17">
        <f t="shared" si="142"/>
        <v>-3.3640792794053459E-3</v>
      </c>
      <c r="P520" s="17">
        <f t="shared" si="143"/>
        <v>7.7380793214700235E-3</v>
      </c>
      <c r="Q520" s="22">
        <f t="shared" si="144"/>
        <v>-5.7477929282006551E-3</v>
      </c>
      <c r="R520" s="22">
        <f t="shared" si="145"/>
        <v>-5.4133936915467668E-3</v>
      </c>
      <c r="S520" s="22">
        <f t="shared" si="146"/>
        <v>-1.9147923454851484E-2</v>
      </c>
      <c r="T520" s="22">
        <f t="shared" si="147"/>
        <v>9.6472412339477977E-3</v>
      </c>
      <c r="U520" s="22">
        <f t="shared" si="148"/>
        <v>-5.9538687886562698E-3</v>
      </c>
      <c r="V520" s="22">
        <f t="shared" si="149"/>
        <v>-1.9525958367137568E-3</v>
      </c>
      <c r="W520" s="22">
        <f t="shared" si="150"/>
        <v>-3.109830725314643E-3</v>
      </c>
      <c r="X520" s="22">
        <f t="shared" si="151"/>
        <v>8.0540237060763627E-3</v>
      </c>
    </row>
    <row r="521" spans="1:24" x14ac:dyDescent="0.35">
      <c r="A521" s="3">
        <v>9.27</v>
      </c>
      <c r="B521" s="3">
        <v>92.66</v>
      </c>
      <c r="C521" s="3">
        <v>153.96</v>
      </c>
      <c r="D521" s="3">
        <v>19.64</v>
      </c>
      <c r="E521" s="3">
        <v>42.13</v>
      </c>
      <c r="F521" s="3">
        <v>100.63059800000001</v>
      </c>
      <c r="G521" s="3">
        <v>96.166595000000001</v>
      </c>
      <c r="H521" s="3">
        <v>94.476234000000005</v>
      </c>
      <c r="I521" s="17">
        <f t="shared" si="136"/>
        <v>-2.1528525296016766E-3</v>
      </c>
      <c r="J521" s="17">
        <f t="shared" si="137"/>
        <v>8.7089048552144253E-3</v>
      </c>
      <c r="K521" s="17">
        <f t="shared" si="138"/>
        <v>6.7351075655528742E-3</v>
      </c>
      <c r="L521" s="17">
        <f t="shared" si="139"/>
        <v>1.0193679918450342E-3</v>
      </c>
      <c r="M521" s="17">
        <f t="shared" si="140"/>
        <v>1.2740384615384643E-2</v>
      </c>
      <c r="N521" s="17">
        <f t="shared" si="141"/>
        <v>-1.7167532609159597E-3</v>
      </c>
      <c r="O521" s="17">
        <f t="shared" si="142"/>
        <v>-2.2958486474551035E-3</v>
      </c>
      <c r="P521" s="17">
        <f t="shared" si="143"/>
        <v>-4.4114968943430663E-5</v>
      </c>
      <c r="Q521" s="22">
        <f t="shared" si="144"/>
        <v>-2.5473263999864098E-3</v>
      </c>
      <c r="R521" s="22">
        <f t="shared" si="145"/>
        <v>8.2781801411372612E-3</v>
      </c>
      <c r="S521" s="22">
        <f t="shared" si="146"/>
        <v>6.3231481787154277E-3</v>
      </c>
      <c r="T521" s="22">
        <f t="shared" si="147"/>
        <v>8.8791648261211595E-4</v>
      </c>
      <c r="U521" s="22">
        <f t="shared" si="148"/>
        <v>1.204715666843088E-2</v>
      </c>
      <c r="V521" s="22">
        <f t="shared" si="149"/>
        <v>-1.4821494514127794E-3</v>
      </c>
      <c r="W521" s="22">
        <f t="shared" si="150"/>
        <v>-2.0416000933644006E-3</v>
      </c>
      <c r="X521" s="22">
        <f t="shared" si="151"/>
        <v>2.7182941566290808E-4</v>
      </c>
    </row>
    <row r="522" spans="1:24" x14ac:dyDescent="0.35">
      <c r="A522" s="3">
        <v>9.4</v>
      </c>
      <c r="B522" s="3">
        <v>91.69</v>
      </c>
      <c r="C522" s="3">
        <v>154.71</v>
      </c>
      <c r="D522" s="3">
        <v>19.8</v>
      </c>
      <c r="E522" s="3">
        <v>42.29</v>
      </c>
      <c r="F522" s="3">
        <v>100.605548</v>
      </c>
      <c r="G522" s="3">
        <v>96.188982999999993</v>
      </c>
      <c r="H522" s="3">
        <v>94.710464000000002</v>
      </c>
      <c r="I522" s="17">
        <f t="shared" si="136"/>
        <v>1.4023732470334498E-2</v>
      </c>
      <c r="J522" s="17">
        <f t="shared" si="137"/>
        <v>-1.0468379020073375E-2</v>
      </c>
      <c r="K522" s="17">
        <f t="shared" si="138"/>
        <v>4.8713951675759936E-3</v>
      </c>
      <c r="L522" s="17">
        <f t="shared" si="139"/>
        <v>8.1466395112016355E-3</v>
      </c>
      <c r="M522" s="17">
        <f t="shared" si="140"/>
        <v>3.7977688108235597E-3</v>
      </c>
      <c r="N522" s="17">
        <f t="shared" si="141"/>
        <v>-2.4893025081702629E-4</v>
      </c>
      <c r="O522" s="17">
        <f t="shared" si="142"/>
        <v>2.3280433293902423E-4</v>
      </c>
      <c r="P522" s="17">
        <f t="shared" si="143"/>
        <v>2.4792478497819527E-3</v>
      </c>
      <c r="Q522" s="22">
        <f t="shared" si="144"/>
        <v>1.3629258599949763E-2</v>
      </c>
      <c r="R522" s="22">
        <f t="shared" si="145"/>
        <v>-1.0899103734150539E-2</v>
      </c>
      <c r="S522" s="22">
        <f t="shared" si="146"/>
        <v>4.459435780738547E-3</v>
      </c>
      <c r="T522" s="22">
        <f t="shared" si="147"/>
        <v>8.0151880019687181E-3</v>
      </c>
      <c r="U522" s="22">
        <f t="shared" si="148"/>
        <v>3.1045408638697971E-3</v>
      </c>
      <c r="V522" s="22">
        <f t="shared" si="149"/>
        <v>-1.4326441313846006E-5</v>
      </c>
      <c r="W522" s="22">
        <f t="shared" si="150"/>
        <v>4.870528870297272E-4</v>
      </c>
      <c r="X522" s="22">
        <f t="shared" si="151"/>
        <v>2.7951922343882915E-3</v>
      </c>
    </row>
    <row r="523" spans="1:24" x14ac:dyDescent="0.35">
      <c r="A523" s="3">
        <v>9.44</v>
      </c>
      <c r="B523" s="3">
        <v>94.66</v>
      </c>
      <c r="C523" s="3">
        <v>156.22999999999999</v>
      </c>
      <c r="D523" s="3">
        <v>19.84</v>
      </c>
      <c r="E523" s="3">
        <v>43.41</v>
      </c>
      <c r="F523" s="3">
        <v>100.774793</v>
      </c>
      <c r="G523" s="3">
        <v>96.268911000000003</v>
      </c>
      <c r="H523" s="3">
        <v>94.591185999999993</v>
      </c>
      <c r="I523" s="17">
        <f t="shared" si="136"/>
        <v>4.2553191489360792E-3</v>
      </c>
      <c r="J523" s="17">
        <f t="shared" si="137"/>
        <v>3.2391754826044269E-2</v>
      </c>
      <c r="K523" s="17">
        <f t="shared" si="138"/>
        <v>9.8248335595629357E-3</v>
      </c>
      <c r="L523" s="17">
        <f t="shared" si="139"/>
        <v>2.0202020202019773E-3</v>
      </c>
      <c r="M523" s="17">
        <f t="shared" si="140"/>
        <v>2.6483802317332644E-2</v>
      </c>
      <c r="N523" s="17">
        <f t="shared" si="141"/>
        <v>1.6822630895067898E-3</v>
      </c>
      <c r="O523" s="17">
        <f t="shared" si="142"/>
        <v>8.3094755248643763E-4</v>
      </c>
      <c r="P523" s="17">
        <f t="shared" si="143"/>
        <v>-1.2593962162407782E-3</v>
      </c>
      <c r="Q523" s="22">
        <f t="shared" si="144"/>
        <v>3.860845278551346E-3</v>
      </c>
      <c r="R523" s="22">
        <f t="shared" si="145"/>
        <v>3.1961030111967104E-2</v>
      </c>
      <c r="S523" s="22">
        <f t="shared" si="146"/>
        <v>9.4128741727254883E-3</v>
      </c>
      <c r="T523" s="22">
        <f t="shared" si="147"/>
        <v>1.888750510969059E-3</v>
      </c>
      <c r="U523" s="22">
        <f t="shared" si="148"/>
        <v>2.579057437037888E-2</v>
      </c>
      <c r="V523" s="22">
        <f t="shared" si="149"/>
        <v>1.9168668990099701E-3</v>
      </c>
      <c r="W523" s="22">
        <f t="shared" si="150"/>
        <v>1.0851961065771406E-3</v>
      </c>
      <c r="X523" s="22">
        <f t="shared" si="151"/>
        <v>-9.4345183163443936E-4</v>
      </c>
    </row>
    <row r="524" spans="1:24" x14ac:dyDescent="0.35">
      <c r="A524" s="3">
        <v>9.5</v>
      </c>
      <c r="B524" s="3">
        <v>95.53</v>
      </c>
      <c r="C524" s="3">
        <v>159.32</v>
      </c>
      <c r="D524" s="3">
        <v>19.87</v>
      </c>
      <c r="E524" s="3">
        <v>43.86</v>
      </c>
      <c r="F524" s="3">
        <v>100.410419</v>
      </c>
      <c r="G524" s="3">
        <v>96.291297</v>
      </c>
      <c r="H524" s="3">
        <v>94.261089999999996</v>
      </c>
      <c r="I524" s="17">
        <f t="shared" si="136"/>
        <v>6.3559322033898838E-3</v>
      </c>
      <c r="J524" s="17">
        <f t="shared" si="137"/>
        <v>9.190788083667913E-3</v>
      </c>
      <c r="K524" s="17">
        <f t="shared" si="138"/>
        <v>1.9778531652051484E-2</v>
      </c>
      <c r="L524" s="17">
        <f t="shared" si="139"/>
        <v>1.5120967741936058E-3</v>
      </c>
      <c r="M524" s="17">
        <f t="shared" si="140"/>
        <v>1.0366275051831441E-2</v>
      </c>
      <c r="N524" s="17">
        <f t="shared" si="141"/>
        <v>-3.6157256110662312E-3</v>
      </c>
      <c r="O524" s="17">
        <f t="shared" si="142"/>
        <v>2.3253612996616688E-4</v>
      </c>
      <c r="P524" s="17">
        <f t="shared" si="143"/>
        <v>-3.489712033000596E-3</v>
      </c>
      <c r="Q524" s="22">
        <f t="shared" si="144"/>
        <v>5.9614583330051506E-3</v>
      </c>
      <c r="R524" s="22">
        <f t="shared" si="145"/>
        <v>8.7600633695907489E-3</v>
      </c>
      <c r="S524" s="22">
        <f t="shared" si="146"/>
        <v>1.9366572265214037E-2</v>
      </c>
      <c r="T524" s="22">
        <f t="shared" si="147"/>
        <v>1.3806452649606875E-3</v>
      </c>
      <c r="U524" s="22">
        <f t="shared" si="148"/>
        <v>9.6730471048776783E-3</v>
      </c>
      <c r="V524" s="22">
        <f t="shared" si="149"/>
        <v>-3.3811218015630511E-3</v>
      </c>
      <c r="W524" s="22">
        <f t="shared" si="150"/>
        <v>4.8678468405686988E-4</v>
      </c>
      <c r="X524" s="22">
        <f t="shared" si="151"/>
        <v>-3.1737676483942572E-3</v>
      </c>
    </row>
    <row r="525" spans="1:24" x14ac:dyDescent="0.35">
      <c r="A525" s="3">
        <v>9.57</v>
      </c>
      <c r="B525" s="3">
        <v>95.53</v>
      </c>
      <c r="C525" s="3">
        <v>157.22999999999999</v>
      </c>
      <c r="D525" s="3">
        <v>19.920000000000002</v>
      </c>
      <c r="E525" s="3">
        <v>44.45</v>
      </c>
      <c r="F525" s="3">
        <v>100.43403600000001</v>
      </c>
      <c r="G525" s="3">
        <v>96.256178000000006</v>
      </c>
      <c r="H525" s="3">
        <v>95.131675000000001</v>
      </c>
      <c r="I525" s="17">
        <f t="shared" si="136"/>
        <v>7.3684210526316091E-3</v>
      </c>
      <c r="J525" s="17">
        <f t="shared" si="137"/>
        <v>0</v>
      </c>
      <c r="K525" s="17">
        <f t="shared" si="138"/>
        <v>-1.311825257343713E-2</v>
      </c>
      <c r="L525" s="17">
        <f t="shared" si="139"/>
        <v>2.5163563160543888E-3</v>
      </c>
      <c r="M525" s="17">
        <f t="shared" si="140"/>
        <v>1.3451892384860999E-2</v>
      </c>
      <c r="N525" s="17">
        <f t="shared" si="141"/>
        <v>2.3520467532359916E-4</v>
      </c>
      <c r="O525" s="17">
        <f t="shared" si="142"/>
        <v>-3.6471624221651693E-4</v>
      </c>
      <c r="P525" s="17">
        <f t="shared" si="143"/>
        <v>9.2358893791701906E-3</v>
      </c>
      <c r="Q525" s="22">
        <f t="shared" si="144"/>
        <v>6.9739471822468759E-3</v>
      </c>
      <c r="R525" s="22">
        <f t="shared" si="145"/>
        <v>-4.3072471407716351E-4</v>
      </c>
      <c r="S525" s="22">
        <f t="shared" si="146"/>
        <v>-1.3530211960274577E-2</v>
      </c>
      <c r="T525" s="22">
        <f t="shared" si="147"/>
        <v>2.3849048068214705E-3</v>
      </c>
      <c r="U525" s="22">
        <f t="shared" si="148"/>
        <v>1.2758664437907236E-2</v>
      </c>
      <c r="V525" s="22">
        <f t="shared" si="149"/>
        <v>4.6980848482677947E-4</v>
      </c>
      <c r="W525" s="22">
        <f t="shared" si="150"/>
        <v>-1.1046768812581392E-4</v>
      </c>
      <c r="X525" s="22">
        <f t="shared" si="151"/>
        <v>9.551833763776529E-3</v>
      </c>
    </row>
    <row r="526" spans="1:24" x14ac:dyDescent="0.35">
      <c r="A526" s="3">
        <v>9.9700000000000006</v>
      </c>
      <c r="B526" s="3">
        <v>95.77</v>
      </c>
      <c r="C526" s="3">
        <v>155.37</v>
      </c>
      <c r="D526" s="3">
        <v>20.03</v>
      </c>
      <c r="E526" s="3">
        <v>45.03</v>
      </c>
      <c r="F526" s="3">
        <v>100.360142</v>
      </c>
      <c r="G526" s="3">
        <v>96.208605000000006</v>
      </c>
      <c r="H526" s="3">
        <v>95.055993000000001</v>
      </c>
      <c r="I526" s="17">
        <f t="shared" si="136"/>
        <v>4.1797283176593557E-2</v>
      </c>
      <c r="J526" s="17">
        <f t="shared" si="137"/>
        <v>2.5122998011095454E-3</v>
      </c>
      <c r="K526" s="17">
        <f t="shared" si="138"/>
        <v>-1.1829803472619636E-2</v>
      </c>
      <c r="L526" s="17">
        <f t="shared" si="139"/>
        <v>5.5220883534136253E-3</v>
      </c>
      <c r="M526" s="17">
        <f t="shared" si="140"/>
        <v>1.3048368953880726E-2</v>
      </c>
      <c r="N526" s="17">
        <f t="shared" si="141"/>
        <v>-7.3574659490941786E-4</v>
      </c>
      <c r="O526" s="17">
        <f t="shared" si="142"/>
        <v>-4.9423321171135489E-4</v>
      </c>
      <c r="P526" s="17">
        <f t="shared" si="143"/>
        <v>-7.9554995746685287E-4</v>
      </c>
      <c r="Q526" s="22">
        <f t="shared" si="144"/>
        <v>4.1402809306208821E-2</v>
      </c>
      <c r="R526" s="22">
        <f t="shared" si="145"/>
        <v>2.0815750870323817E-3</v>
      </c>
      <c r="S526" s="22">
        <f t="shared" si="146"/>
        <v>-1.2241762859457083E-2</v>
      </c>
      <c r="T526" s="22">
        <f t="shared" si="147"/>
        <v>5.390636844180707E-3</v>
      </c>
      <c r="U526" s="22">
        <f t="shared" si="148"/>
        <v>1.2355141006926963E-2</v>
      </c>
      <c r="V526" s="22">
        <f t="shared" si="149"/>
        <v>-5.0114278540623754E-4</v>
      </c>
      <c r="W526" s="22">
        <f t="shared" si="150"/>
        <v>-2.3998465762065189E-4</v>
      </c>
      <c r="X526" s="22">
        <f t="shared" si="151"/>
        <v>-4.796055728605141E-4</v>
      </c>
    </row>
    <row r="527" spans="1:24" x14ac:dyDescent="0.35">
      <c r="A527" s="3">
        <v>10.06</v>
      </c>
      <c r="B527" s="3">
        <v>94.7</v>
      </c>
      <c r="C527" s="3">
        <v>156.22</v>
      </c>
      <c r="D527" s="3">
        <v>19.850000000000001</v>
      </c>
      <c r="E527" s="3">
        <v>45.06</v>
      </c>
      <c r="F527" s="3">
        <v>100.143197</v>
      </c>
      <c r="G527" s="3">
        <v>96.059200000000004</v>
      </c>
      <c r="H527" s="3">
        <v>93.952136999999993</v>
      </c>
      <c r="I527" s="17">
        <f t="shared" si="136"/>
        <v>9.0270812437311786E-3</v>
      </c>
      <c r="J527" s="17">
        <f t="shared" si="137"/>
        <v>-1.1172601023284883E-2</v>
      </c>
      <c r="K527" s="17">
        <f t="shared" si="138"/>
        <v>5.4708116109930763E-3</v>
      </c>
      <c r="L527" s="17">
        <f t="shared" si="139"/>
        <v>-8.9865202196704793E-3</v>
      </c>
      <c r="M527" s="17">
        <f t="shared" si="140"/>
        <v>6.6622251832114453E-4</v>
      </c>
      <c r="N527" s="17">
        <f t="shared" si="141"/>
        <v>-2.1616649366637554E-3</v>
      </c>
      <c r="O527" s="17">
        <f t="shared" si="142"/>
        <v>-1.5529276201437653E-3</v>
      </c>
      <c r="P527" s="17">
        <f t="shared" si="143"/>
        <v>-1.1612692321251197E-2</v>
      </c>
      <c r="Q527" s="22">
        <f t="shared" si="144"/>
        <v>8.6326073733464445E-3</v>
      </c>
      <c r="R527" s="22">
        <f t="shared" si="145"/>
        <v>-1.1603325737362048E-2</v>
      </c>
      <c r="S527" s="22">
        <f t="shared" si="146"/>
        <v>5.0588522241556298E-3</v>
      </c>
      <c r="T527" s="22">
        <f t="shared" si="147"/>
        <v>-9.1179717289033967E-3</v>
      </c>
      <c r="U527" s="22">
        <f t="shared" si="148"/>
        <v>-2.7005428632617982E-5</v>
      </c>
      <c r="V527" s="22">
        <f t="shared" si="149"/>
        <v>-1.9270611271605751E-3</v>
      </c>
      <c r="W527" s="22">
        <f t="shared" si="150"/>
        <v>-1.2986790660530624E-3</v>
      </c>
      <c r="X527" s="22">
        <f t="shared" si="151"/>
        <v>-1.1296747936644858E-2</v>
      </c>
    </row>
    <row r="528" spans="1:24" x14ac:dyDescent="0.35">
      <c r="A528" s="3">
        <v>9.94</v>
      </c>
      <c r="B528" s="3">
        <v>94.36</v>
      </c>
      <c r="C528" s="3">
        <v>155.63999999999999</v>
      </c>
      <c r="D528" s="3">
        <v>19.91</v>
      </c>
      <c r="E528" s="3">
        <v>44.52</v>
      </c>
      <c r="F528" s="3">
        <v>100.407518</v>
      </c>
      <c r="G528" s="3">
        <v>95.682321999999999</v>
      </c>
      <c r="H528" s="3">
        <v>94.254187000000002</v>
      </c>
      <c r="I528" s="17">
        <f t="shared" si="136"/>
        <v>-1.1928429423459343E-2</v>
      </c>
      <c r="J528" s="17">
        <f t="shared" si="137"/>
        <v>-3.590285110876488E-3</v>
      </c>
      <c r="K528" s="17">
        <f t="shared" si="138"/>
        <v>-3.712712840865526E-3</v>
      </c>
      <c r="L528" s="17">
        <f t="shared" si="139"/>
        <v>3.0226700251888522E-3</v>
      </c>
      <c r="M528" s="17">
        <f t="shared" si="140"/>
        <v>-1.1984021304926745E-2</v>
      </c>
      <c r="N528" s="17">
        <f t="shared" si="141"/>
        <v>2.6394304148288313E-3</v>
      </c>
      <c r="O528" s="17">
        <f t="shared" si="142"/>
        <v>-3.9233930742709174E-3</v>
      </c>
      <c r="P528" s="17">
        <f t="shared" si="143"/>
        <v>3.2149348556064074E-3</v>
      </c>
      <c r="Q528" s="22">
        <f t="shared" si="144"/>
        <v>-1.2322903293844077E-2</v>
      </c>
      <c r="R528" s="22">
        <f t="shared" si="145"/>
        <v>-4.0210098249536513E-3</v>
      </c>
      <c r="S528" s="22">
        <f t="shared" si="146"/>
        <v>-4.124672227702973E-3</v>
      </c>
      <c r="T528" s="22">
        <f t="shared" si="147"/>
        <v>2.8912185159559339E-3</v>
      </c>
      <c r="U528" s="22">
        <f t="shared" si="148"/>
        <v>-1.2677249251880508E-2</v>
      </c>
      <c r="V528" s="22">
        <f t="shared" si="149"/>
        <v>2.8740342243320114E-3</v>
      </c>
      <c r="W528" s="22">
        <f t="shared" si="150"/>
        <v>-3.6691445201802145E-3</v>
      </c>
      <c r="X528" s="22">
        <f t="shared" si="151"/>
        <v>3.5308792402127462E-3</v>
      </c>
    </row>
    <row r="529" spans="1:24" x14ac:dyDescent="0.35">
      <c r="A529" s="3">
        <v>10.039999999999999</v>
      </c>
      <c r="B529" s="3">
        <v>94.02</v>
      </c>
      <c r="C529" s="3">
        <v>156.19</v>
      </c>
      <c r="D529" s="3">
        <v>19.68</v>
      </c>
      <c r="E529" s="3">
        <v>44.87</v>
      </c>
      <c r="F529" s="3">
        <v>100.334935</v>
      </c>
      <c r="G529" s="3">
        <v>95.818764999999999</v>
      </c>
      <c r="H529" s="3">
        <v>93.926985000000002</v>
      </c>
      <c r="I529" s="17">
        <f t="shared" si="136"/>
        <v>1.0060362173038195E-2</v>
      </c>
      <c r="J529" s="17">
        <f t="shared" si="137"/>
        <v>-3.6032217041119482E-3</v>
      </c>
      <c r="K529" s="17">
        <f t="shared" si="138"/>
        <v>3.533795939347285E-3</v>
      </c>
      <c r="L529" s="17">
        <f t="shared" si="139"/>
        <v>-1.1551983927674557E-2</v>
      </c>
      <c r="M529" s="17">
        <f t="shared" si="140"/>
        <v>7.8616352201256578E-3</v>
      </c>
      <c r="N529" s="17">
        <f t="shared" si="141"/>
        <v>-7.2288411710360689E-4</v>
      </c>
      <c r="O529" s="17">
        <f t="shared" si="142"/>
        <v>1.4260000922636459E-3</v>
      </c>
      <c r="P529" s="17">
        <f t="shared" si="143"/>
        <v>-3.4714850386434268E-3</v>
      </c>
      <c r="Q529" s="22">
        <f t="shared" si="144"/>
        <v>9.6658883026534605E-3</v>
      </c>
      <c r="R529" s="22">
        <f t="shared" si="145"/>
        <v>-4.0339464181891119E-3</v>
      </c>
      <c r="S529" s="22">
        <f t="shared" si="146"/>
        <v>3.121836552509838E-3</v>
      </c>
      <c r="T529" s="22">
        <f t="shared" si="147"/>
        <v>-1.1683435436907474E-2</v>
      </c>
      <c r="U529" s="22">
        <f t="shared" si="148"/>
        <v>7.1684072731718956E-3</v>
      </c>
      <c r="V529" s="22">
        <f t="shared" si="149"/>
        <v>-4.8828030760042658E-4</v>
      </c>
      <c r="W529" s="22">
        <f t="shared" si="150"/>
        <v>1.680248646354349E-3</v>
      </c>
      <c r="X529" s="22">
        <f t="shared" si="151"/>
        <v>-3.155540654037088E-3</v>
      </c>
    </row>
    <row r="530" spans="1:24" x14ac:dyDescent="0.35">
      <c r="A530" s="3">
        <v>10.25</v>
      </c>
      <c r="B530" s="3">
        <v>94.1</v>
      </c>
      <c r="C530" s="3">
        <v>157.54</v>
      </c>
      <c r="D530" s="3">
        <v>19.59</v>
      </c>
      <c r="E530" s="3">
        <v>44.92</v>
      </c>
      <c r="F530" s="3">
        <v>100.986378</v>
      </c>
      <c r="G530" s="3">
        <v>96.126688999999999</v>
      </c>
      <c r="H530" s="3">
        <v>95.073755000000006</v>
      </c>
      <c r="I530" s="17">
        <f t="shared" si="136"/>
        <v>2.0916334661354667E-2</v>
      </c>
      <c r="J530" s="17">
        <f t="shared" si="137"/>
        <v>8.5088279089553598E-4</v>
      </c>
      <c r="K530" s="17">
        <f t="shared" si="138"/>
        <v>8.6433190345092149E-3</v>
      </c>
      <c r="L530" s="17">
        <f t="shared" si="139"/>
        <v>-4.5731707317073099E-3</v>
      </c>
      <c r="M530" s="17">
        <f t="shared" si="140"/>
        <v>1.1143302874973093E-3</v>
      </c>
      <c r="N530" s="17">
        <f t="shared" si="141"/>
        <v>6.4926837297497667E-3</v>
      </c>
      <c r="O530" s="17">
        <f t="shared" si="142"/>
        <v>3.213608524384549E-3</v>
      </c>
      <c r="P530" s="17">
        <f t="shared" si="143"/>
        <v>1.2209164384441846E-2</v>
      </c>
      <c r="Q530" s="22">
        <f t="shared" si="144"/>
        <v>2.0521860790969935E-2</v>
      </c>
      <c r="R530" s="22">
        <f t="shared" si="145"/>
        <v>4.2015807681837248E-4</v>
      </c>
      <c r="S530" s="22">
        <f t="shared" si="146"/>
        <v>8.2313596476717675E-3</v>
      </c>
      <c r="T530" s="22">
        <f t="shared" si="147"/>
        <v>-4.7046222409402282E-3</v>
      </c>
      <c r="U530" s="22">
        <f t="shared" si="148"/>
        <v>4.2110234054354683E-4</v>
      </c>
      <c r="V530" s="22">
        <f t="shared" si="149"/>
        <v>6.7272875392529472E-3</v>
      </c>
      <c r="W530" s="22">
        <f t="shared" si="150"/>
        <v>3.4678570784752519E-3</v>
      </c>
      <c r="X530" s="22">
        <f t="shared" si="151"/>
        <v>1.2525108769048185E-2</v>
      </c>
    </row>
    <row r="531" spans="1:24" x14ac:dyDescent="0.35">
      <c r="A531" s="3">
        <v>10.26</v>
      </c>
      <c r="B531" s="3">
        <v>92.95</v>
      </c>
      <c r="C531" s="3">
        <v>152.9</v>
      </c>
      <c r="D531" s="3">
        <v>19.079999999999998</v>
      </c>
      <c r="E531" s="3">
        <v>44.64</v>
      </c>
      <c r="F531" s="3">
        <v>101.517482</v>
      </c>
      <c r="G531" s="3">
        <v>96.560336000000007</v>
      </c>
      <c r="H531" s="3">
        <v>95.802797999999996</v>
      </c>
      <c r="I531" s="17">
        <f t="shared" si="136"/>
        <v>9.7560975609754016E-4</v>
      </c>
      <c r="J531" s="17">
        <f t="shared" si="137"/>
        <v>-1.2221041445270898E-2</v>
      </c>
      <c r="K531" s="17">
        <f t="shared" si="138"/>
        <v>-2.945283737463493E-2</v>
      </c>
      <c r="L531" s="17">
        <f t="shared" si="139"/>
        <v>-2.6033690658499316E-2</v>
      </c>
      <c r="M531" s="17">
        <f t="shared" si="140"/>
        <v>-6.2333036509350202E-3</v>
      </c>
      <c r="N531" s="17">
        <f t="shared" si="141"/>
        <v>5.2591647558643912E-3</v>
      </c>
      <c r="O531" s="17">
        <f t="shared" si="142"/>
        <v>4.5112029188897548E-3</v>
      </c>
      <c r="P531" s="17">
        <f t="shared" si="143"/>
        <v>7.6681835065838108E-3</v>
      </c>
      <c r="Q531" s="22">
        <f t="shared" si="144"/>
        <v>5.811358857128069E-4</v>
      </c>
      <c r="R531" s="22">
        <f t="shared" si="145"/>
        <v>-1.2651766159348063E-2</v>
      </c>
      <c r="S531" s="22">
        <f t="shared" si="146"/>
        <v>-2.9864796761472377E-2</v>
      </c>
      <c r="T531" s="22">
        <f t="shared" si="147"/>
        <v>-2.6165142167732233E-2</v>
      </c>
      <c r="U531" s="22">
        <f t="shared" si="148"/>
        <v>-6.9265315978887824E-3</v>
      </c>
      <c r="V531" s="22">
        <f t="shared" si="149"/>
        <v>5.4937685653675718E-3</v>
      </c>
      <c r="W531" s="22">
        <f t="shared" si="150"/>
        <v>4.7654514729804582E-3</v>
      </c>
      <c r="X531" s="22">
        <f t="shared" si="151"/>
        <v>7.98412789119015E-3</v>
      </c>
    </row>
    <row r="532" spans="1:24" x14ac:dyDescent="0.35">
      <c r="A532" s="3">
        <v>10.28</v>
      </c>
      <c r="B532" s="3">
        <v>93.9</v>
      </c>
      <c r="C532" s="3">
        <v>153.75</v>
      </c>
      <c r="D532" s="3">
        <v>18.920000000000002</v>
      </c>
      <c r="E532" s="3">
        <v>44.64</v>
      </c>
      <c r="F532" s="3">
        <v>101.200974</v>
      </c>
      <c r="G532" s="3">
        <v>96.410835000000006</v>
      </c>
      <c r="H532" s="3">
        <v>95.610872000000001</v>
      </c>
      <c r="I532" s="17">
        <f t="shared" si="136"/>
        <v>1.9493177387913815E-3</v>
      </c>
      <c r="J532" s="17">
        <f t="shared" si="137"/>
        <v>1.0220548682087174E-2</v>
      </c>
      <c r="K532" s="17">
        <f t="shared" si="138"/>
        <v>5.5591890124263854E-3</v>
      </c>
      <c r="L532" s="17">
        <f t="shared" si="139"/>
        <v>-8.3857442348006603E-3</v>
      </c>
      <c r="M532" s="17">
        <f t="shared" si="140"/>
        <v>0</v>
      </c>
      <c r="N532" s="17">
        <f t="shared" si="141"/>
        <v>-3.1177684253437146E-3</v>
      </c>
      <c r="O532" s="17">
        <f t="shared" si="142"/>
        <v>-1.5482651178844362E-3</v>
      </c>
      <c r="P532" s="17">
        <f t="shared" si="143"/>
        <v>-2.0033444117153569E-3</v>
      </c>
      <c r="Q532" s="22">
        <f t="shared" si="144"/>
        <v>1.5548438684066482E-3</v>
      </c>
      <c r="R532" s="22">
        <f t="shared" si="145"/>
        <v>9.7898239680100103E-3</v>
      </c>
      <c r="S532" s="22">
        <f t="shared" si="146"/>
        <v>5.1472296255889389E-3</v>
      </c>
      <c r="T532" s="22">
        <f t="shared" si="147"/>
        <v>-8.5171957440335778E-3</v>
      </c>
      <c r="U532" s="22">
        <f t="shared" si="148"/>
        <v>-6.9322794695376251E-4</v>
      </c>
      <c r="V532" s="22">
        <f t="shared" si="149"/>
        <v>-2.8831646158405345E-3</v>
      </c>
      <c r="W532" s="22">
        <f t="shared" si="150"/>
        <v>-1.2940165637937333E-3</v>
      </c>
      <c r="X532" s="22">
        <f t="shared" si="151"/>
        <v>-1.6874000271090181E-3</v>
      </c>
    </row>
    <row r="533" spans="1:24" x14ac:dyDescent="0.35">
      <c r="A533" s="3">
        <v>9.92</v>
      </c>
      <c r="B533" s="3">
        <v>91.15</v>
      </c>
      <c r="C533" s="3">
        <v>154.09</v>
      </c>
      <c r="D533" s="3">
        <v>18.309999999999999</v>
      </c>
      <c r="E533" s="3">
        <v>44.3</v>
      </c>
      <c r="F533" s="3">
        <v>100.741557</v>
      </c>
      <c r="G533" s="3">
        <v>95.863118</v>
      </c>
      <c r="H533" s="3">
        <v>95.206936999999996</v>
      </c>
      <c r="I533" s="17">
        <f t="shared" si="136"/>
        <v>-3.5019455252918233E-2</v>
      </c>
      <c r="J533" s="17">
        <f t="shared" si="137"/>
        <v>-2.9286474973375932E-2</v>
      </c>
      <c r="K533" s="17">
        <f t="shared" si="138"/>
        <v>2.2113821138211604E-3</v>
      </c>
      <c r="L533" s="17">
        <f t="shared" si="139"/>
        <v>-3.2241014799154491E-2</v>
      </c>
      <c r="M533" s="17">
        <f t="shared" si="140"/>
        <v>-7.6164874551972088E-3</v>
      </c>
      <c r="N533" s="17">
        <f t="shared" si="141"/>
        <v>-4.5396499840011616E-3</v>
      </c>
      <c r="O533" s="17">
        <f t="shared" si="142"/>
        <v>-5.6810730868579835E-3</v>
      </c>
      <c r="P533" s="17">
        <f t="shared" si="143"/>
        <v>-4.2247810479126699E-3</v>
      </c>
      <c r="Q533" s="22">
        <f t="shared" si="144"/>
        <v>-3.5413929123302969E-2</v>
      </c>
      <c r="R533" s="22">
        <f t="shared" si="145"/>
        <v>-2.9717199687453094E-2</v>
      </c>
      <c r="S533" s="22">
        <f t="shared" si="146"/>
        <v>1.7994227269837134E-3</v>
      </c>
      <c r="T533" s="22">
        <f t="shared" si="147"/>
        <v>-3.2372466308387408E-2</v>
      </c>
      <c r="U533" s="22">
        <f t="shared" si="148"/>
        <v>-8.309715402150971E-3</v>
      </c>
      <c r="V533" s="22">
        <f t="shared" si="149"/>
        <v>-4.305046174497981E-3</v>
      </c>
      <c r="W533" s="22">
        <f t="shared" si="150"/>
        <v>-5.4268245327672802E-3</v>
      </c>
      <c r="X533" s="22">
        <f t="shared" si="151"/>
        <v>-3.9088366633063315E-3</v>
      </c>
    </row>
    <row r="534" spans="1:24" x14ac:dyDescent="0.35">
      <c r="A534" s="3">
        <v>9.9499999999999993</v>
      </c>
      <c r="B534" s="3">
        <v>91.01</v>
      </c>
      <c r="C534" s="3">
        <v>153.16</v>
      </c>
      <c r="D534" s="3">
        <v>18.52</v>
      </c>
      <c r="E534" s="3">
        <v>44.31</v>
      </c>
      <c r="F534" s="3">
        <v>100.572952</v>
      </c>
      <c r="G534" s="3">
        <v>96.227271000000002</v>
      </c>
      <c r="H534" s="3">
        <v>94.735380000000006</v>
      </c>
      <c r="I534" s="17">
        <f t="shared" si="136"/>
        <v>3.0241935483870325E-3</v>
      </c>
      <c r="J534" s="17">
        <f t="shared" si="137"/>
        <v>-1.5359297860669289E-3</v>
      </c>
      <c r="K534" s="17">
        <f t="shared" si="138"/>
        <v>-6.0354338373678163E-3</v>
      </c>
      <c r="L534" s="17">
        <f t="shared" si="139"/>
        <v>1.1469142545057393E-2</v>
      </c>
      <c r="M534" s="17">
        <f t="shared" si="140"/>
        <v>2.2573363431162792E-4</v>
      </c>
      <c r="N534" s="17">
        <f t="shared" si="141"/>
        <v>-1.6736390127462439E-3</v>
      </c>
      <c r="O534" s="17">
        <f t="shared" si="142"/>
        <v>3.7986767757752435E-3</v>
      </c>
      <c r="P534" s="17">
        <f t="shared" si="143"/>
        <v>-4.9529689207414582E-3</v>
      </c>
      <c r="Q534" s="22">
        <f t="shared" si="144"/>
        <v>2.6297196780022992E-3</v>
      </c>
      <c r="R534" s="22">
        <f t="shared" si="145"/>
        <v>-1.9666545001440923E-3</v>
      </c>
      <c r="S534" s="22">
        <f t="shared" si="146"/>
        <v>-6.4473932242052629E-3</v>
      </c>
      <c r="T534" s="22">
        <f t="shared" si="147"/>
        <v>1.1337691035824476E-2</v>
      </c>
      <c r="U534" s="22">
        <f t="shared" si="148"/>
        <v>-4.6749431264213456E-4</v>
      </c>
      <c r="V534" s="22">
        <f t="shared" si="149"/>
        <v>-1.4390352032430636E-3</v>
      </c>
      <c r="W534" s="22">
        <f t="shared" si="150"/>
        <v>4.0529253298659468E-3</v>
      </c>
      <c r="X534" s="22">
        <f t="shared" si="151"/>
        <v>-4.6370245361351198E-3</v>
      </c>
    </row>
    <row r="535" spans="1:24" x14ac:dyDescent="0.35">
      <c r="A535" s="3">
        <v>9.85</v>
      </c>
      <c r="B535" s="3">
        <v>90.08</v>
      </c>
      <c r="C535" s="3">
        <v>153.44999999999999</v>
      </c>
      <c r="D535" s="3">
        <v>18.28</v>
      </c>
      <c r="E535" s="3">
        <v>44.31</v>
      </c>
      <c r="F535" s="3">
        <v>100.692239</v>
      </c>
      <c r="G535" s="3">
        <v>96.237960000000001</v>
      </c>
      <c r="H535" s="3">
        <v>95.366629000000003</v>
      </c>
      <c r="I535" s="17">
        <f t="shared" si="136"/>
        <v>-1.0050251256281372E-2</v>
      </c>
      <c r="J535" s="17">
        <f t="shared" si="137"/>
        <v>-1.0218657290407721E-2</v>
      </c>
      <c r="K535" s="17">
        <f t="shared" si="138"/>
        <v>1.8934447636458087E-3</v>
      </c>
      <c r="L535" s="17">
        <f t="shared" si="139"/>
        <v>-1.2958963282937282E-2</v>
      </c>
      <c r="M535" s="17">
        <f t="shared" si="140"/>
        <v>0</v>
      </c>
      <c r="N535" s="17">
        <f t="shared" si="141"/>
        <v>1.1860743632144746E-3</v>
      </c>
      <c r="O535" s="17">
        <f t="shared" si="142"/>
        <v>1.1108077667503719E-4</v>
      </c>
      <c r="P535" s="17">
        <f t="shared" si="143"/>
        <v>6.6632867256139873E-3</v>
      </c>
      <c r="Q535" s="22">
        <f t="shared" si="144"/>
        <v>-1.0444725126666107E-2</v>
      </c>
      <c r="R535" s="22">
        <f t="shared" si="145"/>
        <v>-1.0649382004484885E-2</v>
      </c>
      <c r="S535" s="22">
        <f t="shared" si="146"/>
        <v>1.4814853768083617E-3</v>
      </c>
      <c r="T535" s="22">
        <f t="shared" si="147"/>
        <v>-1.3090414792170199E-2</v>
      </c>
      <c r="U535" s="22">
        <f t="shared" si="148"/>
        <v>-6.9322794695376251E-4</v>
      </c>
      <c r="V535" s="22">
        <f t="shared" si="149"/>
        <v>1.4206781727176549E-3</v>
      </c>
      <c r="W535" s="22">
        <f t="shared" si="150"/>
        <v>3.6532933076574017E-4</v>
      </c>
      <c r="X535" s="22">
        <f t="shared" si="151"/>
        <v>6.9792311102203257E-3</v>
      </c>
    </row>
    <row r="536" spans="1:24" x14ac:dyDescent="0.35">
      <c r="A536" s="3">
        <v>9.67</v>
      </c>
      <c r="B536" s="3">
        <v>88.84</v>
      </c>
      <c r="C536" s="3">
        <v>154.57</v>
      </c>
      <c r="D536" s="3">
        <v>18.420000000000002</v>
      </c>
      <c r="E536" s="3">
        <v>43.73</v>
      </c>
      <c r="F536" s="3">
        <v>99.951971999999998</v>
      </c>
      <c r="G536" s="3">
        <v>95.411033000000003</v>
      </c>
      <c r="H536" s="3">
        <v>94.056045999999995</v>
      </c>
      <c r="I536" s="17">
        <f t="shared" si="136"/>
        <v>-1.8274111675126874E-2</v>
      </c>
      <c r="J536" s="17">
        <f t="shared" si="137"/>
        <v>-1.3765541740674899E-2</v>
      </c>
      <c r="K536" s="17">
        <f t="shared" si="138"/>
        <v>7.2987943955686195E-3</v>
      </c>
      <c r="L536" s="17">
        <f t="shared" si="139"/>
        <v>7.6586433260394183E-3</v>
      </c>
      <c r="M536" s="17">
        <f t="shared" si="140"/>
        <v>-1.3089596027984774E-2</v>
      </c>
      <c r="N536" s="17">
        <f t="shared" si="141"/>
        <v>-7.3517781246278859E-3</v>
      </c>
      <c r="O536" s="17">
        <f t="shared" si="142"/>
        <v>-8.5925241973125541E-3</v>
      </c>
      <c r="P536" s="17">
        <f t="shared" si="143"/>
        <v>-1.3742574459667733E-2</v>
      </c>
      <c r="Q536" s="22">
        <f t="shared" si="144"/>
        <v>-1.8668585545511606E-2</v>
      </c>
      <c r="R536" s="22">
        <f t="shared" si="145"/>
        <v>-1.4196266454752063E-2</v>
      </c>
      <c r="S536" s="22">
        <f t="shared" si="146"/>
        <v>6.8868350087311729E-3</v>
      </c>
      <c r="T536" s="22">
        <f t="shared" si="147"/>
        <v>7.5271918168065E-3</v>
      </c>
      <c r="U536" s="22">
        <f t="shared" si="148"/>
        <v>-1.3782823974938537E-2</v>
      </c>
      <c r="V536" s="22">
        <f t="shared" si="149"/>
        <v>-7.1171743151247054E-3</v>
      </c>
      <c r="W536" s="22">
        <f t="shared" si="150"/>
        <v>-8.3382756432218517E-3</v>
      </c>
      <c r="X536" s="22">
        <f t="shared" si="151"/>
        <v>-1.3426630075061395E-2</v>
      </c>
    </row>
    <row r="537" spans="1:24" x14ac:dyDescent="0.35">
      <c r="A537" s="3">
        <v>9.76</v>
      </c>
      <c r="B537" s="3">
        <v>89.61</v>
      </c>
      <c r="C537" s="3">
        <v>156.09</v>
      </c>
      <c r="D537" s="3">
        <v>18.73</v>
      </c>
      <c r="E537" s="3">
        <v>43.93</v>
      </c>
      <c r="F537" s="3">
        <v>99.644148000000001</v>
      </c>
      <c r="G537" s="3">
        <v>95.265105000000005</v>
      </c>
      <c r="H537" s="3">
        <v>94.009011999999998</v>
      </c>
      <c r="I537" s="17">
        <f t="shared" si="136"/>
        <v>9.307135470527389E-3</v>
      </c>
      <c r="J537" s="17">
        <f t="shared" si="137"/>
        <v>8.6672669968482219E-3</v>
      </c>
      <c r="K537" s="17">
        <f t="shared" si="138"/>
        <v>9.8337322895776045E-3</v>
      </c>
      <c r="L537" s="17">
        <f t="shared" si="139"/>
        <v>1.6829533116177995E-2</v>
      </c>
      <c r="M537" s="17">
        <f t="shared" si="140"/>
        <v>4.5735193231192057E-3</v>
      </c>
      <c r="N537" s="17">
        <f t="shared" si="141"/>
        <v>-3.0797191275025223E-3</v>
      </c>
      <c r="O537" s="17">
        <f t="shared" si="142"/>
        <v>-1.5294667232037811E-3</v>
      </c>
      <c r="P537" s="17">
        <f t="shared" si="143"/>
        <v>-5.0006354721733115E-4</v>
      </c>
      <c r="Q537" s="22">
        <f t="shared" si="144"/>
        <v>8.9126616001426549E-3</v>
      </c>
      <c r="R537" s="22">
        <f t="shared" si="145"/>
        <v>8.2365422827710578E-3</v>
      </c>
      <c r="S537" s="22">
        <f t="shared" si="146"/>
        <v>9.4217729027401571E-3</v>
      </c>
      <c r="T537" s="22">
        <f t="shared" si="147"/>
        <v>1.6698081606945078E-2</v>
      </c>
      <c r="U537" s="22">
        <f t="shared" si="148"/>
        <v>3.8802913761654431E-3</v>
      </c>
      <c r="V537" s="22">
        <f t="shared" si="149"/>
        <v>-2.8451153179993422E-3</v>
      </c>
      <c r="W537" s="22">
        <f t="shared" si="150"/>
        <v>-1.275218169113078E-3</v>
      </c>
      <c r="X537" s="22">
        <f t="shared" si="151"/>
        <v>-1.8411916261099238E-4</v>
      </c>
    </row>
    <row r="538" spans="1:24" x14ac:dyDescent="0.35">
      <c r="A538" s="3">
        <v>9.65</v>
      </c>
      <c r="B538" s="3">
        <v>89.07</v>
      </c>
      <c r="C538" s="3">
        <v>156.31</v>
      </c>
      <c r="D538" s="3">
        <v>18.55</v>
      </c>
      <c r="E538" s="3">
        <v>43.17</v>
      </c>
      <c r="F538" s="3">
        <v>99.337941000000001</v>
      </c>
      <c r="G538" s="3">
        <v>95.119640000000004</v>
      </c>
      <c r="H538" s="3">
        <v>94.031424000000001</v>
      </c>
      <c r="I538" s="17">
        <f t="shared" si="136"/>
        <v>-1.127049180327863E-2</v>
      </c>
      <c r="J538" s="17">
        <f t="shared" si="137"/>
        <v>-6.0261131570137957E-3</v>
      </c>
      <c r="K538" s="17">
        <f t="shared" si="138"/>
        <v>1.4094432699083789E-3</v>
      </c>
      <c r="L538" s="17">
        <f t="shared" si="139"/>
        <v>-9.6102509343299371E-3</v>
      </c>
      <c r="M538" s="17">
        <f t="shared" si="140"/>
        <v>-1.7300250398360983E-2</v>
      </c>
      <c r="N538" s="17">
        <f t="shared" si="141"/>
        <v>-3.073005351001652E-3</v>
      </c>
      <c r="O538" s="17">
        <f t="shared" si="142"/>
        <v>-1.5269494533176812E-3</v>
      </c>
      <c r="P538" s="17">
        <f t="shared" si="143"/>
        <v>2.3840267569244066E-4</v>
      </c>
      <c r="Q538" s="22">
        <f t="shared" si="144"/>
        <v>-1.1664965673663364E-2</v>
      </c>
      <c r="R538" s="22">
        <f t="shared" si="145"/>
        <v>-6.4568378710909589E-3</v>
      </c>
      <c r="S538" s="22">
        <f t="shared" si="146"/>
        <v>9.9748388307093188E-4</v>
      </c>
      <c r="T538" s="22">
        <f t="shared" si="147"/>
        <v>-9.7417024435628545E-3</v>
      </c>
      <c r="U538" s="22">
        <f t="shared" si="148"/>
        <v>-1.7993478345314746E-2</v>
      </c>
      <c r="V538" s="22">
        <f t="shared" si="149"/>
        <v>-2.8384015414984719E-3</v>
      </c>
      <c r="W538" s="22">
        <f t="shared" si="150"/>
        <v>-1.2727008992269783E-3</v>
      </c>
      <c r="X538" s="22">
        <f t="shared" si="151"/>
        <v>5.5434706029877938E-4</v>
      </c>
    </row>
    <row r="539" spans="1:24" x14ac:dyDescent="0.35">
      <c r="A539" s="3">
        <v>9.81</v>
      </c>
      <c r="B539" s="3">
        <v>89.34</v>
      </c>
      <c r="C539" s="3">
        <v>163</v>
      </c>
      <c r="D539" s="3">
        <v>18.55</v>
      </c>
      <c r="E539" s="3">
        <v>43.15</v>
      </c>
      <c r="F539" s="3">
        <v>98.799311000000003</v>
      </c>
      <c r="G539" s="3">
        <v>94.528895000000006</v>
      </c>
      <c r="H539" s="3">
        <v>93.089392000000004</v>
      </c>
      <c r="I539" s="17">
        <f t="shared" si="136"/>
        <v>1.6580310880829029E-2</v>
      </c>
      <c r="J539" s="17">
        <f t="shared" si="137"/>
        <v>3.0313236780061779E-3</v>
      </c>
      <c r="K539" s="17">
        <f t="shared" si="138"/>
        <v>4.2799564967052638E-2</v>
      </c>
      <c r="L539" s="17">
        <f t="shared" si="139"/>
        <v>0</v>
      </c>
      <c r="M539" s="17">
        <f t="shared" si="140"/>
        <v>-4.6328468844111944E-4</v>
      </c>
      <c r="N539" s="17">
        <f t="shared" si="141"/>
        <v>-5.4221981508555499E-3</v>
      </c>
      <c r="O539" s="17">
        <f t="shared" si="142"/>
        <v>-6.2105470542150737E-3</v>
      </c>
      <c r="P539" s="17">
        <f t="shared" si="143"/>
        <v>-1.0018267935621154E-2</v>
      </c>
      <c r="Q539" s="22">
        <f t="shared" si="144"/>
        <v>1.6185837010444296E-2</v>
      </c>
      <c r="R539" s="22">
        <f t="shared" si="145"/>
        <v>2.6005989639290143E-3</v>
      </c>
      <c r="S539" s="22">
        <f t="shared" si="146"/>
        <v>4.238760558021519E-2</v>
      </c>
      <c r="T539" s="22">
        <f t="shared" si="147"/>
        <v>-1.3145150923291827E-4</v>
      </c>
      <c r="U539" s="22">
        <f t="shared" si="148"/>
        <v>-1.1565126353948818E-3</v>
      </c>
      <c r="V539" s="22">
        <f t="shared" si="149"/>
        <v>-5.1875943413523693E-3</v>
      </c>
      <c r="W539" s="22">
        <f t="shared" si="150"/>
        <v>-5.9562985001243704E-3</v>
      </c>
      <c r="X539" s="22">
        <f t="shared" si="151"/>
        <v>-9.7023235510148159E-3</v>
      </c>
    </row>
    <row r="540" spans="1:24" x14ac:dyDescent="0.35">
      <c r="A540" s="3">
        <v>9.61</v>
      </c>
      <c r="B540" s="3">
        <v>89.05</v>
      </c>
      <c r="C540" s="3">
        <v>164.06</v>
      </c>
      <c r="D540" s="3">
        <v>19.010000000000002</v>
      </c>
      <c r="E540" s="3">
        <v>44</v>
      </c>
      <c r="F540" s="3">
        <v>99.153246999999993</v>
      </c>
      <c r="G540" s="3">
        <v>94.764604000000006</v>
      </c>
      <c r="H540" s="3">
        <v>93.293918000000005</v>
      </c>
      <c r="I540" s="17">
        <f t="shared" si="136"/>
        <v>-2.038735983690123E-2</v>
      </c>
      <c r="J540" s="17">
        <f t="shared" si="137"/>
        <v>-3.2460264159391789E-3</v>
      </c>
      <c r="K540" s="17">
        <f t="shared" si="138"/>
        <v>6.5030674846625908E-3</v>
      </c>
      <c r="L540" s="17">
        <f t="shared" si="139"/>
        <v>2.4797843665768239E-2</v>
      </c>
      <c r="M540" s="17">
        <f t="shared" si="140"/>
        <v>1.9698725376593312E-2</v>
      </c>
      <c r="N540" s="17">
        <f t="shared" si="141"/>
        <v>3.5823731604766986E-3</v>
      </c>
      <c r="O540" s="17">
        <f t="shared" si="142"/>
        <v>2.4935126978898881E-3</v>
      </c>
      <c r="P540" s="17">
        <f t="shared" si="143"/>
        <v>2.1970924463659757E-3</v>
      </c>
      <c r="Q540" s="22">
        <f t="shared" si="144"/>
        <v>-2.0781833707285962E-2</v>
      </c>
      <c r="R540" s="22">
        <f t="shared" si="145"/>
        <v>-3.6767511300163425E-3</v>
      </c>
      <c r="S540" s="22">
        <f t="shared" si="146"/>
        <v>6.0911080978251443E-3</v>
      </c>
      <c r="T540" s="22">
        <f t="shared" si="147"/>
        <v>2.4666392156535322E-2</v>
      </c>
      <c r="U540" s="22">
        <f t="shared" si="148"/>
        <v>1.9005497429639549E-2</v>
      </c>
      <c r="V540" s="22">
        <f t="shared" si="149"/>
        <v>3.8169769699798787E-3</v>
      </c>
      <c r="W540" s="22">
        <f t="shared" si="150"/>
        <v>2.7477612519805909E-3</v>
      </c>
      <c r="X540" s="22">
        <f t="shared" si="151"/>
        <v>2.5130368309723146E-3</v>
      </c>
    </row>
    <row r="541" spans="1:24" x14ac:dyDescent="0.35">
      <c r="A541" s="3">
        <v>9.42</v>
      </c>
      <c r="B541" s="3">
        <v>87.4</v>
      </c>
      <c r="C541" s="3">
        <v>162.75</v>
      </c>
      <c r="D541" s="3">
        <v>19.010000000000002</v>
      </c>
      <c r="E541" s="3">
        <v>43.75</v>
      </c>
      <c r="F541" s="3">
        <v>98.570975000000004</v>
      </c>
      <c r="G541" s="3">
        <v>94.509961000000004</v>
      </c>
      <c r="H541" s="3">
        <v>92.567040000000006</v>
      </c>
      <c r="I541" s="17">
        <f t="shared" si="136"/>
        <v>-1.9771071800208068E-2</v>
      </c>
      <c r="J541" s="17">
        <f t="shared" si="137"/>
        <v>-1.8528916339135223E-2</v>
      </c>
      <c r="K541" s="17">
        <f t="shared" si="138"/>
        <v>-7.9848835791783632E-3</v>
      </c>
      <c r="L541" s="17">
        <f t="shared" si="139"/>
        <v>0</v>
      </c>
      <c r="M541" s="17">
        <f t="shared" si="140"/>
        <v>-5.681818181818182E-3</v>
      </c>
      <c r="N541" s="17">
        <f t="shared" si="141"/>
        <v>-5.8724451051006838E-3</v>
      </c>
      <c r="O541" s="17">
        <f t="shared" si="142"/>
        <v>-2.687110896384915E-3</v>
      </c>
      <c r="P541" s="17">
        <f t="shared" si="143"/>
        <v>-7.7912688799284769E-3</v>
      </c>
      <c r="Q541" s="22">
        <f t="shared" si="144"/>
        <v>-2.01655456705928E-2</v>
      </c>
      <c r="R541" s="22">
        <f t="shared" si="145"/>
        <v>-1.8959641053212385E-2</v>
      </c>
      <c r="S541" s="22">
        <f t="shared" si="146"/>
        <v>-8.3968429660158106E-3</v>
      </c>
      <c r="T541" s="22">
        <f t="shared" si="147"/>
        <v>-1.3145150923291827E-4</v>
      </c>
      <c r="U541" s="22">
        <f t="shared" si="148"/>
        <v>-6.3750461287719442E-3</v>
      </c>
      <c r="V541" s="22">
        <f t="shared" si="149"/>
        <v>-5.6378412955975033E-3</v>
      </c>
      <c r="W541" s="22">
        <f t="shared" si="150"/>
        <v>-2.4328623422942121E-3</v>
      </c>
      <c r="X541" s="22">
        <f t="shared" si="151"/>
        <v>-7.4753244953221385E-3</v>
      </c>
    </row>
    <row r="542" spans="1:24" x14ac:dyDescent="0.35">
      <c r="A542" s="3">
        <v>9.4499999999999993</v>
      </c>
      <c r="B542" s="3">
        <v>89.29</v>
      </c>
      <c r="C542" s="3">
        <v>163.06</v>
      </c>
      <c r="D542" s="3">
        <v>19.37</v>
      </c>
      <c r="E542" s="3">
        <v>43.86</v>
      </c>
      <c r="F542" s="3">
        <v>98.874821999999995</v>
      </c>
      <c r="G542" s="3">
        <v>94.256496999999996</v>
      </c>
      <c r="H542" s="3">
        <v>92.657450999999995</v>
      </c>
      <c r="I542" s="17">
        <f t="shared" si="136"/>
        <v>3.1847133757961104E-3</v>
      </c>
      <c r="J542" s="17">
        <f t="shared" si="137"/>
        <v>2.1624713958810073E-2</v>
      </c>
      <c r="K542" s="17">
        <f t="shared" si="138"/>
        <v>1.9047619047619186E-3</v>
      </c>
      <c r="L542" s="17">
        <f t="shared" si="139"/>
        <v>1.8937401367701178E-2</v>
      </c>
      <c r="M542" s="17">
        <f t="shared" si="140"/>
        <v>2.5142857142857011E-3</v>
      </c>
      <c r="N542" s="17">
        <f t="shared" si="141"/>
        <v>3.0825199811606858E-3</v>
      </c>
      <c r="O542" s="17">
        <f t="shared" si="142"/>
        <v>-2.6818760405583927E-3</v>
      </c>
      <c r="P542" s="17">
        <f t="shared" si="143"/>
        <v>9.7670834024712145E-4</v>
      </c>
      <c r="Q542" s="22">
        <f t="shared" si="144"/>
        <v>2.7902395054113772E-3</v>
      </c>
      <c r="R542" s="22">
        <f t="shared" si="145"/>
        <v>2.1193989244732911E-2</v>
      </c>
      <c r="S542" s="22">
        <f t="shared" si="146"/>
        <v>1.4928025179244716E-3</v>
      </c>
      <c r="T542" s="22">
        <f t="shared" si="147"/>
        <v>1.8805949858468261E-2</v>
      </c>
      <c r="U542" s="22">
        <f t="shared" si="148"/>
        <v>1.8210577673319385E-3</v>
      </c>
      <c r="V542" s="22">
        <f t="shared" si="149"/>
        <v>3.3171237906638659E-3</v>
      </c>
      <c r="W542" s="22">
        <f t="shared" si="150"/>
        <v>-2.4276274864676898E-3</v>
      </c>
      <c r="X542" s="22">
        <f t="shared" si="151"/>
        <v>1.2926527248534603E-3</v>
      </c>
    </row>
    <row r="543" spans="1:24" x14ac:dyDescent="0.35">
      <c r="A543" s="3">
        <v>9.15</v>
      </c>
      <c r="B543" s="3">
        <v>87.92</v>
      </c>
      <c r="C543" s="3">
        <v>158.88999999999999</v>
      </c>
      <c r="D543" s="3">
        <v>18.96</v>
      </c>
      <c r="E543" s="3">
        <v>42.88</v>
      </c>
      <c r="F543" s="3">
        <v>98.156953999999999</v>
      </c>
      <c r="G543" s="3">
        <v>93.675117</v>
      </c>
      <c r="H543" s="3">
        <v>91.470624000000001</v>
      </c>
      <c r="I543" s="17">
        <f t="shared" si="136"/>
        <v>-3.1746031746031633E-2</v>
      </c>
      <c r="J543" s="17">
        <f t="shared" si="137"/>
        <v>-1.534326352335093E-2</v>
      </c>
      <c r="K543" s="17">
        <f t="shared" si="138"/>
        <v>-2.557340856126589E-2</v>
      </c>
      <c r="L543" s="17">
        <f t="shared" si="139"/>
        <v>-2.1166752710376879E-2</v>
      </c>
      <c r="M543" s="17">
        <f t="shared" si="140"/>
        <v>-2.2343821249429935E-2</v>
      </c>
      <c r="N543" s="17">
        <f t="shared" si="141"/>
        <v>-7.2603721096963971E-3</v>
      </c>
      <c r="O543" s="17">
        <f t="shared" si="142"/>
        <v>-6.1680628763447027E-3</v>
      </c>
      <c r="P543" s="17">
        <f t="shared" si="143"/>
        <v>-1.2808759438029371E-2</v>
      </c>
      <c r="Q543" s="22">
        <f t="shared" si="144"/>
        <v>-3.2140505616416369E-2</v>
      </c>
      <c r="R543" s="22">
        <f t="shared" si="145"/>
        <v>-1.5773988237428094E-2</v>
      </c>
      <c r="S543" s="22">
        <f t="shared" si="146"/>
        <v>-2.5985367948103338E-2</v>
      </c>
      <c r="T543" s="22">
        <f t="shared" si="147"/>
        <v>-2.1298204219609797E-2</v>
      </c>
      <c r="U543" s="22">
        <f t="shared" si="148"/>
        <v>-2.3037049196383698E-2</v>
      </c>
      <c r="V543" s="22">
        <f t="shared" si="149"/>
        <v>-7.0257683001932166E-3</v>
      </c>
      <c r="W543" s="22">
        <f t="shared" si="150"/>
        <v>-5.9138143222539994E-3</v>
      </c>
      <c r="X543" s="22">
        <f t="shared" si="151"/>
        <v>-1.2492815053423032E-2</v>
      </c>
    </row>
    <row r="544" spans="1:24" x14ac:dyDescent="0.35">
      <c r="A544" s="3">
        <v>9.0500000000000007</v>
      </c>
      <c r="B544" s="3">
        <v>86.48</v>
      </c>
      <c r="C544" s="3">
        <v>154.69999999999999</v>
      </c>
      <c r="D544" s="3">
        <v>19.14</v>
      </c>
      <c r="E544" s="3">
        <v>42.98</v>
      </c>
      <c r="F544" s="3">
        <v>97.172853000000003</v>
      </c>
      <c r="G544" s="3">
        <v>92.343475999999995</v>
      </c>
      <c r="H544" s="3">
        <v>90.044786000000002</v>
      </c>
      <c r="I544" s="17">
        <f t="shared" si="136"/>
        <v>-1.092896174863384E-2</v>
      </c>
      <c r="J544" s="17">
        <f t="shared" si="137"/>
        <v>-1.6378525932666033E-2</v>
      </c>
      <c r="K544" s="17">
        <f t="shared" si="138"/>
        <v>-2.6370444961923332E-2</v>
      </c>
      <c r="L544" s="17">
        <f t="shared" si="139"/>
        <v>9.493670886075934E-3</v>
      </c>
      <c r="M544" s="17">
        <f t="shared" si="140"/>
        <v>2.3320895522386731E-3</v>
      </c>
      <c r="N544" s="17">
        <f t="shared" si="141"/>
        <v>-1.0025789920090587E-2</v>
      </c>
      <c r="O544" s="17">
        <f t="shared" si="142"/>
        <v>-1.421552534596786E-2</v>
      </c>
      <c r="P544" s="17">
        <f t="shared" si="143"/>
        <v>-1.5587933455007356E-2</v>
      </c>
      <c r="Q544" s="22">
        <f t="shared" si="144"/>
        <v>-1.1323435619018574E-2</v>
      </c>
      <c r="R544" s="22">
        <f t="shared" si="145"/>
        <v>-1.6809250646743195E-2</v>
      </c>
      <c r="S544" s="22">
        <f t="shared" si="146"/>
        <v>-2.678240434876078E-2</v>
      </c>
      <c r="T544" s="22">
        <f t="shared" si="147"/>
        <v>9.3622193768430166E-3</v>
      </c>
      <c r="U544" s="22">
        <f t="shared" si="148"/>
        <v>1.6388616052849104E-3</v>
      </c>
      <c r="V544" s="22">
        <f t="shared" si="149"/>
        <v>-9.7911861105874076E-3</v>
      </c>
      <c r="W544" s="22">
        <f t="shared" si="150"/>
        <v>-1.3961276791877157E-2</v>
      </c>
      <c r="X544" s="22">
        <f t="shared" si="151"/>
        <v>-1.5271989070401018E-2</v>
      </c>
    </row>
    <row r="545" spans="1:24" x14ac:dyDescent="0.35">
      <c r="A545" s="3">
        <v>9.09</v>
      </c>
      <c r="B545" s="3">
        <v>87.26</v>
      </c>
      <c r="C545" s="3">
        <v>157.68</v>
      </c>
      <c r="D545" s="3">
        <v>18.829999999999998</v>
      </c>
      <c r="E545" s="3">
        <v>43.99</v>
      </c>
      <c r="F545" s="3">
        <v>97.841891000000004</v>
      </c>
      <c r="G545" s="3">
        <v>92.736654999999999</v>
      </c>
      <c r="H545" s="3">
        <v>90.636543000000003</v>
      </c>
      <c r="I545" s="17">
        <f t="shared" si="136"/>
        <v>4.4198895027623367E-3</v>
      </c>
      <c r="J545" s="17">
        <f t="shared" si="137"/>
        <v>9.019426456984286E-3</v>
      </c>
      <c r="K545" s="17">
        <f t="shared" si="138"/>
        <v>1.9263089851325264E-2</v>
      </c>
      <c r="L545" s="17">
        <f t="shared" si="139"/>
        <v>-1.6196447230930108E-2</v>
      </c>
      <c r="M545" s="17">
        <f t="shared" si="140"/>
        <v>2.3499302000930786E-2</v>
      </c>
      <c r="N545" s="17">
        <f t="shared" si="141"/>
        <v>6.885029916740228E-3</v>
      </c>
      <c r="O545" s="17">
        <f t="shared" si="142"/>
        <v>4.2577886065281265E-3</v>
      </c>
      <c r="P545" s="17">
        <f t="shared" si="143"/>
        <v>6.5718075003254623E-3</v>
      </c>
      <c r="Q545" s="22">
        <f t="shared" si="144"/>
        <v>4.0254156323776035E-3</v>
      </c>
      <c r="R545" s="22">
        <f t="shared" si="145"/>
        <v>8.5887017429071219E-3</v>
      </c>
      <c r="S545" s="22">
        <f t="shared" si="146"/>
        <v>1.8851130464487817E-2</v>
      </c>
      <c r="T545" s="22">
        <f t="shared" si="147"/>
        <v>-1.6327898740163025E-2</v>
      </c>
      <c r="U545" s="22">
        <f t="shared" si="148"/>
        <v>2.2806074053977023E-2</v>
      </c>
      <c r="V545" s="22">
        <f t="shared" si="149"/>
        <v>7.1196337262434085E-3</v>
      </c>
      <c r="W545" s="22">
        <f t="shared" si="150"/>
        <v>4.5120371606188299E-3</v>
      </c>
      <c r="X545" s="22">
        <f t="shared" si="151"/>
        <v>6.8877518849318007E-3</v>
      </c>
    </row>
    <row r="546" spans="1:24" x14ac:dyDescent="0.35">
      <c r="A546" s="3">
        <v>8.89</v>
      </c>
      <c r="B546" s="3">
        <v>88.2</v>
      </c>
      <c r="C546" s="3">
        <v>156.72</v>
      </c>
      <c r="D546" s="3">
        <v>18.88</v>
      </c>
      <c r="E546" s="3">
        <v>43.15</v>
      </c>
      <c r="F546" s="3">
        <v>97.729315999999997</v>
      </c>
      <c r="G546" s="3">
        <v>93.246725999999995</v>
      </c>
      <c r="H546" s="3">
        <v>91.054338999999999</v>
      </c>
      <c r="I546" s="17">
        <f t="shared" si="136"/>
        <v>-2.2002200220021924E-2</v>
      </c>
      <c r="J546" s="17">
        <f t="shared" si="137"/>
        <v>1.0772404308961698E-2</v>
      </c>
      <c r="K546" s="17">
        <f t="shared" si="138"/>
        <v>-6.0882800608828506E-3</v>
      </c>
      <c r="L546" s="17">
        <f t="shared" si="139"/>
        <v>2.655337227827972E-3</v>
      </c>
      <c r="M546" s="17">
        <f t="shared" si="140"/>
        <v>-1.9095248920209217E-2</v>
      </c>
      <c r="N546" s="17">
        <f t="shared" si="141"/>
        <v>-1.1505807875279797E-3</v>
      </c>
      <c r="O546" s="17">
        <f t="shared" si="142"/>
        <v>5.5002091675615903E-3</v>
      </c>
      <c r="P546" s="17">
        <f t="shared" si="143"/>
        <v>4.6095756322038408E-3</v>
      </c>
      <c r="Q546" s="22">
        <f t="shared" si="144"/>
        <v>-2.2396674090406656E-2</v>
      </c>
      <c r="R546" s="22">
        <f t="shared" si="145"/>
        <v>1.0341679594884533E-2</v>
      </c>
      <c r="S546" s="22">
        <f t="shared" si="146"/>
        <v>-6.5002394477202971E-3</v>
      </c>
      <c r="T546" s="22">
        <f t="shared" si="147"/>
        <v>2.5238857185950537E-3</v>
      </c>
      <c r="U546" s="22">
        <f t="shared" si="148"/>
        <v>-1.978847686716298E-2</v>
      </c>
      <c r="V546" s="22">
        <f t="shared" si="149"/>
        <v>-9.1597697802479937E-4</v>
      </c>
      <c r="W546" s="22">
        <f t="shared" si="150"/>
        <v>5.7544577216522936E-3</v>
      </c>
      <c r="X546" s="22">
        <f t="shared" si="151"/>
        <v>4.9255200168101792E-3</v>
      </c>
    </row>
    <row r="547" spans="1:24" x14ac:dyDescent="0.35">
      <c r="A547" s="3">
        <v>8.9700000000000006</v>
      </c>
      <c r="B547" s="3">
        <v>89.63</v>
      </c>
      <c r="C547" s="3">
        <v>156.16</v>
      </c>
      <c r="D547" s="3">
        <v>18.98</v>
      </c>
      <c r="E547" s="3">
        <v>42.51</v>
      </c>
      <c r="F547" s="3">
        <v>98.167137999999994</v>
      </c>
      <c r="G547" s="3">
        <v>93.705344999999994</v>
      </c>
      <c r="H547" s="3">
        <v>91.607380000000006</v>
      </c>
      <c r="I547" s="17">
        <f t="shared" si="136"/>
        <v>8.9988751406074319E-3</v>
      </c>
      <c r="J547" s="17">
        <f t="shared" si="137"/>
        <v>1.6213151927437556E-2</v>
      </c>
      <c r="K547" s="17">
        <f t="shared" si="138"/>
        <v>-3.5732516590097135E-3</v>
      </c>
      <c r="L547" s="17">
        <f t="shared" si="139"/>
        <v>5.2966101694916006E-3</v>
      </c>
      <c r="M547" s="17">
        <f t="shared" si="140"/>
        <v>-1.4831981460023189E-2</v>
      </c>
      <c r="N547" s="17">
        <f t="shared" si="141"/>
        <v>4.4799454034856545E-3</v>
      </c>
      <c r="O547" s="17">
        <f t="shared" si="142"/>
        <v>4.9183389023224125E-3</v>
      </c>
      <c r="P547" s="17">
        <f t="shared" si="143"/>
        <v>6.0737467986012993E-3</v>
      </c>
      <c r="Q547" s="22">
        <f t="shared" si="144"/>
        <v>8.6044012702226978E-3</v>
      </c>
      <c r="R547" s="22">
        <f t="shared" si="145"/>
        <v>1.5782427213360394E-2</v>
      </c>
      <c r="S547" s="22">
        <f t="shared" si="146"/>
        <v>-3.9852110458471601E-3</v>
      </c>
      <c r="T547" s="22">
        <f t="shared" si="147"/>
        <v>5.1651586602586824E-3</v>
      </c>
      <c r="U547" s="22">
        <f t="shared" si="148"/>
        <v>-1.5525209406976952E-2</v>
      </c>
      <c r="V547" s="22">
        <f t="shared" si="149"/>
        <v>4.7145492129888351E-3</v>
      </c>
      <c r="W547" s="22">
        <f t="shared" si="150"/>
        <v>5.1725874564131158E-3</v>
      </c>
      <c r="X547" s="22">
        <f t="shared" si="151"/>
        <v>6.3896911832076377E-3</v>
      </c>
    </row>
    <row r="548" spans="1:24" x14ac:dyDescent="0.35">
      <c r="A548" s="3">
        <v>9.16</v>
      </c>
      <c r="B548" s="3">
        <v>86.85</v>
      </c>
      <c r="C548" s="3">
        <v>154.44</v>
      </c>
      <c r="D548" s="3">
        <v>18.98</v>
      </c>
      <c r="E548" s="3">
        <v>40.44</v>
      </c>
      <c r="F548" s="3">
        <v>97.687709999999996</v>
      </c>
      <c r="G548" s="3">
        <v>93.402012999999997</v>
      </c>
      <c r="H548" s="3">
        <v>91.298373999999995</v>
      </c>
      <c r="I548" s="17">
        <f t="shared" si="136"/>
        <v>2.1181716833890689E-2</v>
      </c>
      <c r="J548" s="17">
        <f t="shared" si="137"/>
        <v>-3.1016400758674564E-2</v>
      </c>
      <c r="K548" s="17">
        <f t="shared" si="138"/>
        <v>-1.1014344262295075E-2</v>
      </c>
      <c r="L548" s="17">
        <f t="shared" si="139"/>
        <v>0</v>
      </c>
      <c r="M548" s="17">
        <f t="shared" si="140"/>
        <v>-4.8694424841213842E-2</v>
      </c>
      <c r="N548" s="17">
        <f t="shared" si="141"/>
        <v>-4.8837931895294598E-3</v>
      </c>
      <c r="O548" s="17">
        <f t="shared" si="142"/>
        <v>-3.2370832208130445E-3</v>
      </c>
      <c r="P548" s="17">
        <f t="shared" si="143"/>
        <v>-3.373156180211799E-3</v>
      </c>
      <c r="Q548" s="22">
        <f t="shared" si="144"/>
        <v>2.0787242963505956E-2</v>
      </c>
      <c r="R548" s="22">
        <f t="shared" si="145"/>
        <v>-3.1447125472751726E-2</v>
      </c>
      <c r="S548" s="22">
        <f t="shared" si="146"/>
        <v>-1.1426303649132523E-2</v>
      </c>
      <c r="T548" s="22">
        <f t="shared" si="147"/>
        <v>-1.3145150923291827E-4</v>
      </c>
      <c r="U548" s="22">
        <f t="shared" si="148"/>
        <v>-4.9387652788167605E-2</v>
      </c>
      <c r="V548" s="22">
        <f t="shared" si="149"/>
        <v>-4.6491893800262793E-3</v>
      </c>
      <c r="W548" s="22">
        <f t="shared" si="150"/>
        <v>-2.9828346667223416E-3</v>
      </c>
      <c r="X548" s="22">
        <f t="shared" si="151"/>
        <v>-3.0572117956054602E-3</v>
      </c>
    </row>
    <row r="549" spans="1:24" x14ac:dyDescent="0.35">
      <c r="A549" s="3">
        <v>9.3800000000000008</v>
      </c>
      <c r="B549" s="3">
        <v>86.98</v>
      </c>
      <c r="C549" s="3">
        <v>161.94</v>
      </c>
      <c r="D549" s="3">
        <v>19.059999999999999</v>
      </c>
      <c r="E549" s="3">
        <v>41.25</v>
      </c>
      <c r="F549" s="3">
        <v>97.257299000000003</v>
      </c>
      <c r="G549" s="3">
        <v>93.208495999999997</v>
      </c>
      <c r="H549" s="3">
        <v>90.597150999999997</v>
      </c>
      <c r="I549" s="17">
        <f t="shared" si="136"/>
        <v>2.4017467248908367E-2</v>
      </c>
      <c r="J549" s="17">
        <f t="shared" si="137"/>
        <v>1.4968336211860641E-3</v>
      </c>
      <c r="K549" s="17">
        <f t="shared" si="138"/>
        <v>4.856254856254856E-2</v>
      </c>
      <c r="L549" s="17">
        <f t="shared" si="139"/>
        <v>4.2149631190726185E-3</v>
      </c>
      <c r="M549" s="17">
        <f t="shared" si="140"/>
        <v>2.0029673590504508E-2</v>
      </c>
      <c r="N549" s="17">
        <f t="shared" si="141"/>
        <v>-4.4059892488010248E-3</v>
      </c>
      <c r="O549" s="17">
        <f t="shared" si="142"/>
        <v>-2.071871834282629E-3</v>
      </c>
      <c r="P549" s="17">
        <f t="shared" si="143"/>
        <v>-7.6805639495835807E-3</v>
      </c>
      <c r="Q549" s="22">
        <f t="shared" si="144"/>
        <v>2.3622993378523634E-2</v>
      </c>
      <c r="R549" s="22">
        <f t="shared" si="145"/>
        <v>1.0661089071089007E-3</v>
      </c>
      <c r="S549" s="22">
        <f t="shared" si="146"/>
        <v>4.8150589175711113E-2</v>
      </c>
      <c r="T549" s="22">
        <f t="shared" si="147"/>
        <v>4.0835116098397002E-3</v>
      </c>
      <c r="U549" s="22">
        <f t="shared" si="148"/>
        <v>1.9336445643550745E-2</v>
      </c>
      <c r="V549" s="22">
        <f t="shared" si="149"/>
        <v>-4.1713854392978443E-3</v>
      </c>
      <c r="W549" s="22">
        <f t="shared" si="150"/>
        <v>-1.8176232801919261E-3</v>
      </c>
      <c r="X549" s="22">
        <f t="shared" si="151"/>
        <v>-7.3646195649772423E-3</v>
      </c>
    </row>
    <row r="550" spans="1:24" x14ac:dyDescent="0.35">
      <c r="A550" s="3">
        <v>9.8000000000000007</v>
      </c>
      <c r="B550" s="3">
        <v>87.89</v>
      </c>
      <c r="C550" s="3">
        <v>158.47</v>
      </c>
      <c r="D550" s="3">
        <v>18.91</v>
      </c>
      <c r="E550" s="3">
        <v>40.99</v>
      </c>
      <c r="F550" s="3">
        <v>97.287265000000005</v>
      </c>
      <c r="G550" s="3">
        <v>93.170616999999993</v>
      </c>
      <c r="H550" s="3">
        <v>90.600598000000005</v>
      </c>
      <c r="I550" s="17">
        <f t="shared" si="136"/>
        <v>4.4776119402985065E-2</v>
      </c>
      <c r="J550" s="17">
        <f t="shared" si="137"/>
        <v>1.0462175212692533E-2</v>
      </c>
      <c r="K550" s="17">
        <f t="shared" si="138"/>
        <v>-2.142768926762998E-2</v>
      </c>
      <c r="L550" s="17">
        <f t="shared" si="139"/>
        <v>-7.8698845750261592E-3</v>
      </c>
      <c r="M550" s="17">
        <f t="shared" si="140"/>
        <v>-6.3030303030302548E-3</v>
      </c>
      <c r="N550" s="17">
        <f t="shared" si="141"/>
        <v>3.0811055116800756E-4</v>
      </c>
      <c r="O550" s="17">
        <f t="shared" si="142"/>
        <v>-4.0638999260328987E-4</v>
      </c>
      <c r="P550" s="17">
        <f t="shared" si="143"/>
        <v>3.804755405618015E-5</v>
      </c>
      <c r="Q550" s="22">
        <f t="shared" si="144"/>
        <v>4.4381645532600329E-2</v>
      </c>
      <c r="R550" s="22">
        <f t="shared" si="145"/>
        <v>1.0031450498615369E-2</v>
      </c>
      <c r="S550" s="22">
        <f t="shared" si="146"/>
        <v>-2.1839648654467428E-2</v>
      </c>
      <c r="T550" s="22">
        <f t="shared" si="147"/>
        <v>-8.0013360842590767E-3</v>
      </c>
      <c r="U550" s="22">
        <f t="shared" si="148"/>
        <v>-6.996258249984017E-3</v>
      </c>
      <c r="V550" s="22">
        <f t="shared" si="149"/>
        <v>5.4271436067118782E-4</v>
      </c>
      <c r="W550" s="22">
        <f t="shared" si="150"/>
        <v>-1.5214143851258687E-4</v>
      </c>
      <c r="X550" s="22">
        <f t="shared" si="151"/>
        <v>3.5399193866251892E-4</v>
      </c>
    </row>
    <row r="551" spans="1:24" x14ac:dyDescent="0.35">
      <c r="A551" s="3">
        <v>10.130000000000001</v>
      </c>
      <c r="B551" s="3">
        <v>88.07</v>
      </c>
      <c r="C551" s="3">
        <v>159.84</v>
      </c>
      <c r="D551" s="3">
        <v>18.96</v>
      </c>
      <c r="E551" s="3">
        <v>40.86</v>
      </c>
      <c r="F551" s="3">
        <v>97.858147000000002</v>
      </c>
      <c r="G551" s="3">
        <v>93.736219000000006</v>
      </c>
      <c r="H551" s="3">
        <v>90.885563000000005</v>
      </c>
      <c r="I551" s="17">
        <f t="shared" si="136"/>
        <v>3.367346938775511E-2</v>
      </c>
      <c r="J551" s="17">
        <f t="shared" si="137"/>
        <v>2.0480145636590352E-3</v>
      </c>
      <c r="K551" s="17">
        <f t="shared" si="138"/>
        <v>8.645169432700224E-3</v>
      </c>
      <c r="L551" s="17">
        <f t="shared" si="139"/>
        <v>2.6441036488630732E-3</v>
      </c>
      <c r="M551" s="17">
        <f t="shared" si="140"/>
        <v>-3.1715052451818139E-3</v>
      </c>
      <c r="N551" s="17">
        <f t="shared" si="141"/>
        <v>5.8680033815319754E-3</v>
      </c>
      <c r="O551" s="17">
        <f t="shared" si="142"/>
        <v>6.0706048560353809E-3</v>
      </c>
      <c r="P551" s="17">
        <f t="shared" si="143"/>
        <v>3.145288290481258E-3</v>
      </c>
      <c r="Q551" s="22">
        <f t="shared" si="144"/>
        <v>3.3278995517370374E-2</v>
      </c>
      <c r="R551" s="22">
        <f t="shared" si="145"/>
        <v>1.6172898495818717E-3</v>
      </c>
      <c r="S551" s="22">
        <f t="shared" si="146"/>
        <v>8.2332100458627766E-3</v>
      </c>
      <c r="T551" s="22">
        <f t="shared" si="147"/>
        <v>2.5126521396301549E-3</v>
      </c>
      <c r="U551" s="22">
        <f t="shared" si="148"/>
        <v>-3.8647331921355765E-3</v>
      </c>
      <c r="V551" s="22">
        <f t="shared" si="149"/>
        <v>6.1026071910351559E-3</v>
      </c>
      <c r="W551" s="22">
        <f t="shared" si="150"/>
        <v>6.3248534101260842E-3</v>
      </c>
      <c r="X551" s="22">
        <f t="shared" si="151"/>
        <v>3.4612326750875968E-3</v>
      </c>
    </row>
    <row r="552" spans="1:24" x14ac:dyDescent="0.35">
      <c r="A552" s="3">
        <v>9.9600000000000009</v>
      </c>
      <c r="B552" s="3">
        <v>88.34</v>
      </c>
      <c r="C552" s="3">
        <v>160.87</v>
      </c>
      <c r="D552" s="3">
        <v>18.989999999999998</v>
      </c>
      <c r="E552" s="3">
        <v>41.3</v>
      </c>
      <c r="F552" s="3">
        <v>97.928754999999995</v>
      </c>
      <c r="G552" s="3">
        <v>93.379701999999995</v>
      </c>
      <c r="H552" s="3">
        <v>91.369482000000005</v>
      </c>
      <c r="I552" s="17">
        <f t="shared" si="136"/>
        <v>-1.6781836130306014E-2</v>
      </c>
      <c r="J552" s="17">
        <f t="shared" si="137"/>
        <v>3.0657431588510305E-3</v>
      </c>
      <c r="K552" s="17">
        <f t="shared" si="138"/>
        <v>6.4439439439439505E-3</v>
      </c>
      <c r="L552" s="17">
        <f t="shared" si="139"/>
        <v>1.5822784810125307E-3</v>
      </c>
      <c r="M552" s="17">
        <f t="shared" si="140"/>
        <v>1.0768477728830095E-2</v>
      </c>
      <c r="N552" s="17">
        <f t="shared" si="141"/>
        <v>7.2153420195043036E-4</v>
      </c>
      <c r="O552" s="17">
        <f t="shared" si="142"/>
        <v>-3.8034070907000295E-3</v>
      </c>
      <c r="P552" s="17">
        <f t="shared" si="143"/>
        <v>5.3244870145107669E-3</v>
      </c>
      <c r="Q552" s="22">
        <f t="shared" si="144"/>
        <v>-1.7176310000690746E-2</v>
      </c>
      <c r="R552" s="22">
        <f t="shared" si="145"/>
        <v>2.6350184447738669E-3</v>
      </c>
      <c r="S552" s="22">
        <f t="shared" si="146"/>
        <v>6.0319845571065039E-3</v>
      </c>
      <c r="T552" s="22">
        <f t="shared" si="147"/>
        <v>1.4508269717796124E-3</v>
      </c>
      <c r="U552" s="22">
        <f t="shared" si="148"/>
        <v>1.0075249781876332E-2</v>
      </c>
      <c r="V552" s="22">
        <f t="shared" si="149"/>
        <v>9.5613801145361067E-4</v>
      </c>
      <c r="W552" s="22">
        <f t="shared" si="150"/>
        <v>-3.5491585366093266E-3</v>
      </c>
      <c r="X552" s="22">
        <f t="shared" si="151"/>
        <v>5.6404313991171053E-3</v>
      </c>
    </row>
    <row r="553" spans="1:24" x14ac:dyDescent="0.35">
      <c r="A553" s="3">
        <v>9.6199999999999992</v>
      </c>
      <c r="B553" s="3">
        <v>86.29</v>
      </c>
      <c r="C553" s="3">
        <v>157.88</v>
      </c>
      <c r="D553" s="3">
        <v>18.8</v>
      </c>
      <c r="E553" s="3">
        <v>40.22</v>
      </c>
      <c r="F553" s="3">
        <v>97.908085999999997</v>
      </c>
      <c r="G553" s="3">
        <v>93.457261000000003</v>
      </c>
      <c r="H553" s="3">
        <v>91.194447999999994</v>
      </c>
      <c r="I553" s="17">
        <f t="shared" si="136"/>
        <v>-3.4136546184739117E-2</v>
      </c>
      <c r="J553" s="17">
        <f t="shared" si="137"/>
        <v>-2.3205795788997025E-2</v>
      </c>
      <c r="K553" s="17">
        <f t="shared" si="138"/>
        <v>-1.8586436252875049E-2</v>
      </c>
      <c r="L553" s="17">
        <f t="shared" si="139"/>
        <v>-1.0005265929436426E-2</v>
      </c>
      <c r="M553" s="17">
        <f t="shared" si="140"/>
        <v>-2.6150121065375263E-2</v>
      </c>
      <c r="N553" s="17">
        <f t="shared" si="141"/>
        <v>-2.1106160289690245E-4</v>
      </c>
      <c r="O553" s="17">
        <f t="shared" si="142"/>
        <v>8.3057664930230699E-4</v>
      </c>
      <c r="P553" s="17">
        <f t="shared" si="143"/>
        <v>-1.9156724561490979E-3</v>
      </c>
      <c r="Q553" s="22">
        <f t="shared" si="144"/>
        <v>-3.4531020055123852E-2</v>
      </c>
      <c r="R553" s="22">
        <f t="shared" si="145"/>
        <v>-2.3636520503074188E-2</v>
      </c>
      <c r="S553" s="22">
        <f t="shared" si="146"/>
        <v>-1.8998395639712496E-2</v>
      </c>
      <c r="T553" s="22">
        <f t="shared" si="147"/>
        <v>-1.0136717438669344E-2</v>
      </c>
      <c r="U553" s="22">
        <f t="shared" si="148"/>
        <v>-2.6843349012329026E-2</v>
      </c>
      <c r="V553" s="22">
        <f t="shared" si="149"/>
        <v>2.3542206606277835E-5</v>
      </c>
      <c r="W553" s="22">
        <f t="shared" si="150"/>
        <v>1.0848252033930101E-3</v>
      </c>
      <c r="X553" s="22">
        <f t="shared" si="151"/>
        <v>-1.599728071542759E-3</v>
      </c>
    </row>
    <row r="554" spans="1:24" x14ac:dyDescent="0.35">
      <c r="A554" s="3">
        <v>9.66</v>
      </c>
      <c r="B554" s="3">
        <v>86.62</v>
      </c>
      <c r="C554" s="3">
        <v>160.41999999999999</v>
      </c>
      <c r="D554" s="3">
        <v>19.190000000000001</v>
      </c>
      <c r="E554" s="3">
        <v>40.44</v>
      </c>
      <c r="F554" s="3">
        <v>97.750883999999999</v>
      </c>
      <c r="G554" s="3">
        <v>93.048867999999999</v>
      </c>
      <c r="H554" s="3">
        <v>91.020060000000001</v>
      </c>
      <c r="I554" s="17">
        <f t="shared" si="136"/>
        <v>4.1580041580042545E-3</v>
      </c>
      <c r="J554" s="17">
        <f t="shared" si="137"/>
        <v>3.8243133619190899E-3</v>
      </c>
      <c r="K554" s="17">
        <f t="shared" si="138"/>
        <v>1.6088168229034659E-2</v>
      </c>
      <c r="L554" s="17">
        <f t="shared" si="139"/>
        <v>2.074468085106386E-2</v>
      </c>
      <c r="M554" s="17">
        <f t="shared" si="140"/>
        <v>5.4699154649427862E-3</v>
      </c>
      <c r="N554" s="17">
        <f t="shared" si="141"/>
        <v>-1.6056079372238781E-3</v>
      </c>
      <c r="O554" s="17">
        <f t="shared" si="142"/>
        <v>-4.3698370317101819E-3</v>
      </c>
      <c r="P554" s="17">
        <f t="shared" si="143"/>
        <v>-1.9122655361650232E-3</v>
      </c>
      <c r="Q554" s="22">
        <f t="shared" si="144"/>
        <v>3.7635302876195213E-3</v>
      </c>
      <c r="R554" s="22">
        <f t="shared" si="145"/>
        <v>3.3935886478419263E-3</v>
      </c>
      <c r="S554" s="22">
        <f t="shared" si="146"/>
        <v>1.5676208842197212E-2</v>
      </c>
      <c r="T554" s="22">
        <f t="shared" si="147"/>
        <v>2.0613229341830942E-2</v>
      </c>
      <c r="U554" s="22">
        <f t="shared" si="148"/>
        <v>4.776687517989024E-3</v>
      </c>
      <c r="V554" s="22">
        <f t="shared" si="149"/>
        <v>-1.3710041277206978E-3</v>
      </c>
      <c r="W554" s="22">
        <f t="shared" si="150"/>
        <v>-4.1155884776194786E-3</v>
      </c>
      <c r="X554" s="22">
        <f t="shared" si="151"/>
        <v>-1.5963211515586844E-3</v>
      </c>
    </row>
    <row r="555" spans="1:24" x14ac:dyDescent="0.35">
      <c r="A555" s="3">
        <v>9.59</v>
      </c>
      <c r="B555" s="3">
        <v>86.11</v>
      </c>
      <c r="C555" s="3">
        <v>163.08000000000001</v>
      </c>
      <c r="D555" s="3">
        <v>19.53</v>
      </c>
      <c r="E555" s="3">
        <v>40.21</v>
      </c>
      <c r="F555" s="3">
        <v>98.236165</v>
      </c>
      <c r="G555" s="3">
        <v>93.280962000000002</v>
      </c>
      <c r="H555" s="3">
        <v>91.154629</v>
      </c>
      <c r="I555" s="17">
        <f t="shared" si="136"/>
        <v>-7.2463768115942325E-3</v>
      </c>
      <c r="J555" s="17">
        <f t="shared" si="137"/>
        <v>-5.8877857307781702E-3</v>
      </c>
      <c r="K555" s="17">
        <f t="shared" si="138"/>
        <v>1.65814736317169E-2</v>
      </c>
      <c r="L555" s="17">
        <f t="shared" si="139"/>
        <v>1.7717561229807183E-2</v>
      </c>
      <c r="M555" s="17">
        <f t="shared" si="140"/>
        <v>-5.6874381800197053E-3</v>
      </c>
      <c r="N555" s="17">
        <f t="shared" si="141"/>
        <v>4.9644666129055213E-3</v>
      </c>
      <c r="O555" s="17">
        <f t="shared" si="142"/>
        <v>2.4943237353516603E-3</v>
      </c>
      <c r="P555" s="17">
        <f t="shared" si="143"/>
        <v>1.4784543099619913E-3</v>
      </c>
      <c r="Q555" s="22">
        <f t="shared" si="144"/>
        <v>-7.6408506819789657E-3</v>
      </c>
      <c r="R555" s="22">
        <f t="shared" si="145"/>
        <v>-6.3185104448553334E-3</v>
      </c>
      <c r="S555" s="22">
        <f t="shared" si="146"/>
        <v>1.6169514244879453E-2</v>
      </c>
      <c r="T555" s="22">
        <f t="shared" si="147"/>
        <v>1.7586109720574266E-2</v>
      </c>
      <c r="U555" s="22">
        <f t="shared" si="148"/>
        <v>-6.3806661269734674E-3</v>
      </c>
      <c r="V555" s="22">
        <f t="shared" si="149"/>
        <v>5.1990704224087018E-3</v>
      </c>
      <c r="W555" s="22">
        <f t="shared" si="150"/>
        <v>2.7485722894423632E-3</v>
      </c>
      <c r="X555" s="22">
        <f t="shared" si="151"/>
        <v>1.7943986945683302E-3</v>
      </c>
    </row>
    <row r="556" spans="1:24" x14ac:dyDescent="0.35">
      <c r="A556" s="3">
        <v>9.25</v>
      </c>
      <c r="B556" s="3">
        <v>83.85</v>
      </c>
      <c r="C556" s="3">
        <v>152.41999999999999</v>
      </c>
      <c r="D556" s="3">
        <v>19.52</v>
      </c>
      <c r="E556" s="3">
        <v>40.5</v>
      </c>
      <c r="F556" s="3">
        <v>99.597305000000006</v>
      </c>
      <c r="G556" s="3">
        <v>94.554807999999994</v>
      </c>
      <c r="H556" s="3">
        <v>93.382261999999997</v>
      </c>
      <c r="I556" s="17">
        <f t="shared" si="136"/>
        <v>-3.5453597497393102E-2</v>
      </c>
      <c r="J556" s="17">
        <f t="shared" si="137"/>
        <v>-2.6245499941934793E-2</v>
      </c>
      <c r="K556" s="17">
        <f t="shared" si="138"/>
        <v>-6.5366691194505916E-2</v>
      </c>
      <c r="L556" s="17">
        <f t="shared" si="139"/>
        <v>-5.1203277009736624E-4</v>
      </c>
      <c r="M556" s="17">
        <f t="shared" si="140"/>
        <v>7.2121362845063205E-3</v>
      </c>
      <c r="N556" s="17">
        <f t="shared" si="141"/>
        <v>1.3855793332323244E-2</v>
      </c>
      <c r="O556" s="17">
        <f t="shared" si="142"/>
        <v>1.3656012681344257E-2</v>
      </c>
      <c r="P556" s="17">
        <f t="shared" si="143"/>
        <v>2.4437958054768644E-2</v>
      </c>
      <c r="Q556" s="22">
        <f t="shared" si="144"/>
        <v>-3.5848071367777838E-2</v>
      </c>
      <c r="R556" s="22">
        <f t="shared" si="145"/>
        <v>-2.6676224656011955E-2</v>
      </c>
      <c r="S556" s="22">
        <f t="shared" si="146"/>
        <v>-6.5778650581343356E-2</v>
      </c>
      <c r="T556" s="22">
        <f t="shared" si="147"/>
        <v>-6.4348427933028454E-4</v>
      </c>
      <c r="U556" s="22">
        <f t="shared" si="148"/>
        <v>6.5189083375525583E-3</v>
      </c>
      <c r="V556" s="22">
        <f t="shared" si="149"/>
        <v>1.4090397141826423E-2</v>
      </c>
      <c r="W556" s="22">
        <f t="shared" si="150"/>
        <v>1.391026123543496E-2</v>
      </c>
      <c r="X556" s="22">
        <f t="shared" si="151"/>
        <v>2.4753902439374982E-2</v>
      </c>
    </row>
    <row r="557" spans="1:24" x14ac:dyDescent="0.35">
      <c r="A557" s="3">
        <v>9.44</v>
      </c>
      <c r="B557" s="3">
        <v>85.02</v>
      </c>
      <c r="C557" s="3">
        <v>149.11000000000001</v>
      </c>
      <c r="D557" s="3">
        <v>19.62</v>
      </c>
      <c r="E557" s="3">
        <v>40.4</v>
      </c>
      <c r="F557" s="3">
        <v>99.621816999999993</v>
      </c>
      <c r="G557" s="3">
        <v>94.578052999999997</v>
      </c>
      <c r="H557" s="3">
        <v>93.404971000000003</v>
      </c>
      <c r="I557" s="17">
        <f t="shared" si="136"/>
        <v>2.0540540540540487E-2</v>
      </c>
      <c r="J557" s="17">
        <f t="shared" si="137"/>
        <v>1.3953488372093044E-2</v>
      </c>
      <c r="K557" s="17">
        <f t="shared" si="138"/>
        <v>-2.171631019551223E-2</v>
      </c>
      <c r="L557" s="17">
        <f t="shared" si="139"/>
        <v>5.1229508196722045E-3</v>
      </c>
      <c r="M557" s="17">
        <f t="shared" si="140"/>
        <v>-2.4691358024691709E-3</v>
      </c>
      <c r="N557" s="17">
        <f t="shared" si="141"/>
        <v>2.461110770014029E-4</v>
      </c>
      <c r="O557" s="17">
        <f t="shared" si="142"/>
        <v>2.4583625615318101E-4</v>
      </c>
      <c r="P557" s="17">
        <f t="shared" si="143"/>
        <v>2.4318322895204751E-4</v>
      </c>
      <c r="Q557" s="22">
        <f t="shared" si="144"/>
        <v>2.0146066670155754E-2</v>
      </c>
      <c r="R557" s="22">
        <f t="shared" si="145"/>
        <v>1.352276365801588E-2</v>
      </c>
      <c r="S557" s="22">
        <f t="shared" si="146"/>
        <v>-2.2128269582349678E-2</v>
      </c>
      <c r="T557" s="22">
        <f t="shared" si="147"/>
        <v>4.9914993104392862E-3</v>
      </c>
      <c r="U557" s="22">
        <f t="shared" si="148"/>
        <v>-3.1623637494229335E-3</v>
      </c>
      <c r="V557" s="22">
        <f t="shared" si="149"/>
        <v>4.8071488650458321E-4</v>
      </c>
      <c r="W557" s="22">
        <f t="shared" si="150"/>
        <v>5.0008481024388395E-4</v>
      </c>
      <c r="X557" s="22">
        <f t="shared" si="151"/>
        <v>5.5912761355838626E-4</v>
      </c>
    </row>
    <row r="558" spans="1:24" x14ac:dyDescent="0.35">
      <c r="A558" s="3">
        <v>9.3699999999999992</v>
      </c>
      <c r="B558" s="3">
        <v>85.11</v>
      </c>
      <c r="C558" s="3">
        <v>145.19999999999999</v>
      </c>
      <c r="D558" s="3">
        <v>19.47</v>
      </c>
      <c r="E558" s="3">
        <v>40.76</v>
      </c>
      <c r="F558" s="3">
        <v>99.275649000000001</v>
      </c>
      <c r="G558" s="3">
        <v>94.601303999999999</v>
      </c>
      <c r="H558" s="3">
        <v>92.550663</v>
      </c>
      <c r="I558" s="17">
        <f t="shared" si="136"/>
        <v>-7.4152542372881661E-3</v>
      </c>
      <c r="J558" s="17">
        <f t="shared" si="137"/>
        <v>1.0585744530699061E-3</v>
      </c>
      <c r="K558" s="17">
        <f t="shared" si="138"/>
        <v>-2.6222252028703808E-2</v>
      </c>
      <c r="L558" s="17">
        <f t="shared" si="139"/>
        <v>-7.6452599388380288E-3</v>
      </c>
      <c r="M558" s="17">
        <f t="shared" si="140"/>
        <v>8.910891089108898E-3</v>
      </c>
      <c r="N558" s="17">
        <f t="shared" si="141"/>
        <v>-3.4748211829943999E-3</v>
      </c>
      <c r="O558" s="17">
        <f t="shared" si="142"/>
        <v>2.458392752069226E-4</v>
      </c>
      <c r="P558" s="17">
        <f t="shared" si="143"/>
        <v>-9.1462798056005292E-3</v>
      </c>
      <c r="Q558" s="22">
        <f t="shared" si="144"/>
        <v>-7.8097281076728994E-3</v>
      </c>
      <c r="R558" s="22">
        <f t="shared" si="145"/>
        <v>6.2784973899274264E-4</v>
      </c>
      <c r="S558" s="22">
        <f t="shared" si="146"/>
        <v>-2.6634211415541256E-2</v>
      </c>
      <c r="T558" s="22">
        <f t="shared" si="147"/>
        <v>-7.7767114480709471E-3</v>
      </c>
      <c r="U558" s="22">
        <f t="shared" si="148"/>
        <v>8.2176631421551349E-3</v>
      </c>
      <c r="V558" s="22">
        <f t="shared" si="149"/>
        <v>-3.2402173734912198E-3</v>
      </c>
      <c r="W558" s="22">
        <f t="shared" si="150"/>
        <v>5.0008782929762555E-4</v>
      </c>
      <c r="X558" s="22">
        <f t="shared" si="151"/>
        <v>-8.8303354209941908E-3</v>
      </c>
    </row>
    <row r="559" spans="1:24" x14ac:dyDescent="0.35">
      <c r="A559" s="3">
        <v>9.1999999999999993</v>
      </c>
      <c r="B559" s="3">
        <v>85.34</v>
      </c>
      <c r="C559" s="3">
        <v>138.28</v>
      </c>
      <c r="D559" s="3">
        <v>19.600000000000001</v>
      </c>
      <c r="E559" s="3">
        <v>39.9</v>
      </c>
      <c r="F559" s="3">
        <v>99.161784999999995</v>
      </c>
      <c r="G559" s="3">
        <v>94.734247999999994</v>
      </c>
      <c r="H559" s="3">
        <v>92.909409999999994</v>
      </c>
      <c r="I559" s="17">
        <f t="shared" si="136"/>
        <v>-1.8143009605122724E-2</v>
      </c>
      <c r="J559" s="17">
        <f t="shared" si="137"/>
        <v>2.70238514863123E-3</v>
      </c>
      <c r="K559" s="17">
        <f t="shared" si="138"/>
        <v>-4.765840220385667E-2</v>
      </c>
      <c r="L559" s="17">
        <f t="shared" si="139"/>
        <v>6.6769388803288423E-3</v>
      </c>
      <c r="M559" s="17">
        <f t="shared" si="140"/>
        <v>-2.1099116781157987E-2</v>
      </c>
      <c r="N559" s="17">
        <f t="shared" si="141"/>
        <v>-1.1469479287917485E-3</v>
      </c>
      <c r="O559" s="17">
        <f t="shared" si="142"/>
        <v>1.4053083242911203E-3</v>
      </c>
      <c r="P559" s="17">
        <f t="shared" si="143"/>
        <v>3.8762229072307557E-3</v>
      </c>
      <c r="Q559" s="22">
        <f t="shared" si="144"/>
        <v>-1.8537483475507457E-2</v>
      </c>
      <c r="R559" s="22">
        <f t="shared" si="145"/>
        <v>2.2716604345540663E-3</v>
      </c>
      <c r="S559" s="22">
        <f t="shared" si="146"/>
        <v>-4.8070361590694118E-2</v>
      </c>
      <c r="T559" s="22">
        <f t="shared" si="147"/>
        <v>6.545487371095924E-3</v>
      </c>
      <c r="U559" s="22">
        <f t="shared" si="148"/>
        <v>-2.179234472811175E-2</v>
      </c>
      <c r="V559" s="22">
        <f t="shared" si="149"/>
        <v>-9.1234411928856822E-4</v>
      </c>
      <c r="W559" s="22">
        <f t="shared" si="150"/>
        <v>1.6595568783818234E-3</v>
      </c>
      <c r="X559" s="22">
        <f t="shared" si="151"/>
        <v>4.1921672918370945E-3</v>
      </c>
    </row>
    <row r="560" spans="1:24" x14ac:dyDescent="0.35">
      <c r="A560" s="3">
        <v>9.3000000000000007</v>
      </c>
      <c r="B560" s="3">
        <v>86.12</v>
      </c>
      <c r="C560" s="3">
        <v>149.03</v>
      </c>
      <c r="D560" s="3">
        <v>19.39</v>
      </c>
      <c r="E560" s="3">
        <v>40.020000000000003</v>
      </c>
      <c r="F560" s="3">
        <v>98.892930000000007</v>
      </c>
      <c r="G560" s="3">
        <v>94.280919999999995</v>
      </c>
      <c r="H560" s="3">
        <v>92.197609</v>
      </c>
      <c r="I560" s="17">
        <f t="shared" si="136"/>
        <v>1.086956521739146E-2</v>
      </c>
      <c r="J560" s="17">
        <f t="shared" si="137"/>
        <v>9.1399109444574769E-3</v>
      </c>
      <c r="K560" s="17">
        <f t="shared" si="138"/>
        <v>7.7740815736187449E-2</v>
      </c>
      <c r="L560" s="17">
        <f t="shared" si="139"/>
        <v>-1.0714285714285758E-2</v>
      </c>
      <c r="M560" s="17">
        <f t="shared" si="140"/>
        <v>3.0075187969925954E-3</v>
      </c>
      <c r="N560" s="17">
        <f t="shared" si="141"/>
        <v>-2.711276324846188E-3</v>
      </c>
      <c r="O560" s="17">
        <f t="shared" si="142"/>
        <v>-4.7852599199393981E-3</v>
      </c>
      <c r="P560" s="17">
        <f t="shared" si="143"/>
        <v>-7.6612368973174427E-3</v>
      </c>
      <c r="Q560" s="22">
        <f t="shared" si="144"/>
        <v>1.0475091347006726E-2</v>
      </c>
      <c r="R560" s="22">
        <f t="shared" si="145"/>
        <v>8.7091862303803128E-3</v>
      </c>
      <c r="S560" s="22">
        <f t="shared" si="146"/>
        <v>7.7328856349350009E-2</v>
      </c>
      <c r="T560" s="22">
        <f t="shared" si="147"/>
        <v>-1.0845737223518675E-2</v>
      </c>
      <c r="U560" s="22">
        <f t="shared" si="148"/>
        <v>2.3142908500388328E-3</v>
      </c>
      <c r="V560" s="22">
        <f t="shared" si="149"/>
        <v>-2.4766725153430079E-3</v>
      </c>
      <c r="W560" s="22">
        <f t="shared" si="150"/>
        <v>-4.5310113658486948E-3</v>
      </c>
      <c r="X560" s="22">
        <f t="shared" si="151"/>
        <v>-7.3452925127111043E-3</v>
      </c>
    </row>
    <row r="561" spans="1:24" x14ac:dyDescent="0.35">
      <c r="A561" s="3">
        <v>9.18</v>
      </c>
      <c r="B561" s="3">
        <v>88.39</v>
      </c>
      <c r="C561" s="3">
        <v>144.52000000000001</v>
      </c>
      <c r="D561" s="3">
        <v>18.82</v>
      </c>
      <c r="E561" s="3">
        <v>39.729999999999997</v>
      </c>
      <c r="F561" s="3">
        <v>99.377476999999999</v>
      </c>
      <c r="G561" s="3">
        <v>94.576882999999995</v>
      </c>
      <c r="H561" s="3">
        <v>92.956143999999995</v>
      </c>
      <c r="I561" s="17">
        <f t="shared" si="136"/>
        <v>-1.2903225806451719E-2</v>
      </c>
      <c r="J561" s="17">
        <f t="shared" si="137"/>
        <v>2.6358569437993449E-2</v>
      </c>
      <c r="K561" s="17">
        <f t="shared" si="138"/>
        <v>-3.0262363282560496E-2</v>
      </c>
      <c r="L561" s="17">
        <f t="shared" si="139"/>
        <v>-2.9396596183599806E-2</v>
      </c>
      <c r="M561" s="17">
        <f t="shared" si="140"/>
        <v>-7.2463768115943582E-3</v>
      </c>
      <c r="N561" s="17">
        <f t="shared" si="141"/>
        <v>4.8997132555380048E-3</v>
      </c>
      <c r="O561" s="17">
        <f t="shared" si="142"/>
        <v>3.1391611367390182E-3</v>
      </c>
      <c r="P561" s="17">
        <f t="shared" si="143"/>
        <v>8.2272740934094604E-3</v>
      </c>
      <c r="Q561" s="22">
        <f t="shared" si="144"/>
        <v>-1.3297699676836453E-2</v>
      </c>
      <c r="R561" s="22">
        <f t="shared" si="145"/>
        <v>2.5927844723916287E-2</v>
      </c>
      <c r="S561" s="22">
        <f t="shared" si="146"/>
        <v>-3.0674322669397944E-2</v>
      </c>
      <c r="T561" s="22">
        <f t="shared" si="147"/>
        <v>-2.9528047692832723E-2</v>
      </c>
      <c r="U561" s="22">
        <f t="shared" si="148"/>
        <v>-7.9396047585481213E-3</v>
      </c>
      <c r="V561" s="22">
        <f t="shared" si="149"/>
        <v>5.1343170650411853E-3</v>
      </c>
      <c r="W561" s="22">
        <f t="shared" si="150"/>
        <v>3.3934096908297211E-3</v>
      </c>
      <c r="X561" s="22">
        <f t="shared" si="151"/>
        <v>8.5432184780157988E-3</v>
      </c>
    </row>
    <row r="562" spans="1:24" x14ac:dyDescent="0.35">
      <c r="A562" s="3">
        <v>9.32</v>
      </c>
      <c r="B562" s="3">
        <v>88.12</v>
      </c>
      <c r="C562" s="3">
        <v>150.63999999999999</v>
      </c>
      <c r="D562" s="3">
        <v>19.190000000000001</v>
      </c>
      <c r="E562" s="3">
        <v>39.64</v>
      </c>
      <c r="F562" s="3">
        <v>99.356092000000004</v>
      </c>
      <c r="G562" s="3">
        <v>94.382104999999996</v>
      </c>
      <c r="H562" s="3">
        <v>92.777565999999993</v>
      </c>
      <c r="I562" s="17">
        <f t="shared" si="136"/>
        <v>1.5250544662309431E-2</v>
      </c>
      <c r="J562" s="17">
        <f t="shared" si="137"/>
        <v>-3.0546441905192445E-3</v>
      </c>
      <c r="K562" s="17">
        <f t="shared" si="138"/>
        <v>4.2347079988928699E-2</v>
      </c>
      <c r="L562" s="17">
        <f t="shared" si="139"/>
        <v>1.9659936238044688E-2</v>
      </c>
      <c r="M562" s="17">
        <f t="shared" si="140"/>
        <v>-2.2652907123079866E-3</v>
      </c>
      <c r="N562" s="17">
        <f t="shared" si="141"/>
        <v>-2.1518960478333638E-4</v>
      </c>
      <c r="O562" s="17">
        <f t="shared" si="142"/>
        <v>-2.0594673224745572E-3</v>
      </c>
      <c r="P562" s="17">
        <f t="shared" si="143"/>
        <v>-1.9210994810628299E-3</v>
      </c>
      <c r="Q562" s="22">
        <f t="shared" si="144"/>
        <v>1.4856070791924697E-2</v>
      </c>
      <c r="R562" s="22">
        <f t="shared" si="145"/>
        <v>-3.4853689045964082E-3</v>
      </c>
      <c r="S562" s="22">
        <f t="shared" si="146"/>
        <v>4.1935120602091251E-2</v>
      </c>
      <c r="T562" s="22">
        <f t="shared" si="147"/>
        <v>1.952848472881177E-2</v>
      </c>
      <c r="U562" s="22">
        <f t="shared" si="148"/>
        <v>-2.9585186592617492E-3</v>
      </c>
      <c r="V562" s="22">
        <f t="shared" si="149"/>
        <v>1.9414204719843902E-5</v>
      </c>
      <c r="W562" s="22">
        <f t="shared" si="150"/>
        <v>-1.8052187683838543E-3</v>
      </c>
      <c r="X562" s="22">
        <f t="shared" si="151"/>
        <v>-1.6051550964564911E-3</v>
      </c>
    </row>
    <row r="563" spans="1:24" x14ac:dyDescent="0.35">
      <c r="A563" s="3">
        <v>9.33</v>
      </c>
      <c r="B563" s="3">
        <v>87.62</v>
      </c>
      <c r="C563" s="3">
        <v>150.09</v>
      </c>
      <c r="D563" s="3">
        <v>19.16</v>
      </c>
      <c r="E563" s="3">
        <v>39.81</v>
      </c>
      <c r="F563" s="3">
        <v>99.334771000000003</v>
      </c>
      <c r="G563" s="3">
        <v>94.405484000000001</v>
      </c>
      <c r="H563" s="3">
        <v>92.599647000000004</v>
      </c>
      <c r="I563" s="17">
        <f t="shared" si="136"/>
        <v>1.072961373390535E-3</v>
      </c>
      <c r="J563" s="17">
        <f t="shared" si="137"/>
        <v>-5.6740807989105763E-3</v>
      </c>
      <c r="K563" s="17">
        <f t="shared" si="138"/>
        <v>-3.6510886882632964E-3</v>
      </c>
      <c r="L563" s="17">
        <f t="shared" si="139"/>
        <v>-1.5633142261595172E-3</v>
      </c>
      <c r="M563" s="17">
        <f t="shared" si="140"/>
        <v>4.2885973763875304E-3</v>
      </c>
      <c r="N563" s="17">
        <f t="shared" si="141"/>
        <v>-2.1459177359754012E-4</v>
      </c>
      <c r="O563" s="17">
        <f t="shared" si="142"/>
        <v>2.4770585483345167E-4</v>
      </c>
      <c r="P563" s="17">
        <f t="shared" si="143"/>
        <v>-1.9176941977545373E-3</v>
      </c>
      <c r="Q563" s="22">
        <f t="shared" si="144"/>
        <v>6.7848750300580169E-4</v>
      </c>
      <c r="R563" s="22">
        <f t="shared" si="145"/>
        <v>-6.1048055129877396E-3</v>
      </c>
      <c r="S563" s="22">
        <f t="shared" si="146"/>
        <v>-4.063048075100743E-3</v>
      </c>
      <c r="T563" s="22">
        <f t="shared" si="147"/>
        <v>-1.6947657353924355E-3</v>
      </c>
      <c r="U563" s="22">
        <f t="shared" si="148"/>
        <v>3.5953694294337678E-3</v>
      </c>
      <c r="V563" s="22">
        <f t="shared" si="149"/>
        <v>2.0012035905640166E-5</v>
      </c>
      <c r="W563" s="22">
        <f t="shared" si="150"/>
        <v>5.0195440892415472E-4</v>
      </c>
      <c r="X563" s="22">
        <f t="shared" si="151"/>
        <v>-1.6017498131481985E-3</v>
      </c>
    </row>
    <row r="564" spans="1:24" x14ac:dyDescent="0.35">
      <c r="A564" s="3">
        <v>9.43</v>
      </c>
      <c r="B564" s="3">
        <v>87.12</v>
      </c>
      <c r="C564" s="3">
        <v>152.16999999999999</v>
      </c>
      <c r="D564" s="3">
        <v>19.190000000000001</v>
      </c>
      <c r="E564" s="3">
        <v>39.93</v>
      </c>
      <c r="F564" s="3">
        <v>100.241062</v>
      </c>
      <c r="G564" s="3">
        <v>95.461483999999999</v>
      </c>
      <c r="H564" s="3">
        <v>93.339691000000002</v>
      </c>
      <c r="I564" s="17">
        <f t="shared" si="136"/>
        <v>1.0718113612004249E-2</v>
      </c>
      <c r="J564" s="17">
        <f t="shared" si="137"/>
        <v>-5.7064597123944304E-3</v>
      </c>
      <c r="K564" s="17">
        <f t="shared" si="138"/>
        <v>1.3858351655673156E-2</v>
      </c>
      <c r="L564" s="17">
        <f t="shared" si="139"/>
        <v>1.5657620041754246E-3</v>
      </c>
      <c r="M564" s="17">
        <f t="shared" si="140"/>
        <v>3.0143180105500485E-3</v>
      </c>
      <c r="N564" s="17">
        <f t="shared" si="141"/>
        <v>9.1236028520163999E-3</v>
      </c>
      <c r="O564" s="17">
        <f t="shared" si="142"/>
        <v>1.1185790859353015E-2</v>
      </c>
      <c r="P564" s="17">
        <f t="shared" si="143"/>
        <v>7.9918663188856161E-3</v>
      </c>
      <c r="Q564" s="22">
        <f t="shared" si="144"/>
        <v>1.0323639741619515E-2</v>
      </c>
      <c r="R564" s="22">
        <f t="shared" si="145"/>
        <v>-6.1371844264715937E-3</v>
      </c>
      <c r="S564" s="22">
        <f t="shared" si="146"/>
        <v>1.3446392268835709E-2</v>
      </c>
      <c r="T564" s="22">
        <f t="shared" si="147"/>
        <v>1.4343104949425063E-3</v>
      </c>
      <c r="U564" s="22">
        <f t="shared" si="148"/>
        <v>2.3210900635962858E-3</v>
      </c>
      <c r="V564" s="22">
        <f t="shared" si="149"/>
        <v>9.3582066615195796E-3</v>
      </c>
      <c r="W564" s="22">
        <f t="shared" si="150"/>
        <v>1.1440039413443718E-2</v>
      </c>
      <c r="X564" s="22">
        <f t="shared" si="151"/>
        <v>8.3078107034919545E-3</v>
      </c>
    </row>
    <row r="565" spans="1:24" x14ac:dyDescent="0.35">
      <c r="A565" s="3">
        <v>9.24</v>
      </c>
      <c r="B565" s="3">
        <v>87.17</v>
      </c>
      <c r="C565" s="3">
        <v>149.01</v>
      </c>
      <c r="D565" s="3">
        <v>19.18</v>
      </c>
      <c r="E565" s="3">
        <v>39.92</v>
      </c>
      <c r="F565" s="3">
        <v>100.918683</v>
      </c>
      <c r="G565" s="3">
        <v>95.927045000000007</v>
      </c>
      <c r="H565" s="3">
        <v>94.245305999999999</v>
      </c>
      <c r="I565" s="17">
        <f t="shared" si="136"/>
        <v>-2.0148462354188709E-2</v>
      </c>
      <c r="J565" s="17">
        <f t="shared" si="137"/>
        <v>5.7392102846645036E-4</v>
      </c>
      <c r="K565" s="17">
        <f t="shared" si="138"/>
        <v>-2.0766248274955622E-2</v>
      </c>
      <c r="L565" s="17">
        <f t="shared" si="139"/>
        <v>-5.2110474205323406E-4</v>
      </c>
      <c r="M565" s="17">
        <f t="shared" si="140"/>
        <v>-2.5043826696714275E-4</v>
      </c>
      <c r="N565" s="17">
        <f t="shared" si="141"/>
        <v>6.7599144151126618E-3</v>
      </c>
      <c r="O565" s="17">
        <f t="shared" si="142"/>
        <v>4.8769512110246275E-3</v>
      </c>
      <c r="P565" s="17">
        <f t="shared" si="143"/>
        <v>9.7023569533779292E-3</v>
      </c>
      <c r="Q565" s="22">
        <f t="shared" si="144"/>
        <v>-2.0542936224573441E-2</v>
      </c>
      <c r="R565" s="22">
        <f t="shared" si="145"/>
        <v>1.4319631438928685E-4</v>
      </c>
      <c r="S565" s="22">
        <f t="shared" si="146"/>
        <v>-2.1178207661793069E-2</v>
      </c>
      <c r="T565" s="22">
        <f t="shared" si="147"/>
        <v>-6.5255625128615236E-4</v>
      </c>
      <c r="U565" s="22">
        <f t="shared" si="148"/>
        <v>-9.436662139209052E-4</v>
      </c>
      <c r="V565" s="22">
        <f t="shared" si="149"/>
        <v>6.9945182246158423E-3</v>
      </c>
      <c r="W565" s="22">
        <f t="shared" si="150"/>
        <v>5.1311997651153308E-3</v>
      </c>
      <c r="X565" s="22">
        <f t="shared" si="151"/>
        <v>1.0018301337984268E-2</v>
      </c>
    </row>
    <row r="566" spans="1:24" x14ac:dyDescent="0.35">
      <c r="A566" s="3">
        <v>9.2200000000000006</v>
      </c>
      <c r="B566" s="3">
        <v>88.38</v>
      </c>
      <c r="C566" s="3">
        <v>143.66</v>
      </c>
      <c r="D566" s="3">
        <v>19.190000000000001</v>
      </c>
      <c r="E566" s="3">
        <v>40.36</v>
      </c>
      <c r="F566" s="3">
        <v>100.70914399999999</v>
      </c>
      <c r="G566" s="3">
        <v>95.507868000000002</v>
      </c>
      <c r="H566" s="3">
        <v>94.404847000000004</v>
      </c>
      <c r="I566" s="17">
        <f t="shared" si="136"/>
        <v>-2.1645021645021181E-3</v>
      </c>
      <c r="J566" s="17">
        <f t="shared" si="137"/>
        <v>1.3880922335665869E-2</v>
      </c>
      <c r="K566" s="17">
        <f t="shared" si="138"/>
        <v>-3.5903630628816824E-2</v>
      </c>
      <c r="L566" s="17">
        <f t="shared" si="139"/>
        <v>5.2137643378527446E-4</v>
      </c>
      <c r="M566" s="17">
        <f t="shared" si="140"/>
        <v>1.1022044088176296E-2</v>
      </c>
      <c r="N566" s="17">
        <f t="shared" si="141"/>
        <v>-2.0763152448195006E-3</v>
      </c>
      <c r="O566" s="17">
        <f t="shared" si="142"/>
        <v>-4.3697478641190786E-3</v>
      </c>
      <c r="P566" s="17">
        <f t="shared" si="143"/>
        <v>1.6928270146420277E-3</v>
      </c>
      <c r="Q566" s="22">
        <f t="shared" si="144"/>
        <v>-2.5589760348868514E-3</v>
      </c>
      <c r="R566" s="22">
        <f t="shared" si="145"/>
        <v>1.3450197621588705E-2</v>
      </c>
      <c r="S566" s="22">
        <f t="shared" si="146"/>
        <v>-3.6315590015654271E-2</v>
      </c>
      <c r="T566" s="22">
        <f t="shared" si="147"/>
        <v>3.8992492455235616E-4</v>
      </c>
      <c r="U566" s="22">
        <f t="shared" si="148"/>
        <v>1.0328816141222533E-2</v>
      </c>
      <c r="V566" s="22">
        <f t="shared" si="149"/>
        <v>-1.8417114353163203E-3</v>
      </c>
      <c r="W566" s="22">
        <f t="shared" si="150"/>
        <v>-4.1154993100283753E-3</v>
      </c>
      <c r="X566" s="22">
        <f t="shared" si="151"/>
        <v>2.0087713992483665E-3</v>
      </c>
    </row>
    <row r="567" spans="1:24" x14ac:dyDescent="0.35">
      <c r="A567" s="3">
        <v>9.35</v>
      </c>
      <c r="B567" s="3">
        <v>88.44</v>
      </c>
      <c r="C567" s="3">
        <v>142.56</v>
      </c>
      <c r="D567" s="3">
        <v>19.38</v>
      </c>
      <c r="E567" s="3">
        <v>40.840000000000003</v>
      </c>
      <c r="F567" s="3">
        <v>100.17537</v>
      </c>
      <c r="G567" s="3">
        <v>95.696572000000003</v>
      </c>
      <c r="H567" s="3">
        <v>94.086055000000002</v>
      </c>
      <c r="I567" s="17">
        <f t="shared" si="136"/>
        <v>1.4099783080260195E-2</v>
      </c>
      <c r="J567" s="17">
        <f t="shared" si="137"/>
        <v>6.7888662593349489E-4</v>
      </c>
      <c r="K567" s="17">
        <f t="shared" si="138"/>
        <v>-7.6569678407350291E-3</v>
      </c>
      <c r="L567" s="17">
        <f t="shared" si="139"/>
        <v>9.9009900990097814E-3</v>
      </c>
      <c r="M567" s="17">
        <f t="shared" si="140"/>
        <v>1.1892963330029831E-2</v>
      </c>
      <c r="N567" s="17">
        <f t="shared" si="141"/>
        <v>-5.3001542739753004E-3</v>
      </c>
      <c r="O567" s="17">
        <f t="shared" si="142"/>
        <v>1.9757953344744466E-3</v>
      </c>
      <c r="P567" s="17">
        <f t="shared" si="143"/>
        <v>-3.3768605122574051E-3</v>
      </c>
      <c r="Q567" s="22">
        <f t="shared" si="144"/>
        <v>1.3705309209875461E-2</v>
      </c>
      <c r="R567" s="22">
        <f t="shared" si="145"/>
        <v>2.4816191185633138E-4</v>
      </c>
      <c r="S567" s="22">
        <f t="shared" si="146"/>
        <v>-8.0689272275724765E-3</v>
      </c>
      <c r="T567" s="22">
        <f t="shared" si="147"/>
        <v>9.769538589776864E-3</v>
      </c>
      <c r="U567" s="22">
        <f t="shared" si="148"/>
        <v>1.1199735383076068E-2</v>
      </c>
      <c r="V567" s="22">
        <f t="shared" si="149"/>
        <v>-5.0655504644721199E-3</v>
      </c>
      <c r="W567" s="22">
        <f t="shared" si="150"/>
        <v>2.2300438885651495E-3</v>
      </c>
      <c r="X567" s="22">
        <f t="shared" si="151"/>
        <v>-3.0609161276510663E-3</v>
      </c>
    </row>
    <row r="568" spans="1:24" x14ac:dyDescent="0.35">
      <c r="A568" s="3">
        <v>9.6999999999999993</v>
      </c>
      <c r="B568" s="3">
        <v>89.75</v>
      </c>
      <c r="C568" s="3">
        <v>149.31</v>
      </c>
      <c r="D568" s="3">
        <v>19.34</v>
      </c>
      <c r="E568" s="3">
        <v>41.67</v>
      </c>
      <c r="F568" s="3">
        <v>100.478393</v>
      </c>
      <c r="G568" s="3">
        <v>95.664544000000006</v>
      </c>
      <c r="H568" s="3">
        <v>93.836876000000004</v>
      </c>
      <c r="I568" s="17">
        <f t="shared" si="136"/>
        <v>3.7433155080213866E-2</v>
      </c>
      <c r="J568" s="17">
        <f t="shared" si="137"/>
        <v>1.4812302125734988E-2</v>
      </c>
      <c r="K568" s="17">
        <f t="shared" si="138"/>
        <v>4.7348484848484848E-2</v>
      </c>
      <c r="L568" s="17">
        <f t="shared" si="139"/>
        <v>-2.063983488132051E-3</v>
      </c>
      <c r="M568" s="17">
        <f t="shared" si="140"/>
        <v>2.0323212536728655E-2</v>
      </c>
      <c r="N568" s="17">
        <f t="shared" si="141"/>
        <v>3.0249251886965431E-3</v>
      </c>
      <c r="O568" s="17">
        <f t="shared" si="142"/>
        <v>-3.3468283482502209E-4</v>
      </c>
      <c r="P568" s="17">
        <f t="shared" si="143"/>
        <v>-2.6484158571639339E-3</v>
      </c>
      <c r="Q568" s="22">
        <f t="shared" si="144"/>
        <v>3.703868120982913E-2</v>
      </c>
      <c r="R568" s="22">
        <f t="shared" si="145"/>
        <v>1.4381577411657824E-2</v>
      </c>
      <c r="S568" s="22">
        <f t="shared" si="146"/>
        <v>4.6936525461647401E-2</v>
      </c>
      <c r="T568" s="22">
        <f t="shared" si="147"/>
        <v>-2.1954349973649693E-3</v>
      </c>
      <c r="U568" s="22">
        <f t="shared" si="148"/>
        <v>1.9629984589774892E-2</v>
      </c>
      <c r="V568" s="22">
        <f t="shared" si="149"/>
        <v>3.2595289981997232E-3</v>
      </c>
      <c r="W568" s="22">
        <f t="shared" si="150"/>
        <v>-8.0434280734319088E-5</v>
      </c>
      <c r="X568" s="22">
        <f t="shared" si="151"/>
        <v>-2.3324714725575951E-3</v>
      </c>
    </row>
    <row r="569" spans="1:24" x14ac:dyDescent="0.35">
      <c r="A569" s="3">
        <v>9.7899999999999991</v>
      </c>
      <c r="B569" s="3">
        <v>91.89</v>
      </c>
      <c r="C569" s="3">
        <v>149.16999999999999</v>
      </c>
      <c r="D569" s="3">
        <v>19.32</v>
      </c>
      <c r="E569" s="3">
        <v>43.15</v>
      </c>
      <c r="F569" s="3">
        <v>100.830986</v>
      </c>
      <c r="G569" s="3">
        <v>96.010346999999996</v>
      </c>
      <c r="H569" s="3">
        <v>93.837486999999996</v>
      </c>
      <c r="I569" s="17">
        <f t="shared" si="136"/>
        <v>9.2783505154639036E-3</v>
      </c>
      <c r="J569" s="17">
        <f t="shared" si="137"/>
        <v>2.3844011142061288E-2</v>
      </c>
      <c r="K569" s="17">
        <f t="shared" si="138"/>
        <v>-9.3764650726685936E-4</v>
      </c>
      <c r="L569" s="17">
        <f t="shared" si="139"/>
        <v>-1.0341261633919118E-3</v>
      </c>
      <c r="M569" s="17">
        <f t="shared" si="140"/>
        <v>3.5517158627309739E-2</v>
      </c>
      <c r="N569" s="17">
        <f t="shared" si="141"/>
        <v>3.5091425078822552E-3</v>
      </c>
      <c r="O569" s="17">
        <f t="shared" si="142"/>
        <v>3.6147457097583553E-3</v>
      </c>
      <c r="P569" s="17">
        <f t="shared" si="143"/>
        <v>6.5112994596297686E-6</v>
      </c>
      <c r="Q569" s="22">
        <f t="shared" si="144"/>
        <v>8.8838766450791695E-3</v>
      </c>
      <c r="R569" s="22">
        <f t="shared" si="145"/>
        <v>2.3413286427984126E-2</v>
      </c>
      <c r="S569" s="22">
        <f t="shared" si="146"/>
        <v>-1.3496058941043062E-3</v>
      </c>
      <c r="T569" s="22">
        <f t="shared" si="147"/>
        <v>-1.1655776726248301E-3</v>
      </c>
      <c r="U569" s="22">
        <f t="shared" si="148"/>
        <v>3.4823930680355976E-2</v>
      </c>
      <c r="V569" s="22">
        <f t="shared" si="149"/>
        <v>3.7437463173854353E-3</v>
      </c>
      <c r="W569" s="22">
        <f t="shared" si="150"/>
        <v>3.8689942638490582E-3</v>
      </c>
      <c r="X569" s="22">
        <f t="shared" si="151"/>
        <v>3.2245568406596856E-4</v>
      </c>
    </row>
    <row r="570" spans="1:24" x14ac:dyDescent="0.35">
      <c r="A570" s="3">
        <v>9.89</v>
      </c>
      <c r="B570" s="3">
        <v>90.68</v>
      </c>
      <c r="C570" s="3">
        <v>151.9</v>
      </c>
      <c r="D570" s="3">
        <v>18.93</v>
      </c>
      <c r="E570" s="3">
        <v>43.16</v>
      </c>
      <c r="F570" s="3">
        <v>101.46351300000001</v>
      </c>
      <c r="G570" s="3">
        <v>96.644727000000003</v>
      </c>
      <c r="H570" s="3">
        <v>95.090795999999997</v>
      </c>
      <c r="I570" s="17">
        <f t="shared" si="136"/>
        <v>1.0214504596527214E-2</v>
      </c>
      <c r="J570" s="17">
        <f t="shared" si="137"/>
        <v>-1.3167918163020936E-2</v>
      </c>
      <c r="K570" s="17">
        <f t="shared" si="138"/>
        <v>1.8301267010793178E-2</v>
      </c>
      <c r="L570" s="17">
        <f t="shared" si="139"/>
        <v>-2.0186335403726736E-2</v>
      </c>
      <c r="M570" s="17">
        <f t="shared" si="140"/>
        <v>2.3174971031281601E-4</v>
      </c>
      <c r="N570" s="17">
        <f t="shared" si="141"/>
        <v>6.2731410758991319E-3</v>
      </c>
      <c r="O570" s="17">
        <f t="shared" si="142"/>
        <v>6.6074128447843987E-3</v>
      </c>
      <c r="P570" s="17">
        <f t="shared" si="143"/>
        <v>1.3356165430986036E-2</v>
      </c>
      <c r="Q570" s="22">
        <f t="shared" si="144"/>
        <v>9.8200307261424799E-3</v>
      </c>
      <c r="R570" s="22">
        <f t="shared" si="145"/>
        <v>-1.35986428770981E-2</v>
      </c>
      <c r="S570" s="22">
        <f t="shared" si="146"/>
        <v>1.7889307623955731E-2</v>
      </c>
      <c r="T570" s="22">
        <f t="shared" si="147"/>
        <v>-2.0317786912959653E-2</v>
      </c>
      <c r="U570" s="22">
        <f t="shared" si="148"/>
        <v>-4.6147823664094651E-4</v>
      </c>
      <c r="V570" s="22">
        <f t="shared" si="149"/>
        <v>6.5077448854023124E-3</v>
      </c>
      <c r="W570" s="22">
        <f t="shared" si="150"/>
        <v>6.861661398875102E-3</v>
      </c>
      <c r="X570" s="22">
        <f t="shared" si="151"/>
        <v>1.3672109815592375E-2</v>
      </c>
    </row>
    <row r="571" spans="1:24" x14ac:dyDescent="0.35">
      <c r="A571" s="3">
        <v>9.75</v>
      </c>
      <c r="B571" s="3">
        <v>90.14</v>
      </c>
      <c r="C571" s="3">
        <v>150.71</v>
      </c>
      <c r="D571" s="3">
        <v>18.97</v>
      </c>
      <c r="E571" s="3">
        <v>43.3</v>
      </c>
      <c r="F571" s="3">
        <v>101.206532</v>
      </c>
      <c r="G571" s="3">
        <v>96.333783999999994</v>
      </c>
      <c r="H571" s="3">
        <v>94.975661000000002</v>
      </c>
      <c r="I571" s="17">
        <f t="shared" si="136"/>
        <v>-1.4155712841253849E-2</v>
      </c>
      <c r="J571" s="17">
        <f t="shared" si="137"/>
        <v>-5.9550066166740873E-3</v>
      </c>
      <c r="K571" s="17">
        <f t="shared" si="138"/>
        <v>-7.8341013824884641E-3</v>
      </c>
      <c r="L571" s="17">
        <f t="shared" si="139"/>
        <v>2.1130480718435894E-3</v>
      </c>
      <c r="M571" s="17">
        <f t="shared" si="140"/>
        <v>3.2437442075996426E-3</v>
      </c>
      <c r="N571" s="17">
        <f t="shared" si="141"/>
        <v>-2.532742977271153E-3</v>
      </c>
      <c r="O571" s="17">
        <f t="shared" si="142"/>
        <v>-3.2173819478015478E-3</v>
      </c>
      <c r="P571" s="17">
        <f t="shared" si="143"/>
        <v>-1.21079015891291E-3</v>
      </c>
      <c r="Q571" s="22">
        <f t="shared" si="144"/>
        <v>-1.4550186711638583E-2</v>
      </c>
      <c r="R571" s="22">
        <f t="shared" si="145"/>
        <v>-6.3857313307512506E-3</v>
      </c>
      <c r="S571" s="22">
        <f t="shared" si="146"/>
        <v>-8.2460607693259115E-3</v>
      </c>
      <c r="T571" s="22">
        <f t="shared" si="147"/>
        <v>1.9815965626106711E-3</v>
      </c>
      <c r="U571" s="22">
        <f t="shared" si="148"/>
        <v>2.5505162606458799E-3</v>
      </c>
      <c r="V571" s="22">
        <f t="shared" si="149"/>
        <v>-2.2981391677679729E-3</v>
      </c>
      <c r="W571" s="22">
        <f t="shared" si="150"/>
        <v>-2.9631333937108449E-3</v>
      </c>
      <c r="X571" s="22">
        <f t="shared" si="151"/>
        <v>-8.9484577430657113E-4</v>
      </c>
    </row>
    <row r="572" spans="1:24" x14ac:dyDescent="0.35">
      <c r="A572" s="3">
        <v>9.77</v>
      </c>
      <c r="B572" s="3">
        <v>90.82</v>
      </c>
      <c r="C572" s="3">
        <v>152.44</v>
      </c>
      <c r="D572" s="3">
        <v>19.27</v>
      </c>
      <c r="E572" s="3">
        <v>43.71</v>
      </c>
      <c r="F572" s="3">
        <v>101.32803199999999</v>
      </c>
      <c r="G572" s="3">
        <v>96.504800000000003</v>
      </c>
      <c r="H572" s="3">
        <v>95.503151000000003</v>
      </c>
      <c r="I572" s="17">
        <f t="shared" si="136"/>
        <v>2.0512820512820075E-3</v>
      </c>
      <c r="J572" s="17">
        <f t="shared" si="137"/>
        <v>7.5438207233191994E-3</v>
      </c>
      <c r="K572" s="17">
        <f t="shared" si="138"/>
        <v>1.1478999402826552E-2</v>
      </c>
      <c r="L572" s="17">
        <f t="shared" si="139"/>
        <v>1.5814443858724339E-2</v>
      </c>
      <c r="M572" s="17">
        <f t="shared" si="140"/>
        <v>9.4688221709007796E-3</v>
      </c>
      <c r="N572" s="17">
        <f t="shared" si="141"/>
        <v>1.2005153975634449E-3</v>
      </c>
      <c r="O572" s="17">
        <f t="shared" si="142"/>
        <v>1.775244290206733E-3</v>
      </c>
      <c r="P572" s="17">
        <f t="shared" si="143"/>
        <v>5.5539492375841449E-3</v>
      </c>
      <c r="Q572" s="22">
        <f t="shared" si="144"/>
        <v>1.6568081808972742E-3</v>
      </c>
      <c r="R572" s="22">
        <f t="shared" si="145"/>
        <v>7.1130960092420361E-3</v>
      </c>
      <c r="S572" s="22">
        <f t="shared" si="146"/>
        <v>1.1067040015989104E-2</v>
      </c>
      <c r="T572" s="22">
        <f t="shared" si="147"/>
        <v>1.5682992349491422E-2</v>
      </c>
      <c r="U572" s="22">
        <f t="shared" si="148"/>
        <v>8.7755942239470166E-3</v>
      </c>
      <c r="V572" s="22">
        <f t="shared" si="149"/>
        <v>1.4351192070666252E-3</v>
      </c>
      <c r="W572" s="22">
        <f t="shared" si="150"/>
        <v>2.0294928442974361E-3</v>
      </c>
      <c r="X572" s="22">
        <f t="shared" si="151"/>
        <v>5.8698936221904833E-3</v>
      </c>
    </row>
    <row r="573" spans="1:24" x14ac:dyDescent="0.35">
      <c r="A573" s="3">
        <v>9.58</v>
      </c>
      <c r="B573" s="3">
        <v>90.4</v>
      </c>
      <c r="C573" s="3">
        <v>149.61000000000001</v>
      </c>
      <c r="D573" s="3">
        <v>19.21</v>
      </c>
      <c r="E573" s="3">
        <v>42.65</v>
      </c>
      <c r="F573" s="3">
        <v>101.492526</v>
      </c>
      <c r="G573" s="3">
        <v>96.805937999999998</v>
      </c>
      <c r="H573" s="3">
        <v>95.387566000000007</v>
      </c>
      <c r="I573" s="17">
        <f t="shared" si="136"/>
        <v>-1.9447287615148363E-2</v>
      </c>
      <c r="J573" s="17">
        <f t="shared" si="137"/>
        <v>-4.6245320414004349E-3</v>
      </c>
      <c r="K573" s="17">
        <f t="shared" si="138"/>
        <v>-1.8564681186040304E-2</v>
      </c>
      <c r="L573" s="17">
        <f t="shared" si="139"/>
        <v>-3.113648157758107E-3</v>
      </c>
      <c r="M573" s="17">
        <f t="shared" si="140"/>
        <v>-2.425074353694812E-2</v>
      </c>
      <c r="N573" s="17">
        <f t="shared" si="141"/>
        <v>1.6233809810892686E-3</v>
      </c>
      <c r="O573" s="17">
        <f t="shared" si="142"/>
        <v>3.1204458223839078E-3</v>
      </c>
      <c r="P573" s="17">
        <f t="shared" si="143"/>
        <v>-1.2102742034134123E-3</v>
      </c>
      <c r="Q573" s="22">
        <f t="shared" si="144"/>
        <v>-1.9841761485533096E-2</v>
      </c>
      <c r="R573" s="22">
        <f t="shared" si="145"/>
        <v>-5.0552567554775982E-3</v>
      </c>
      <c r="S573" s="22">
        <f t="shared" si="146"/>
        <v>-1.8976640572877752E-2</v>
      </c>
      <c r="T573" s="22">
        <f t="shared" si="147"/>
        <v>-3.2450996669910253E-3</v>
      </c>
      <c r="U573" s="22">
        <f t="shared" si="148"/>
        <v>-2.4943971483901883E-2</v>
      </c>
      <c r="V573" s="22">
        <f t="shared" si="149"/>
        <v>1.857984790592449E-3</v>
      </c>
      <c r="W573" s="22">
        <f t="shared" si="150"/>
        <v>3.3746943764746107E-3</v>
      </c>
      <c r="X573" s="22">
        <f t="shared" si="151"/>
        <v>-8.9432981880707349E-4</v>
      </c>
    </row>
    <row r="574" spans="1:24" x14ac:dyDescent="0.35">
      <c r="A574" s="3">
        <v>9.82</v>
      </c>
      <c r="B574" s="3">
        <v>90.84</v>
      </c>
      <c r="C574" s="3">
        <v>149.27000000000001</v>
      </c>
      <c r="D574" s="3">
        <v>19.420000000000002</v>
      </c>
      <c r="E574" s="3">
        <v>43.43</v>
      </c>
      <c r="F574" s="3">
        <v>101.65718099999999</v>
      </c>
      <c r="G574" s="3">
        <v>96.717678000000006</v>
      </c>
      <c r="H574" s="3">
        <v>95.548488000000006</v>
      </c>
      <c r="I574" s="17">
        <f t="shared" si="136"/>
        <v>2.5052192066805867E-2</v>
      </c>
      <c r="J574" s="17">
        <f t="shared" si="137"/>
        <v>4.8672566371681164E-3</v>
      </c>
      <c r="K574" s="17">
        <f t="shared" si="138"/>
        <v>-2.2725753626094739E-3</v>
      </c>
      <c r="L574" s="17">
        <f t="shared" si="139"/>
        <v>1.0931806350858971E-2</v>
      </c>
      <c r="M574" s="17">
        <f t="shared" si="140"/>
        <v>1.8288393903868726E-2</v>
      </c>
      <c r="N574" s="17">
        <f t="shared" si="141"/>
        <v>1.6223362102544992E-3</v>
      </c>
      <c r="O574" s="17">
        <f t="shared" si="142"/>
        <v>-9.11720931829524E-4</v>
      </c>
      <c r="P574" s="17">
        <f t="shared" si="143"/>
        <v>1.6870332974006207E-3</v>
      </c>
      <c r="Q574" s="22">
        <f t="shared" si="144"/>
        <v>2.4657718196421135E-2</v>
      </c>
      <c r="R574" s="22">
        <f t="shared" si="145"/>
        <v>4.4365319230909531E-3</v>
      </c>
      <c r="S574" s="22">
        <f t="shared" si="146"/>
        <v>-2.6845347494469209E-3</v>
      </c>
      <c r="T574" s="22">
        <f t="shared" si="147"/>
        <v>1.0800354841626053E-2</v>
      </c>
      <c r="U574" s="22">
        <f t="shared" si="148"/>
        <v>1.7595165956914963E-2</v>
      </c>
      <c r="V574" s="22">
        <f t="shared" si="149"/>
        <v>1.8569400197576795E-3</v>
      </c>
      <c r="W574" s="22">
        <f t="shared" si="150"/>
        <v>-6.57472377738821E-4</v>
      </c>
      <c r="X574" s="22">
        <f t="shared" si="151"/>
        <v>2.0029776820069596E-3</v>
      </c>
    </row>
    <row r="575" spans="1:24" x14ac:dyDescent="0.35">
      <c r="A575" s="3">
        <v>10.039999999999999</v>
      </c>
      <c r="B575" s="3">
        <v>91.95</v>
      </c>
      <c r="C575" s="3">
        <v>149.66</v>
      </c>
      <c r="D575" s="3">
        <v>19.350000000000001</v>
      </c>
      <c r="E575" s="3">
        <v>43.71</v>
      </c>
      <c r="F575" s="3">
        <v>101.401003</v>
      </c>
      <c r="G575" s="3">
        <v>96.740759999999995</v>
      </c>
      <c r="H575" s="3">
        <v>95.640376000000003</v>
      </c>
      <c r="I575" s="17">
        <f t="shared" si="136"/>
        <v>2.2403258655804364E-2</v>
      </c>
      <c r="J575" s="17">
        <f t="shared" si="137"/>
        <v>1.2219286657859967E-2</v>
      </c>
      <c r="K575" s="17">
        <f t="shared" si="138"/>
        <v>2.6127152140415777E-3</v>
      </c>
      <c r="L575" s="17">
        <f t="shared" si="139"/>
        <v>-3.6045314109165952E-3</v>
      </c>
      <c r="M575" s="17">
        <f t="shared" si="140"/>
        <v>6.4471563435413567E-3</v>
      </c>
      <c r="N575" s="17">
        <f t="shared" si="141"/>
        <v>-2.5200187284358335E-3</v>
      </c>
      <c r="O575" s="17">
        <f t="shared" si="142"/>
        <v>2.3865337213728452E-4</v>
      </c>
      <c r="P575" s="17">
        <f t="shared" si="143"/>
        <v>9.6168973390763969E-4</v>
      </c>
      <c r="Q575" s="22">
        <f t="shared" si="144"/>
        <v>2.2008784785419632E-2</v>
      </c>
      <c r="R575" s="22">
        <f t="shared" si="145"/>
        <v>1.1788561943782803E-2</v>
      </c>
      <c r="S575" s="22">
        <f t="shared" si="146"/>
        <v>2.2007558272041307E-3</v>
      </c>
      <c r="T575" s="22">
        <f t="shared" si="147"/>
        <v>-3.7359829201495135E-3</v>
      </c>
      <c r="U575" s="22">
        <f t="shared" si="148"/>
        <v>5.7539283965875945E-3</v>
      </c>
      <c r="V575" s="22">
        <f t="shared" si="149"/>
        <v>-2.2854149189326534E-3</v>
      </c>
      <c r="W575" s="22">
        <f t="shared" si="150"/>
        <v>4.9290192622798755E-4</v>
      </c>
      <c r="X575" s="22">
        <f t="shared" si="151"/>
        <v>1.2776341185139785E-3</v>
      </c>
    </row>
    <row r="576" spans="1:24" x14ac:dyDescent="0.35">
      <c r="A576" s="3">
        <v>10.19</v>
      </c>
      <c r="B576" s="3">
        <v>90.95</v>
      </c>
      <c r="C576" s="3">
        <v>145.69</v>
      </c>
      <c r="D576" s="3">
        <v>19.43</v>
      </c>
      <c r="E576" s="3">
        <v>43.41</v>
      </c>
      <c r="F576" s="3">
        <v>101.47198899999999</v>
      </c>
      <c r="G576" s="3">
        <v>97.042320000000004</v>
      </c>
      <c r="H576" s="3">
        <v>95.732320999999999</v>
      </c>
      <c r="I576" s="17">
        <f t="shared" si="136"/>
        <v>1.4940239043824738E-2</v>
      </c>
      <c r="J576" s="17">
        <f t="shared" si="137"/>
        <v>-1.0875475802066339E-2</v>
      </c>
      <c r="K576" s="17">
        <f t="shared" si="138"/>
        <v>-2.6526794066550841E-2</v>
      </c>
      <c r="L576" s="17">
        <f t="shared" si="139"/>
        <v>4.1343669250645107E-3</v>
      </c>
      <c r="M576" s="17">
        <f t="shared" si="140"/>
        <v>-6.8634179821552106E-3</v>
      </c>
      <c r="N576" s="17">
        <f t="shared" si="141"/>
        <v>7.0005224701762234E-4</v>
      </c>
      <c r="O576" s="17">
        <f t="shared" si="142"/>
        <v>3.117196929195193E-3</v>
      </c>
      <c r="P576" s="17">
        <f t="shared" si="143"/>
        <v>9.6136175792528773E-4</v>
      </c>
      <c r="Q576" s="22">
        <f t="shared" si="144"/>
        <v>1.4545765173440004E-2</v>
      </c>
      <c r="R576" s="22">
        <f t="shared" si="145"/>
        <v>-1.1306200516143504E-2</v>
      </c>
      <c r="S576" s="22">
        <f t="shared" si="146"/>
        <v>-2.6938753453388288E-2</v>
      </c>
      <c r="T576" s="22">
        <f t="shared" si="147"/>
        <v>4.0029154158315924E-3</v>
      </c>
      <c r="U576" s="22">
        <f t="shared" si="148"/>
        <v>-7.5566459291089728E-3</v>
      </c>
      <c r="V576" s="22">
        <f t="shared" si="149"/>
        <v>9.3465605652080265E-4</v>
      </c>
      <c r="W576" s="22">
        <f t="shared" si="150"/>
        <v>3.3714454832858959E-3</v>
      </c>
      <c r="X576" s="22">
        <f t="shared" si="151"/>
        <v>1.2773061425316264E-3</v>
      </c>
    </row>
    <row r="577" spans="1:24" x14ac:dyDescent="0.35">
      <c r="A577" s="3">
        <v>10.74</v>
      </c>
      <c r="B577" s="3">
        <v>91.58</v>
      </c>
      <c r="C577" s="3">
        <v>147.58000000000001</v>
      </c>
      <c r="D577" s="3">
        <v>19.5</v>
      </c>
      <c r="E577" s="3">
        <v>43.82</v>
      </c>
      <c r="F577" s="3">
        <v>101.544982</v>
      </c>
      <c r="G577" s="3">
        <v>97.167212000000006</v>
      </c>
      <c r="H577" s="3">
        <v>95.592817999999994</v>
      </c>
      <c r="I577" s="17">
        <f t="shared" si="136"/>
        <v>5.3974484789008903E-2</v>
      </c>
      <c r="J577" s="17">
        <f t="shared" si="137"/>
        <v>6.926882902693738E-3</v>
      </c>
      <c r="K577" s="17">
        <f t="shared" si="138"/>
        <v>1.2972750360354278E-2</v>
      </c>
      <c r="L577" s="17">
        <f t="shared" si="139"/>
        <v>3.6026762738034113E-3</v>
      </c>
      <c r="M577" s="17">
        <f t="shared" si="140"/>
        <v>9.4448283805575618E-3</v>
      </c>
      <c r="N577" s="17">
        <f t="shared" si="141"/>
        <v>7.1934137410089563E-4</v>
      </c>
      <c r="O577" s="17">
        <f t="shared" si="142"/>
        <v>1.2869848948376611E-3</v>
      </c>
      <c r="P577" s="17">
        <f t="shared" si="143"/>
        <v>-1.4572194483825878E-3</v>
      </c>
      <c r="Q577" s="22">
        <f t="shared" si="144"/>
        <v>5.3580010918624167E-2</v>
      </c>
      <c r="R577" s="22">
        <f t="shared" si="145"/>
        <v>6.4961581886165748E-3</v>
      </c>
      <c r="S577" s="22">
        <f t="shared" si="146"/>
        <v>1.256079097351683E-2</v>
      </c>
      <c r="T577" s="22">
        <f t="shared" si="147"/>
        <v>3.471224764570493E-3</v>
      </c>
      <c r="U577" s="22">
        <f t="shared" si="148"/>
        <v>8.7516004336037987E-3</v>
      </c>
      <c r="V577" s="22">
        <f t="shared" si="149"/>
        <v>9.5394518360407594E-4</v>
      </c>
      <c r="W577" s="22">
        <f t="shared" si="150"/>
        <v>1.541233448928364E-3</v>
      </c>
      <c r="X577" s="22">
        <f t="shared" si="151"/>
        <v>-1.141275063776249E-3</v>
      </c>
    </row>
    <row r="578" spans="1:24" x14ac:dyDescent="0.35">
      <c r="A578" s="3">
        <v>10.79</v>
      </c>
      <c r="B578" s="3">
        <v>90.38</v>
      </c>
      <c r="C578" s="3">
        <v>147.83000000000001</v>
      </c>
      <c r="D578" s="3">
        <v>19.41</v>
      </c>
      <c r="E578" s="3">
        <v>43.9</v>
      </c>
      <c r="F578" s="3">
        <v>101.15103000000001</v>
      </c>
      <c r="G578" s="3">
        <v>96.911816999999999</v>
      </c>
      <c r="H578" s="3">
        <v>95.065239000000005</v>
      </c>
      <c r="I578" s="17">
        <f t="shared" si="136"/>
        <v>4.6554934823090253E-3</v>
      </c>
      <c r="J578" s="17">
        <f t="shared" si="137"/>
        <v>-1.3103297663245281E-2</v>
      </c>
      <c r="K578" s="17">
        <f t="shared" si="138"/>
        <v>1.6939964764873287E-3</v>
      </c>
      <c r="L578" s="17">
        <f t="shared" si="139"/>
        <v>-4.615384615384608E-3</v>
      </c>
      <c r="M578" s="17">
        <f t="shared" si="140"/>
        <v>1.8256503879506686E-3</v>
      </c>
      <c r="N578" s="17">
        <f t="shared" si="141"/>
        <v>-3.8795811692595378E-3</v>
      </c>
      <c r="O578" s="17">
        <f t="shared" si="142"/>
        <v>-2.6284072038622154E-3</v>
      </c>
      <c r="P578" s="17">
        <f t="shared" si="143"/>
        <v>-5.5190234061306652E-3</v>
      </c>
      <c r="Q578" s="22">
        <f t="shared" si="144"/>
        <v>4.2610196119242921E-3</v>
      </c>
      <c r="R578" s="22">
        <f t="shared" si="145"/>
        <v>-1.3534022377322446E-2</v>
      </c>
      <c r="S578" s="22">
        <f t="shared" si="146"/>
        <v>1.2820370896498817E-3</v>
      </c>
      <c r="T578" s="22">
        <f t="shared" si="147"/>
        <v>-4.7468361246175263E-3</v>
      </c>
      <c r="U578" s="22">
        <f t="shared" si="148"/>
        <v>1.1324224409969062E-3</v>
      </c>
      <c r="V578" s="22">
        <f t="shared" si="149"/>
        <v>-3.6449773597563577E-3</v>
      </c>
      <c r="W578" s="22">
        <f t="shared" si="150"/>
        <v>-2.3741586497715125E-3</v>
      </c>
      <c r="X578" s="22">
        <f t="shared" si="151"/>
        <v>-5.2030790215243268E-3</v>
      </c>
    </row>
    <row r="579" spans="1:24" x14ac:dyDescent="0.35">
      <c r="A579" s="3">
        <v>10.84</v>
      </c>
      <c r="B579" s="3">
        <v>92.25</v>
      </c>
      <c r="C579" s="3">
        <v>150.28</v>
      </c>
      <c r="D579" s="3">
        <v>19.64</v>
      </c>
      <c r="E579" s="3">
        <v>45.15</v>
      </c>
      <c r="F579" s="3">
        <v>100.71350700000001</v>
      </c>
      <c r="G579" s="3">
        <v>96.712978000000007</v>
      </c>
      <c r="H579" s="3">
        <v>94.678246000000001</v>
      </c>
      <c r="I579" s="17">
        <f t="shared" si="136"/>
        <v>4.6339202965709654E-3</v>
      </c>
      <c r="J579" s="17">
        <f t="shared" si="137"/>
        <v>2.0690418234122643E-2</v>
      </c>
      <c r="K579" s="17">
        <f t="shared" si="138"/>
        <v>1.6573090712304596E-2</v>
      </c>
      <c r="L579" s="17">
        <f t="shared" si="139"/>
        <v>1.1849562081401361E-2</v>
      </c>
      <c r="M579" s="17">
        <f t="shared" si="140"/>
        <v>2.847380410022779E-2</v>
      </c>
      <c r="N579" s="17">
        <f t="shared" si="141"/>
        <v>-4.3254428551048737E-3</v>
      </c>
      <c r="O579" s="17">
        <f t="shared" si="142"/>
        <v>-2.0517518518922461E-3</v>
      </c>
      <c r="P579" s="17">
        <f t="shared" si="143"/>
        <v>-4.0708149905351199E-3</v>
      </c>
      <c r="Q579" s="22">
        <f t="shared" si="144"/>
        <v>4.2394464261862322E-3</v>
      </c>
      <c r="R579" s="22">
        <f t="shared" si="145"/>
        <v>2.0259693520045481E-2</v>
      </c>
      <c r="S579" s="22">
        <f t="shared" si="146"/>
        <v>1.6161131325467148E-2</v>
      </c>
      <c r="T579" s="22">
        <f t="shared" si="147"/>
        <v>1.1718110572168443E-2</v>
      </c>
      <c r="U579" s="22">
        <f t="shared" si="148"/>
        <v>2.7780576153274027E-2</v>
      </c>
      <c r="V579" s="22">
        <f t="shared" si="149"/>
        <v>-4.0908390456016932E-3</v>
      </c>
      <c r="W579" s="22">
        <f t="shared" si="150"/>
        <v>-1.7975032978015432E-3</v>
      </c>
      <c r="X579" s="22">
        <f t="shared" si="151"/>
        <v>-3.7548706059287811E-3</v>
      </c>
    </row>
    <row r="580" spans="1:24" x14ac:dyDescent="0.35">
      <c r="A580" s="3">
        <v>10.65</v>
      </c>
      <c r="B580" s="3">
        <v>90.93</v>
      </c>
      <c r="C580" s="3">
        <v>149.74</v>
      </c>
      <c r="D580" s="3">
        <v>19.57</v>
      </c>
      <c r="E580" s="3">
        <v>45.68</v>
      </c>
      <c r="F580" s="3">
        <v>100.96874699999999</v>
      </c>
      <c r="G580" s="3">
        <v>97.013605999999996</v>
      </c>
      <c r="H580" s="3">
        <v>95.042364000000006</v>
      </c>
      <c r="I580" s="17">
        <f t="shared" ref="I580:I643" si="152">(A580-A579)/A579</f>
        <v>-1.7527675276752721E-2</v>
      </c>
      <c r="J580" s="17">
        <f t="shared" ref="J580:J643" si="153">(B580-B579)/B579</f>
        <v>-1.430894308943082E-2</v>
      </c>
      <c r="K580" s="17">
        <f t="shared" ref="K580:K643" si="154">(C580-C579)/C579</f>
        <v>-3.593292520628108E-3</v>
      </c>
      <c r="L580" s="17">
        <f t="shared" ref="L580:L643" si="155">(D580-D579)/D579</f>
        <v>-3.5641547861507273E-3</v>
      </c>
      <c r="M580" s="17">
        <f t="shared" ref="M580:M643" si="156">(E580-E579)/E579</f>
        <v>1.17386489479513E-2</v>
      </c>
      <c r="N580" s="17">
        <f t="shared" ref="N580:N643" si="157">(F580-F579)/F579</f>
        <v>2.5343174674672619E-3</v>
      </c>
      <c r="O580" s="17">
        <f t="shared" ref="O580:O643" si="158">(G580-G579)/G579</f>
        <v>3.1084556200925693E-3</v>
      </c>
      <c r="P580" s="17">
        <f t="shared" ref="P580:P643" si="159">(H580-H579)/H579</f>
        <v>3.8458464893826277E-3</v>
      </c>
      <c r="Q580" s="22">
        <f t="shared" si="144"/>
        <v>-1.7922149147137453E-2</v>
      </c>
      <c r="R580" s="22">
        <f t="shared" si="145"/>
        <v>-1.4739667803507984E-2</v>
      </c>
      <c r="S580" s="22">
        <f t="shared" si="146"/>
        <v>-4.0052519074655546E-3</v>
      </c>
      <c r="T580" s="22">
        <f t="shared" si="147"/>
        <v>-3.6956062953836456E-3</v>
      </c>
      <c r="U580" s="22">
        <f t="shared" si="148"/>
        <v>1.1045421000997537E-2</v>
      </c>
      <c r="V580" s="22">
        <f t="shared" si="149"/>
        <v>2.7689212769704419E-3</v>
      </c>
      <c r="W580" s="22">
        <f t="shared" si="150"/>
        <v>3.3627041741832722E-3</v>
      </c>
      <c r="X580" s="22">
        <f t="shared" si="151"/>
        <v>4.1617908739889665E-3</v>
      </c>
    </row>
    <row r="581" spans="1:24" x14ac:dyDescent="0.35">
      <c r="A581" s="3">
        <v>10.63</v>
      </c>
      <c r="B581" s="3">
        <v>90.73</v>
      </c>
      <c r="C581" s="3">
        <v>152.68</v>
      </c>
      <c r="D581" s="3">
        <v>19.03</v>
      </c>
      <c r="E581" s="3">
        <v>46.56</v>
      </c>
      <c r="F581" s="3">
        <v>100.762817</v>
      </c>
      <c r="G581" s="3">
        <v>96.482934999999998</v>
      </c>
      <c r="H581" s="3">
        <v>95.065173999999999</v>
      </c>
      <c r="I581" s="17">
        <f t="shared" si="152"/>
        <v>-1.8779342723004293E-3</v>
      </c>
      <c r="J581" s="17">
        <f t="shared" si="153"/>
        <v>-2.1994941163532697E-3</v>
      </c>
      <c r="K581" s="17">
        <f t="shared" si="154"/>
        <v>1.963403232269265E-2</v>
      </c>
      <c r="L581" s="17">
        <f t="shared" si="155"/>
        <v>-2.7593254982115439E-2</v>
      </c>
      <c r="M581" s="17">
        <f t="shared" si="156"/>
        <v>1.9264448336252245E-2</v>
      </c>
      <c r="N581" s="17">
        <f t="shared" si="157"/>
        <v>-2.0395419980798126E-3</v>
      </c>
      <c r="O581" s="17">
        <f t="shared" si="158"/>
        <v>-5.4700677758540194E-3</v>
      </c>
      <c r="P581" s="17">
        <f t="shared" si="159"/>
        <v>2.3999823910096204E-4</v>
      </c>
      <c r="Q581" s="22">
        <f t="shared" ref="Q581:Q644" si="160">I581-AB$2</f>
        <v>-2.2724081426851628E-3</v>
      </c>
      <c r="R581" s="22">
        <f t="shared" ref="R581:R644" si="161">J581-AC$2</f>
        <v>-2.6302188304304333E-3</v>
      </c>
      <c r="S581" s="22">
        <f t="shared" ref="S581:S644" si="162">K581-AD$2</f>
        <v>1.9222072935855202E-2</v>
      </c>
      <c r="T581" s="22">
        <f t="shared" ref="T581:T644" si="163">L581-AE$2</f>
        <v>-2.7724706491348356E-2</v>
      </c>
      <c r="U581" s="22">
        <f t="shared" ref="U581:U644" si="164">M581-AF$2</f>
        <v>1.8571220389298482E-2</v>
      </c>
      <c r="V581" s="22">
        <f t="shared" ref="V581:V644" si="165">N581-AG$2</f>
        <v>-1.8049381885766322E-3</v>
      </c>
      <c r="W581" s="22">
        <f t="shared" ref="W581:W644" si="166">O581-AH$2</f>
        <v>-5.2158192217633161E-3</v>
      </c>
      <c r="X581" s="22">
        <f t="shared" ref="X581:X644" si="167">P581-AI$2</f>
        <v>5.5594262370730078E-4</v>
      </c>
    </row>
    <row r="582" spans="1:24" x14ac:dyDescent="0.35">
      <c r="A582" s="3">
        <v>10.47</v>
      </c>
      <c r="B582" s="3">
        <v>93.07</v>
      </c>
      <c r="C582" s="3">
        <v>152.33000000000001</v>
      </c>
      <c r="D582" s="3">
        <v>19.22</v>
      </c>
      <c r="E582" s="3">
        <v>46.41</v>
      </c>
      <c r="F582" s="3">
        <v>100.974913</v>
      </c>
      <c r="G582" s="3">
        <v>96.332448999999997</v>
      </c>
      <c r="H582" s="3">
        <v>95.065279000000004</v>
      </c>
      <c r="I582" s="17">
        <f t="shared" si="152"/>
        <v>-1.5051740357478846E-2</v>
      </c>
      <c r="J582" s="17">
        <f t="shared" si="153"/>
        <v>2.5790807891546225E-2</v>
      </c>
      <c r="K582" s="17">
        <f t="shared" si="154"/>
        <v>-2.2923762116845315E-3</v>
      </c>
      <c r="L582" s="17">
        <f t="shared" si="155"/>
        <v>9.9842354177613092E-3</v>
      </c>
      <c r="M582" s="17">
        <f t="shared" si="156"/>
        <v>-3.2216494845362046E-3</v>
      </c>
      <c r="N582" s="17">
        <f t="shared" si="157"/>
        <v>2.1049034387357643E-3</v>
      </c>
      <c r="O582" s="17">
        <f t="shared" si="158"/>
        <v>-1.5597162337567859E-3</v>
      </c>
      <c r="P582" s="17">
        <f t="shared" si="159"/>
        <v>1.1045054207222798E-6</v>
      </c>
      <c r="Q582" s="22">
        <f t="shared" si="160"/>
        <v>-1.544621422786358E-2</v>
      </c>
      <c r="R582" s="22">
        <f t="shared" si="161"/>
        <v>2.5360083177469062E-2</v>
      </c>
      <c r="S582" s="22">
        <f t="shared" si="162"/>
        <v>-2.7043355985219785E-3</v>
      </c>
      <c r="T582" s="22">
        <f t="shared" si="163"/>
        <v>9.8527839085283918E-3</v>
      </c>
      <c r="U582" s="22">
        <f t="shared" si="164"/>
        <v>-3.9148774314899668E-3</v>
      </c>
      <c r="V582" s="22">
        <f t="shared" si="165"/>
        <v>2.3395072482389444E-3</v>
      </c>
      <c r="W582" s="22">
        <f t="shared" si="166"/>
        <v>-1.3054676796660828E-3</v>
      </c>
      <c r="X582" s="22">
        <f t="shared" si="167"/>
        <v>3.1704889002706106E-4</v>
      </c>
    </row>
    <row r="583" spans="1:24" x14ac:dyDescent="0.35">
      <c r="A583" s="3">
        <v>10.37</v>
      </c>
      <c r="B583" s="3">
        <v>92.46</v>
      </c>
      <c r="C583" s="3">
        <v>151.69</v>
      </c>
      <c r="D583" s="3">
        <v>19.350000000000001</v>
      </c>
      <c r="E583" s="3">
        <v>45.99</v>
      </c>
      <c r="F583" s="3">
        <v>100.90749599999999</v>
      </c>
      <c r="G583" s="3">
        <v>96.465738999999999</v>
      </c>
      <c r="H583" s="3">
        <v>94.883488999999997</v>
      </c>
      <c r="I583" s="17">
        <f t="shared" si="152"/>
        <v>-9.5510983763134119E-3</v>
      </c>
      <c r="J583" s="17">
        <f t="shared" si="153"/>
        <v>-6.5542065112281023E-3</v>
      </c>
      <c r="K583" s="17">
        <f t="shared" si="154"/>
        <v>-4.2014048447450584E-3</v>
      </c>
      <c r="L583" s="17">
        <f t="shared" si="155"/>
        <v>6.7637877211239629E-3</v>
      </c>
      <c r="M583" s="17">
        <f t="shared" si="156"/>
        <v>-9.0497737556559932E-3</v>
      </c>
      <c r="N583" s="17">
        <f t="shared" si="157"/>
        <v>-6.6766088721468924E-4</v>
      </c>
      <c r="O583" s="17">
        <f t="shared" si="158"/>
        <v>1.3836459197668935E-3</v>
      </c>
      <c r="P583" s="17">
        <f t="shared" si="159"/>
        <v>-1.912264939547556E-3</v>
      </c>
      <c r="Q583" s="22">
        <f t="shared" si="160"/>
        <v>-9.945572246698146E-3</v>
      </c>
      <c r="R583" s="22">
        <f t="shared" si="161"/>
        <v>-6.9849312253052655E-3</v>
      </c>
      <c r="S583" s="22">
        <f t="shared" si="162"/>
        <v>-4.6133642315825049E-3</v>
      </c>
      <c r="T583" s="22">
        <f t="shared" si="163"/>
        <v>6.6323362118910446E-3</v>
      </c>
      <c r="U583" s="22">
        <f t="shared" si="164"/>
        <v>-9.7430017026097562E-3</v>
      </c>
      <c r="V583" s="22">
        <f t="shared" si="165"/>
        <v>-4.3305707771150892E-4</v>
      </c>
      <c r="W583" s="22">
        <f t="shared" si="166"/>
        <v>1.6378944738575964E-3</v>
      </c>
      <c r="X583" s="22">
        <f t="shared" si="167"/>
        <v>-1.5963205549412171E-3</v>
      </c>
    </row>
    <row r="584" spans="1:24" x14ac:dyDescent="0.35">
      <c r="A584" s="3">
        <v>10.4</v>
      </c>
      <c r="B584" s="3">
        <v>93.07</v>
      </c>
      <c r="C584" s="3">
        <v>158.01</v>
      </c>
      <c r="D584" s="3">
        <v>19.309999999999999</v>
      </c>
      <c r="E584" s="3">
        <v>46.48</v>
      </c>
      <c r="F584" s="3">
        <v>101.43962999999999</v>
      </c>
      <c r="G584" s="3">
        <v>96.544064000000006</v>
      </c>
      <c r="H584" s="3">
        <v>94.906361000000004</v>
      </c>
      <c r="I584" s="17">
        <f t="shared" si="152"/>
        <v>2.892960462873784E-3</v>
      </c>
      <c r="J584" s="17">
        <f t="shared" si="153"/>
        <v>6.597447544884269E-3</v>
      </c>
      <c r="K584" s="17">
        <f t="shared" si="154"/>
        <v>4.1663919836508627E-2</v>
      </c>
      <c r="L584" s="17">
        <f t="shared" si="155"/>
        <v>-2.0671834625324392E-3</v>
      </c>
      <c r="M584" s="17">
        <f t="shared" si="156"/>
        <v>1.0654490106544789E-2</v>
      </c>
      <c r="N584" s="17">
        <f t="shared" si="157"/>
        <v>5.2734833495422309E-3</v>
      </c>
      <c r="O584" s="17">
        <f t="shared" si="158"/>
        <v>8.1194630147400453E-4</v>
      </c>
      <c r="P584" s="17">
        <f t="shared" si="159"/>
        <v>2.4105353039881013E-4</v>
      </c>
      <c r="Q584" s="22">
        <f t="shared" si="160"/>
        <v>2.4984865924890507E-3</v>
      </c>
      <c r="R584" s="22">
        <f t="shared" si="161"/>
        <v>6.1667228308071058E-3</v>
      </c>
      <c r="S584" s="22">
        <f t="shared" si="162"/>
        <v>4.1251960449671179E-2</v>
      </c>
      <c r="T584" s="22">
        <f t="shared" si="163"/>
        <v>-2.1986349717653575E-3</v>
      </c>
      <c r="U584" s="22">
        <f t="shared" si="164"/>
        <v>9.9612621595910264E-3</v>
      </c>
      <c r="V584" s="22">
        <f t="shared" si="165"/>
        <v>5.5080871590454114E-3</v>
      </c>
      <c r="W584" s="22">
        <f t="shared" si="166"/>
        <v>1.0661948555647075E-3</v>
      </c>
      <c r="X584" s="22">
        <f t="shared" si="167"/>
        <v>5.5699791500514895E-4</v>
      </c>
    </row>
    <row r="585" spans="1:24" x14ac:dyDescent="0.35">
      <c r="A585" s="3">
        <v>10.51</v>
      </c>
      <c r="B585" s="3">
        <v>92.47</v>
      </c>
      <c r="C585" s="3">
        <v>156.78</v>
      </c>
      <c r="D585" s="3">
        <v>19.05</v>
      </c>
      <c r="E585" s="3">
        <v>45.85</v>
      </c>
      <c r="F585" s="3">
        <v>101.603059</v>
      </c>
      <c r="G585" s="3">
        <v>96.843121999999994</v>
      </c>
      <c r="H585" s="3">
        <v>95.339005999999998</v>
      </c>
      <c r="I585" s="17">
        <f t="shared" si="152"/>
        <v>1.0576923076923022E-2</v>
      </c>
      <c r="J585" s="17">
        <f t="shared" si="153"/>
        <v>-6.4467605028472588E-3</v>
      </c>
      <c r="K585" s="17">
        <f t="shared" si="154"/>
        <v>-7.7843174482627037E-3</v>
      </c>
      <c r="L585" s="17">
        <f t="shared" si="155"/>
        <v>-1.3464526152252616E-2</v>
      </c>
      <c r="M585" s="17">
        <f t="shared" si="156"/>
        <v>-1.3554216867469783E-2</v>
      </c>
      <c r="N585" s="17">
        <f t="shared" si="157"/>
        <v>1.6110961761198047E-3</v>
      </c>
      <c r="O585" s="17">
        <f t="shared" si="158"/>
        <v>3.0976321858585528E-3</v>
      </c>
      <c r="P585" s="17">
        <f t="shared" si="159"/>
        <v>4.5586512372968735E-3</v>
      </c>
      <c r="Q585" s="22">
        <f t="shared" si="160"/>
        <v>1.0182449206538288E-2</v>
      </c>
      <c r="R585" s="22">
        <f t="shared" si="161"/>
        <v>-6.877485216924422E-3</v>
      </c>
      <c r="S585" s="22">
        <f t="shared" si="162"/>
        <v>-8.1962768351001511E-3</v>
      </c>
      <c r="T585" s="22">
        <f t="shared" si="163"/>
        <v>-1.3595977661485533E-2</v>
      </c>
      <c r="U585" s="22">
        <f t="shared" si="164"/>
        <v>-1.4247444814423546E-2</v>
      </c>
      <c r="V585" s="22">
        <f t="shared" si="165"/>
        <v>1.845699985622985E-3</v>
      </c>
      <c r="W585" s="22">
        <f t="shared" si="166"/>
        <v>3.3518807399492557E-3</v>
      </c>
      <c r="X585" s="22">
        <f t="shared" si="167"/>
        <v>4.8745956219032119E-3</v>
      </c>
    </row>
    <row r="586" spans="1:24" x14ac:dyDescent="0.35">
      <c r="A586" s="3">
        <v>10.53</v>
      </c>
      <c r="B586" s="3">
        <v>91.89</v>
      </c>
      <c r="C586" s="3">
        <v>151.13</v>
      </c>
      <c r="D586" s="3">
        <v>19.059999999999999</v>
      </c>
      <c r="E586" s="3">
        <v>45.5</v>
      </c>
      <c r="F586" s="3">
        <v>101.72024399999999</v>
      </c>
      <c r="G586" s="3">
        <v>97.143096</v>
      </c>
      <c r="H586" s="3">
        <v>95.088419999999999</v>
      </c>
      <c r="I586" s="17">
        <f t="shared" si="152"/>
        <v>1.9029495718363059E-3</v>
      </c>
      <c r="J586" s="17">
        <f t="shared" si="153"/>
        <v>-6.2723045311992897E-3</v>
      </c>
      <c r="K586" s="17">
        <f t="shared" si="154"/>
        <v>-3.6037759918356969E-2</v>
      </c>
      <c r="L586" s="17">
        <f t="shared" si="155"/>
        <v>5.2493438320199532E-4</v>
      </c>
      <c r="M586" s="17">
        <f t="shared" si="156"/>
        <v>-7.6335877862595729E-3</v>
      </c>
      <c r="N586" s="17">
        <f t="shared" si="157"/>
        <v>1.1533609435911973E-3</v>
      </c>
      <c r="O586" s="17">
        <f t="shared" si="158"/>
        <v>3.0975250880491646E-3</v>
      </c>
      <c r="P586" s="17">
        <f t="shared" si="159"/>
        <v>-2.6283680784336939E-3</v>
      </c>
      <c r="Q586" s="22">
        <f t="shared" si="160"/>
        <v>1.5084757014515726E-3</v>
      </c>
      <c r="R586" s="22">
        <f t="shared" si="161"/>
        <v>-6.7030292452764529E-3</v>
      </c>
      <c r="S586" s="22">
        <f t="shared" si="162"/>
        <v>-3.6449719305194417E-2</v>
      </c>
      <c r="T586" s="22">
        <f t="shared" si="163"/>
        <v>3.9348287396907702E-4</v>
      </c>
      <c r="U586" s="22">
        <f t="shared" si="164"/>
        <v>-8.3268157332133351E-3</v>
      </c>
      <c r="V586" s="22">
        <f t="shared" si="165"/>
        <v>1.3879647530943777E-3</v>
      </c>
      <c r="W586" s="22">
        <f t="shared" si="166"/>
        <v>3.3517736421398675E-3</v>
      </c>
      <c r="X586" s="22">
        <f t="shared" si="167"/>
        <v>-2.312423693827355E-3</v>
      </c>
    </row>
    <row r="587" spans="1:24" x14ac:dyDescent="0.35">
      <c r="A587" s="3">
        <v>10.62</v>
      </c>
      <c r="B587" s="3">
        <v>93.33</v>
      </c>
      <c r="C587" s="3">
        <v>153.35</v>
      </c>
      <c r="D587" s="3">
        <v>19.14</v>
      </c>
      <c r="E587" s="3">
        <v>46.08</v>
      </c>
      <c r="F587" s="3">
        <v>102.049994</v>
      </c>
      <c r="G587" s="3">
        <v>97.457714999999993</v>
      </c>
      <c r="H587" s="3">
        <v>95.043709000000007</v>
      </c>
      <c r="I587" s="17">
        <f t="shared" si="152"/>
        <v>8.547008547008534E-3</v>
      </c>
      <c r="J587" s="17">
        <f t="shared" si="153"/>
        <v>1.5670910871694393E-2</v>
      </c>
      <c r="K587" s="17">
        <f t="shared" si="154"/>
        <v>1.4689340303050347E-2</v>
      </c>
      <c r="L587" s="17">
        <f t="shared" si="155"/>
        <v>4.1972717733474215E-3</v>
      </c>
      <c r="M587" s="17">
        <f t="shared" si="156"/>
        <v>1.274725274725271E-2</v>
      </c>
      <c r="N587" s="17">
        <f t="shared" si="157"/>
        <v>3.2417342608812875E-3</v>
      </c>
      <c r="O587" s="17">
        <f t="shared" si="158"/>
        <v>3.2387170365662768E-3</v>
      </c>
      <c r="P587" s="17">
        <f t="shared" si="159"/>
        <v>-4.7020446864079132E-4</v>
      </c>
      <c r="Q587" s="22">
        <f t="shared" si="160"/>
        <v>8.1525346766237999E-3</v>
      </c>
      <c r="R587" s="22">
        <f t="shared" si="161"/>
        <v>1.5240186157617229E-2</v>
      </c>
      <c r="S587" s="22">
        <f t="shared" si="162"/>
        <v>1.42773809162129E-2</v>
      </c>
      <c r="T587" s="22">
        <f t="shared" si="163"/>
        <v>4.0658202641145032E-3</v>
      </c>
      <c r="U587" s="22">
        <f t="shared" si="164"/>
        <v>1.2054024800298947E-2</v>
      </c>
      <c r="V587" s="22">
        <f t="shared" si="165"/>
        <v>3.4763380703844676E-3</v>
      </c>
      <c r="W587" s="22">
        <f t="shared" si="166"/>
        <v>3.4929655906569797E-3</v>
      </c>
      <c r="X587" s="22">
        <f t="shared" si="167"/>
        <v>-1.5426008403445255E-4</v>
      </c>
    </row>
    <row r="588" spans="1:24" x14ac:dyDescent="0.35">
      <c r="A588" s="3">
        <v>10.8</v>
      </c>
      <c r="B588" s="3">
        <v>96.3</v>
      </c>
      <c r="C588" s="3">
        <v>155.47999999999999</v>
      </c>
      <c r="D588" s="3">
        <v>19.39</v>
      </c>
      <c r="E588" s="3">
        <v>48.18</v>
      </c>
      <c r="F588" s="3">
        <v>102.16731900000001</v>
      </c>
      <c r="G588" s="3">
        <v>97.258943000000002</v>
      </c>
      <c r="H588" s="3">
        <v>95.476066000000003</v>
      </c>
      <c r="I588" s="17">
        <f t="shared" si="152"/>
        <v>1.6949152542373024E-2</v>
      </c>
      <c r="J588" s="17">
        <f t="shared" si="153"/>
        <v>3.1822565091610404E-2</v>
      </c>
      <c r="K588" s="17">
        <f t="shared" si="154"/>
        <v>1.3889794587544803E-2</v>
      </c>
      <c r="L588" s="17">
        <f t="shared" si="155"/>
        <v>1.3061650992685475E-2</v>
      </c>
      <c r="M588" s="17">
        <f t="shared" si="156"/>
        <v>4.5572916666666699E-2</v>
      </c>
      <c r="N588" s="17">
        <f t="shared" si="157"/>
        <v>1.1496815962576943E-3</v>
      </c>
      <c r="O588" s="17">
        <f t="shared" si="158"/>
        <v>-2.0395717260556652E-3</v>
      </c>
      <c r="P588" s="17">
        <f t="shared" si="159"/>
        <v>4.5490333294968118E-3</v>
      </c>
      <c r="Q588" s="22">
        <f t="shared" si="160"/>
        <v>1.6554678671988291E-2</v>
      </c>
      <c r="R588" s="22">
        <f t="shared" si="161"/>
        <v>3.1391840377533238E-2</v>
      </c>
      <c r="S588" s="22">
        <f t="shared" si="162"/>
        <v>1.3477835200707356E-2</v>
      </c>
      <c r="T588" s="22">
        <f t="shared" si="163"/>
        <v>1.2930199483452557E-2</v>
      </c>
      <c r="U588" s="22">
        <f t="shared" si="164"/>
        <v>4.4879688719712936E-2</v>
      </c>
      <c r="V588" s="22">
        <f t="shared" si="165"/>
        <v>1.3842854057608746E-3</v>
      </c>
      <c r="W588" s="22">
        <f t="shared" si="166"/>
        <v>-1.7853231719649624E-3</v>
      </c>
      <c r="X588" s="22">
        <f t="shared" si="167"/>
        <v>4.8649777141031502E-3</v>
      </c>
    </row>
    <row r="589" spans="1:24" x14ac:dyDescent="0.35">
      <c r="A589" s="3">
        <v>11.47</v>
      </c>
      <c r="B589" s="3">
        <v>95.59</v>
      </c>
      <c r="C589" s="3">
        <v>155.71</v>
      </c>
      <c r="D589" s="3">
        <v>19.239999999999998</v>
      </c>
      <c r="E589" s="3">
        <v>49.18</v>
      </c>
      <c r="F589" s="3">
        <v>102.471063</v>
      </c>
      <c r="G589" s="3">
        <v>97.559545999999997</v>
      </c>
      <c r="H589" s="3">
        <v>95.773223000000002</v>
      </c>
      <c r="I589" s="17">
        <f t="shared" si="152"/>
        <v>6.2037037037037029E-2</v>
      </c>
      <c r="J589" s="17">
        <f t="shared" si="153"/>
        <v>-7.372793354101701E-3</v>
      </c>
      <c r="K589" s="17">
        <f t="shared" si="154"/>
        <v>1.4792899408285194E-3</v>
      </c>
      <c r="L589" s="17">
        <f t="shared" si="155"/>
        <v>-7.7359463641053184E-3</v>
      </c>
      <c r="M589" s="17">
        <f t="shared" si="156"/>
        <v>2.0755500207555001E-2</v>
      </c>
      <c r="N589" s="17">
        <f t="shared" si="157"/>
        <v>2.9730054872047162E-3</v>
      </c>
      <c r="O589" s="17">
        <f t="shared" si="158"/>
        <v>3.0907491972228742E-3</v>
      </c>
      <c r="P589" s="17">
        <f t="shared" si="159"/>
        <v>3.1123716387727847E-3</v>
      </c>
      <c r="Q589" s="22">
        <f t="shared" si="160"/>
        <v>6.1642563166652294E-2</v>
      </c>
      <c r="R589" s="22">
        <f t="shared" si="161"/>
        <v>-7.8035180681788642E-3</v>
      </c>
      <c r="S589" s="22">
        <f t="shared" si="162"/>
        <v>1.0673305539910724E-3</v>
      </c>
      <c r="T589" s="22">
        <f t="shared" si="163"/>
        <v>-7.8673978733382367E-3</v>
      </c>
      <c r="U589" s="22">
        <f t="shared" si="164"/>
        <v>2.0062272260601238E-2</v>
      </c>
      <c r="V589" s="22">
        <f t="shared" si="165"/>
        <v>3.2076092967078963E-3</v>
      </c>
      <c r="W589" s="22">
        <f t="shared" si="166"/>
        <v>3.3449977513135771E-3</v>
      </c>
      <c r="X589" s="22">
        <f t="shared" si="167"/>
        <v>3.4283160233791236E-3</v>
      </c>
    </row>
    <row r="590" spans="1:24" x14ac:dyDescent="0.35">
      <c r="A590" s="3">
        <v>11.29</v>
      </c>
      <c r="B590" s="3">
        <v>95.25</v>
      </c>
      <c r="C590" s="3">
        <v>155.77000000000001</v>
      </c>
      <c r="D590" s="3">
        <v>19.190000000000001</v>
      </c>
      <c r="E590" s="3">
        <v>50.06</v>
      </c>
      <c r="F590" s="3">
        <v>102.40212200000001</v>
      </c>
      <c r="G590" s="3">
        <v>97.527119999999996</v>
      </c>
      <c r="H590" s="3">
        <v>95.727386999999993</v>
      </c>
      <c r="I590" s="17">
        <f t="shared" si="152"/>
        <v>-1.5693112467306144E-2</v>
      </c>
      <c r="J590" s="17">
        <f t="shared" si="153"/>
        <v>-3.5568574118632012E-3</v>
      </c>
      <c r="K590" s="17">
        <f t="shared" si="154"/>
        <v>3.8533170637725431E-4</v>
      </c>
      <c r="L590" s="17">
        <f t="shared" si="155"/>
        <v>-2.5987525987524514E-3</v>
      </c>
      <c r="M590" s="17">
        <f t="shared" si="156"/>
        <v>1.7893452623017538E-2</v>
      </c>
      <c r="N590" s="17">
        <f t="shared" si="157"/>
        <v>-6.7278505737756674E-4</v>
      </c>
      <c r="O590" s="17">
        <f t="shared" si="158"/>
        <v>-3.3237137040388598E-4</v>
      </c>
      <c r="P590" s="17">
        <f t="shared" si="159"/>
        <v>-4.7858888491210562E-4</v>
      </c>
      <c r="Q590" s="22">
        <f t="shared" si="160"/>
        <v>-1.6087586337690876E-2</v>
      </c>
      <c r="R590" s="22">
        <f t="shared" si="161"/>
        <v>-3.9875821259403648E-3</v>
      </c>
      <c r="S590" s="22">
        <f t="shared" si="162"/>
        <v>-2.6627680460192629E-5</v>
      </c>
      <c r="T590" s="22">
        <f t="shared" si="163"/>
        <v>-2.7302041079853697E-3</v>
      </c>
      <c r="U590" s="22">
        <f t="shared" si="164"/>
        <v>1.7200224676063774E-2</v>
      </c>
      <c r="V590" s="22">
        <f t="shared" si="165"/>
        <v>-4.3818124787438643E-4</v>
      </c>
      <c r="W590" s="22">
        <f t="shared" si="166"/>
        <v>-7.8122816313182979E-5</v>
      </c>
      <c r="X590" s="22">
        <f t="shared" si="167"/>
        <v>-1.6264450030576685E-4</v>
      </c>
    </row>
    <row r="591" spans="1:24" x14ac:dyDescent="0.35">
      <c r="A591" s="3">
        <v>11.31</v>
      </c>
      <c r="B591" s="3">
        <v>97.38</v>
      </c>
      <c r="C591" s="3">
        <v>153.46</v>
      </c>
      <c r="D591" s="3">
        <v>19.07</v>
      </c>
      <c r="E591" s="3">
        <v>51.03</v>
      </c>
      <c r="F591" s="3">
        <v>102.708027</v>
      </c>
      <c r="G591" s="3">
        <v>97.652090000000001</v>
      </c>
      <c r="H591" s="3">
        <v>95.795941999999997</v>
      </c>
      <c r="I591" s="17">
        <f t="shared" si="152"/>
        <v>1.7714791851196946E-3</v>
      </c>
      <c r="J591" s="17">
        <f t="shared" si="153"/>
        <v>2.2362204724409401E-2</v>
      </c>
      <c r="K591" s="17">
        <f t="shared" si="154"/>
        <v>-1.4829556397252372E-2</v>
      </c>
      <c r="L591" s="17">
        <f t="shared" si="155"/>
        <v>-6.2532569046378833E-3</v>
      </c>
      <c r="M591" s="17">
        <f t="shared" si="156"/>
        <v>1.9376747902516957E-2</v>
      </c>
      <c r="N591" s="17">
        <f t="shared" si="157"/>
        <v>2.9872916110077839E-3</v>
      </c>
      <c r="O591" s="17">
        <f t="shared" si="158"/>
        <v>1.2813871669747317E-3</v>
      </c>
      <c r="P591" s="17">
        <f t="shared" si="159"/>
        <v>7.1614824292658781E-4</v>
      </c>
      <c r="Q591" s="22">
        <f t="shared" si="160"/>
        <v>1.3770053147349613E-3</v>
      </c>
      <c r="R591" s="22">
        <f t="shared" si="161"/>
        <v>2.1931480010332238E-2</v>
      </c>
      <c r="S591" s="22">
        <f t="shared" si="162"/>
        <v>-1.524151578408982E-2</v>
      </c>
      <c r="T591" s="22">
        <f t="shared" si="163"/>
        <v>-6.3847084138708016E-3</v>
      </c>
      <c r="U591" s="22">
        <f t="shared" si="164"/>
        <v>1.8683519955563194E-2</v>
      </c>
      <c r="V591" s="22">
        <f t="shared" si="165"/>
        <v>3.221895420510964E-3</v>
      </c>
      <c r="W591" s="22">
        <f t="shared" si="166"/>
        <v>1.5356357210654348E-3</v>
      </c>
      <c r="X591" s="22">
        <f t="shared" si="167"/>
        <v>1.0320926275329265E-3</v>
      </c>
    </row>
    <row r="592" spans="1:24" x14ac:dyDescent="0.35">
      <c r="A592" s="3">
        <v>11.67</v>
      </c>
      <c r="B592" s="3">
        <v>98.96</v>
      </c>
      <c r="C592" s="3">
        <v>152.91</v>
      </c>
      <c r="D592" s="3">
        <v>18.84</v>
      </c>
      <c r="E592" s="3">
        <v>51.37</v>
      </c>
      <c r="F592" s="3">
        <v>102.592445</v>
      </c>
      <c r="G592" s="3">
        <v>97.841997000000006</v>
      </c>
      <c r="H592" s="3">
        <v>96.369774000000007</v>
      </c>
      <c r="I592" s="17">
        <f t="shared" si="152"/>
        <v>3.1830238726790402E-2</v>
      </c>
      <c r="J592" s="17">
        <f t="shared" si="153"/>
        <v>1.6225097555966302E-2</v>
      </c>
      <c r="K592" s="17">
        <f t="shared" si="154"/>
        <v>-3.5839958295321994E-3</v>
      </c>
      <c r="L592" s="17">
        <f t="shared" si="155"/>
        <v>-1.2060828526481406E-2</v>
      </c>
      <c r="M592" s="17">
        <f t="shared" si="156"/>
        <v>6.6627474034880721E-3</v>
      </c>
      <c r="N592" s="17">
        <f t="shared" si="157"/>
        <v>-1.1253453442349097E-3</v>
      </c>
      <c r="O592" s="17">
        <f t="shared" si="158"/>
        <v>1.9447305224087386E-3</v>
      </c>
      <c r="P592" s="17">
        <f t="shared" si="159"/>
        <v>5.9901493530906576E-3</v>
      </c>
      <c r="Q592" s="22">
        <f t="shared" si="160"/>
        <v>3.1435764856405667E-2</v>
      </c>
      <c r="R592" s="22">
        <f t="shared" si="161"/>
        <v>1.5794372841889139E-2</v>
      </c>
      <c r="S592" s="22">
        <f t="shared" si="162"/>
        <v>-3.995955216369646E-3</v>
      </c>
      <c r="T592" s="22">
        <f t="shared" si="163"/>
        <v>-1.2192280035714324E-2</v>
      </c>
      <c r="U592" s="22">
        <f t="shared" si="164"/>
        <v>5.9695194565343099E-3</v>
      </c>
      <c r="V592" s="22">
        <f t="shared" si="165"/>
        <v>-8.907415347317294E-4</v>
      </c>
      <c r="W592" s="22">
        <f t="shared" si="166"/>
        <v>2.1989790764994415E-3</v>
      </c>
      <c r="X592" s="22">
        <f t="shared" si="167"/>
        <v>6.306093737696996E-3</v>
      </c>
    </row>
    <row r="593" spans="1:24" x14ac:dyDescent="0.35">
      <c r="A593" s="3">
        <v>11.63</v>
      </c>
      <c r="B593" s="3">
        <v>97.82</v>
      </c>
      <c r="C593" s="3">
        <v>155.21</v>
      </c>
      <c r="D593" s="3">
        <v>18.71</v>
      </c>
      <c r="E593" s="3">
        <v>51.03</v>
      </c>
      <c r="F593" s="3">
        <v>102.52369400000001</v>
      </c>
      <c r="G593" s="3">
        <v>97.809499000000002</v>
      </c>
      <c r="H593" s="3">
        <v>96.185467000000003</v>
      </c>
      <c r="I593" s="17">
        <f t="shared" si="152"/>
        <v>-3.4275921165380589E-3</v>
      </c>
      <c r="J593" s="17">
        <f t="shared" si="153"/>
        <v>-1.1519805982215043E-2</v>
      </c>
      <c r="K593" s="17">
        <f t="shared" si="154"/>
        <v>1.504152769603042E-2</v>
      </c>
      <c r="L593" s="17">
        <f t="shared" si="155"/>
        <v>-6.9002123142250004E-3</v>
      </c>
      <c r="M593" s="17">
        <f t="shared" si="156"/>
        <v>-6.6186490169358831E-3</v>
      </c>
      <c r="N593" s="17">
        <f t="shared" si="157"/>
        <v>-6.7013706516100475E-4</v>
      </c>
      <c r="O593" s="17">
        <f t="shared" si="158"/>
        <v>-3.3214775859495088E-4</v>
      </c>
      <c r="P593" s="17">
        <f t="shared" si="159"/>
        <v>-1.9124979996321667E-3</v>
      </c>
      <c r="Q593" s="22">
        <f t="shared" si="160"/>
        <v>-3.8220659869227921E-3</v>
      </c>
      <c r="R593" s="22">
        <f t="shared" si="161"/>
        <v>-1.1950530696292207E-2</v>
      </c>
      <c r="S593" s="22">
        <f t="shared" si="162"/>
        <v>1.4629568309192972E-2</v>
      </c>
      <c r="T593" s="22">
        <f t="shared" si="163"/>
        <v>-7.0316638234579187E-3</v>
      </c>
      <c r="U593" s="22">
        <f t="shared" si="164"/>
        <v>-7.3118769638896453E-3</v>
      </c>
      <c r="V593" s="22">
        <f t="shared" si="165"/>
        <v>-4.3553325565782444E-4</v>
      </c>
      <c r="W593" s="22">
        <f t="shared" si="166"/>
        <v>-7.7899204504247881E-5</v>
      </c>
      <c r="X593" s="22">
        <f t="shared" si="167"/>
        <v>-1.5965536150258279E-3</v>
      </c>
    </row>
    <row r="594" spans="1:24" x14ac:dyDescent="0.35">
      <c r="A594" s="3">
        <v>11.95</v>
      </c>
      <c r="B594" s="3">
        <v>97.91</v>
      </c>
      <c r="C594" s="3">
        <v>157.56</v>
      </c>
      <c r="D594" s="3">
        <v>18.62</v>
      </c>
      <c r="E594" s="3">
        <v>51.4</v>
      </c>
      <c r="F594" s="3">
        <v>102.501561</v>
      </c>
      <c r="G594" s="3">
        <v>97.610642999999996</v>
      </c>
      <c r="H594" s="3">
        <v>96.139408000000003</v>
      </c>
      <c r="I594" s="17">
        <f t="shared" si="152"/>
        <v>2.7515047291487401E-2</v>
      </c>
      <c r="J594" s="17">
        <f t="shared" si="153"/>
        <v>9.2005724800657757E-4</v>
      </c>
      <c r="K594" s="17">
        <f t="shared" si="154"/>
        <v>1.514077701179044E-2</v>
      </c>
      <c r="L594" s="17">
        <f t="shared" si="155"/>
        <v>-4.810261892036336E-3</v>
      </c>
      <c r="M594" s="17">
        <f t="shared" si="156"/>
        <v>7.25063688026646E-3</v>
      </c>
      <c r="N594" s="17">
        <f t="shared" si="157"/>
        <v>-2.1588180386878021E-4</v>
      </c>
      <c r="O594" s="17">
        <f t="shared" si="158"/>
        <v>-2.0330949655514171E-3</v>
      </c>
      <c r="P594" s="17">
        <f t="shared" si="159"/>
        <v>-4.7885612490709877E-4</v>
      </c>
      <c r="Q594" s="22">
        <f t="shared" si="160"/>
        <v>2.7120573421102669E-2</v>
      </c>
      <c r="R594" s="22">
        <f t="shared" si="161"/>
        <v>4.8933253392941401E-4</v>
      </c>
      <c r="S594" s="22">
        <f t="shared" si="162"/>
        <v>1.4728817624952992E-2</v>
      </c>
      <c r="T594" s="22">
        <f t="shared" si="163"/>
        <v>-4.9417134012692543E-3</v>
      </c>
      <c r="U594" s="22">
        <f t="shared" si="164"/>
        <v>6.5574089333126978E-3</v>
      </c>
      <c r="V594" s="22">
        <f t="shared" si="165"/>
        <v>1.8722005634400079E-5</v>
      </c>
      <c r="W594" s="22">
        <f t="shared" si="166"/>
        <v>-1.7788464114607142E-3</v>
      </c>
      <c r="X594" s="22">
        <f t="shared" si="167"/>
        <v>-1.6291174030076E-4</v>
      </c>
    </row>
    <row r="595" spans="1:24" x14ac:dyDescent="0.35">
      <c r="A595" s="3">
        <v>11.56</v>
      </c>
      <c r="B595" s="3">
        <v>98.56</v>
      </c>
      <c r="C595" s="3">
        <v>157.15</v>
      </c>
      <c r="D595" s="3">
        <v>19.23</v>
      </c>
      <c r="E595" s="3">
        <v>52.89</v>
      </c>
      <c r="F595" s="3">
        <v>102.758432</v>
      </c>
      <c r="G595" s="3">
        <v>97.800228000000004</v>
      </c>
      <c r="H595" s="3">
        <v>96.507327000000004</v>
      </c>
      <c r="I595" s="17">
        <f t="shared" si="152"/>
        <v>-3.2635983263598227E-2</v>
      </c>
      <c r="J595" s="17">
        <f t="shared" si="153"/>
        <v>6.6387498723317912E-3</v>
      </c>
      <c r="K595" s="17">
        <f t="shared" si="154"/>
        <v>-2.6021832952525803E-3</v>
      </c>
      <c r="L595" s="17">
        <f t="shared" si="155"/>
        <v>3.2760472610096639E-2</v>
      </c>
      <c r="M595" s="17">
        <f t="shared" si="156"/>
        <v>2.8988326848249066E-2</v>
      </c>
      <c r="N595" s="17">
        <f t="shared" si="157"/>
        <v>2.5060203717288156E-3</v>
      </c>
      <c r="O595" s="17">
        <f t="shared" si="158"/>
        <v>1.9422574646906906E-3</v>
      </c>
      <c r="P595" s="17">
        <f t="shared" si="159"/>
        <v>3.8269322398989656E-3</v>
      </c>
      <c r="Q595" s="22">
        <f t="shared" si="160"/>
        <v>-3.3030457133982963E-2</v>
      </c>
      <c r="R595" s="22">
        <f t="shared" si="161"/>
        <v>6.208025158254628E-3</v>
      </c>
      <c r="S595" s="22">
        <f t="shared" si="162"/>
        <v>-3.0141426820900273E-3</v>
      </c>
      <c r="T595" s="22">
        <f t="shared" si="163"/>
        <v>3.2629021100863721E-2</v>
      </c>
      <c r="U595" s="22">
        <f t="shared" si="164"/>
        <v>2.8295098901295303E-2</v>
      </c>
      <c r="V595" s="22">
        <f t="shared" si="165"/>
        <v>2.7406241812319957E-3</v>
      </c>
      <c r="W595" s="22">
        <f t="shared" si="166"/>
        <v>2.1965060187813935E-3</v>
      </c>
      <c r="X595" s="22">
        <f t="shared" si="167"/>
        <v>4.1428766245053044E-3</v>
      </c>
    </row>
    <row r="596" spans="1:24" x14ac:dyDescent="0.35">
      <c r="A596" s="3">
        <v>11.64</v>
      </c>
      <c r="B596" s="3">
        <v>96.46</v>
      </c>
      <c r="C596" s="3">
        <v>152.38</v>
      </c>
      <c r="D596" s="3">
        <v>19.53</v>
      </c>
      <c r="E596" s="3">
        <v>53.44</v>
      </c>
      <c r="F596" s="3">
        <v>102.92438300000001</v>
      </c>
      <c r="G596" s="3">
        <v>98.092004000000003</v>
      </c>
      <c r="H596" s="3">
        <v>96.575747000000007</v>
      </c>
      <c r="I596" s="17">
        <f t="shared" si="152"/>
        <v>6.9204152249135011E-3</v>
      </c>
      <c r="J596" s="17">
        <f t="shared" si="153"/>
        <v>-2.1306818181818267E-2</v>
      </c>
      <c r="K596" s="17">
        <f t="shared" si="154"/>
        <v>-3.0353165765192557E-2</v>
      </c>
      <c r="L596" s="17">
        <f t="shared" si="155"/>
        <v>1.5600624024961035E-2</v>
      </c>
      <c r="M596" s="17">
        <f t="shared" si="156"/>
        <v>1.0398941198714259E-2</v>
      </c>
      <c r="N596" s="17">
        <f t="shared" si="157"/>
        <v>1.6149623614343089E-3</v>
      </c>
      <c r="O596" s="17">
        <f t="shared" si="158"/>
        <v>2.9833877278895369E-3</v>
      </c>
      <c r="P596" s="17">
        <f t="shared" si="159"/>
        <v>7.0896171437846635E-4</v>
      </c>
      <c r="Q596" s="22">
        <f t="shared" si="160"/>
        <v>6.5259413545287678E-3</v>
      </c>
      <c r="R596" s="22">
        <f t="shared" si="161"/>
        <v>-2.1737542895895429E-2</v>
      </c>
      <c r="S596" s="22">
        <f t="shared" si="162"/>
        <v>-3.0765125152030004E-2</v>
      </c>
      <c r="T596" s="22">
        <f t="shared" si="163"/>
        <v>1.5469172515728118E-2</v>
      </c>
      <c r="U596" s="22">
        <f t="shared" si="164"/>
        <v>9.7057132517604956E-3</v>
      </c>
      <c r="V596" s="22">
        <f t="shared" si="165"/>
        <v>1.8495661709374892E-3</v>
      </c>
      <c r="W596" s="22">
        <f t="shared" si="166"/>
        <v>3.2376362819802398E-3</v>
      </c>
      <c r="X596" s="22">
        <f t="shared" si="167"/>
        <v>1.0249060989848051E-3</v>
      </c>
    </row>
    <row r="597" spans="1:24" x14ac:dyDescent="0.35">
      <c r="A597" s="3">
        <v>11.59</v>
      </c>
      <c r="B597" s="3">
        <v>96.68</v>
      </c>
      <c r="C597" s="3">
        <v>149.30000000000001</v>
      </c>
      <c r="D597" s="3">
        <v>19.45</v>
      </c>
      <c r="E597" s="3">
        <v>53.51</v>
      </c>
      <c r="F597" s="3">
        <v>102.62338800000001</v>
      </c>
      <c r="G597" s="3">
        <v>98.170788999999999</v>
      </c>
      <c r="H597" s="3">
        <v>96.391423000000003</v>
      </c>
      <c r="I597" s="17">
        <f t="shared" si="152"/>
        <v>-4.295532646048171E-3</v>
      </c>
      <c r="J597" s="17">
        <f t="shared" si="153"/>
        <v>2.2807381297948693E-3</v>
      </c>
      <c r="K597" s="17">
        <f t="shared" si="154"/>
        <v>-2.0212626328914452E-2</v>
      </c>
      <c r="L597" s="17">
        <f t="shared" si="155"/>
        <v>-4.0962621607783843E-3</v>
      </c>
      <c r="M597" s="17">
        <f t="shared" si="156"/>
        <v>1.3098802395209634E-3</v>
      </c>
      <c r="N597" s="17">
        <f t="shared" si="157"/>
        <v>-2.9244285098119103E-3</v>
      </c>
      <c r="O597" s="17">
        <f t="shared" si="158"/>
        <v>8.0317453805915033E-4</v>
      </c>
      <c r="P597" s="17">
        <f t="shared" si="159"/>
        <v>-1.9085951258549798E-3</v>
      </c>
      <c r="Q597" s="22">
        <f t="shared" si="160"/>
        <v>-4.6900065164329043E-3</v>
      </c>
      <c r="R597" s="22">
        <f t="shared" si="161"/>
        <v>1.8500134157177059E-3</v>
      </c>
      <c r="S597" s="22">
        <f t="shared" si="162"/>
        <v>-2.06245857157519E-2</v>
      </c>
      <c r="T597" s="22">
        <f t="shared" si="163"/>
        <v>-4.2277136700113026E-3</v>
      </c>
      <c r="U597" s="22">
        <f t="shared" si="164"/>
        <v>6.1665229256720091E-4</v>
      </c>
      <c r="V597" s="22">
        <f t="shared" si="165"/>
        <v>-2.6898247003087302E-3</v>
      </c>
      <c r="W597" s="22">
        <f t="shared" si="166"/>
        <v>1.0574230921498533E-3</v>
      </c>
      <c r="X597" s="22">
        <f t="shared" si="167"/>
        <v>-1.592650741248641E-3</v>
      </c>
    </row>
    <row r="598" spans="1:24" x14ac:dyDescent="0.35">
      <c r="A598" s="3">
        <v>11.43</v>
      </c>
      <c r="B598" s="3">
        <v>96.04</v>
      </c>
      <c r="C598" s="3">
        <v>152.35</v>
      </c>
      <c r="D598" s="3">
        <v>19.89</v>
      </c>
      <c r="E598" s="3">
        <v>54.3</v>
      </c>
      <c r="F598" s="3">
        <v>102.740533</v>
      </c>
      <c r="G598" s="3">
        <v>97.860635000000002</v>
      </c>
      <c r="H598" s="3">
        <v>96.345374000000007</v>
      </c>
      <c r="I598" s="17">
        <f t="shared" si="152"/>
        <v>-1.3805004314063861E-2</v>
      </c>
      <c r="J598" s="17">
        <f t="shared" si="153"/>
        <v>-6.6197765825403449E-3</v>
      </c>
      <c r="K598" s="17">
        <f t="shared" si="154"/>
        <v>2.0428667113194795E-2</v>
      </c>
      <c r="L598" s="17">
        <f t="shared" si="155"/>
        <v>2.2622107969151737E-2</v>
      </c>
      <c r="M598" s="17">
        <f t="shared" si="156"/>
        <v>1.4763595589609404E-2</v>
      </c>
      <c r="N598" s="17">
        <f t="shared" si="157"/>
        <v>1.141503923062778E-3</v>
      </c>
      <c r="O598" s="17">
        <f t="shared" si="158"/>
        <v>-3.1593308270141045E-3</v>
      </c>
      <c r="P598" s="17">
        <f t="shared" si="159"/>
        <v>-4.7772922700805497E-4</v>
      </c>
      <c r="Q598" s="22">
        <f t="shared" si="160"/>
        <v>-1.4199478184448595E-2</v>
      </c>
      <c r="R598" s="22">
        <f t="shared" si="161"/>
        <v>-7.0505012966175081E-3</v>
      </c>
      <c r="S598" s="22">
        <f t="shared" si="162"/>
        <v>2.0016707726357347E-2</v>
      </c>
      <c r="T598" s="22">
        <f t="shared" si="163"/>
        <v>2.249065645991882E-2</v>
      </c>
      <c r="U598" s="22">
        <f t="shared" si="164"/>
        <v>1.4070367642655641E-2</v>
      </c>
      <c r="V598" s="22">
        <f t="shared" si="165"/>
        <v>1.3761077325659583E-3</v>
      </c>
      <c r="W598" s="22">
        <f t="shared" si="166"/>
        <v>-2.9050822729234016E-3</v>
      </c>
      <c r="X598" s="22">
        <f t="shared" si="167"/>
        <v>-1.6178484240171619E-4</v>
      </c>
    </row>
    <row r="599" spans="1:24" x14ac:dyDescent="0.35">
      <c r="A599" s="3">
        <v>11.53</v>
      </c>
      <c r="B599" s="3">
        <v>94.62</v>
      </c>
      <c r="C599" s="3">
        <v>148.5</v>
      </c>
      <c r="D599" s="3">
        <v>20.07</v>
      </c>
      <c r="E599" s="3">
        <v>53.74</v>
      </c>
      <c r="F599" s="3">
        <v>102.857727</v>
      </c>
      <c r="G599" s="3">
        <v>98.217026000000004</v>
      </c>
      <c r="H599" s="3">
        <v>96.36824</v>
      </c>
      <c r="I599" s="17">
        <f t="shared" si="152"/>
        <v>8.7489063867016315E-3</v>
      </c>
      <c r="J599" s="17">
        <f t="shared" si="153"/>
        <v>-1.4785506039150371E-2</v>
      </c>
      <c r="K599" s="17">
        <f t="shared" si="154"/>
        <v>-2.5270758122743646E-2</v>
      </c>
      <c r="L599" s="17">
        <f t="shared" si="155"/>
        <v>9.0497737556560938E-3</v>
      </c>
      <c r="M599" s="17">
        <f t="shared" si="156"/>
        <v>-1.0313075506445583E-2</v>
      </c>
      <c r="N599" s="17">
        <f t="shared" si="157"/>
        <v>1.1406793071630046E-3</v>
      </c>
      <c r="O599" s="17">
        <f t="shared" si="158"/>
        <v>3.6418218622840748E-3</v>
      </c>
      <c r="P599" s="17">
        <f t="shared" si="159"/>
        <v>2.3733365755571607E-4</v>
      </c>
      <c r="Q599" s="22">
        <f t="shared" si="160"/>
        <v>8.3544325163168974E-3</v>
      </c>
      <c r="R599" s="22">
        <f t="shared" si="161"/>
        <v>-1.5216230753227535E-2</v>
      </c>
      <c r="S599" s="22">
        <f t="shared" si="162"/>
        <v>-2.5682717509581093E-2</v>
      </c>
      <c r="T599" s="22">
        <f t="shared" si="163"/>
        <v>8.9183222464231764E-3</v>
      </c>
      <c r="U599" s="22">
        <f t="shared" si="164"/>
        <v>-1.1006303453399346E-2</v>
      </c>
      <c r="V599" s="22">
        <f t="shared" si="165"/>
        <v>1.3752831166661849E-3</v>
      </c>
      <c r="W599" s="22">
        <f t="shared" si="166"/>
        <v>3.8960704163747777E-3</v>
      </c>
      <c r="X599" s="22">
        <f t="shared" si="167"/>
        <v>5.5327804216205481E-4</v>
      </c>
    </row>
    <row r="600" spans="1:24" x14ac:dyDescent="0.35">
      <c r="A600" s="3">
        <v>11.59</v>
      </c>
      <c r="B600" s="3">
        <v>92.88</v>
      </c>
      <c r="C600" s="3">
        <v>148.43</v>
      </c>
      <c r="D600" s="3">
        <v>20.059999999999999</v>
      </c>
      <c r="E600" s="3">
        <v>53.17</v>
      </c>
      <c r="F600" s="3">
        <v>102.83564</v>
      </c>
      <c r="G600" s="3">
        <v>98.128949000000006</v>
      </c>
      <c r="H600" s="3">
        <v>96.459992</v>
      </c>
      <c r="I600" s="17">
        <f t="shared" si="152"/>
        <v>5.2038161318300521E-3</v>
      </c>
      <c r="J600" s="17">
        <f t="shared" si="153"/>
        <v>-1.8389346861128822E-2</v>
      </c>
      <c r="K600" s="17">
        <f t="shared" si="154"/>
        <v>-4.7138047138042545E-4</v>
      </c>
      <c r="L600" s="17">
        <f t="shared" si="155"/>
        <v>-4.9825610363734738E-4</v>
      </c>
      <c r="M600" s="17">
        <f t="shared" si="156"/>
        <v>-1.0606624488276893E-2</v>
      </c>
      <c r="N600" s="17">
        <f t="shared" si="157"/>
        <v>-2.1473350271486243E-4</v>
      </c>
      <c r="O600" s="17">
        <f t="shared" si="158"/>
        <v>-8.9675897944617466E-4</v>
      </c>
      <c r="P600" s="17">
        <f t="shared" si="159"/>
        <v>9.5209791109601683E-4</v>
      </c>
      <c r="Q600" s="22">
        <f t="shared" si="160"/>
        <v>4.8093422614453188E-3</v>
      </c>
      <c r="R600" s="22">
        <f t="shared" si="161"/>
        <v>-1.8820071575205984E-2</v>
      </c>
      <c r="S600" s="22">
        <f t="shared" si="162"/>
        <v>-8.8333985821787233E-4</v>
      </c>
      <c r="T600" s="22">
        <f t="shared" si="163"/>
        <v>-6.2970761287026568E-4</v>
      </c>
      <c r="U600" s="22">
        <f t="shared" si="164"/>
        <v>-1.1299852435230656E-2</v>
      </c>
      <c r="V600" s="22">
        <f t="shared" si="165"/>
        <v>1.9870306788317851E-5</v>
      </c>
      <c r="W600" s="22">
        <f t="shared" si="166"/>
        <v>-6.4251042535547166E-4</v>
      </c>
      <c r="X600" s="22">
        <f t="shared" si="167"/>
        <v>1.2680422957023557E-3</v>
      </c>
    </row>
    <row r="601" spans="1:24" x14ac:dyDescent="0.35">
      <c r="A601" s="3">
        <v>11.64</v>
      </c>
      <c r="B601" s="3">
        <v>94.05</v>
      </c>
      <c r="C601" s="3">
        <v>149.75</v>
      </c>
      <c r="D601" s="3">
        <v>19.89</v>
      </c>
      <c r="E601" s="3">
        <v>51.62</v>
      </c>
      <c r="F601" s="3">
        <v>102.816058</v>
      </c>
      <c r="G601" s="3">
        <v>98.142939999999996</v>
      </c>
      <c r="H601" s="3">
        <v>96.116516000000004</v>
      </c>
      <c r="I601" s="17">
        <f t="shared" si="152"/>
        <v>4.3140638481450142E-3</v>
      </c>
      <c r="J601" s="17">
        <f t="shared" si="153"/>
        <v>1.259689922480622E-2</v>
      </c>
      <c r="K601" s="17">
        <f t="shared" si="154"/>
        <v>8.8930809135619026E-3</v>
      </c>
      <c r="L601" s="17">
        <f t="shared" si="155"/>
        <v>-8.4745762711863487E-3</v>
      </c>
      <c r="M601" s="17">
        <f t="shared" si="156"/>
        <v>-2.9151777318036566E-2</v>
      </c>
      <c r="N601" s="17">
        <f t="shared" si="157"/>
        <v>-1.9042036399053642E-4</v>
      </c>
      <c r="O601" s="17">
        <f t="shared" si="158"/>
        <v>1.4257770150977663E-4</v>
      </c>
      <c r="P601" s="17">
        <f t="shared" si="159"/>
        <v>-3.5608130674528301E-3</v>
      </c>
      <c r="Q601" s="22">
        <f t="shared" si="160"/>
        <v>3.919589977760281E-3</v>
      </c>
      <c r="R601" s="22">
        <f t="shared" si="161"/>
        <v>1.2166174510729056E-2</v>
      </c>
      <c r="S601" s="22">
        <f t="shared" si="162"/>
        <v>8.4811215267244552E-3</v>
      </c>
      <c r="T601" s="22">
        <f t="shared" si="163"/>
        <v>-8.6060277804192661E-3</v>
      </c>
      <c r="U601" s="22">
        <f t="shared" si="164"/>
        <v>-2.9845005264990329E-2</v>
      </c>
      <c r="V601" s="22">
        <f t="shared" si="165"/>
        <v>4.418344551264386E-5</v>
      </c>
      <c r="W601" s="22">
        <f t="shared" si="166"/>
        <v>3.9682625560047966E-4</v>
      </c>
      <c r="X601" s="22">
        <f t="shared" si="167"/>
        <v>-3.2448686828464913E-3</v>
      </c>
    </row>
    <row r="602" spans="1:24" x14ac:dyDescent="0.35">
      <c r="A602" s="3">
        <v>11.5</v>
      </c>
      <c r="B602" s="3">
        <v>93</v>
      </c>
      <c r="C602" s="3">
        <v>145.33000000000001</v>
      </c>
      <c r="D602" s="3">
        <v>19.25</v>
      </c>
      <c r="E602" s="3">
        <v>52.77</v>
      </c>
      <c r="F602" s="3">
        <v>102.93307900000001</v>
      </c>
      <c r="G602" s="3">
        <v>98.055276000000006</v>
      </c>
      <c r="H602" s="3">
        <v>96.551492999999994</v>
      </c>
      <c r="I602" s="17">
        <f t="shared" si="152"/>
        <v>-1.2027491408934755E-2</v>
      </c>
      <c r="J602" s="17">
        <f t="shared" si="153"/>
        <v>-1.1164274322169029E-2</v>
      </c>
      <c r="K602" s="17">
        <f t="shared" si="154"/>
        <v>-2.9515859766277044E-2</v>
      </c>
      <c r="L602" s="17">
        <f t="shared" si="155"/>
        <v>-3.2176973353443966E-2</v>
      </c>
      <c r="M602" s="17">
        <f t="shared" si="156"/>
        <v>2.2278186749322079E-2</v>
      </c>
      <c r="N602" s="17">
        <f t="shared" si="157"/>
        <v>1.1381587883870072E-3</v>
      </c>
      <c r="O602" s="17">
        <f t="shared" si="158"/>
        <v>-8.9322777573190213E-4</v>
      </c>
      <c r="P602" s="17">
        <f t="shared" si="159"/>
        <v>4.5255177580509603E-3</v>
      </c>
      <c r="Q602" s="22">
        <f t="shared" si="160"/>
        <v>-1.242196527931949E-2</v>
      </c>
      <c r="R602" s="22">
        <f t="shared" si="161"/>
        <v>-1.1594999036246193E-2</v>
      </c>
      <c r="S602" s="22">
        <f t="shared" si="162"/>
        <v>-2.9927819153114491E-2</v>
      </c>
      <c r="T602" s="22">
        <f t="shared" si="163"/>
        <v>-3.2308424862676884E-2</v>
      </c>
      <c r="U602" s="22">
        <f t="shared" si="164"/>
        <v>2.1584958802368315E-2</v>
      </c>
      <c r="V602" s="22">
        <f t="shared" si="165"/>
        <v>1.3727625978901875E-3</v>
      </c>
      <c r="W602" s="22">
        <f t="shared" si="166"/>
        <v>-6.3897922164119912E-4</v>
      </c>
      <c r="X602" s="22">
        <f t="shared" si="167"/>
        <v>4.8414621426572987E-3</v>
      </c>
    </row>
    <row r="603" spans="1:24" x14ac:dyDescent="0.35">
      <c r="A603" s="3">
        <v>11.32</v>
      </c>
      <c r="B603" s="3">
        <v>90.82</v>
      </c>
      <c r="C603" s="3">
        <v>143.5</v>
      </c>
      <c r="D603" s="3">
        <v>19.04</v>
      </c>
      <c r="E603" s="3">
        <v>52.96</v>
      </c>
      <c r="F603" s="3">
        <v>102.72618799999999</v>
      </c>
      <c r="G603" s="3">
        <v>97.857339999999994</v>
      </c>
      <c r="H603" s="3">
        <v>96.299453999999997</v>
      </c>
      <c r="I603" s="17">
        <f t="shared" si="152"/>
        <v>-1.5652173913043455E-2</v>
      </c>
      <c r="J603" s="17">
        <f t="shared" si="153"/>
        <v>-2.3440860215053837E-2</v>
      </c>
      <c r="K603" s="17">
        <f t="shared" si="154"/>
        <v>-1.2592031927337868E-2</v>
      </c>
      <c r="L603" s="17">
        <f t="shared" si="155"/>
        <v>-1.0909090909090953E-2</v>
      </c>
      <c r="M603" s="17">
        <f t="shared" si="156"/>
        <v>3.600530604510095E-3</v>
      </c>
      <c r="N603" s="17">
        <f t="shared" si="157"/>
        <v>-2.0099563911812356E-3</v>
      </c>
      <c r="O603" s="17">
        <f t="shared" si="158"/>
        <v>-2.0186165199311944E-3</v>
      </c>
      <c r="P603" s="17">
        <f t="shared" si="159"/>
        <v>-2.6104101777068983E-3</v>
      </c>
      <c r="Q603" s="22">
        <f t="shared" si="160"/>
        <v>-1.6046647783428188E-2</v>
      </c>
      <c r="R603" s="22">
        <f t="shared" si="161"/>
        <v>-2.3871584929130999E-2</v>
      </c>
      <c r="S603" s="22">
        <f t="shared" si="162"/>
        <v>-1.3003991314175315E-2</v>
      </c>
      <c r="T603" s="22">
        <f t="shared" si="163"/>
        <v>-1.1040542418323871E-2</v>
      </c>
      <c r="U603" s="22">
        <f t="shared" si="164"/>
        <v>2.9073026575563324E-3</v>
      </c>
      <c r="V603" s="22">
        <f t="shared" si="165"/>
        <v>-1.7753525816780553E-3</v>
      </c>
      <c r="W603" s="22">
        <f t="shared" si="166"/>
        <v>-1.7643679658404915E-3</v>
      </c>
      <c r="X603" s="22">
        <f t="shared" si="167"/>
        <v>-2.2944657931005595E-3</v>
      </c>
    </row>
    <row r="604" spans="1:24" x14ac:dyDescent="0.35">
      <c r="A604" s="3">
        <v>11.05</v>
      </c>
      <c r="B604" s="3">
        <v>91.01</v>
      </c>
      <c r="C604" s="3">
        <v>142.11000000000001</v>
      </c>
      <c r="D604" s="3">
        <v>19.16</v>
      </c>
      <c r="E604" s="3">
        <v>51.79</v>
      </c>
      <c r="F604" s="3">
        <v>102.244416</v>
      </c>
      <c r="G604" s="3">
        <v>97.605160999999995</v>
      </c>
      <c r="H604" s="3">
        <v>95.707866999999993</v>
      </c>
      <c r="I604" s="17">
        <f t="shared" si="152"/>
        <v>-2.3851590106007028E-2</v>
      </c>
      <c r="J604" s="17">
        <f t="shared" si="153"/>
        <v>2.0920502092051526E-3</v>
      </c>
      <c r="K604" s="17">
        <f t="shared" si="154"/>
        <v>-9.686411149825689E-3</v>
      </c>
      <c r="L604" s="17">
        <f t="shared" si="155"/>
        <v>6.3025210084034135E-3</v>
      </c>
      <c r="M604" s="17">
        <f t="shared" si="156"/>
        <v>-2.2092145015105771E-2</v>
      </c>
      <c r="N604" s="17">
        <f t="shared" si="157"/>
        <v>-4.6898654508623679E-3</v>
      </c>
      <c r="O604" s="17">
        <f t="shared" si="158"/>
        <v>-2.5770064871985911E-3</v>
      </c>
      <c r="P604" s="17">
        <f t="shared" si="159"/>
        <v>-6.1432020164933036E-3</v>
      </c>
      <c r="Q604" s="22">
        <f t="shared" si="160"/>
        <v>-2.4246063976391761E-2</v>
      </c>
      <c r="R604" s="22">
        <f t="shared" si="161"/>
        <v>1.6613254951279891E-3</v>
      </c>
      <c r="S604" s="22">
        <f t="shared" si="162"/>
        <v>-1.0098370536663136E-2</v>
      </c>
      <c r="T604" s="22">
        <f t="shared" si="163"/>
        <v>6.1710694991704952E-3</v>
      </c>
      <c r="U604" s="22">
        <f t="shared" si="164"/>
        <v>-2.2785372962059534E-2</v>
      </c>
      <c r="V604" s="22">
        <f t="shared" si="165"/>
        <v>-4.4552616413591874E-3</v>
      </c>
      <c r="W604" s="22">
        <f t="shared" si="166"/>
        <v>-2.3227579331078882E-3</v>
      </c>
      <c r="X604" s="22">
        <f t="shared" si="167"/>
        <v>-5.8272576318869652E-3</v>
      </c>
    </row>
    <row r="605" spans="1:24" x14ac:dyDescent="0.35">
      <c r="A605" s="3">
        <v>10.98</v>
      </c>
      <c r="B605" s="3">
        <v>92.13</v>
      </c>
      <c r="C605" s="3">
        <v>145.44999999999999</v>
      </c>
      <c r="D605" s="3">
        <v>19.02</v>
      </c>
      <c r="E605" s="3">
        <v>51.39</v>
      </c>
      <c r="F605" s="3">
        <v>102.17740000000001</v>
      </c>
      <c r="G605" s="3">
        <v>97.354139000000004</v>
      </c>
      <c r="H605" s="3">
        <v>95.391901000000004</v>
      </c>
      <c r="I605" s="17">
        <f t="shared" si="152"/>
        <v>-6.3348416289593012E-3</v>
      </c>
      <c r="J605" s="17">
        <f t="shared" si="153"/>
        <v>1.2306339962641362E-2</v>
      </c>
      <c r="K605" s="17">
        <f t="shared" si="154"/>
        <v>2.3502920273027757E-2</v>
      </c>
      <c r="L605" s="17">
        <f t="shared" si="155"/>
        <v>-7.3068893528184008E-3</v>
      </c>
      <c r="M605" s="17">
        <f t="shared" si="156"/>
        <v>-7.723498744931427E-3</v>
      </c>
      <c r="N605" s="17">
        <f t="shared" si="157"/>
        <v>-6.554489978210184E-4</v>
      </c>
      <c r="O605" s="17">
        <f t="shared" si="158"/>
        <v>-2.5718107262790325E-3</v>
      </c>
      <c r="P605" s="17">
        <f t="shared" si="159"/>
        <v>-3.3013587064894979E-3</v>
      </c>
      <c r="Q605" s="22">
        <f t="shared" si="160"/>
        <v>-6.7293154993440345E-3</v>
      </c>
      <c r="R605" s="22">
        <f t="shared" si="161"/>
        <v>1.1875615248564198E-2</v>
      </c>
      <c r="S605" s="22">
        <f t="shared" si="162"/>
        <v>2.3090960886190309E-2</v>
      </c>
      <c r="T605" s="22">
        <f t="shared" si="163"/>
        <v>-7.4383408620513191E-3</v>
      </c>
      <c r="U605" s="22">
        <f t="shared" si="164"/>
        <v>-8.4167266918851891E-3</v>
      </c>
      <c r="V605" s="22">
        <f t="shared" si="165"/>
        <v>-4.2084518831783809E-4</v>
      </c>
      <c r="W605" s="22">
        <f t="shared" si="166"/>
        <v>-2.3175621721883296E-3</v>
      </c>
      <c r="X605" s="22">
        <f t="shared" si="167"/>
        <v>-2.9854143218831591E-3</v>
      </c>
    </row>
    <row r="606" spans="1:24" x14ac:dyDescent="0.35">
      <c r="A606" s="3">
        <v>11.1</v>
      </c>
      <c r="B606" s="3">
        <v>93.53</v>
      </c>
      <c r="C606" s="3">
        <v>147.41999999999999</v>
      </c>
      <c r="D606" s="3">
        <v>19.59</v>
      </c>
      <c r="E606" s="3">
        <v>50.49</v>
      </c>
      <c r="F606" s="3">
        <v>102.114324</v>
      </c>
      <c r="G606" s="3">
        <v>97.260385999999997</v>
      </c>
      <c r="H606" s="3">
        <v>95.528765000000007</v>
      </c>
      <c r="I606" s="17">
        <f t="shared" si="152"/>
        <v>1.0928961748633809E-2</v>
      </c>
      <c r="J606" s="17">
        <f t="shared" si="153"/>
        <v>1.5195918810376704E-2</v>
      </c>
      <c r="K606" s="17">
        <f t="shared" si="154"/>
        <v>1.3544173255414224E-2</v>
      </c>
      <c r="L606" s="17">
        <f t="shared" si="155"/>
        <v>2.9968454258675094E-2</v>
      </c>
      <c r="M606" s="17">
        <f t="shared" si="156"/>
        <v>-1.7513134851138326E-2</v>
      </c>
      <c r="N606" s="17">
        <f t="shared" si="157"/>
        <v>-6.1731850683232746E-4</v>
      </c>
      <c r="O606" s="17">
        <f t="shared" si="158"/>
        <v>-9.6300990346190243E-4</v>
      </c>
      <c r="P606" s="17">
        <f t="shared" si="159"/>
        <v>1.4347549274649925E-3</v>
      </c>
      <c r="Q606" s="22">
        <f t="shared" si="160"/>
        <v>1.0534487878249075E-2</v>
      </c>
      <c r="R606" s="22">
        <f t="shared" si="161"/>
        <v>1.476519409629954E-2</v>
      </c>
      <c r="S606" s="22">
        <f t="shared" si="162"/>
        <v>1.3132213868576777E-2</v>
      </c>
      <c r="T606" s="22">
        <f t="shared" si="163"/>
        <v>2.9837002749442176E-2</v>
      </c>
      <c r="U606" s="22">
        <f t="shared" si="164"/>
        <v>-1.8206362798092089E-2</v>
      </c>
      <c r="V606" s="22">
        <f t="shared" si="165"/>
        <v>-3.8271469732914715E-4</v>
      </c>
      <c r="W606" s="22">
        <f t="shared" si="166"/>
        <v>-7.0876134937119942E-4</v>
      </c>
      <c r="X606" s="22">
        <f t="shared" si="167"/>
        <v>1.7506993120713313E-3</v>
      </c>
    </row>
    <row r="607" spans="1:24" x14ac:dyDescent="0.35">
      <c r="A607" s="3">
        <v>11.08</v>
      </c>
      <c r="B607" s="3">
        <v>94.23</v>
      </c>
      <c r="C607" s="3">
        <v>151.47</v>
      </c>
      <c r="D607" s="3">
        <v>19.760000000000002</v>
      </c>
      <c r="E607" s="3">
        <v>51.74</v>
      </c>
      <c r="F607" s="3">
        <v>102.002214</v>
      </c>
      <c r="G607" s="3">
        <v>96.956992</v>
      </c>
      <c r="H607" s="3">
        <v>95.484217000000001</v>
      </c>
      <c r="I607" s="17">
        <f t="shared" si="152"/>
        <v>-1.8018018018017634E-3</v>
      </c>
      <c r="J607" s="17">
        <f t="shared" si="153"/>
        <v>7.4842296589329926E-3</v>
      </c>
      <c r="K607" s="17">
        <f t="shared" si="154"/>
        <v>2.7472527472527552E-2</v>
      </c>
      <c r="L607" s="17">
        <f t="shared" si="155"/>
        <v>8.6778968861664987E-3</v>
      </c>
      <c r="M607" s="17">
        <f t="shared" si="156"/>
        <v>2.4757377698554166E-2</v>
      </c>
      <c r="N607" s="17">
        <f t="shared" si="157"/>
        <v>-1.0978871093540342E-3</v>
      </c>
      <c r="O607" s="17">
        <f t="shared" si="158"/>
        <v>-3.1193995055705135E-3</v>
      </c>
      <c r="P607" s="17">
        <f t="shared" si="159"/>
        <v>-4.6633074341541028E-4</v>
      </c>
      <c r="Q607" s="22">
        <f t="shared" si="160"/>
        <v>-2.1962756721864967E-3</v>
      </c>
      <c r="R607" s="22">
        <f t="shared" si="161"/>
        <v>7.0535049448558294E-3</v>
      </c>
      <c r="S607" s="22">
        <f t="shared" si="162"/>
        <v>2.7060568085690104E-2</v>
      </c>
      <c r="T607" s="22">
        <f t="shared" si="163"/>
        <v>8.5464453769335813E-3</v>
      </c>
      <c r="U607" s="22">
        <f t="shared" si="164"/>
        <v>2.4064149751600403E-2</v>
      </c>
      <c r="V607" s="22">
        <f t="shared" si="165"/>
        <v>-8.6328329985085384E-4</v>
      </c>
      <c r="W607" s="22">
        <f t="shared" si="166"/>
        <v>-2.8651509514798106E-3</v>
      </c>
      <c r="X607" s="22">
        <f t="shared" si="167"/>
        <v>-1.503863588090715E-4</v>
      </c>
    </row>
    <row r="608" spans="1:24" x14ac:dyDescent="0.35">
      <c r="A608" s="3">
        <v>10.91</v>
      </c>
      <c r="B608" s="3">
        <v>93.67</v>
      </c>
      <c r="C608" s="3">
        <v>151.25</v>
      </c>
      <c r="D608" s="3">
        <v>20.149999999999999</v>
      </c>
      <c r="E608" s="3">
        <v>51.12</v>
      </c>
      <c r="F608" s="3">
        <v>102.027019</v>
      </c>
      <c r="G608" s="3">
        <v>96.980543999999995</v>
      </c>
      <c r="H608" s="3">
        <v>95.507310000000004</v>
      </c>
      <c r="I608" s="17">
        <f t="shared" si="152"/>
        <v>-1.5342960288808659E-2</v>
      </c>
      <c r="J608" s="17">
        <f t="shared" si="153"/>
        <v>-5.9429056563727288E-3</v>
      </c>
      <c r="K608" s="17">
        <f t="shared" si="154"/>
        <v>-1.452432824981837E-3</v>
      </c>
      <c r="L608" s="17">
        <f t="shared" si="155"/>
        <v>1.9736842105263004E-2</v>
      </c>
      <c r="M608" s="17">
        <f t="shared" si="156"/>
        <v>-1.1982991882489457E-2</v>
      </c>
      <c r="N608" s="17">
        <f t="shared" si="157"/>
        <v>2.4318099605171936E-4</v>
      </c>
      <c r="O608" s="17">
        <f t="shared" si="158"/>
        <v>2.4291182630743261E-4</v>
      </c>
      <c r="P608" s="17">
        <f t="shared" si="159"/>
        <v>2.4185148839836972E-4</v>
      </c>
      <c r="Q608" s="22">
        <f t="shared" si="160"/>
        <v>-1.5737434159193393E-2</v>
      </c>
      <c r="R608" s="22">
        <f t="shared" si="161"/>
        <v>-6.373630370449892E-3</v>
      </c>
      <c r="S608" s="22">
        <f t="shared" si="162"/>
        <v>-1.864392211819284E-3</v>
      </c>
      <c r="T608" s="22">
        <f t="shared" si="163"/>
        <v>1.9605390596030087E-2</v>
      </c>
      <c r="U608" s="22">
        <f t="shared" si="164"/>
        <v>-1.267621982944322E-2</v>
      </c>
      <c r="V608" s="22">
        <f t="shared" si="165"/>
        <v>4.7778480555489967E-4</v>
      </c>
      <c r="W608" s="22">
        <f t="shared" si="166"/>
        <v>4.9716038039813559E-4</v>
      </c>
      <c r="X608" s="22">
        <f t="shared" si="167"/>
        <v>5.5779587300470849E-4</v>
      </c>
    </row>
    <row r="609" spans="1:24" x14ac:dyDescent="0.35">
      <c r="A609" s="3">
        <v>10.56</v>
      </c>
      <c r="B609" s="3">
        <v>92.74</v>
      </c>
      <c r="C609" s="3">
        <v>148.47999999999999</v>
      </c>
      <c r="D609" s="3">
        <v>19.399999999999999</v>
      </c>
      <c r="E609" s="3">
        <v>50.55</v>
      </c>
      <c r="F609" s="3">
        <v>102.554467</v>
      </c>
      <c r="G609" s="3">
        <v>97.658986999999996</v>
      </c>
      <c r="H609" s="3">
        <v>96.141305000000003</v>
      </c>
      <c r="I609" s="17">
        <f t="shared" si="152"/>
        <v>-3.2080659945004551E-2</v>
      </c>
      <c r="J609" s="17">
        <f t="shared" si="153"/>
        <v>-9.928472296359632E-3</v>
      </c>
      <c r="K609" s="17">
        <f t="shared" si="154"/>
        <v>-1.8314049586776928E-2</v>
      </c>
      <c r="L609" s="17">
        <f t="shared" si="155"/>
        <v>-3.722084367245658E-2</v>
      </c>
      <c r="M609" s="17">
        <f t="shared" si="156"/>
        <v>-1.1150234741784044E-2</v>
      </c>
      <c r="N609" s="17">
        <f t="shared" si="157"/>
        <v>5.1696894133504657E-3</v>
      </c>
      <c r="O609" s="17">
        <f t="shared" si="158"/>
        <v>6.9956609028714199E-3</v>
      </c>
      <c r="P609" s="17">
        <f t="shared" si="159"/>
        <v>6.6381829830617018E-3</v>
      </c>
      <c r="Q609" s="22">
        <f t="shared" si="160"/>
        <v>-3.2475133815389287E-2</v>
      </c>
      <c r="R609" s="22">
        <f t="shared" si="161"/>
        <v>-1.0359197010436796E-2</v>
      </c>
      <c r="S609" s="22">
        <f t="shared" si="162"/>
        <v>-1.8726008973614375E-2</v>
      </c>
      <c r="T609" s="22">
        <f t="shared" si="163"/>
        <v>-3.7352295181689497E-2</v>
      </c>
      <c r="U609" s="22">
        <f t="shared" si="164"/>
        <v>-1.1843462688737807E-2</v>
      </c>
      <c r="V609" s="22">
        <f t="shared" si="165"/>
        <v>5.4042932228536462E-3</v>
      </c>
      <c r="W609" s="22">
        <f t="shared" si="166"/>
        <v>7.2499094569621232E-3</v>
      </c>
      <c r="X609" s="22">
        <f t="shared" si="167"/>
        <v>6.9541273676680402E-3</v>
      </c>
    </row>
    <row r="610" spans="1:24" x14ac:dyDescent="0.35">
      <c r="A610" s="3">
        <v>10.64</v>
      </c>
      <c r="B610" s="3">
        <v>94.56</v>
      </c>
      <c r="C610" s="3">
        <v>141.79</v>
      </c>
      <c r="D610" s="3">
        <v>18.88</v>
      </c>
      <c r="E610" s="3">
        <v>51.31</v>
      </c>
      <c r="F610" s="3">
        <v>102.900531</v>
      </c>
      <c r="G610" s="3">
        <v>97.956929000000002</v>
      </c>
      <c r="H610" s="3">
        <v>96.643192999999997</v>
      </c>
      <c r="I610" s="17">
        <f t="shared" si="152"/>
        <v>7.575757575757582E-3</v>
      </c>
      <c r="J610" s="17">
        <f t="shared" si="153"/>
        <v>1.9624757386241184E-2</v>
      </c>
      <c r="K610" s="17">
        <f t="shared" si="154"/>
        <v>-4.5056573275862058E-2</v>
      </c>
      <c r="L610" s="17">
        <f t="shared" si="155"/>
        <v>-2.6804123711340187E-2</v>
      </c>
      <c r="M610" s="17">
        <f t="shared" si="156"/>
        <v>1.5034619188921962E-2</v>
      </c>
      <c r="N610" s="17">
        <f t="shared" si="157"/>
        <v>3.3744410177666698E-3</v>
      </c>
      <c r="O610" s="17">
        <f t="shared" si="158"/>
        <v>3.0508405744573835E-3</v>
      </c>
      <c r="P610" s="17">
        <f t="shared" si="159"/>
        <v>5.2203160753850168E-3</v>
      </c>
      <c r="Q610" s="22">
        <f t="shared" si="160"/>
        <v>7.1812837053728488E-3</v>
      </c>
      <c r="R610" s="22">
        <f t="shared" si="161"/>
        <v>1.9194032672164022E-2</v>
      </c>
      <c r="S610" s="22">
        <f t="shared" si="162"/>
        <v>-4.5468532662699505E-2</v>
      </c>
      <c r="T610" s="22">
        <f t="shared" si="163"/>
        <v>-2.6935575220573105E-2</v>
      </c>
      <c r="U610" s="22">
        <f t="shared" si="164"/>
        <v>1.4341391241968199E-2</v>
      </c>
      <c r="V610" s="22">
        <f t="shared" si="165"/>
        <v>3.6090448272698499E-3</v>
      </c>
      <c r="W610" s="22">
        <f t="shared" si="166"/>
        <v>3.3050891285480864E-3</v>
      </c>
      <c r="X610" s="22">
        <f t="shared" si="167"/>
        <v>5.5362604599913552E-3</v>
      </c>
    </row>
    <row r="611" spans="1:24" x14ac:dyDescent="0.35">
      <c r="A611" s="3">
        <v>10.63</v>
      </c>
      <c r="B611" s="3">
        <v>92.88</v>
      </c>
      <c r="C611" s="3">
        <v>140.87</v>
      </c>
      <c r="D611" s="3">
        <v>18.989999999999998</v>
      </c>
      <c r="E611" s="3">
        <v>51.23</v>
      </c>
      <c r="F611" s="3">
        <v>102.744664</v>
      </c>
      <c r="G611" s="3">
        <v>98.192094999999995</v>
      </c>
      <c r="H611" s="3">
        <v>96.438162000000005</v>
      </c>
      <c r="I611" s="17">
        <f t="shared" si="152"/>
        <v>-9.3984962406013027E-4</v>
      </c>
      <c r="J611" s="17">
        <f t="shared" si="153"/>
        <v>-1.7766497461929005E-2</v>
      </c>
      <c r="K611" s="17">
        <f t="shared" si="154"/>
        <v>-6.4884688624020559E-3</v>
      </c>
      <c r="L611" s="17">
        <f t="shared" si="155"/>
        <v>5.8262711864406486E-3</v>
      </c>
      <c r="M611" s="17">
        <f t="shared" si="156"/>
        <v>-1.559150263106712E-3</v>
      </c>
      <c r="N611" s="17">
        <f t="shared" si="157"/>
        <v>-1.5147346518552041E-3</v>
      </c>
      <c r="O611" s="17">
        <f t="shared" si="158"/>
        <v>2.4007081724662115E-3</v>
      </c>
      <c r="P611" s="17">
        <f t="shared" si="159"/>
        <v>-2.121525517063484E-3</v>
      </c>
      <c r="Q611" s="22">
        <f t="shared" si="160"/>
        <v>-1.3343234944448636E-3</v>
      </c>
      <c r="R611" s="22">
        <f t="shared" si="161"/>
        <v>-1.8197222176006167E-2</v>
      </c>
      <c r="S611" s="22">
        <f t="shared" si="162"/>
        <v>-6.9004282492395024E-3</v>
      </c>
      <c r="T611" s="22">
        <f t="shared" si="163"/>
        <v>5.6948196772077303E-3</v>
      </c>
      <c r="U611" s="22">
        <f t="shared" si="164"/>
        <v>-2.2523782100604744E-3</v>
      </c>
      <c r="V611" s="22">
        <f t="shared" si="165"/>
        <v>-1.2801308423520238E-3</v>
      </c>
      <c r="W611" s="22">
        <f t="shared" si="166"/>
        <v>2.6549567265569144E-3</v>
      </c>
      <c r="X611" s="22">
        <f t="shared" si="167"/>
        <v>-1.8055811324571452E-3</v>
      </c>
    </row>
    <row r="612" spans="1:24" x14ac:dyDescent="0.35">
      <c r="A612" s="3">
        <v>11.14</v>
      </c>
      <c r="B612" s="3">
        <v>92.49</v>
      </c>
      <c r="C612" s="3">
        <v>141.28</v>
      </c>
      <c r="D612" s="3">
        <v>19.11</v>
      </c>
      <c r="E612" s="3">
        <v>50.94</v>
      </c>
      <c r="F612" s="3">
        <v>102.49489800000001</v>
      </c>
      <c r="G612" s="3">
        <v>98.105349000000004</v>
      </c>
      <c r="H612" s="3">
        <v>96.052368000000001</v>
      </c>
      <c r="I612" s="17">
        <f t="shared" si="152"/>
        <v>4.7977422389463759E-2</v>
      </c>
      <c r="J612" s="17">
        <f t="shared" si="153"/>
        <v>-4.1989664082687402E-3</v>
      </c>
      <c r="K612" s="17">
        <f t="shared" si="154"/>
        <v>2.9104848441825555E-3</v>
      </c>
      <c r="L612" s="17">
        <f t="shared" si="155"/>
        <v>6.3191153238547132E-3</v>
      </c>
      <c r="M612" s="17">
        <f t="shared" si="156"/>
        <v>-5.6607456568416783E-3</v>
      </c>
      <c r="N612" s="17">
        <f t="shared" si="157"/>
        <v>-2.4309388952792133E-3</v>
      </c>
      <c r="O612" s="17">
        <f t="shared" si="158"/>
        <v>-8.8343160414278653E-4</v>
      </c>
      <c r="P612" s="17">
        <f t="shared" si="159"/>
        <v>-4.0004287929088092E-3</v>
      </c>
      <c r="Q612" s="22">
        <f t="shared" si="160"/>
        <v>4.7582948519079023E-2</v>
      </c>
      <c r="R612" s="22">
        <f t="shared" si="161"/>
        <v>-4.6296911223459034E-3</v>
      </c>
      <c r="S612" s="22">
        <f t="shared" si="162"/>
        <v>2.4985254573451085E-3</v>
      </c>
      <c r="T612" s="22">
        <f t="shared" si="163"/>
        <v>6.1876638146217949E-3</v>
      </c>
      <c r="U612" s="22">
        <f t="shared" si="164"/>
        <v>-6.3539736037954405E-3</v>
      </c>
      <c r="V612" s="22">
        <f t="shared" si="165"/>
        <v>-2.1963350857760332E-3</v>
      </c>
      <c r="W612" s="22">
        <f t="shared" si="166"/>
        <v>-6.2918305005208353E-4</v>
      </c>
      <c r="X612" s="22">
        <f t="shared" si="167"/>
        <v>-3.6844844083024704E-3</v>
      </c>
    </row>
    <row r="613" spans="1:24" x14ac:dyDescent="0.35">
      <c r="A613" s="3">
        <v>11.17</v>
      </c>
      <c r="B613" s="3">
        <v>92.43</v>
      </c>
      <c r="C613" s="3">
        <v>142.19999999999999</v>
      </c>
      <c r="D613" s="3">
        <v>19.09</v>
      </c>
      <c r="E613" s="3">
        <v>51.1</v>
      </c>
      <c r="F613" s="3">
        <v>102.61095899999999</v>
      </c>
      <c r="G613" s="3">
        <v>97.799537999999998</v>
      </c>
      <c r="H613" s="3">
        <v>96.279517999999996</v>
      </c>
      <c r="I613" s="17">
        <f t="shared" si="152"/>
        <v>2.692998204667806E-3</v>
      </c>
      <c r="J613" s="17">
        <f t="shared" si="153"/>
        <v>-6.4871878040856379E-4</v>
      </c>
      <c r="K613" s="17">
        <f t="shared" si="154"/>
        <v>6.511891279728111E-3</v>
      </c>
      <c r="L613" s="17">
        <f t="shared" si="155"/>
        <v>-1.0465724751438814E-3</v>
      </c>
      <c r="M613" s="17">
        <f t="shared" si="156"/>
        <v>3.140950137416641E-3</v>
      </c>
      <c r="N613" s="17">
        <f t="shared" si="157"/>
        <v>1.1323588028741465E-3</v>
      </c>
      <c r="O613" s="17">
        <f t="shared" si="158"/>
        <v>-3.1171694827771888E-3</v>
      </c>
      <c r="P613" s="17">
        <f t="shared" si="159"/>
        <v>2.364855804491927E-3</v>
      </c>
      <c r="Q613" s="22">
        <f t="shared" si="160"/>
        <v>2.2985243342830727E-3</v>
      </c>
      <c r="R613" s="22">
        <f t="shared" si="161"/>
        <v>-1.0794434944857273E-3</v>
      </c>
      <c r="S613" s="22">
        <f t="shared" si="162"/>
        <v>6.0999318928906645E-3</v>
      </c>
      <c r="T613" s="22">
        <f t="shared" si="163"/>
        <v>-1.1780239843767997E-3</v>
      </c>
      <c r="U613" s="22">
        <f t="shared" si="164"/>
        <v>2.4477221904628784E-3</v>
      </c>
      <c r="V613" s="22">
        <f t="shared" si="165"/>
        <v>1.3669626123773268E-3</v>
      </c>
      <c r="W613" s="22">
        <f t="shared" si="166"/>
        <v>-2.8629209286864859E-3</v>
      </c>
      <c r="X613" s="22">
        <f t="shared" si="167"/>
        <v>2.6808001890982658E-3</v>
      </c>
    </row>
    <row r="614" spans="1:24" x14ac:dyDescent="0.35">
      <c r="A614" s="3">
        <v>11.66</v>
      </c>
      <c r="B614" s="3">
        <v>92.37</v>
      </c>
      <c r="C614" s="3">
        <v>146.11000000000001</v>
      </c>
      <c r="D614" s="3">
        <v>19.489999999999998</v>
      </c>
      <c r="E614" s="3">
        <v>51.27</v>
      </c>
      <c r="F614" s="3">
        <v>98.475583999999998</v>
      </c>
      <c r="G614" s="3">
        <v>94.014463000000006</v>
      </c>
      <c r="H614" s="3">
        <v>92.657523999999995</v>
      </c>
      <c r="I614" s="17">
        <f t="shared" si="152"/>
        <v>4.3867502238137887E-2</v>
      </c>
      <c r="J614" s="17">
        <f t="shared" si="153"/>
        <v>-6.4913988964624336E-4</v>
      </c>
      <c r="K614" s="17">
        <f t="shared" si="154"/>
        <v>2.7496483825597929E-2</v>
      </c>
      <c r="L614" s="17">
        <f t="shared" si="155"/>
        <v>2.0953378732320511E-2</v>
      </c>
      <c r="M614" s="17">
        <f t="shared" si="156"/>
        <v>3.3268101761252779E-3</v>
      </c>
      <c r="N614" s="17">
        <f t="shared" si="157"/>
        <v>-4.0301494502161278E-2</v>
      </c>
      <c r="O614" s="17">
        <f t="shared" si="158"/>
        <v>-3.8702381191207592E-2</v>
      </c>
      <c r="P614" s="17">
        <f t="shared" si="159"/>
        <v>-3.7619569304449582E-2</v>
      </c>
      <c r="Q614" s="22">
        <f t="shared" si="160"/>
        <v>4.3473028367753151E-2</v>
      </c>
      <c r="R614" s="22">
        <f t="shared" si="161"/>
        <v>-1.0798646037234068E-3</v>
      </c>
      <c r="S614" s="22">
        <f t="shared" si="162"/>
        <v>2.7084524438760482E-2</v>
      </c>
      <c r="T614" s="22">
        <f t="shared" si="163"/>
        <v>2.0821927223087594E-2</v>
      </c>
      <c r="U614" s="22">
        <f t="shared" si="164"/>
        <v>2.6335822291715153E-3</v>
      </c>
      <c r="V614" s="22">
        <f t="shared" si="165"/>
        <v>-4.0066890692658098E-2</v>
      </c>
      <c r="W614" s="22">
        <f t="shared" si="166"/>
        <v>-3.844813263711689E-2</v>
      </c>
      <c r="X614" s="22">
        <f t="shared" si="167"/>
        <v>-3.7303624919843244E-2</v>
      </c>
    </row>
    <row r="615" spans="1:24" x14ac:dyDescent="0.35">
      <c r="A615" s="3">
        <v>11.91</v>
      </c>
      <c r="B615" s="3">
        <v>91.39</v>
      </c>
      <c r="C615" s="3">
        <v>143.52000000000001</v>
      </c>
      <c r="D615" s="3">
        <v>19.309999999999999</v>
      </c>
      <c r="E615" s="3">
        <v>51.28</v>
      </c>
      <c r="F615" s="3">
        <v>98.134162000000003</v>
      </c>
      <c r="G615" s="3">
        <v>94.146625</v>
      </c>
      <c r="H615" s="3">
        <v>92.134748000000002</v>
      </c>
      <c r="I615" s="17">
        <f t="shared" si="152"/>
        <v>2.1440823327615779E-2</v>
      </c>
      <c r="J615" s="17">
        <f t="shared" si="153"/>
        <v>-1.0609505250622538E-2</v>
      </c>
      <c r="K615" s="17">
        <f t="shared" si="154"/>
        <v>-1.7726370542741791E-2</v>
      </c>
      <c r="L615" s="17">
        <f t="shared" si="155"/>
        <v>-9.2355053873781293E-3</v>
      </c>
      <c r="M615" s="17">
        <f t="shared" si="156"/>
        <v>1.9504583577136745E-4</v>
      </c>
      <c r="N615" s="17">
        <f t="shared" si="157"/>
        <v>-3.4670726095921843E-3</v>
      </c>
      <c r="O615" s="17">
        <f t="shared" si="158"/>
        <v>1.4057624304038613E-3</v>
      </c>
      <c r="P615" s="17">
        <f t="shared" si="159"/>
        <v>-5.6420242785679585E-3</v>
      </c>
      <c r="Q615" s="22">
        <f t="shared" si="160"/>
        <v>2.1046349457231047E-2</v>
      </c>
      <c r="R615" s="22">
        <f t="shared" si="161"/>
        <v>-1.1040229964699702E-2</v>
      </c>
      <c r="S615" s="22">
        <f t="shared" si="162"/>
        <v>-1.8138329929579238E-2</v>
      </c>
      <c r="T615" s="22">
        <f t="shared" si="163"/>
        <v>-9.3669568966110468E-3</v>
      </c>
      <c r="U615" s="22">
        <f t="shared" si="164"/>
        <v>-4.9818211118239511E-4</v>
      </c>
      <c r="V615" s="22">
        <f t="shared" si="165"/>
        <v>-3.2324688000890042E-3</v>
      </c>
      <c r="W615" s="22">
        <f t="shared" si="166"/>
        <v>1.6600109844945644E-3</v>
      </c>
      <c r="X615" s="22">
        <f t="shared" si="167"/>
        <v>-5.3260798939616201E-3</v>
      </c>
    </row>
    <row r="616" spans="1:24" x14ac:dyDescent="0.35">
      <c r="A616" s="3">
        <v>12</v>
      </c>
      <c r="B616" s="3">
        <v>92.83</v>
      </c>
      <c r="C616" s="3">
        <v>139.79</v>
      </c>
      <c r="D616" s="3">
        <v>19.600000000000001</v>
      </c>
      <c r="E616" s="3">
        <v>52.86</v>
      </c>
      <c r="F616" s="3">
        <v>98.707346000000001</v>
      </c>
      <c r="G616" s="3">
        <v>94.488765999999998</v>
      </c>
      <c r="H616" s="3">
        <v>92.201245</v>
      </c>
      <c r="I616" s="17">
        <f t="shared" si="152"/>
        <v>7.5566750629722798E-3</v>
      </c>
      <c r="J616" s="17">
        <f t="shared" si="153"/>
        <v>1.5756647335594679E-2</v>
      </c>
      <c r="K616" s="17">
        <f t="shared" si="154"/>
        <v>-2.5989409141583181E-2</v>
      </c>
      <c r="L616" s="17">
        <f t="shared" si="155"/>
        <v>1.5018125323666635E-2</v>
      </c>
      <c r="M616" s="17">
        <f t="shared" si="156"/>
        <v>3.0811232449297937E-2</v>
      </c>
      <c r="N616" s="17">
        <f t="shared" si="157"/>
        <v>5.8408202436170771E-3</v>
      </c>
      <c r="O616" s="17">
        <f t="shared" si="158"/>
        <v>3.6341292106859702E-3</v>
      </c>
      <c r="P616" s="17">
        <f t="shared" si="159"/>
        <v>7.2173638549484335E-4</v>
      </c>
      <c r="Q616" s="22">
        <f t="shared" si="160"/>
        <v>7.1622011925875466E-3</v>
      </c>
      <c r="R616" s="22">
        <f t="shared" si="161"/>
        <v>1.5325922621517515E-2</v>
      </c>
      <c r="S616" s="22">
        <f t="shared" si="162"/>
        <v>-2.6401368528420628E-2</v>
      </c>
      <c r="T616" s="22">
        <f t="shared" si="163"/>
        <v>1.4886673814433718E-2</v>
      </c>
      <c r="U616" s="22">
        <f t="shared" si="164"/>
        <v>3.0118004502344174E-2</v>
      </c>
      <c r="V616" s="22">
        <f t="shared" si="165"/>
        <v>6.0754240531202576E-3</v>
      </c>
      <c r="W616" s="22">
        <f t="shared" si="166"/>
        <v>3.8883777647766731E-3</v>
      </c>
      <c r="X616" s="22">
        <f t="shared" si="167"/>
        <v>1.0376807701011821E-3</v>
      </c>
    </row>
    <row r="617" spans="1:24" x14ac:dyDescent="0.35">
      <c r="A617" s="3">
        <v>12.06</v>
      </c>
      <c r="B617" s="3">
        <v>94.22</v>
      </c>
      <c r="C617" s="3">
        <v>140.87</v>
      </c>
      <c r="D617" s="3">
        <v>19.37</v>
      </c>
      <c r="E617" s="3">
        <v>55.34</v>
      </c>
      <c r="F617" s="3">
        <v>98.868345000000005</v>
      </c>
      <c r="G617" s="3">
        <v>94.291382999999996</v>
      </c>
      <c r="H617" s="3">
        <v>92.563289999999995</v>
      </c>
      <c r="I617" s="17">
        <f t="shared" si="152"/>
        <v>5.0000000000000417E-3</v>
      </c>
      <c r="J617" s="17">
        <f t="shared" si="153"/>
        <v>1.4973607669934295E-2</v>
      </c>
      <c r="K617" s="17">
        <f t="shared" si="154"/>
        <v>7.725874526074916E-3</v>
      </c>
      <c r="L617" s="17">
        <f t="shared" si="155"/>
        <v>-1.1734693877551041E-2</v>
      </c>
      <c r="M617" s="17">
        <f t="shared" si="156"/>
        <v>4.6916382898221795E-2</v>
      </c>
      <c r="N617" s="17">
        <f t="shared" si="157"/>
        <v>1.6310741451806827E-3</v>
      </c>
      <c r="O617" s="17">
        <f t="shared" si="158"/>
        <v>-2.0889573264191224E-3</v>
      </c>
      <c r="P617" s="17">
        <f t="shared" si="159"/>
        <v>3.9266823349293697E-3</v>
      </c>
      <c r="Q617" s="22">
        <f t="shared" si="160"/>
        <v>4.6055261296153085E-3</v>
      </c>
      <c r="R617" s="22">
        <f t="shared" si="161"/>
        <v>1.4542882955857131E-2</v>
      </c>
      <c r="S617" s="22">
        <f t="shared" si="162"/>
        <v>7.3139151392374695E-3</v>
      </c>
      <c r="T617" s="22">
        <f t="shared" si="163"/>
        <v>-1.1866145386783959E-2</v>
      </c>
      <c r="U617" s="22">
        <f t="shared" si="164"/>
        <v>4.6223154951268032E-2</v>
      </c>
      <c r="V617" s="22">
        <f t="shared" si="165"/>
        <v>1.865677954683863E-3</v>
      </c>
      <c r="W617" s="22">
        <f t="shared" si="166"/>
        <v>-1.8347087723284195E-3</v>
      </c>
      <c r="X617" s="22">
        <f t="shared" si="167"/>
        <v>4.2426267195357081E-3</v>
      </c>
    </row>
    <row r="618" spans="1:24" x14ac:dyDescent="0.35">
      <c r="A618" s="3">
        <v>11.99</v>
      </c>
      <c r="B618" s="3">
        <v>92.88</v>
      </c>
      <c r="C618" s="3">
        <v>141.94999999999999</v>
      </c>
      <c r="D618" s="3">
        <v>19.14</v>
      </c>
      <c r="E618" s="3">
        <v>57.25</v>
      </c>
      <c r="F618" s="3">
        <v>98.571819000000005</v>
      </c>
      <c r="G618" s="3">
        <v>94.040075999999999</v>
      </c>
      <c r="H618" s="3">
        <v>92.313434000000001</v>
      </c>
      <c r="I618" s="17">
        <f t="shared" si="152"/>
        <v>-5.8043117744610512E-3</v>
      </c>
      <c r="J618" s="17">
        <f t="shared" si="153"/>
        <v>-1.4222033538526888E-2</v>
      </c>
      <c r="K618" s="17">
        <f t="shared" si="154"/>
        <v>7.6666430041881454E-3</v>
      </c>
      <c r="L618" s="17">
        <f t="shared" si="155"/>
        <v>-1.1874032008260217E-2</v>
      </c>
      <c r="M618" s="17">
        <f t="shared" si="156"/>
        <v>3.4513913986266652E-2</v>
      </c>
      <c r="N618" s="17">
        <f t="shared" si="157"/>
        <v>-2.9992006035905634E-3</v>
      </c>
      <c r="O618" s="17">
        <f t="shared" si="158"/>
        <v>-2.6652170326104674E-3</v>
      </c>
      <c r="P618" s="17">
        <f t="shared" si="159"/>
        <v>-2.6992990417690869E-3</v>
      </c>
      <c r="Q618" s="22">
        <f t="shared" si="160"/>
        <v>-6.1987856448457845E-3</v>
      </c>
      <c r="R618" s="22">
        <f t="shared" si="161"/>
        <v>-1.4652758252604052E-2</v>
      </c>
      <c r="S618" s="22">
        <f t="shared" si="162"/>
        <v>7.2546836173506988E-3</v>
      </c>
      <c r="T618" s="22">
        <f t="shared" si="163"/>
        <v>-1.2005483517493134E-2</v>
      </c>
      <c r="U618" s="22">
        <f t="shared" si="164"/>
        <v>3.3820686039312889E-2</v>
      </c>
      <c r="V618" s="22">
        <f t="shared" si="165"/>
        <v>-2.7645967940873833E-3</v>
      </c>
      <c r="W618" s="22">
        <f t="shared" si="166"/>
        <v>-2.4109684785197645E-3</v>
      </c>
      <c r="X618" s="22">
        <f t="shared" si="167"/>
        <v>-2.3833546571627481E-3</v>
      </c>
    </row>
    <row r="619" spans="1:24" x14ac:dyDescent="0.35">
      <c r="A619" s="3">
        <v>12.31</v>
      </c>
      <c r="B619" s="3">
        <v>91.57</v>
      </c>
      <c r="C619" s="3">
        <v>143.16</v>
      </c>
      <c r="D619" s="3">
        <v>19.09</v>
      </c>
      <c r="E619" s="3">
        <v>57.43</v>
      </c>
      <c r="F619" s="3">
        <v>98.732481000000007</v>
      </c>
      <c r="G619" s="3">
        <v>94.226732999999996</v>
      </c>
      <c r="H619" s="3">
        <v>92.539484000000002</v>
      </c>
      <c r="I619" s="17">
        <f t="shared" si="152"/>
        <v>2.66889074228524E-2</v>
      </c>
      <c r="J619" s="17">
        <f t="shared" si="153"/>
        <v>-1.4104220499569362E-2</v>
      </c>
      <c r="K619" s="17">
        <f t="shared" si="154"/>
        <v>8.5241282141599716E-3</v>
      </c>
      <c r="L619" s="17">
        <f t="shared" si="155"/>
        <v>-2.612330198537132E-3</v>
      </c>
      <c r="M619" s="17">
        <f t="shared" si="156"/>
        <v>3.144104803493445E-3</v>
      </c>
      <c r="N619" s="17">
        <f t="shared" si="157"/>
        <v>1.6298978920131532E-3</v>
      </c>
      <c r="O619" s="17">
        <f t="shared" si="158"/>
        <v>1.9848665371133552E-3</v>
      </c>
      <c r="P619" s="17">
        <f t="shared" si="159"/>
        <v>2.4487226853677738E-3</v>
      </c>
      <c r="Q619" s="22">
        <f t="shared" si="160"/>
        <v>2.6294433552467668E-2</v>
      </c>
      <c r="R619" s="22">
        <f t="shared" si="161"/>
        <v>-1.4534945213646526E-2</v>
      </c>
      <c r="S619" s="22">
        <f t="shared" si="162"/>
        <v>8.1121688273225242E-3</v>
      </c>
      <c r="T619" s="22">
        <f t="shared" si="163"/>
        <v>-2.7437817077700503E-3</v>
      </c>
      <c r="U619" s="22">
        <f t="shared" si="164"/>
        <v>2.4508768565396823E-3</v>
      </c>
      <c r="V619" s="22">
        <f t="shared" si="165"/>
        <v>1.8645017015163335E-3</v>
      </c>
      <c r="W619" s="22">
        <f t="shared" si="166"/>
        <v>2.2391150912040581E-3</v>
      </c>
      <c r="X619" s="22">
        <f t="shared" si="167"/>
        <v>2.7646670699741126E-3</v>
      </c>
    </row>
    <row r="620" spans="1:24" x14ac:dyDescent="0.35">
      <c r="A620" s="3">
        <v>12.5</v>
      </c>
      <c r="B620" s="3">
        <v>93.51</v>
      </c>
      <c r="C620" s="3">
        <v>143.32</v>
      </c>
      <c r="D620" s="3">
        <v>19.239999999999998</v>
      </c>
      <c r="E620" s="3">
        <v>58.01</v>
      </c>
      <c r="F620" s="3">
        <v>98.710452000000004</v>
      </c>
      <c r="G620" s="3">
        <v>94.194513000000001</v>
      </c>
      <c r="H620" s="3">
        <v>92.561643000000004</v>
      </c>
      <c r="I620" s="17">
        <f t="shared" si="152"/>
        <v>1.5434606011372826E-2</v>
      </c>
      <c r="J620" s="17">
        <f t="shared" si="153"/>
        <v>2.1185977940373617E-2</v>
      </c>
      <c r="K620" s="17">
        <f t="shared" si="154"/>
        <v>1.1176306230790485E-3</v>
      </c>
      <c r="L620" s="17">
        <f t="shared" si="155"/>
        <v>7.8575170246201458E-3</v>
      </c>
      <c r="M620" s="17">
        <f t="shared" si="156"/>
        <v>1.0099251262406378E-2</v>
      </c>
      <c r="N620" s="17">
        <f t="shared" si="157"/>
        <v>-2.2311806385178759E-4</v>
      </c>
      <c r="O620" s="17">
        <f t="shared" si="158"/>
        <v>-3.4194117713913795E-4</v>
      </c>
      <c r="P620" s="17">
        <f t="shared" si="159"/>
        <v>2.3945454461364878E-4</v>
      </c>
      <c r="Q620" s="22">
        <f t="shared" si="160"/>
        <v>1.5040132140988092E-2</v>
      </c>
      <c r="R620" s="22">
        <f t="shared" si="161"/>
        <v>2.0755253226296455E-2</v>
      </c>
      <c r="S620" s="22">
        <f t="shared" si="162"/>
        <v>7.0567123624160153E-4</v>
      </c>
      <c r="T620" s="22">
        <f t="shared" si="163"/>
        <v>7.7260655153872275E-3</v>
      </c>
      <c r="U620" s="22">
        <f t="shared" si="164"/>
        <v>9.4060233154526149E-3</v>
      </c>
      <c r="V620" s="22">
        <f t="shared" si="165"/>
        <v>1.1485745651392698E-5</v>
      </c>
      <c r="W620" s="22">
        <f t="shared" si="166"/>
        <v>-8.7692623048434947E-5</v>
      </c>
      <c r="X620" s="22">
        <f t="shared" si="167"/>
        <v>5.5539892921998755E-4</v>
      </c>
    </row>
    <row r="621" spans="1:24" x14ac:dyDescent="0.35">
      <c r="A621" s="3">
        <v>12.54</v>
      </c>
      <c r="B621" s="3">
        <v>93.03</v>
      </c>
      <c r="C621" s="3">
        <v>145.11000000000001</v>
      </c>
      <c r="D621" s="3">
        <v>19.03</v>
      </c>
      <c r="E621" s="3">
        <v>58.44</v>
      </c>
      <c r="F621" s="3">
        <v>98.918412000000004</v>
      </c>
      <c r="G621" s="3">
        <v>94.316817999999998</v>
      </c>
      <c r="H621" s="3">
        <v>92.969121000000001</v>
      </c>
      <c r="I621" s="17">
        <f t="shared" si="152"/>
        <v>3.1999999999999316E-3</v>
      </c>
      <c r="J621" s="17">
        <f t="shared" si="153"/>
        <v>-5.1331408405518551E-3</v>
      </c>
      <c r="K621" s="17">
        <f t="shared" si="154"/>
        <v>1.2489533910131318E-2</v>
      </c>
      <c r="L621" s="17">
        <f t="shared" si="155"/>
        <v>-1.0914760914760775E-2</v>
      </c>
      <c r="M621" s="17">
        <f t="shared" si="156"/>
        <v>7.4125150836062701E-3</v>
      </c>
      <c r="N621" s="17">
        <f t="shared" si="157"/>
        <v>2.1067677817947781E-3</v>
      </c>
      <c r="O621" s="17">
        <f t="shared" si="158"/>
        <v>1.2984301962471764E-3</v>
      </c>
      <c r="P621" s="17">
        <f t="shared" si="159"/>
        <v>4.4022338713239732E-3</v>
      </c>
      <c r="Q621" s="22">
        <f t="shared" si="160"/>
        <v>2.8055261296151984E-3</v>
      </c>
      <c r="R621" s="22">
        <f t="shared" si="161"/>
        <v>-5.5638655546290184E-3</v>
      </c>
      <c r="S621" s="22">
        <f t="shared" si="162"/>
        <v>1.2077574523293871E-2</v>
      </c>
      <c r="T621" s="22">
        <f t="shared" si="163"/>
        <v>-1.1046212423993692E-2</v>
      </c>
      <c r="U621" s="22">
        <f t="shared" si="164"/>
        <v>6.7192871366525079E-3</v>
      </c>
      <c r="V621" s="22">
        <f t="shared" si="165"/>
        <v>2.3413715912979582E-3</v>
      </c>
      <c r="W621" s="22">
        <f t="shared" si="166"/>
        <v>1.5526787503378795E-3</v>
      </c>
      <c r="X621" s="22">
        <f t="shared" si="167"/>
        <v>4.7181782559303116E-3</v>
      </c>
    </row>
    <row r="622" spans="1:24" x14ac:dyDescent="0.35">
      <c r="A622" s="3">
        <v>12.4</v>
      </c>
      <c r="B622" s="3">
        <v>92.13</v>
      </c>
      <c r="C622" s="3">
        <v>143.94</v>
      </c>
      <c r="D622" s="3">
        <v>18.73</v>
      </c>
      <c r="E622" s="3">
        <v>58.26</v>
      </c>
      <c r="F622" s="3">
        <v>99.033450000000002</v>
      </c>
      <c r="G622" s="3">
        <v>94.668313999999995</v>
      </c>
      <c r="H622" s="3">
        <v>93.196627000000007</v>
      </c>
      <c r="I622" s="17">
        <f t="shared" si="152"/>
        <v>-1.1164274322168963E-2</v>
      </c>
      <c r="J622" s="17">
        <f t="shared" si="153"/>
        <v>-9.6742986133505939E-3</v>
      </c>
      <c r="K622" s="17">
        <f t="shared" si="154"/>
        <v>-8.0628488732686632E-3</v>
      </c>
      <c r="L622" s="17">
        <f t="shared" si="155"/>
        <v>-1.5764582238570714E-2</v>
      </c>
      <c r="M622" s="17">
        <f t="shared" si="156"/>
        <v>-3.0800821355236093E-3</v>
      </c>
      <c r="N622" s="17">
        <f t="shared" si="157"/>
        <v>1.162958418701651E-3</v>
      </c>
      <c r="O622" s="17">
        <f t="shared" si="158"/>
        <v>3.7267584663426344E-3</v>
      </c>
      <c r="P622" s="17">
        <f t="shared" si="159"/>
        <v>2.4471135959218686E-3</v>
      </c>
      <c r="Q622" s="22">
        <f t="shared" si="160"/>
        <v>-1.1558748192553698E-2</v>
      </c>
      <c r="R622" s="22">
        <f t="shared" si="161"/>
        <v>-1.0105023327427758E-2</v>
      </c>
      <c r="S622" s="22">
        <f t="shared" si="162"/>
        <v>-8.4748082601061106E-3</v>
      </c>
      <c r="T622" s="22">
        <f t="shared" si="163"/>
        <v>-1.5896033747803632E-2</v>
      </c>
      <c r="U622" s="22">
        <f t="shared" si="164"/>
        <v>-3.7733100824773719E-3</v>
      </c>
      <c r="V622" s="22">
        <f t="shared" si="165"/>
        <v>1.3975622282048313E-3</v>
      </c>
      <c r="W622" s="22">
        <f t="shared" si="166"/>
        <v>3.9810070204333373E-3</v>
      </c>
      <c r="X622" s="22">
        <f t="shared" si="167"/>
        <v>2.7630579805282074E-3</v>
      </c>
    </row>
    <row r="623" spans="1:24" x14ac:dyDescent="0.35">
      <c r="A623" s="3">
        <v>12.34</v>
      </c>
      <c r="B623" s="3">
        <v>92.08</v>
      </c>
      <c r="C623" s="3">
        <v>143.91999999999999</v>
      </c>
      <c r="D623" s="3">
        <v>18.899999999999999</v>
      </c>
      <c r="E623" s="3">
        <v>59.31</v>
      </c>
      <c r="F623" s="3">
        <v>99.148537000000005</v>
      </c>
      <c r="G623" s="3">
        <v>94.635865999999993</v>
      </c>
      <c r="H623" s="3">
        <v>93.355980000000002</v>
      </c>
      <c r="I623" s="17">
        <f t="shared" si="152"/>
        <v>-4.8387096774193949E-3</v>
      </c>
      <c r="J623" s="17">
        <f t="shared" si="153"/>
        <v>-5.4271138608484929E-4</v>
      </c>
      <c r="K623" s="17">
        <f t="shared" si="154"/>
        <v>-1.3894678338203579E-4</v>
      </c>
      <c r="L623" s="17">
        <f t="shared" si="155"/>
        <v>9.076348104644855E-3</v>
      </c>
      <c r="M623" s="17">
        <f t="shared" si="156"/>
        <v>1.8022657054582978E-2</v>
      </c>
      <c r="N623" s="17">
        <f t="shared" si="157"/>
        <v>1.1621022997785355E-3</v>
      </c>
      <c r="O623" s="17">
        <f t="shared" si="158"/>
        <v>-3.4275459896753054E-4</v>
      </c>
      <c r="P623" s="17">
        <f t="shared" si="159"/>
        <v>1.7098580187885539E-3</v>
      </c>
      <c r="Q623" s="22">
        <f t="shared" si="160"/>
        <v>-5.2331835478041282E-3</v>
      </c>
      <c r="R623" s="22">
        <f t="shared" si="161"/>
        <v>-9.7343610016201285E-4</v>
      </c>
      <c r="S623" s="22">
        <f t="shared" si="162"/>
        <v>-5.509061702194827E-4</v>
      </c>
      <c r="T623" s="22">
        <f t="shared" si="163"/>
        <v>8.9448965954119376E-3</v>
      </c>
      <c r="U623" s="22">
        <f t="shared" si="164"/>
        <v>1.7329429107629215E-2</v>
      </c>
      <c r="V623" s="22">
        <f t="shared" si="165"/>
        <v>1.3967061092817158E-3</v>
      </c>
      <c r="W623" s="22">
        <f t="shared" si="166"/>
        <v>-8.8506044876827538E-5</v>
      </c>
      <c r="X623" s="22">
        <f t="shared" si="167"/>
        <v>2.0258024033948927E-3</v>
      </c>
    </row>
    <row r="624" spans="1:24" x14ac:dyDescent="0.35">
      <c r="A624" s="3">
        <v>12.08</v>
      </c>
      <c r="B624" s="3">
        <v>92.18</v>
      </c>
      <c r="C624" s="3">
        <v>140.69999999999999</v>
      </c>
      <c r="D624" s="3">
        <v>18.87</v>
      </c>
      <c r="E624" s="3">
        <v>59.76</v>
      </c>
      <c r="F624" s="3">
        <v>99.309489999999997</v>
      </c>
      <c r="G624" s="3">
        <v>94.658350999999996</v>
      </c>
      <c r="H624" s="3">
        <v>93.172362000000007</v>
      </c>
      <c r="I624" s="17">
        <f t="shared" si="152"/>
        <v>-2.1069692058346821E-2</v>
      </c>
      <c r="J624" s="17">
        <f t="shared" si="153"/>
        <v>1.086012163336322E-3</v>
      </c>
      <c r="K624" s="17">
        <f t="shared" si="154"/>
        <v>-2.2373540856031122E-2</v>
      </c>
      <c r="L624" s="17">
        <f t="shared" si="155"/>
        <v>-1.5873015873014596E-3</v>
      </c>
      <c r="M624" s="17">
        <f t="shared" si="156"/>
        <v>7.5872534142639647E-3</v>
      </c>
      <c r="N624" s="17">
        <f t="shared" si="157"/>
        <v>1.6233522437148228E-3</v>
      </c>
      <c r="O624" s="17">
        <f t="shared" si="158"/>
        <v>2.3759490931274618E-4</v>
      </c>
      <c r="P624" s="17">
        <f t="shared" si="159"/>
        <v>-1.9668584701268803E-3</v>
      </c>
      <c r="Q624" s="22">
        <f t="shared" si="160"/>
        <v>-2.1464165928731554E-2</v>
      </c>
      <c r="R624" s="22">
        <f t="shared" si="161"/>
        <v>6.5528744925915858E-4</v>
      </c>
      <c r="S624" s="22">
        <f t="shared" si="162"/>
        <v>-2.2785500242868569E-2</v>
      </c>
      <c r="T624" s="22">
        <f t="shared" si="163"/>
        <v>-1.7187530965343779E-3</v>
      </c>
      <c r="U624" s="22">
        <f t="shared" si="164"/>
        <v>6.8940254673102025E-3</v>
      </c>
      <c r="V624" s="22">
        <f t="shared" si="165"/>
        <v>1.8579560532180032E-3</v>
      </c>
      <c r="W624" s="22">
        <f t="shared" si="166"/>
        <v>4.9184346340344913E-4</v>
      </c>
      <c r="X624" s="22">
        <f t="shared" si="167"/>
        <v>-1.6509140855205415E-3</v>
      </c>
    </row>
    <row r="625" spans="1:24" x14ac:dyDescent="0.35">
      <c r="A625" s="3">
        <v>12.06</v>
      </c>
      <c r="B625" s="3">
        <v>92.21</v>
      </c>
      <c r="C625" s="3">
        <v>139.30000000000001</v>
      </c>
      <c r="D625" s="3">
        <v>18.73</v>
      </c>
      <c r="E625" s="3">
        <v>59.89</v>
      </c>
      <c r="F625" s="3">
        <v>99.333033</v>
      </c>
      <c r="G625" s="3">
        <v>94.845637999999994</v>
      </c>
      <c r="H625" s="3">
        <v>93.537670000000006</v>
      </c>
      <c r="I625" s="17">
        <f t="shared" si="152"/>
        <v>-1.6556291390728123E-3</v>
      </c>
      <c r="J625" s="17">
        <f t="shared" si="153"/>
        <v>3.2545020611832203E-4</v>
      </c>
      <c r="K625" s="17">
        <f t="shared" si="154"/>
        <v>-9.950248756218744E-3</v>
      </c>
      <c r="L625" s="17">
        <f t="shared" si="155"/>
        <v>-7.4191838897721546E-3</v>
      </c>
      <c r="M625" s="17">
        <f t="shared" si="156"/>
        <v>2.1753681392236036E-3</v>
      </c>
      <c r="N625" s="17">
        <f t="shared" si="157"/>
        <v>2.3706697114247234E-4</v>
      </c>
      <c r="O625" s="17">
        <f t="shared" si="158"/>
        <v>1.978557602382042E-3</v>
      </c>
      <c r="P625" s="17">
        <f t="shared" si="159"/>
        <v>3.9207764208016842E-3</v>
      </c>
      <c r="Q625" s="22">
        <f t="shared" si="160"/>
        <v>-2.0501030094575456E-3</v>
      </c>
      <c r="R625" s="22">
        <f t="shared" si="161"/>
        <v>-1.0527450795884147E-4</v>
      </c>
      <c r="S625" s="22">
        <f t="shared" si="162"/>
        <v>-1.0362208143056191E-2</v>
      </c>
      <c r="T625" s="22">
        <f t="shared" si="163"/>
        <v>-7.5506353990050729E-3</v>
      </c>
      <c r="U625" s="22">
        <f t="shared" si="164"/>
        <v>1.482140192269841E-3</v>
      </c>
      <c r="V625" s="22">
        <f t="shared" si="165"/>
        <v>4.716707806456526E-4</v>
      </c>
      <c r="W625" s="22">
        <f t="shared" si="166"/>
        <v>2.2328061564727449E-3</v>
      </c>
      <c r="X625" s="22">
        <f t="shared" si="167"/>
        <v>4.2367208054080226E-3</v>
      </c>
    </row>
    <row r="626" spans="1:24" x14ac:dyDescent="0.35">
      <c r="A626" s="3">
        <v>11.86</v>
      </c>
      <c r="B626" s="3">
        <v>91.56</v>
      </c>
      <c r="C626" s="3">
        <v>137.29</v>
      </c>
      <c r="D626" s="3">
        <v>18.5</v>
      </c>
      <c r="E626" s="3">
        <v>59.63</v>
      </c>
      <c r="F626" s="3">
        <v>99.816669000000005</v>
      </c>
      <c r="G626" s="3">
        <v>95.243503000000004</v>
      </c>
      <c r="H626" s="3">
        <v>93.948728000000003</v>
      </c>
      <c r="I626" s="17">
        <f t="shared" si="152"/>
        <v>-1.6583747927031597E-2</v>
      </c>
      <c r="J626" s="17">
        <f t="shared" si="153"/>
        <v>-7.0491269927338849E-3</v>
      </c>
      <c r="K626" s="17">
        <f t="shared" si="154"/>
        <v>-1.4429289303661301E-2</v>
      </c>
      <c r="L626" s="17">
        <f t="shared" si="155"/>
        <v>-1.2279765082754961E-2</v>
      </c>
      <c r="M626" s="17">
        <f t="shared" si="156"/>
        <v>-4.341292369343764E-3</v>
      </c>
      <c r="N626" s="17">
        <f t="shared" si="157"/>
        <v>4.8688335128154615E-3</v>
      </c>
      <c r="O626" s="17">
        <f t="shared" si="158"/>
        <v>4.1948687192131084E-3</v>
      </c>
      <c r="P626" s="17">
        <f t="shared" si="159"/>
        <v>4.3945717270913098E-3</v>
      </c>
      <c r="Q626" s="22">
        <f t="shared" si="160"/>
        <v>-1.6978221797416329E-2</v>
      </c>
      <c r="R626" s="22">
        <f t="shared" si="161"/>
        <v>-7.4798517068110481E-3</v>
      </c>
      <c r="S626" s="22">
        <f t="shared" si="162"/>
        <v>-1.4841248690498748E-2</v>
      </c>
      <c r="T626" s="22">
        <f t="shared" si="163"/>
        <v>-1.2411216591987878E-2</v>
      </c>
      <c r="U626" s="22">
        <f t="shared" si="164"/>
        <v>-5.0345203162975262E-3</v>
      </c>
      <c r="V626" s="22">
        <f t="shared" si="165"/>
        <v>5.103437322318642E-3</v>
      </c>
      <c r="W626" s="22">
        <f t="shared" si="166"/>
        <v>4.4491172733038117E-3</v>
      </c>
      <c r="X626" s="22">
        <f t="shared" si="167"/>
        <v>4.7105161116976482E-3</v>
      </c>
    </row>
    <row r="627" spans="1:24" x14ac:dyDescent="0.35">
      <c r="A627" s="3">
        <v>11.89</v>
      </c>
      <c r="B627" s="3">
        <v>91.94</v>
      </c>
      <c r="C627" s="3">
        <v>137.97</v>
      </c>
      <c r="D627" s="3">
        <v>18.54</v>
      </c>
      <c r="E627" s="3">
        <v>58.22</v>
      </c>
      <c r="F627" s="3">
        <v>100.20886</v>
      </c>
      <c r="G627" s="3">
        <v>95.431652</v>
      </c>
      <c r="H627" s="3">
        <v>94.386700000000005</v>
      </c>
      <c r="I627" s="17">
        <f t="shared" si="152"/>
        <v>2.5295109612142614E-3</v>
      </c>
      <c r="J627" s="17">
        <f t="shared" si="153"/>
        <v>4.1502839667976786E-3</v>
      </c>
      <c r="K627" s="17">
        <f t="shared" si="154"/>
        <v>4.9530191565300228E-3</v>
      </c>
      <c r="L627" s="17">
        <f t="shared" si="155"/>
        <v>2.1621621621621162E-3</v>
      </c>
      <c r="M627" s="17">
        <f t="shared" si="156"/>
        <v>-2.3645815864497797E-2</v>
      </c>
      <c r="N627" s="17">
        <f t="shared" si="157"/>
        <v>3.9291132826722239E-3</v>
      </c>
      <c r="O627" s="17">
        <f t="shared" si="158"/>
        <v>1.9754523308534301E-3</v>
      </c>
      <c r="P627" s="17">
        <f t="shared" si="159"/>
        <v>4.6618193702420542E-3</v>
      </c>
      <c r="Q627" s="22">
        <f t="shared" si="160"/>
        <v>2.1350370908295281E-3</v>
      </c>
      <c r="R627" s="22">
        <f t="shared" si="161"/>
        <v>3.719559252720515E-3</v>
      </c>
      <c r="S627" s="22">
        <f t="shared" si="162"/>
        <v>4.5410597696925762E-3</v>
      </c>
      <c r="T627" s="22">
        <f t="shared" si="163"/>
        <v>2.0307106529291979E-3</v>
      </c>
      <c r="U627" s="22">
        <f t="shared" si="164"/>
        <v>-2.433904381145156E-2</v>
      </c>
      <c r="V627" s="22">
        <f t="shared" si="165"/>
        <v>4.1637170921754044E-3</v>
      </c>
      <c r="W627" s="22">
        <f t="shared" si="166"/>
        <v>2.229700884944133E-3</v>
      </c>
      <c r="X627" s="22">
        <f t="shared" si="167"/>
        <v>4.9777637548483926E-3</v>
      </c>
    </row>
    <row r="628" spans="1:24" x14ac:dyDescent="0.35">
      <c r="A628" s="3">
        <v>11.84</v>
      </c>
      <c r="B628" s="3">
        <v>90.82</v>
      </c>
      <c r="C628" s="3">
        <v>137.6</v>
      </c>
      <c r="D628" s="3">
        <v>18.48</v>
      </c>
      <c r="E628" s="3">
        <v>57.67</v>
      </c>
      <c r="F628" s="3">
        <v>100.370842</v>
      </c>
      <c r="G628" s="3">
        <v>96.009050000000002</v>
      </c>
      <c r="H628" s="3">
        <v>94.687331999999998</v>
      </c>
      <c r="I628" s="17">
        <f t="shared" si="152"/>
        <v>-4.2052144659378227E-3</v>
      </c>
      <c r="J628" s="17">
        <f t="shared" si="153"/>
        <v>-1.2181857733304378E-2</v>
      </c>
      <c r="K628" s="17">
        <f t="shared" si="154"/>
        <v>-2.6817424077698378E-3</v>
      </c>
      <c r="L628" s="17">
        <f t="shared" si="155"/>
        <v>-3.2362459546924878E-3</v>
      </c>
      <c r="M628" s="17">
        <f t="shared" si="156"/>
        <v>-9.4469254551699956E-3</v>
      </c>
      <c r="N628" s="17">
        <f t="shared" si="157"/>
        <v>1.616443895280265E-3</v>
      </c>
      <c r="O628" s="17">
        <f t="shared" si="158"/>
        <v>6.0503825292681961E-3</v>
      </c>
      <c r="P628" s="17">
        <f t="shared" si="159"/>
        <v>3.1851097665242362E-3</v>
      </c>
      <c r="Q628" s="22">
        <f t="shared" si="160"/>
        <v>-4.599688336322556E-3</v>
      </c>
      <c r="R628" s="22">
        <f t="shared" si="161"/>
        <v>-1.2612582447381542E-2</v>
      </c>
      <c r="S628" s="22">
        <f t="shared" si="162"/>
        <v>-3.0937017946072848E-3</v>
      </c>
      <c r="T628" s="22">
        <f t="shared" si="163"/>
        <v>-3.3676974639254061E-3</v>
      </c>
      <c r="U628" s="22">
        <f t="shared" si="164"/>
        <v>-1.0140153402123759E-2</v>
      </c>
      <c r="V628" s="22">
        <f t="shared" si="165"/>
        <v>1.8510477047834453E-3</v>
      </c>
      <c r="W628" s="22">
        <f t="shared" si="166"/>
        <v>6.3046310833588994E-3</v>
      </c>
      <c r="X628" s="22">
        <f t="shared" si="167"/>
        <v>3.501054151130575E-3</v>
      </c>
    </row>
    <row r="629" spans="1:24" x14ac:dyDescent="0.35">
      <c r="A629" s="3">
        <v>12.09</v>
      </c>
      <c r="B629" s="3">
        <v>91.22</v>
      </c>
      <c r="C629" s="3">
        <v>139.55000000000001</v>
      </c>
      <c r="D629" s="3">
        <v>18.829999999999998</v>
      </c>
      <c r="E629" s="3">
        <v>57.49</v>
      </c>
      <c r="F629" s="3">
        <v>100.20931299999999</v>
      </c>
      <c r="G629" s="3">
        <v>95.864397999999994</v>
      </c>
      <c r="H629" s="3">
        <v>94.500292999999999</v>
      </c>
      <c r="I629" s="17">
        <f t="shared" si="152"/>
        <v>2.1114864864864864E-2</v>
      </c>
      <c r="J629" s="17">
        <f t="shared" si="153"/>
        <v>4.40431622990537E-3</v>
      </c>
      <c r="K629" s="17">
        <f t="shared" si="154"/>
        <v>1.4171511627907101E-2</v>
      </c>
      <c r="L629" s="17">
        <f t="shared" si="155"/>
        <v>1.8939393939393822E-2</v>
      </c>
      <c r="M629" s="17">
        <f t="shared" si="156"/>
        <v>-3.1212068666551015E-3</v>
      </c>
      <c r="N629" s="17">
        <f t="shared" si="157"/>
        <v>-1.6093219582635522E-3</v>
      </c>
      <c r="O629" s="17">
        <f t="shared" si="158"/>
        <v>-1.5066496335502514E-3</v>
      </c>
      <c r="P629" s="17">
        <f t="shared" si="159"/>
        <v>-1.9753328776863058E-3</v>
      </c>
      <c r="Q629" s="22">
        <f t="shared" si="160"/>
        <v>2.0720390994480132E-2</v>
      </c>
      <c r="R629" s="22">
        <f t="shared" si="161"/>
        <v>3.9735915158282068E-3</v>
      </c>
      <c r="S629" s="22">
        <f t="shared" si="162"/>
        <v>1.3759552241069653E-2</v>
      </c>
      <c r="T629" s="22">
        <f t="shared" si="163"/>
        <v>1.8807942430160905E-2</v>
      </c>
      <c r="U629" s="22">
        <f t="shared" si="164"/>
        <v>-3.8144348136088641E-3</v>
      </c>
      <c r="V629" s="22">
        <f t="shared" si="165"/>
        <v>-1.3747181487603719E-3</v>
      </c>
      <c r="W629" s="22">
        <f t="shared" si="166"/>
        <v>-1.2524010794595485E-3</v>
      </c>
      <c r="X629" s="22">
        <f t="shared" si="167"/>
        <v>-1.659388493079967E-3</v>
      </c>
    </row>
    <row r="630" spans="1:24" x14ac:dyDescent="0.35">
      <c r="A630" s="3">
        <v>11.88</v>
      </c>
      <c r="B630" s="3">
        <v>90.82</v>
      </c>
      <c r="C630" s="3">
        <v>139.46</v>
      </c>
      <c r="D630" s="3">
        <v>18.73</v>
      </c>
      <c r="E630" s="3">
        <v>55.97</v>
      </c>
      <c r="F630" s="3">
        <v>100.371146</v>
      </c>
      <c r="G630" s="3">
        <v>95.997890999999996</v>
      </c>
      <c r="H630" s="3">
        <v>94.591916999999995</v>
      </c>
      <c r="I630" s="17">
        <f t="shared" si="152"/>
        <v>-1.7369727047146327E-2</v>
      </c>
      <c r="J630" s="17">
        <f t="shared" si="153"/>
        <v>-4.385003288752529E-3</v>
      </c>
      <c r="K630" s="17">
        <f t="shared" si="154"/>
        <v>-6.4493013256899608E-4</v>
      </c>
      <c r="L630" s="17">
        <f t="shared" si="155"/>
        <v>-5.3106744556557558E-3</v>
      </c>
      <c r="M630" s="17">
        <f t="shared" si="156"/>
        <v>-2.6439380761871682E-2</v>
      </c>
      <c r="N630" s="17">
        <f t="shared" si="157"/>
        <v>1.614949700333755E-3</v>
      </c>
      <c r="O630" s="17">
        <f t="shared" si="158"/>
        <v>1.3925190454959246E-3</v>
      </c>
      <c r="P630" s="17">
        <f t="shared" si="159"/>
        <v>9.6956313140739083E-4</v>
      </c>
      <c r="Q630" s="22">
        <f t="shared" si="160"/>
        <v>-1.7764200917531059E-2</v>
      </c>
      <c r="R630" s="22">
        <f t="shared" si="161"/>
        <v>-4.8157280028296922E-3</v>
      </c>
      <c r="S630" s="22">
        <f t="shared" si="162"/>
        <v>-1.0568895194064431E-3</v>
      </c>
      <c r="T630" s="22">
        <f t="shared" si="163"/>
        <v>-5.4421259648886741E-3</v>
      </c>
      <c r="U630" s="22">
        <f t="shared" si="164"/>
        <v>-2.7132608708825445E-2</v>
      </c>
      <c r="V630" s="22">
        <f t="shared" si="165"/>
        <v>1.8495535098369353E-3</v>
      </c>
      <c r="W630" s="22">
        <f t="shared" si="166"/>
        <v>1.6467675995866277E-3</v>
      </c>
      <c r="X630" s="22">
        <f t="shared" si="167"/>
        <v>1.2855075160137295E-3</v>
      </c>
    </row>
    <row r="631" spans="1:24" x14ac:dyDescent="0.35">
      <c r="A631" s="3">
        <v>11.97</v>
      </c>
      <c r="B631" s="3">
        <v>91.04</v>
      </c>
      <c r="C631" s="3">
        <v>142.04</v>
      </c>
      <c r="D631" s="3">
        <v>18.8</v>
      </c>
      <c r="E631" s="3">
        <v>56.8</v>
      </c>
      <c r="F631" s="3">
        <v>99.934869000000006</v>
      </c>
      <c r="G631" s="3">
        <v>95.510731000000007</v>
      </c>
      <c r="H631" s="3">
        <v>93.211331000000001</v>
      </c>
      <c r="I631" s="17">
        <f t="shared" si="152"/>
        <v>7.575757575757563E-3</v>
      </c>
      <c r="J631" s="17">
        <f t="shared" si="153"/>
        <v>2.422373926448063E-3</v>
      </c>
      <c r="K631" s="17">
        <f t="shared" si="154"/>
        <v>1.8499928294851455E-2</v>
      </c>
      <c r="L631" s="17">
        <f t="shared" si="155"/>
        <v>3.7373198077949965E-3</v>
      </c>
      <c r="M631" s="17">
        <f t="shared" si="156"/>
        <v>1.4829372878327645E-2</v>
      </c>
      <c r="N631" s="17">
        <f t="shared" si="157"/>
        <v>-4.3466376283079382E-3</v>
      </c>
      <c r="O631" s="17">
        <f t="shared" si="158"/>
        <v>-5.0746948180349994E-3</v>
      </c>
      <c r="P631" s="17">
        <f t="shared" si="159"/>
        <v>-1.4595179416862796E-2</v>
      </c>
      <c r="Q631" s="22">
        <f t="shared" si="160"/>
        <v>7.1812837053728297E-3</v>
      </c>
      <c r="R631" s="22">
        <f t="shared" si="161"/>
        <v>1.9916492123708994E-3</v>
      </c>
      <c r="S631" s="22">
        <f t="shared" si="162"/>
        <v>1.8087968908014007E-2</v>
      </c>
      <c r="T631" s="22">
        <f t="shared" si="163"/>
        <v>3.6058682985620782E-3</v>
      </c>
      <c r="U631" s="22">
        <f t="shared" si="164"/>
        <v>1.4136144931373882E-2</v>
      </c>
      <c r="V631" s="22">
        <f t="shared" si="165"/>
        <v>-4.1120338188047577E-3</v>
      </c>
      <c r="W631" s="22">
        <f t="shared" si="166"/>
        <v>-4.820446263944296E-3</v>
      </c>
      <c r="X631" s="22">
        <f t="shared" si="167"/>
        <v>-1.4279235032256457E-2</v>
      </c>
    </row>
    <row r="632" spans="1:24" x14ac:dyDescent="0.35">
      <c r="A632" s="3">
        <v>12.1</v>
      </c>
      <c r="B632" s="3">
        <v>91.65</v>
      </c>
      <c r="C632" s="3">
        <v>141.21</v>
      </c>
      <c r="D632" s="3">
        <v>18.600000000000001</v>
      </c>
      <c r="E632" s="3">
        <v>55.51</v>
      </c>
      <c r="F632" s="3">
        <v>99.638024999999999</v>
      </c>
      <c r="G632" s="3">
        <v>95.422860999999997</v>
      </c>
      <c r="H632" s="3">
        <v>93.781053</v>
      </c>
      <c r="I632" s="17">
        <f t="shared" si="152"/>
        <v>1.0860484544694987E-2</v>
      </c>
      <c r="J632" s="17">
        <f t="shared" si="153"/>
        <v>6.7003514938488509E-3</v>
      </c>
      <c r="K632" s="17">
        <f t="shared" si="154"/>
        <v>-5.8434243874963682E-3</v>
      </c>
      <c r="L632" s="17">
        <f t="shared" si="155"/>
        <v>-1.0638297872340387E-2</v>
      </c>
      <c r="M632" s="17">
        <f t="shared" si="156"/>
        <v>-2.271126760563379E-2</v>
      </c>
      <c r="N632" s="17">
        <f t="shared" si="157"/>
        <v>-2.9703746347034005E-3</v>
      </c>
      <c r="O632" s="17">
        <f t="shared" si="158"/>
        <v>-9.20001334719231E-4</v>
      </c>
      <c r="P632" s="17">
        <f t="shared" si="159"/>
        <v>6.1121538968261137E-3</v>
      </c>
      <c r="Q632" s="22">
        <f t="shared" si="160"/>
        <v>1.0466010674310253E-2</v>
      </c>
      <c r="R632" s="22">
        <f t="shared" si="161"/>
        <v>6.2696267797716877E-3</v>
      </c>
      <c r="S632" s="22">
        <f t="shared" si="162"/>
        <v>-6.2553837743338147E-3</v>
      </c>
      <c r="T632" s="22">
        <f t="shared" si="163"/>
        <v>-1.0769749381573305E-2</v>
      </c>
      <c r="U632" s="22">
        <f t="shared" si="164"/>
        <v>-2.3404495552587553E-2</v>
      </c>
      <c r="V632" s="22">
        <f t="shared" si="165"/>
        <v>-2.7357708252002204E-3</v>
      </c>
      <c r="W632" s="22">
        <f t="shared" si="166"/>
        <v>-6.65752780628528E-4</v>
      </c>
      <c r="X632" s="22">
        <f t="shared" si="167"/>
        <v>6.4280982814324521E-3</v>
      </c>
    </row>
    <row r="633" spans="1:24" x14ac:dyDescent="0.35">
      <c r="A633" s="3">
        <v>12.14</v>
      </c>
      <c r="B633" s="3">
        <v>92.8</v>
      </c>
      <c r="C633" s="3">
        <v>142.18</v>
      </c>
      <c r="D633" s="3">
        <v>18.64</v>
      </c>
      <c r="E633" s="3">
        <v>56.68</v>
      </c>
      <c r="F633" s="3">
        <v>99.844438999999994</v>
      </c>
      <c r="G633" s="3">
        <v>95.555563000000006</v>
      </c>
      <c r="H633" s="3">
        <v>94.354989000000003</v>
      </c>
      <c r="I633" s="17">
        <f t="shared" si="152"/>
        <v>3.3057851239670184E-3</v>
      </c>
      <c r="J633" s="17">
        <f t="shared" si="153"/>
        <v>1.2547735951991178E-2</v>
      </c>
      <c r="K633" s="17">
        <f t="shared" si="154"/>
        <v>6.8692018978825774E-3</v>
      </c>
      <c r="L633" s="17">
        <f t="shared" si="155"/>
        <v>2.1505376344085562E-3</v>
      </c>
      <c r="M633" s="17">
        <f t="shared" si="156"/>
        <v>2.107728337236537E-2</v>
      </c>
      <c r="N633" s="17">
        <f t="shared" si="157"/>
        <v>2.0716388145990972E-3</v>
      </c>
      <c r="O633" s="17">
        <f t="shared" si="158"/>
        <v>1.3906730379841471E-3</v>
      </c>
      <c r="P633" s="17">
        <f t="shared" si="159"/>
        <v>6.1199568744445994E-3</v>
      </c>
      <c r="Q633" s="22">
        <f t="shared" si="160"/>
        <v>2.9113112535822851E-3</v>
      </c>
      <c r="R633" s="22">
        <f t="shared" si="161"/>
        <v>1.2117011237914014E-2</v>
      </c>
      <c r="S633" s="22">
        <f t="shared" si="162"/>
        <v>6.4572425110451309E-3</v>
      </c>
      <c r="T633" s="22">
        <f t="shared" si="163"/>
        <v>2.0190861251756379E-3</v>
      </c>
      <c r="U633" s="22">
        <f t="shared" si="164"/>
        <v>2.0384055425411607E-2</v>
      </c>
      <c r="V633" s="22">
        <f t="shared" si="165"/>
        <v>2.3062426241022773E-3</v>
      </c>
      <c r="W633" s="22">
        <f t="shared" si="166"/>
        <v>1.6449215920748502E-3</v>
      </c>
      <c r="X633" s="22">
        <f t="shared" si="167"/>
        <v>6.4359012590509378E-3</v>
      </c>
    </row>
    <row r="634" spans="1:24" x14ac:dyDescent="0.35">
      <c r="A634" s="3">
        <v>12.11</v>
      </c>
      <c r="B634" s="3">
        <v>92.25</v>
      </c>
      <c r="C634" s="3">
        <v>141.05000000000001</v>
      </c>
      <c r="D634" s="3">
        <v>18.61</v>
      </c>
      <c r="E634" s="3">
        <v>56.71</v>
      </c>
      <c r="F634" s="3">
        <v>99.776544999999999</v>
      </c>
      <c r="G634" s="3">
        <v>95.522850000000005</v>
      </c>
      <c r="H634" s="3">
        <v>94.238743999999997</v>
      </c>
      <c r="I634" s="17">
        <f t="shared" si="152"/>
        <v>-2.4711696869852665E-3</v>
      </c>
      <c r="J634" s="17">
        <f t="shared" si="153"/>
        <v>-5.9267241379310038E-3</v>
      </c>
      <c r="K634" s="17">
        <f t="shared" si="154"/>
        <v>-7.9476719651146114E-3</v>
      </c>
      <c r="L634" s="17">
        <f t="shared" si="155"/>
        <v>-1.6094420600858978E-3</v>
      </c>
      <c r="M634" s="17">
        <f t="shared" si="156"/>
        <v>5.2928722653495304E-4</v>
      </c>
      <c r="N634" s="17">
        <f t="shared" si="157"/>
        <v>-6.7999781139533937E-4</v>
      </c>
      <c r="O634" s="17">
        <f t="shared" si="158"/>
        <v>-3.4234532216613175E-4</v>
      </c>
      <c r="P634" s="17">
        <f t="shared" si="159"/>
        <v>-1.2319963282493348E-3</v>
      </c>
      <c r="Q634" s="22">
        <f t="shared" si="160"/>
        <v>-2.8656435573699997E-3</v>
      </c>
      <c r="R634" s="22">
        <f t="shared" si="161"/>
        <v>-6.3574488520081671E-3</v>
      </c>
      <c r="S634" s="22">
        <f t="shared" si="162"/>
        <v>-8.3596313519520588E-3</v>
      </c>
      <c r="T634" s="22">
        <f t="shared" si="163"/>
        <v>-1.7408935693188161E-3</v>
      </c>
      <c r="U634" s="22">
        <f t="shared" si="164"/>
        <v>-1.6394072041880947E-4</v>
      </c>
      <c r="V634" s="22">
        <f t="shared" si="165"/>
        <v>-4.4539400189215906E-4</v>
      </c>
      <c r="W634" s="22">
        <f t="shared" si="166"/>
        <v>-8.8096768075428744E-5</v>
      </c>
      <c r="X634" s="22">
        <f t="shared" si="167"/>
        <v>-9.1605194364299597E-4</v>
      </c>
    </row>
    <row r="635" spans="1:24" x14ac:dyDescent="0.35">
      <c r="A635" s="3">
        <v>11.9</v>
      </c>
      <c r="B635" s="3">
        <v>91.15</v>
      </c>
      <c r="C635" s="3">
        <v>146.15</v>
      </c>
      <c r="D635" s="3">
        <v>18.55</v>
      </c>
      <c r="E635" s="3">
        <v>58.62</v>
      </c>
      <c r="F635" s="3">
        <v>99.390117000000004</v>
      </c>
      <c r="G635" s="3">
        <v>95.380160000000004</v>
      </c>
      <c r="H635" s="3">
        <v>93.573352999999997</v>
      </c>
      <c r="I635" s="17">
        <f t="shared" si="152"/>
        <v>-1.7341040462427671E-2</v>
      </c>
      <c r="J635" s="17">
        <f t="shared" si="153"/>
        <v>-1.1924119241192349E-2</v>
      </c>
      <c r="K635" s="17">
        <f t="shared" si="154"/>
        <v>3.615739099610063E-2</v>
      </c>
      <c r="L635" s="17">
        <f t="shared" si="155"/>
        <v>-3.2240730789897219E-3</v>
      </c>
      <c r="M635" s="17">
        <f t="shared" si="156"/>
        <v>3.3680126961735085E-2</v>
      </c>
      <c r="N635" s="17">
        <f t="shared" si="157"/>
        <v>-3.8729342652623934E-3</v>
      </c>
      <c r="O635" s="17">
        <f t="shared" si="158"/>
        <v>-1.4937787136795201E-3</v>
      </c>
      <c r="P635" s="17">
        <f t="shared" si="159"/>
        <v>-7.0606946968648013E-3</v>
      </c>
      <c r="Q635" s="22">
        <f t="shared" si="160"/>
        <v>-1.7735514332812403E-2</v>
      </c>
      <c r="R635" s="22">
        <f t="shared" si="161"/>
        <v>-1.2354843955269514E-2</v>
      </c>
      <c r="S635" s="22">
        <f t="shared" si="162"/>
        <v>3.5745431609263183E-2</v>
      </c>
      <c r="T635" s="22">
        <f t="shared" si="163"/>
        <v>-3.3555245882226402E-3</v>
      </c>
      <c r="U635" s="22">
        <f t="shared" si="164"/>
        <v>3.2986899014781322E-2</v>
      </c>
      <c r="V635" s="22">
        <f t="shared" si="165"/>
        <v>-3.6383304557592133E-3</v>
      </c>
      <c r="W635" s="22">
        <f t="shared" si="166"/>
        <v>-1.239530159588817E-3</v>
      </c>
      <c r="X635" s="22">
        <f t="shared" si="167"/>
        <v>-6.7447503122584629E-3</v>
      </c>
    </row>
    <row r="636" spans="1:24" x14ac:dyDescent="0.35">
      <c r="A636" s="3">
        <v>11.35</v>
      </c>
      <c r="B636" s="3">
        <v>89.06</v>
      </c>
      <c r="C636" s="3">
        <v>144.51</v>
      </c>
      <c r="D636" s="3">
        <v>18.52</v>
      </c>
      <c r="E636" s="3">
        <v>57.86</v>
      </c>
      <c r="F636" s="3">
        <v>98.918468000000004</v>
      </c>
      <c r="G636" s="3">
        <v>95.173404000000005</v>
      </c>
      <c r="H636" s="3">
        <v>92.824203999999995</v>
      </c>
      <c r="I636" s="17">
        <f t="shared" si="152"/>
        <v>-4.6218487394958041E-2</v>
      </c>
      <c r="J636" s="17">
        <f t="shared" si="153"/>
        <v>-2.2929237520570526E-2</v>
      </c>
      <c r="K636" s="17">
        <f t="shared" si="154"/>
        <v>-1.122134793020879E-2</v>
      </c>
      <c r="L636" s="17">
        <f t="shared" si="155"/>
        <v>-1.6172506738545086E-3</v>
      </c>
      <c r="M636" s="17">
        <f t="shared" si="156"/>
        <v>-1.2964858410098909E-2</v>
      </c>
      <c r="N636" s="17">
        <f t="shared" si="157"/>
        <v>-4.7454315804860087E-3</v>
      </c>
      <c r="O636" s="17">
        <f t="shared" si="158"/>
        <v>-2.167704478583372E-3</v>
      </c>
      <c r="P636" s="17">
        <f t="shared" si="159"/>
        <v>-8.0060078642260769E-3</v>
      </c>
      <c r="Q636" s="22">
        <f t="shared" si="160"/>
        <v>-4.6612961265342777E-2</v>
      </c>
      <c r="R636" s="22">
        <f t="shared" si="161"/>
        <v>-2.3359962234647688E-2</v>
      </c>
      <c r="S636" s="22">
        <f t="shared" si="162"/>
        <v>-1.1633307317046237E-2</v>
      </c>
      <c r="T636" s="22">
        <f t="shared" si="163"/>
        <v>-1.7487021830874269E-3</v>
      </c>
      <c r="U636" s="22">
        <f t="shared" si="164"/>
        <v>-1.3658086357052672E-2</v>
      </c>
      <c r="V636" s="22">
        <f t="shared" si="165"/>
        <v>-4.5108277709828282E-3</v>
      </c>
      <c r="W636" s="22">
        <f t="shared" si="166"/>
        <v>-1.9134559244926692E-3</v>
      </c>
      <c r="X636" s="22">
        <f t="shared" si="167"/>
        <v>-7.6900634796197385E-3</v>
      </c>
    </row>
    <row r="637" spans="1:24" x14ac:dyDescent="0.35">
      <c r="A637" s="3">
        <v>11.54</v>
      </c>
      <c r="B637" s="3">
        <v>88.62</v>
      </c>
      <c r="C637" s="3">
        <v>147.47999999999999</v>
      </c>
      <c r="D637" s="3">
        <v>18.559999999999999</v>
      </c>
      <c r="E637" s="3">
        <v>58.21</v>
      </c>
      <c r="F637" s="3">
        <v>99.032572999999999</v>
      </c>
      <c r="G637" s="3">
        <v>94.650654000000003</v>
      </c>
      <c r="H637" s="3">
        <v>92.981808000000001</v>
      </c>
      <c r="I637" s="17">
        <f t="shared" si="152"/>
        <v>1.674008810572683E-2</v>
      </c>
      <c r="J637" s="17">
        <f t="shared" si="153"/>
        <v>-4.9404895576015909E-3</v>
      </c>
      <c r="K637" s="17">
        <f t="shared" si="154"/>
        <v>2.0552210919659534E-2</v>
      </c>
      <c r="L637" s="17">
        <f t="shared" si="155"/>
        <v>2.1598272138228483E-3</v>
      </c>
      <c r="M637" s="17">
        <f t="shared" si="156"/>
        <v>6.0490839958520816E-3</v>
      </c>
      <c r="N637" s="17">
        <f t="shared" si="157"/>
        <v>1.1535257501156914E-3</v>
      </c>
      <c r="O637" s="17">
        <f t="shared" si="158"/>
        <v>-5.4926058964960634E-3</v>
      </c>
      <c r="P637" s="17">
        <f t="shared" si="159"/>
        <v>1.6978761272222309E-3</v>
      </c>
      <c r="Q637" s="22">
        <f t="shared" si="160"/>
        <v>1.6345614235342098E-2</v>
      </c>
      <c r="R637" s="22">
        <f t="shared" si="161"/>
        <v>-5.3712142716787542E-3</v>
      </c>
      <c r="S637" s="22">
        <f t="shared" si="162"/>
        <v>2.0140251532822086E-2</v>
      </c>
      <c r="T637" s="22">
        <f t="shared" si="163"/>
        <v>2.02837570458993E-3</v>
      </c>
      <c r="U637" s="22">
        <f t="shared" si="164"/>
        <v>5.3558560488983194E-3</v>
      </c>
      <c r="V637" s="22">
        <f t="shared" si="165"/>
        <v>1.3881295596188717E-3</v>
      </c>
      <c r="W637" s="22">
        <f t="shared" si="166"/>
        <v>-5.2383573424053601E-3</v>
      </c>
      <c r="X637" s="22">
        <f t="shared" si="167"/>
        <v>2.0138205118285695E-3</v>
      </c>
    </row>
    <row r="638" spans="1:24" x14ac:dyDescent="0.35">
      <c r="A638" s="3">
        <v>11.7</v>
      </c>
      <c r="B638" s="3">
        <v>87.61</v>
      </c>
      <c r="C638" s="3">
        <v>146.07</v>
      </c>
      <c r="D638" s="3">
        <v>18.27</v>
      </c>
      <c r="E638" s="3">
        <v>58.77</v>
      </c>
      <c r="F638" s="3">
        <v>98.831288999999998</v>
      </c>
      <c r="G638" s="3">
        <v>94.294085999999993</v>
      </c>
      <c r="H638" s="3">
        <v>92.733867000000004</v>
      </c>
      <c r="I638" s="17">
        <f t="shared" si="152"/>
        <v>1.3864818024263445E-2</v>
      </c>
      <c r="J638" s="17">
        <f t="shared" si="153"/>
        <v>-1.1396975851952212E-2</v>
      </c>
      <c r="K638" s="17">
        <f t="shared" si="154"/>
        <v>-9.5606183889340706E-3</v>
      </c>
      <c r="L638" s="17">
        <f t="shared" si="155"/>
        <v>-1.5624999999999955E-2</v>
      </c>
      <c r="M638" s="17">
        <f t="shared" si="156"/>
        <v>9.6203401477409772E-3</v>
      </c>
      <c r="N638" s="17">
        <f t="shared" si="157"/>
        <v>-2.0325029826297769E-3</v>
      </c>
      <c r="O638" s="17">
        <f t="shared" si="158"/>
        <v>-3.7672005943034477E-3</v>
      </c>
      <c r="P638" s="17">
        <f t="shared" si="159"/>
        <v>-2.6665538704086856E-3</v>
      </c>
      <c r="Q638" s="22">
        <f t="shared" si="160"/>
        <v>1.3470344153878711E-2</v>
      </c>
      <c r="R638" s="22">
        <f t="shared" si="161"/>
        <v>-1.1827700566029376E-2</v>
      </c>
      <c r="S638" s="22">
        <f t="shared" si="162"/>
        <v>-9.972577775771518E-3</v>
      </c>
      <c r="T638" s="22">
        <f t="shared" si="163"/>
        <v>-1.5756451509232872E-2</v>
      </c>
      <c r="U638" s="22">
        <f t="shared" si="164"/>
        <v>8.9271122007872142E-3</v>
      </c>
      <c r="V638" s="22">
        <f t="shared" si="165"/>
        <v>-1.7978991731265965E-3</v>
      </c>
      <c r="W638" s="22">
        <f t="shared" si="166"/>
        <v>-3.5129520402127448E-3</v>
      </c>
      <c r="X638" s="22">
        <f t="shared" si="167"/>
        <v>-2.3506094858023467E-3</v>
      </c>
    </row>
    <row r="639" spans="1:24" x14ac:dyDescent="0.35">
      <c r="A639" s="3">
        <v>11.9</v>
      </c>
      <c r="B639" s="3">
        <v>89.45</v>
      </c>
      <c r="C639" s="3">
        <v>146.63</v>
      </c>
      <c r="D639" s="3">
        <v>18.809999999999999</v>
      </c>
      <c r="E639" s="3">
        <v>57.29</v>
      </c>
      <c r="F639" s="3">
        <v>98.765407999999994</v>
      </c>
      <c r="G639" s="3">
        <v>94.262856999999997</v>
      </c>
      <c r="H639" s="3">
        <v>92.621508000000006</v>
      </c>
      <c r="I639" s="17">
        <f t="shared" si="152"/>
        <v>1.7094017094017186E-2</v>
      </c>
      <c r="J639" s="17">
        <f t="shared" si="153"/>
        <v>2.1002168702202985E-2</v>
      </c>
      <c r="K639" s="17">
        <f t="shared" si="154"/>
        <v>3.8337783254604116E-3</v>
      </c>
      <c r="L639" s="17">
        <f t="shared" si="155"/>
        <v>2.9556650246305372E-2</v>
      </c>
      <c r="M639" s="17">
        <f t="shared" si="156"/>
        <v>-2.5182916453973182E-2</v>
      </c>
      <c r="N639" s="17">
        <f t="shared" si="157"/>
        <v>-6.666006349467376E-4</v>
      </c>
      <c r="O639" s="17">
        <f t="shared" si="158"/>
        <v>-3.3118726024870934E-4</v>
      </c>
      <c r="P639" s="17">
        <f t="shared" si="159"/>
        <v>-1.2116285412749786E-3</v>
      </c>
      <c r="Q639" s="22">
        <f t="shared" si="160"/>
        <v>1.6699543223632454E-2</v>
      </c>
      <c r="R639" s="22">
        <f t="shared" si="161"/>
        <v>2.0571443988125823E-2</v>
      </c>
      <c r="S639" s="22">
        <f t="shared" si="162"/>
        <v>3.4218189386229646E-3</v>
      </c>
      <c r="T639" s="22">
        <f t="shared" si="163"/>
        <v>2.9425198737072455E-2</v>
      </c>
      <c r="U639" s="22">
        <f t="shared" si="164"/>
        <v>-2.5876144400926945E-2</v>
      </c>
      <c r="V639" s="22">
        <f t="shared" si="165"/>
        <v>-4.3199682544355729E-4</v>
      </c>
      <c r="W639" s="22">
        <f t="shared" si="166"/>
        <v>-7.6938706158006338E-5</v>
      </c>
      <c r="X639" s="22">
        <f t="shared" si="167"/>
        <v>-8.9568415666863976E-4</v>
      </c>
    </row>
    <row r="640" spans="1:24" x14ac:dyDescent="0.35">
      <c r="A640" s="3">
        <v>11.88</v>
      </c>
      <c r="B640" s="3">
        <v>88.47</v>
      </c>
      <c r="C640" s="3">
        <v>146.16999999999999</v>
      </c>
      <c r="D640" s="3">
        <v>18.46</v>
      </c>
      <c r="E640" s="3">
        <v>57.92</v>
      </c>
      <c r="F640" s="3">
        <v>99.828719000000007</v>
      </c>
      <c r="G640" s="3">
        <v>95.373154</v>
      </c>
      <c r="H640" s="3">
        <v>93.320024000000004</v>
      </c>
      <c r="I640" s="17">
        <f t="shared" si="152"/>
        <v>-1.6806722689075271E-3</v>
      </c>
      <c r="J640" s="17">
        <f t="shared" si="153"/>
        <v>-1.0955841252096187E-2</v>
      </c>
      <c r="K640" s="17">
        <f t="shared" si="154"/>
        <v>-3.137147923344527E-3</v>
      </c>
      <c r="L640" s="17">
        <f t="shared" si="155"/>
        <v>-1.8607123870281652E-2</v>
      </c>
      <c r="M640" s="17">
        <f t="shared" si="156"/>
        <v>1.0996683539884842E-2</v>
      </c>
      <c r="N640" s="17">
        <f t="shared" si="157"/>
        <v>1.0766026501910598E-2</v>
      </c>
      <c r="O640" s="17">
        <f t="shared" si="158"/>
        <v>1.1778732740935306E-2</v>
      </c>
      <c r="P640" s="17">
        <f t="shared" si="159"/>
        <v>7.541617655372204E-3</v>
      </c>
      <c r="Q640" s="22">
        <f t="shared" si="160"/>
        <v>-2.0751461392922604E-3</v>
      </c>
      <c r="R640" s="22">
        <f t="shared" si="161"/>
        <v>-1.1386565966173351E-2</v>
      </c>
      <c r="S640" s="22">
        <f t="shared" si="162"/>
        <v>-3.549107310181974E-3</v>
      </c>
      <c r="T640" s="22">
        <f t="shared" si="163"/>
        <v>-1.8738575379514569E-2</v>
      </c>
      <c r="U640" s="22">
        <f t="shared" si="164"/>
        <v>1.0303455592931079E-2</v>
      </c>
      <c r="V640" s="22">
        <f t="shared" si="165"/>
        <v>1.1000630311413778E-2</v>
      </c>
      <c r="W640" s="22">
        <f t="shared" si="166"/>
        <v>1.2032981295026009E-2</v>
      </c>
      <c r="X640" s="22">
        <f t="shared" si="167"/>
        <v>7.8575620399785433E-3</v>
      </c>
    </row>
    <row r="641" spans="1:24" x14ac:dyDescent="0.35">
      <c r="A641" s="3">
        <v>12.39</v>
      </c>
      <c r="B641" s="3">
        <v>89.89</v>
      </c>
      <c r="C641" s="3">
        <v>146.72</v>
      </c>
      <c r="D641" s="3">
        <v>18.29</v>
      </c>
      <c r="E641" s="3">
        <v>58.77</v>
      </c>
      <c r="F641" s="3">
        <v>100.309724</v>
      </c>
      <c r="G641" s="3">
        <v>95.440845999999993</v>
      </c>
      <c r="H641" s="3">
        <v>94.413325</v>
      </c>
      <c r="I641" s="17">
        <f t="shared" si="152"/>
        <v>4.2929292929292907E-2</v>
      </c>
      <c r="J641" s="17">
        <f t="shared" si="153"/>
        <v>1.605063863456541E-2</v>
      </c>
      <c r="K641" s="17">
        <f t="shared" si="154"/>
        <v>3.7627420127249876E-3</v>
      </c>
      <c r="L641" s="17">
        <f t="shared" si="155"/>
        <v>-9.2091007583966246E-3</v>
      </c>
      <c r="M641" s="17">
        <f t="shared" si="156"/>
        <v>1.4675414364640907E-2</v>
      </c>
      <c r="N641" s="17">
        <f t="shared" si="157"/>
        <v>4.8183028372826868E-3</v>
      </c>
      <c r="O641" s="17">
        <f t="shared" si="158"/>
        <v>7.0975947801824686E-4</v>
      </c>
      <c r="P641" s="17">
        <f t="shared" si="159"/>
        <v>1.171560993169051E-2</v>
      </c>
      <c r="Q641" s="22">
        <f t="shared" si="160"/>
        <v>4.2534819058908171E-2</v>
      </c>
      <c r="R641" s="22">
        <f t="shared" si="161"/>
        <v>1.5619913920488246E-2</v>
      </c>
      <c r="S641" s="22">
        <f t="shared" si="162"/>
        <v>3.3507826258875406E-3</v>
      </c>
      <c r="T641" s="22">
        <f t="shared" si="163"/>
        <v>-9.340552267629542E-3</v>
      </c>
      <c r="U641" s="22">
        <f t="shared" si="164"/>
        <v>1.3982186417687144E-2</v>
      </c>
      <c r="V641" s="22">
        <f t="shared" si="165"/>
        <v>5.0529066467858673E-3</v>
      </c>
      <c r="W641" s="22">
        <f t="shared" si="166"/>
        <v>9.6400803210894986E-4</v>
      </c>
      <c r="X641" s="22">
        <f t="shared" si="167"/>
        <v>1.2031554316296848E-2</v>
      </c>
    </row>
    <row r="642" spans="1:24" x14ac:dyDescent="0.35">
      <c r="A642" s="3">
        <v>12.22</v>
      </c>
      <c r="B642" s="3">
        <v>89.63</v>
      </c>
      <c r="C642" s="3">
        <v>147.51</v>
      </c>
      <c r="D642" s="3">
        <v>17.96</v>
      </c>
      <c r="E642" s="3">
        <v>58.47</v>
      </c>
      <c r="F642" s="3">
        <v>100.01430999999999</v>
      </c>
      <c r="G642" s="3">
        <v>95.081326000000004</v>
      </c>
      <c r="H642" s="3">
        <v>94.023178000000001</v>
      </c>
      <c r="I642" s="17">
        <f t="shared" si="152"/>
        <v>-1.372074253430185E-2</v>
      </c>
      <c r="J642" s="17">
        <f t="shared" si="153"/>
        <v>-2.892424073868118E-3</v>
      </c>
      <c r="K642" s="17">
        <f t="shared" si="154"/>
        <v>5.3844056706651581E-3</v>
      </c>
      <c r="L642" s="17">
        <f t="shared" si="155"/>
        <v>-1.8042646254783943E-2</v>
      </c>
      <c r="M642" s="17">
        <f t="shared" si="156"/>
        <v>-5.1046452271567852E-3</v>
      </c>
      <c r="N642" s="17">
        <f t="shared" si="157"/>
        <v>-2.9450185706822209E-3</v>
      </c>
      <c r="O642" s="17">
        <f t="shared" si="158"/>
        <v>-3.766940624143139E-3</v>
      </c>
      <c r="P642" s="17">
        <f t="shared" si="159"/>
        <v>-4.1323298379757189E-3</v>
      </c>
      <c r="Q642" s="22">
        <f t="shared" si="160"/>
        <v>-1.4115216404686584E-2</v>
      </c>
      <c r="R642" s="22">
        <f t="shared" si="161"/>
        <v>-3.3231487879452817E-3</v>
      </c>
      <c r="S642" s="22">
        <f t="shared" si="162"/>
        <v>4.9724462838277115E-3</v>
      </c>
      <c r="T642" s="22">
        <f t="shared" si="163"/>
        <v>-1.817409776401686E-2</v>
      </c>
      <c r="U642" s="22">
        <f t="shared" si="164"/>
        <v>-5.7978731741105474E-3</v>
      </c>
      <c r="V642" s="22">
        <f t="shared" si="165"/>
        <v>-2.7104147611790408E-3</v>
      </c>
      <c r="W642" s="22">
        <f t="shared" si="166"/>
        <v>-3.5126920700524361E-3</v>
      </c>
      <c r="X642" s="22">
        <f t="shared" si="167"/>
        <v>-3.8163854533693801E-3</v>
      </c>
    </row>
    <row r="643" spans="1:24" x14ac:dyDescent="0.35">
      <c r="A643" s="3">
        <v>12.35</v>
      </c>
      <c r="B643" s="3">
        <v>88.83</v>
      </c>
      <c r="C643" s="3">
        <v>147.13</v>
      </c>
      <c r="D643" s="3">
        <v>17.829999999999998</v>
      </c>
      <c r="E643" s="3">
        <v>58.32</v>
      </c>
      <c r="F643" s="3">
        <v>100.03796699999999</v>
      </c>
      <c r="G643" s="3">
        <v>95.486001000000002</v>
      </c>
      <c r="H643" s="3">
        <v>93.976941999999994</v>
      </c>
      <c r="I643" s="17">
        <f t="shared" si="152"/>
        <v>1.0638297872340344E-2</v>
      </c>
      <c r="J643" s="17">
        <f t="shared" si="153"/>
        <v>-8.9255829521365307E-3</v>
      </c>
      <c r="K643" s="17">
        <f t="shared" si="154"/>
        <v>-2.576096535828049E-3</v>
      </c>
      <c r="L643" s="17">
        <f t="shared" si="155"/>
        <v>-7.2383073496660663E-3</v>
      </c>
      <c r="M643" s="17">
        <f t="shared" si="156"/>
        <v>-2.5654181631605709E-3</v>
      </c>
      <c r="N643" s="17">
        <f t="shared" si="157"/>
        <v>2.3653615167669548E-4</v>
      </c>
      <c r="O643" s="17">
        <f t="shared" si="158"/>
        <v>4.256093357385418E-3</v>
      </c>
      <c r="P643" s="17">
        <f t="shared" si="159"/>
        <v>-4.9175108716286418E-4</v>
      </c>
      <c r="Q643" s="22">
        <f t="shared" si="160"/>
        <v>1.024382400195561E-2</v>
      </c>
      <c r="R643" s="22">
        <f t="shared" si="161"/>
        <v>-9.3563076662136948E-3</v>
      </c>
      <c r="S643" s="22">
        <f t="shared" si="162"/>
        <v>-2.988055922665496E-3</v>
      </c>
      <c r="T643" s="22">
        <f t="shared" si="163"/>
        <v>-7.3697588588989846E-3</v>
      </c>
      <c r="U643" s="22">
        <f t="shared" si="164"/>
        <v>-3.2586461101143335E-3</v>
      </c>
      <c r="V643" s="22">
        <f t="shared" si="165"/>
        <v>4.7113996117987579E-4</v>
      </c>
      <c r="W643" s="22">
        <f t="shared" si="166"/>
        <v>4.5103419114761213E-3</v>
      </c>
      <c r="X643" s="22">
        <f t="shared" si="167"/>
        <v>-1.7580670255652541E-4</v>
      </c>
    </row>
    <row r="644" spans="1:24" x14ac:dyDescent="0.35">
      <c r="A644" s="3">
        <v>12.52</v>
      </c>
      <c r="B644" s="3">
        <v>90.39</v>
      </c>
      <c r="C644" s="3">
        <v>147.91</v>
      </c>
      <c r="D644" s="3">
        <v>17.78</v>
      </c>
      <c r="E644" s="3">
        <v>58.08</v>
      </c>
      <c r="F644" s="3">
        <v>100.33474699999999</v>
      </c>
      <c r="G644" s="3">
        <v>95.837511000000006</v>
      </c>
      <c r="H644" s="3">
        <v>94.204797999999997</v>
      </c>
      <c r="I644" s="17">
        <f t="shared" ref="I644:I707" si="168">(A644-A643)/A643</f>
        <v>1.3765182186234813E-2</v>
      </c>
      <c r="J644" s="17">
        <f t="shared" ref="J644:J707" si="169">(B644-B643)/B643</f>
        <v>1.7561634582911205E-2</v>
      </c>
      <c r="K644" s="17">
        <f t="shared" ref="K644:K707" si="170">(C644-C643)/C643</f>
        <v>5.3014341058927562E-3</v>
      </c>
      <c r="L644" s="17">
        <f t="shared" ref="L644:L707" si="171">(D644-D643)/D643</f>
        <v>-2.8042624789678724E-3</v>
      </c>
      <c r="M644" s="17">
        <f t="shared" ref="M644:M707" si="172">(E644-E643)/E643</f>
        <v>-4.1152263374485938E-3</v>
      </c>
      <c r="N644" s="17">
        <f t="shared" ref="N644:N707" si="173">(F644-F643)/F643</f>
        <v>2.9666736430179383E-3</v>
      </c>
      <c r="O644" s="17">
        <f t="shared" ref="O644:O707" si="174">(G644-G643)/G643</f>
        <v>3.6812726087461201E-3</v>
      </c>
      <c r="P644" s="17">
        <f t="shared" ref="P644:P707" si="175">(H644-H643)/H643</f>
        <v>2.424594747932985E-3</v>
      </c>
      <c r="Q644" s="22">
        <f t="shared" si="160"/>
        <v>1.3370708315850079E-2</v>
      </c>
      <c r="R644" s="22">
        <f t="shared" si="161"/>
        <v>1.7130909868834043E-2</v>
      </c>
      <c r="S644" s="22">
        <f t="shared" si="162"/>
        <v>4.8894747190553096E-3</v>
      </c>
      <c r="T644" s="22">
        <f t="shared" si="163"/>
        <v>-2.9357139882007907E-3</v>
      </c>
      <c r="U644" s="22">
        <f t="shared" si="164"/>
        <v>-4.808454284402356E-3</v>
      </c>
      <c r="V644" s="22">
        <f t="shared" si="165"/>
        <v>3.2012774525211184E-3</v>
      </c>
      <c r="W644" s="22">
        <f t="shared" si="166"/>
        <v>3.935521162836823E-3</v>
      </c>
      <c r="X644" s="22">
        <f t="shared" si="167"/>
        <v>2.7405391325393239E-3</v>
      </c>
    </row>
    <row r="645" spans="1:24" x14ac:dyDescent="0.35">
      <c r="A645" s="3">
        <v>12.48</v>
      </c>
      <c r="B645" s="3">
        <v>87.79</v>
      </c>
      <c r="C645" s="3">
        <v>150.07</v>
      </c>
      <c r="D645" s="3">
        <v>17.59</v>
      </c>
      <c r="E645" s="3">
        <v>56.89</v>
      </c>
      <c r="F645" s="3">
        <v>100.039884</v>
      </c>
      <c r="G645" s="3">
        <v>95.805117999999993</v>
      </c>
      <c r="H645" s="3">
        <v>93.272850000000005</v>
      </c>
      <c r="I645" s="17">
        <f t="shared" si="168"/>
        <v>-3.1948881789136702E-3</v>
      </c>
      <c r="J645" s="17">
        <f t="shared" si="169"/>
        <v>-2.8764243832282269E-2</v>
      </c>
      <c r="K645" s="17">
        <f t="shared" si="170"/>
        <v>1.4603475086201046E-2</v>
      </c>
      <c r="L645" s="17">
        <f t="shared" si="171"/>
        <v>-1.0686164229471388E-2</v>
      </c>
      <c r="M645" s="17">
        <f t="shared" si="172"/>
        <v>-2.0488980716253404E-2</v>
      </c>
      <c r="N645" s="17">
        <f t="shared" si="173"/>
        <v>-2.9387924803357737E-3</v>
      </c>
      <c r="O645" s="17">
        <f t="shared" si="174"/>
        <v>-3.3799917863072649E-4</v>
      </c>
      <c r="P645" s="17">
        <f t="shared" si="175"/>
        <v>-9.8927869894693838E-3</v>
      </c>
      <c r="Q645" s="22">
        <f t="shared" ref="Q645:Q708" si="176">I645-AB$2</f>
        <v>-3.5893620492984035E-3</v>
      </c>
      <c r="R645" s="22">
        <f t="shared" ref="R645:R708" si="177">J645-AC$2</f>
        <v>-2.9194968546359432E-2</v>
      </c>
      <c r="S645" s="22">
        <f t="shared" ref="S645:S708" si="178">K645-AD$2</f>
        <v>1.4191515699363598E-2</v>
      </c>
      <c r="T645" s="22">
        <f t="shared" ref="T645:T708" si="179">L645-AE$2</f>
        <v>-1.0817615738704305E-2</v>
      </c>
      <c r="U645" s="22">
        <f t="shared" ref="U645:U708" si="180">M645-AF$2</f>
        <v>-2.1182208663207167E-2</v>
      </c>
      <c r="V645" s="22">
        <f t="shared" ref="V645:V708" si="181">N645-AG$2</f>
        <v>-2.7041886708325936E-3</v>
      </c>
      <c r="W645" s="22">
        <f t="shared" ref="W645:W708" si="182">O645-AH$2</f>
        <v>-8.3750624540023487E-5</v>
      </c>
      <c r="X645" s="22">
        <f t="shared" ref="X645:X708" si="183">P645-AI$2</f>
        <v>-9.5768426048630454E-3</v>
      </c>
    </row>
    <row r="646" spans="1:24" x14ac:dyDescent="0.35">
      <c r="A646" s="3">
        <v>12.6</v>
      </c>
      <c r="B646" s="3">
        <v>87</v>
      </c>
      <c r="C646" s="3">
        <v>148.15</v>
      </c>
      <c r="D646" s="3">
        <v>17.489999999999998</v>
      </c>
      <c r="E646" s="3">
        <v>55.91</v>
      </c>
      <c r="F646" s="3">
        <v>99.658734999999993</v>
      </c>
      <c r="G646" s="3">
        <v>95.489761000000001</v>
      </c>
      <c r="H646" s="3">
        <v>93.407640000000001</v>
      </c>
      <c r="I646" s="17">
        <f t="shared" si="168"/>
        <v>9.6153846153845517E-3</v>
      </c>
      <c r="J646" s="17">
        <f t="shared" si="169"/>
        <v>-8.9987470099100828E-3</v>
      </c>
      <c r="K646" s="17">
        <f t="shared" si="170"/>
        <v>-1.2794029452921888E-2</v>
      </c>
      <c r="L646" s="17">
        <f t="shared" si="171"/>
        <v>-5.6850483229108255E-3</v>
      </c>
      <c r="M646" s="17">
        <f t="shared" si="172"/>
        <v>-1.7226226050272526E-2</v>
      </c>
      <c r="N646" s="17">
        <f t="shared" si="173"/>
        <v>-3.8099704313932204E-3</v>
      </c>
      <c r="O646" s="17">
        <f t="shared" si="174"/>
        <v>-3.2916508698417521E-3</v>
      </c>
      <c r="P646" s="17">
        <f t="shared" si="175"/>
        <v>1.445115057597096E-3</v>
      </c>
      <c r="Q646" s="22">
        <f t="shared" si="176"/>
        <v>9.2209107449998176E-3</v>
      </c>
      <c r="R646" s="22">
        <f t="shared" si="177"/>
        <v>-9.4294717239872469E-3</v>
      </c>
      <c r="S646" s="22">
        <f t="shared" si="178"/>
        <v>-1.3205988839759335E-2</v>
      </c>
      <c r="T646" s="22">
        <f t="shared" si="179"/>
        <v>-5.8164998321437438E-3</v>
      </c>
      <c r="U646" s="22">
        <f t="shared" si="180"/>
        <v>-1.791945399722629E-2</v>
      </c>
      <c r="V646" s="22">
        <f t="shared" si="181"/>
        <v>-3.5753666218900403E-3</v>
      </c>
      <c r="W646" s="22">
        <f t="shared" si="182"/>
        <v>-3.0374023157510492E-3</v>
      </c>
      <c r="X646" s="22">
        <f t="shared" si="183"/>
        <v>1.7610594422034348E-3</v>
      </c>
    </row>
    <row r="647" spans="1:24" x14ac:dyDescent="0.35">
      <c r="A647" s="3">
        <v>12.58</v>
      </c>
      <c r="B647" s="3">
        <v>88.76</v>
      </c>
      <c r="C647" s="3">
        <v>145.97</v>
      </c>
      <c r="D647" s="3">
        <v>17.53</v>
      </c>
      <c r="E647" s="3">
        <v>55.98</v>
      </c>
      <c r="F647" s="3">
        <v>99.772807999999998</v>
      </c>
      <c r="G647" s="3">
        <v>95.240106999999995</v>
      </c>
      <c r="H647" s="3">
        <v>93.227148</v>
      </c>
      <c r="I647" s="17">
        <f t="shared" si="168"/>
        <v>-1.5873015873015535E-3</v>
      </c>
      <c r="J647" s="17">
        <f t="shared" si="169"/>
        <v>2.0229885057471322E-2</v>
      </c>
      <c r="K647" s="17">
        <f t="shared" si="170"/>
        <v>-1.4714816064799236E-2</v>
      </c>
      <c r="L647" s="17">
        <f t="shared" si="171"/>
        <v>2.287021154945838E-3</v>
      </c>
      <c r="M647" s="17">
        <f t="shared" si="172"/>
        <v>1.2520121624038686E-3</v>
      </c>
      <c r="N647" s="17">
        <f t="shared" si="173"/>
        <v>1.1446362428742926E-3</v>
      </c>
      <c r="O647" s="17">
        <f t="shared" si="174"/>
        <v>-2.6144583187301799E-3</v>
      </c>
      <c r="P647" s="17">
        <f t="shared" si="175"/>
        <v>-1.9323044667438442E-3</v>
      </c>
      <c r="Q647" s="22">
        <f t="shared" si="176"/>
        <v>-1.9817754576862867E-3</v>
      </c>
      <c r="R647" s="22">
        <f t="shared" si="177"/>
        <v>1.979916034339416E-2</v>
      </c>
      <c r="S647" s="22">
        <f t="shared" si="178"/>
        <v>-1.5126775451636683E-2</v>
      </c>
      <c r="T647" s="22">
        <f t="shared" si="179"/>
        <v>2.1555696457129197E-3</v>
      </c>
      <c r="U647" s="22">
        <f t="shared" si="180"/>
        <v>5.587842154501061E-4</v>
      </c>
      <c r="V647" s="22">
        <f t="shared" si="181"/>
        <v>1.3792400523774729E-3</v>
      </c>
      <c r="W647" s="22">
        <f t="shared" si="182"/>
        <v>-2.360209764639477E-3</v>
      </c>
      <c r="X647" s="22">
        <f t="shared" si="183"/>
        <v>-1.6163600821375054E-3</v>
      </c>
    </row>
    <row r="648" spans="1:24" x14ac:dyDescent="0.35">
      <c r="A648" s="3">
        <v>12.44</v>
      </c>
      <c r="B648" s="3">
        <v>86.79</v>
      </c>
      <c r="C648" s="3">
        <v>148.51</v>
      </c>
      <c r="D648" s="3">
        <v>17.670000000000002</v>
      </c>
      <c r="E648" s="3">
        <v>56.13</v>
      </c>
      <c r="F648" s="3">
        <v>99.706468999999998</v>
      </c>
      <c r="G648" s="3">
        <v>95.426029</v>
      </c>
      <c r="H648" s="3">
        <v>93.520122999999998</v>
      </c>
      <c r="I648" s="17">
        <f t="shared" si="168"/>
        <v>-1.1128775834658232E-2</v>
      </c>
      <c r="J648" s="17">
        <f t="shared" si="169"/>
        <v>-2.2194682289319499E-2</v>
      </c>
      <c r="K648" s="17">
        <f t="shared" si="170"/>
        <v>1.7400835788175598E-2</v>
      </c>
      <c r="L648" s="17">
        <f t="shared" si="171"/>
        <v>7.9863091842555939E-3</v>
      </c>
      <c r="M648" s="17">
        <f t="shared" si="172"/>
        <v>2.6795284030011737E-3</v>
      </c>
      <c r="N648" s="17">
        <f t="shared" si="173"/>
        <v>-6.6490060097335599E-4</v>
      </c>
      <c r="O648" s="17">
        <f t="shared" si="174"/>
        <v>1.9521397639757486E-3</v>
      </c>
      <c r="P648" s="17">
        <f t="shared" si="175"/>
        <v>3.142593185409881E-3</v>
      </c>
      <c r="Q648" s="22">
        <f t="shared" si="176"/>
        <v>-1.1523249705042966E-2</v>
      </c>
      <c r="R648" s="22">
        <f t="shared" si="177"/>
        <v>-2.2625407003396662E-2</v>
      </c>
      <c r="S648" s="22">
        <f t="shared" si="178"/>
        <v>1.698887640133815E-2</v>
      </c>
      <c r="T648" s="22">
        <f t="shared" si="179"/>
        <v>7.8548576750226765E-3</v>
      </c>
      <c r="U648" s="22">
        <f t="shared" si="180"/>
        <v>1.9863004560474111E-3</v>
      </c>
      <c r="V648" s="22">
        <f t="shared" si="181"/>
        <v>-4.3029679147017568E-4</v>
      </c>
      <c r="W648" s="22">
        <f t="shared" si="182"/>
        <v>2.2063883180664517E-3</v>
      </c>
      <c r="X648" s="22">
        <f t="shared" si="183"/>
        <v>3.4585375700162198E-3</v>
      </c>
    </row>
    <row r="649" spans="1:24" x14ac:dyDescent="0.35">
      <c r="A649" s="3">
        <v>12.65</v>
      </c>
      <c r="B649" s="3">
        <v>87.97</v>
      </c>
      <c r="C649" s="3">
        <v>151.55000000000001</v>
      </c>
      <c r="D649" s="3">
        <v>17.71</v>
      </c>
      <c r="E649" s="3">
        <v>57.11</v>
      </c>
      <c r="F649" s="3">
        <v>99.460521999999997</v>
      </c>
      <c r="G649" s="3">
        <v>95.231206999999998</v>
      </c>
      <c r="H649" s="3">
        <v>93.271950000000004</v>
      </c>
      <c r="I649" s="17">
        <f t="shared" si="168"/>
        <v>1.6881028938906823E-2</v>
      </c>
      <c r="J649" s="17">
        <f t="shared" si="169"/>
        <v>1.3596036409724536E-2</v>
      </c>
      <c r="K649" s="17">
        <f t="shared" si="170"/>
        <v>2.0470002020066127E-2</v>
      </c>
      <c r="L649" s="17">
        <f t="shared" si="171"/>
        <v>2.263723825693217E-3</v>
      </c>
      <c r="M649" s="17">
        <f t="shared" si="172"/>
        <v>1.7459469089613339E-2</v>
      </c>
      <c r="N649" s="17">
        <f t="shared" si="173"/>
        <v>-2.466710560174396E-3</v>
      </c>
      <c r="O649" s="17">
        <f t="shared" si="174"/>
        <v>-2.0416022970001406E-3</v>
      </c>
      <c r="P649" s="17">
        <f t="shared" si="175"/>
        <v>-2.6536855602723513E-3</v>
      </c>
      <c r="Q649" s="22">
        <f t="shared" si="176"/>
        <v>1.6486555068522091E-2</v>
      </c>
      <c r="R649" s="22">
        <f t="shared" si="177"/>
        <v>1.3165311695647372E-2</v>
      </c>
      <c r="S649" s="22">
        <f t="shared" si="178"/>
        <v>2.0058042633228679E-2</v>
      </c>
      <c r="T649" s="22">
        <f t="shared" si="179"/>
        <v>2.1322723164602987E-3</v>
      </c>
      <c r="U649" s="22">
        <f t="shared" si="180"/>
        <v>1.6766241142659576E-2</v>
      </c>
      <c r="V649" s="22">
        <f t="shared" si="181"/>
        <v>-2.2321067506712159E-3</v>
      </c>
      <c r="W649" s="22">
        <f t="shared" si="182"/>
        <v>-1.7873537429094377E-3</v>
      </c>
      <c r="X649" s="22">
        <f t="shared" si="183"/>
        <v>-2.3377411756660125E-3</v>
      </c>
    </row>
    <row r="650" spans="1:24" x14ac:dyDescent="0.35">
      <c r="A650" s="3">
        <v>12.82</v>
      </c>
      <c r="B650" s="3">
        <v>88.18</v>
      </c>
      <c r="C650" s="3">
        <v>154.91</v>
      </c>
      <c r="D650" s="3">
        <v>17.670000000000002</v>
      </c>
      <c r="E650" s="3">
        <v>57.79</v>
      </c>
      <c r="F650" s="3">
        <v>99.619247000000001</v>
      </c>
      <c r="G650" s="3">
        <v>95.037125000000003</v>
      </c>
      <c r="H650" s="3">
        <v>93.768446999999995</v>
      </c>
      <c r="I650" s="17">
        <f t="shared" si="168"/>
        <v>1.3438735177865606E-2</v>
      </c>
      <c r="J650" s="17">
        <f t="shared" si="169"/>
        <v>2.3871774468569736E-3</v>
      </c>
      <c r="K650" s="17">
        <f t="shared" si="170"/>
        <v>2.2170900692840549E-2</v>
      </c>
      <c r="L650" s="17">
        <f t="shared" si="171"/>
        <v>-2.2586109542630799E-3</v>
      </c>
      <c r="M650" s="17">
        <f t="shared" si="172"/>
        <v>1.1906846436701098E-2</v>
      </c>
      <c r="N650" s="17">
        <f t="shared" si="173"/>
        <v>1.5958593098878368E-3</v>
      </c>
      <c r="O650" s="17">
        <f t="shared" si="174"/>
        <v>-2.0380084020146308E-3</v>
      </c>
      <c r="P650" s="17">
        <f t="shared" si="175"/>
        <v>5.3231116107253125E-3</v>
      </c>
      <c r="Q650" s="22">
        <f t="shared" si="176"/>
        <v>1.3044261307480872E-2</v>
      </c>
      <c r="R650" s="22">
        <f t="shared" si="177"/>
        <v>1.9564527327798099E-3</v>
      </c>
      <c r="S650" s="22">
        <f t="shared" si="178"/>
        <v>2.1758941306003102E-2</v>
      </c>
      <c r="T650" s="22">
        <f t="shared" si="179"/>
        <v>-2.3900624634959982E-3</v>
      </c>
      <c r="U650" s="22">
        <f t="shared" si="180"/>
        <v>1.1213618489747335E-2</v>
      </c>
      <c r="V650" s="22">
        <f t="shared" si="181"/>
        <v>1.8304631193910171E-3</v>
      </c>
      <c r="W650" s="22">
        <f t="shared" si="182"/>
        <v>-1.7837598479239279E-3</v>
      </c>
      <c r="X650" s="22">
        <f t="shared" si="183"/>
        <v>5.6390559953316509E-3</v>
      </c>
    </row>
    <row r="651" spans="1:24" x14ac:dyDescent="0.35">
      <c r="A651" s="3">
        <v>12.78</v>
      </c>
      <c r="B651" s="3">
        <v>87.17</v>
      </c>
      <c r="C651" s="3">
        <v>156.27000000000001</v>
      </c>
      <c r="D651" s="3">
        <v>17.84</v>
      </c>
      <c r="E651" s="3">
        <v>58.58</v>
      </c>
      <c r="F651" s="3">
        <v>99.601302000000004</v>
      </c>
      <c r="G651" s="3">
        <v>94.997394999999997</v>
      </c>
      <c r="H651" s="3">
        <v>93.767623999999998</v>
      </c>
      <c r="I651" s="17">
        <f t="shared" si="168"/>
        <v>-3.1201248049922718E-3</v>
      </c>
      <c r="J651" s="17">
        <f t="shared" si="169"/>
        <v>-1.1453844409163133E-2</v>
      </c>
      <c r="K651" s="17">
        <f t="shared" si="170"/>
        <v>8.7792912013428034E-3</v>
      </c>
      <c r="L651" s="17">
        <f t="shared" si="171"/>
        <v>9.6208262591962728E-3</v>
      </c>
      <c r="M651" s="17">
        <f t="shared" si="172"/>
        <v>1.3670185153140666E-2</v>
      </c>
      <c r="N651" s="17">
        <f t="shared" si="173"/>
        <v>-1.801358727395062E-4</v>
      </c>
      <c r="O651" s="17">
        <f t="shared" si="174"/>
        <v>-4.1804715788704481E-4</v>
      </c>
      <c r="P651" s="17">
        <f t="shared" si="175"/>
        <v>-8.7769396457734829E-6</v>
      </c>
      <c r="Q651" s="22">
        <f t="shared" si="176"/>
        <v>-3.514598675377005E-3</v>
      </c>
      <c r="R651" s="22">
        <f t="shared" si="177"/>
        <v>-1.1884569123240298E-2</v>
      </c>
      <c r="S651" s="22">
        <f t="shared" si="178"/>
        <v>8.3673318145053559E-3</v>
      </c>
      <c r="T651" s="22">
        <f t="shared" si="179"/>
        <v>9.4893747499633554E-3</v>
      </c>
      <c r="U651" s="22">
        <f t="shared" si="180"/>
        <v>1.2976957206186903E-2</v>
      </c>
      <c r="V651" s="22">
        <f t="shared" si="181"/>
        <v>5.4467936763674083E-5</v>
      </c>
      <c r="W651" s="22">
        <f t="shared" si="182"/>
        <v>-1.637986037963418E-4</v>
      </c>
      <c r="X651" s="22">
        <f t="shared" si="183"/>
        <v>3.0716744496056531E-4</v>
      </c>
    </row>
    <row r="652" spans="1:24" x14ac:dyDescent="0.35">
      <c r="A652" s="3">
        <v>12.81</v>
      </c>
      <c r="B652" s="3">
        <v>88.58</v>
      </c>
      <c r="C652" s="3">
        <v>156.34</v>
      </c>
      <c r="D652" s="3">
        <v>17.91</v>
      </c>
      <c r="E652" s="3">
        <v>58.87</v>
      </c>
      <c r="F652" s="3">
        <v>99.535653999999994</v>
      </c>
      <c r="G652" s="3">
        <v>94.966243000000006</v>
      </c>
      <c r="H652" s="3">
        <v>93.586726999999996</v>
      </c>
      <c r="I652" s="17">
        <f t="shared" si="168"/>
        <v>2.3474178403756758E-3</v>
      </c>
      <c r="J652" s="17">
        <f t="shared" si="169"/>
        <v>1.6175289663875148E-2</v>
      </c>
      <c r="K652" s="17">
        <f t="shared" si="170"/>
        <v>4.4794266333904889E-4</v>
      </c>
      <c r="L652" s="17">
        <f t="shared" si="171"/>
        <v>3.9237668161435134E-3</v>
      </c>
      <c r="M652" s="17">
        <f t="shared" si="172"/>
        <v>4.9504950495049358E-3</v>
      </c>
      <c r="N652" s="17">
        <f t="shared" si="173"/>
        <v>-6.591078498151574E-4</v>
      </c>
      <c r="O652" s="17">
        <f t="shared" si="174"/>
        <v>-3.2792478151628929E-4</v>
      </c>
      <c r="P652" s="17">
        <f t="shared" si="175"/>
        <v>-1.9292053299761723E-3</v>
      </c>
      <c r="Q652" s="22">
        <f t="shared" si="176"/>
        <v>1.9529439699909426E-3</v>
      </c>
      <c r="R652" s="22">
        <f t="shared" si="177"/>
        <v>1.5744564949797986E-2</v>
      </c>
      <c r="S652" s="22">
        <f t="shared" si="178"/>
        <v>3.5983276501601953E-5</v>
      </c>
      <c r="T652" s="22">
        <f t="shared" si="179"/>
        <v>3.7923153069105951E-3</v>
      </c>
      <c r="U652" s="22">
        <f t="shared" si="180"/>
        <v>4.2572671025511736E-3</v>
      </c>
      <c r="V652" s="22">
        <f t="shared" si="181"/>
        <v>-4.2450404031197709E-4</v>
      </c>
      <c r="W652" s="22">
        <f t="shared" si="182"/>
        <v>-7.3676227425586288E-5</v>
      </c>
      <c r="X652" s="22">
        <f t="shared" si="183"/>
        <v>-1.6132609453698335E-3</v>
      </c>
    </row>
    <row r="653" spans="1:24" x14ac:dyDescent="0.35">
      <c r="A653" s="3">
        <v>12.72</v>
      </c>
      <c r="B653" s="3">
        <v>86.81</v>
      </c>
      <c r="C653" s="3">
        <v>158.71</v>
      </c>
      <c r="D653" s="3">
        <v>17.55</v>
      </c>
      <c r="E653" s="3">
        <v>58.11</v>
      </c>
      <c r="F653" s="3">
        <v>100.008691</v>
      </c>
      <c r="G653" s="3">
        <v>95.151093000000003</v>
      </c>
      <c r="H653" s="3">
        <v>94.084318999999994</v>
      </c>
      <c r="I653" s="17">
        <f t="shared" si="168"/>
        <v>-7.0257611241217686E-3</v>
      </c>
      <c r="J653" s="17">
        <f t="shared" si="169"/>
        <v>-1.9981937231880742E-2</v>
      </c>
      <c r="K653" s="17">
        <f t="shared" si="170"/>
        <v>1.5159268261481415E-2</v>
      </c>
      <c r="L653" s="17">
        <f t="shared" si="171"/>
        <v>-2.0100502512562783E-2</v>
      </c>
      <c r="M653" s="17">
        <f t="shared" si="172"/>
        <v>-1.2909801257006932E-2</v>
      </c>
      <c r="N653" s="17">
        <f t="shared" si="173"/>
        <v>4.7524377546161005E-3</v>
      </c>
      <c r="O653" s="17">
        <f t="shared" si="174"/>
        <v>1.946481130142184E-3</v>
      </c>
      <c r="P653" s="17">
        <f t="shared" si="175"/>
        <v>5.3169078132201094E-3</v>
      </c>
      <c r="Q653" s="22">
        <f t="shared" si="176"/>
        <v>-7.4202349945065018E-3</v>
      </c>
      <c r="R653" s="22">
        <f t="shared" si="177"/>
        <v>-2.0412661945957904E-2</v>
      </c>
      <c r="S653" s="22">
        <f t="shared" si="178"/>
        <v>1.4747308874643967E-2</v>
      </c>
      <c r="T653" s="22">
        <f t="shared" si="179"/>
        <v>-2.0231954021795701E-2</v>
      </c>
      <c r="U653" s="22">
        <f t="shared" si="180"/>
        <v>-1.3603029203960695E-2</v>
      </c>
      <c r="V653" s="22">
        <f t="shared" si="181"/>
        <v>4.987041564119281E-3</v>
      </c>
      <c r="W653" s="22">
        <f t="shared" si="182"/>
        <v>2.2007296842328872E-3</v>
      </c>
      <c r="X653" s="22">
        <f t="shared" si="183"/>
        <v>5.6328521978264478E-3</v>
      </c>
    </row>
    <row r="654" spans="1:24" x14ac:dyDescent="0.35">
      <c r="A654" s="3">
        <v>12.9</v>
      </c>
      <c r="B654" s="3">
        <v>83.61</v>
      </c>
      <c r="C654" s="3">
        <v>155.21</v>
      </c>
      <c r="D654" s="3">
        <v>17.239999999999998</v>
      </c>
      <c r="E654" s="3">
        <v>57.83</v>
      </c>
      <c r="F654" s="3">
        <v>99.762936999999994</v>
      </c>
      <c r="G654" s="3">
        <v>95.119872999999998</v>
      </c>
      <c r="H654" s="3">
        <v>93.699226999999993</v>
      </c>
      <c r="I654" s="17">
        <f t="shared" si="168"/>
        <v>1.4150943396226393E-2</v>
      </c>
      <c r="J654" s="17">
        <f t="shared" si="169"/>
        <v>-3.6862112659831851E-2</v>
      </c>
      <c r="K654" s="17">
        <f t="shared" si="170"/>
        <v>-2.2052800705689622E-2</v>
      </c>
      <c r="L654" s="17">
        <f t="shared" si="171"/>
        <v>-1.7663817663817794E-2</v>
      </c>
      <c r="M654" s="17">
        <f t="shared" si="172"/>
        <v>-4.8184477714679251E-3</v>
      </c>
      <c r="N654" s="17">
        <f t="shared" si="173"/>
        <v>-2.4573264337596932E-3</v>
      </c>
      <c r="O654" s="17">
        <f t="shared" si="174"/>
        <v>-3.2810973595442239E-4</v>
      </c>
      <c r="P654" s="17">
        <f t="shared" si="175"/>
        <v>-4.0930518931640483E-3</v>
      </c>
      <c r="Q654" s="22">
        <f t="shared" si="176"/>
        <v>1.3756469525841659E-2</v>
      </c>
      <c r="R654" s="22">
        <f t="shared" si="177"/>
        <v>-3.7292837373909017E-2</v>
      </c>
      <c r="S654" s="22">
        <f t="shared" si="178"/>
        <v>-2.246476009252707E-2</v>
      </c>
      <c r="T654" s="22">
        <f t="shared" si="179"/>
        <v>-1.7795269173050712E-2</v>
      </c>
      <c r="U654" s="22">
        <f t="shared" si="180"/>
        <v>-5.5116757184216873E-3</v>
      </c>
      <c r="V654" s="22">
        <f t="shared" si="181"/>
        <v>-2.2227226242565131E-3</v>
      </c>
      <c r="W654" s="22">
        <f t="shared" si="182"/>
        <v>-7.3861181863719386E-5</v>
      </c>
      <c r="X654" s="22">
        <f t="shared" si="183"/>
        <v>-3.7771075085577094E-3</v>
      </c>
    </row>
    <row r="655" spans="1:24" x14ac:dyDescent="0.35">
      <c r="A655" s="3">
        <v>12.88</v>
      </c>
      <c r="B655" s="3">
        <v>83.07</v>
      </c>
      <c r="C655" s="3">
        <v>151.13999999999999</v>
      </c>
      <c r="D655" s="3">
        <v>16.940000000000001</v>
      </c>
      <c r="E655" s="3">
        <v>56.22</v>
      </c>
      <c r="F655" s="3">
        <v>99.607731000000001</v>
      </c>
      <c r="G655" s="3">
        <v>95.088723000000002</v>
      </c>
      <c r="H655" s="3">
        <v>92.914013999999995</v>
      </c>
      <c r="I655" s="17">
        <f t="shared" si="168"/>
        <v>-1.5503875968991916E-3</v>
      </c>
      <c r="J655" s="17">
        <f t="shared" si="169"/>
        <v>-6.4585575888052417E-3</v>
      </c>
      <c r="K655" s="17">
        <f t="shared" si="170"/>
        <v>-2.6222537207654283E-2</v>
      </c>
      <c r="L655" s="17">
        <f t="shared" si="171"/>
        <v>-1.7401392111368746E-2</v>
      </c>
      <c r="M655" s="17">
        <f t="shared" si="172"/>
        <v>-2.7840221338405663E-2</v>
      </c>
      <c r="N655" s="17">
        <f t="shared" si="173"/>
        <v>-1.5557481031256391E-3</v>
      </c>
      <c r="O655" s="17">
        <f t="shared" si="174"/>
        <v>-3.2748151377364306E-4</v>
      </c>
      <c r="P655" s="17">
        <f t="shared" si="175"/>
        <v>-8.3801438404609123E-3</v>
      </c>
      <c r="Q655" s="22">
        <f t="shared" si="176"/>
        <v>-1.9448614672839249E-3</v>
      </c>
      <c r="R655" s="22">
        <f t="shared" si="177"/>
        <v>-6.889282302882405E-3</v>
      </c>
      <c r="S655" s="22">
        <f t="shared" si="178"/>
        <v>-2.6634496594491731E-2</v>
      </c>
      <c r="T655" s="22">
        <f t="shared" si="179"/>
        <v>-1.7532843620601663E-2</v>
      </c>
      <c r="U655" s="22">
        <f t="shared" si="180"/>
        <v>-2.8533449285359426E-2</v>
      </c>
      <c r="V655" s="22">
        <f t="shared" si="181"/>
        <v>-1.3211442936224588E-3</v>
      </c>
      <c r="W655" s="22">
        <f t="shared" si="182"/>
        <v>-7.3232959682940056E-5</v>
      </c>
      <c r="X655" s="22">
        <f t="shared" si="183"/>
        <v>-8.0641994558545739E-3</v>
      </c>
    </row>
    <row r="656" spans="1:24" x14ac:dyDescent="0.35">
      <c r="A656" s="3">
        <v>12.98</v>
      </c>
      <c r="B656" s="3">
        <v>86.95</v>
      </c>
      <c r="C656" s="3">
        <v>148.75</v>
      </c>
      <c r="D656" s="3">
        <v>16.989999999999998</v>
      </c>
      <c r="E656" s="3">
        <v>57.13</v>
      </c>
      <c r="F656" s="3">
        <v>99.456697000000005</v>
      </c>
      <c r="G656" s="3">
        <v>94.941903999999994</v>
      </c>
      <c r="H656" s="3">
        <v>93.586188000000007</v>
      </c>
      <c r="I656" s="17">
        <f t="shared" si="168"/>
        <v>7.7639751552794753E-3</v>
      </c>
      <c r="J656" s="17">
        <f t="shared" si="169"/>
        <v>4.6707596003370773E-2</v>
      </c>
      <c r="K656" s="17">
        <f t="shared" si="170"/>
        <v>-1.5813153367738433E-2</v>
      </c>
      <c r="L656" s="17">
        <f t="shared" si="171"/>
        <v>2.9515938606846019E-3</v>
      </c>
      <c r="M656" s="17">
        <f t="shared" si="172"/>
        <v>1.6186410530060542E-2</v>
      </c>
      <c r="N656" s="17">
        <f t="shared" si="173"/>
        <v>-1.5162879274902433E-3</v>
      </c>
      <c r="O656" s="17">
        <f t="shared" si="174"/>
        <v>-1.5440211559051835E-3</v>
      </c>
      <c r="P656" s="17">
        <f t="shared" si="175"/>
        <v>7.2343661742997403E-3</v>
      </c>
      <c r="Q656" s="22">
        <f t="shared" si="176"/>
        <v>7.369501284894742E-3</v>
      </c>
      <c r="R656" s="22">
        <f t="shared" si="177"/>
        <v>4.6276871289293607E-2</v>
      </c>
      <c r="S656" s="22">
        <f t="shared" si="178"/>
        <v>-1.6225112754575881E-2</v>
      </c>
      <c r="T656" s="22">
        <f t="shared" si="179"/>
        <v>2.8201423514516836E-3</v>
      </c>
      <c r="U656" s="22">
        <f t="shared" si="180"/>
        <v>1.5493182583106779E-2</v>
      </c>
      <c r="V656" s="22">
        <f t="shared" si="181"/>
        <v>-1.281684117987063E-3</v>
      </c>
      <c r="W656" s="22">
        <f t="shared" si="182"/>
        <v>-1.2897726018144804E-3</v>
      </c>
      <c r="X656" s="22">
        <f t="shared" si="183"/>
        <v>7.5503105589060787E-3</v>
      </c>
    </row>
    <row r="657" spans="1:24" x14ac:dyDescent="0.35">
      <c r="A657" s="3">
        <v>13.08</v>
      </c>
      <c r="B657" s="3">
        <v>89.43</v>
      </c>
      <c r="C657" s="3">
        <v>152.62</v>
      </c>
      <c r="D657" s="3">
        <v>17.010000000000002</v>
      </c>
      <c r="E657" s="3">
        <v>58.35</v>
      </c>
      <c r="F657" s="3">
        <v>99.391773000000001</v>
      </c>
      <c r="G657" s="3">
        <v>94.482626999999994</v>
      </c>
      <c r="H657" s="3">
        <v>92.870514999999997</v>
      </c>
      <c r="I657" s="17">
        <f t="shared" si="168"/>
        <v>7.7041602465331002E-3</v>
      </c>
      <c r="J657" s="17">
        <f t="shared" si="169"/>
        <v>2.8522139160437079E-2</v>
      </c>
      <c r="K657" s="17">
        <f t="shared" si="170"/>
        <v>2.6016806722689106E-2</v>
      </c>
      <c r="L657" s="17">
        <f t="shared" si="171"/>
        <v>1.1771630370808197E-3</v>
      </c>
      <c r="M657" s="17">
        <f t="shared" si="172"/>
        <v>2.1354804831086975E-2</v>
      </c>
      <c r="N657" s="17">
        <f t="shared" si="173"/>
        <v>-6.5278660923160216E-4</v>
      </c>
      <c r="O657" s="17">
        <f t="shared" si="174"/>
        <v>-4.8374530175843136E-3</v>
      </c>
      <c r="P657" s="17">
        <f t="shared" si="175"/>
        <v>-7.64720751314296E-3</v>
      </c>
      <c r="Q657" s="22">
        <f t="shared" si="176"/>
        <v>7.3096863761483669E-3</v>
      </c>
      <c r="R657" s="22">
        <f t="shared" si="177"/>
        <v>2.8091414446359916E-2</v>
      </c>
      <c r="S657" s="22">
        <f t="shared" si="178"/>
        <v>2.5604847335851659E-2</v>
      </c>
      <c r="T657" s="22">
        <f t="shared" si="179"/>
        <v>1.0457115278479014E-3</v>
      </c>
      <c r="U657" s="22">
        <f t="shared" si="180"/>
        <v>2.0661576884133212E-2</v>
      </c>
      <c r="V657" s="22">
        <f t="shared" si="181"/>
        <v>-4.1818279972842185E-4</v>
      </c>
      <c r="W657" s="22">
        <f t="shared" si="182"/>
        <v>-4.5832044634936103E-3</v>
      </c>
      <c r="X657" s="22">
        <f t="shared" si="183"/>
        <v>-7.3312631285366216E-3</v>
      </c>
    </row>
    <row r="658" spans="1:24" x14ac:dyDescent="0.35">
      <c r="A658" s="3">
        <v>13.37</v>
      </c>
      <c r="B658" s="3">
        <v>89.19</v>
      </c>
      <c r="C658" s="3">
        <v>149.41</v>
      </c>
      <c r="D658" s="3">
        <v>17.14</v>
      </c>
      <c r="E658" s="3">
        <v>58.68</v>
      </c>
      <c r="F658" s="3">
        <v>98.972320999999994</v>
      </c>
      <c r="G658" s="3">
        <v>94.559061999999997</v>
      </c>
      <c r="H658" s="3">
        <v>92.295108999999997</v>
      </c>
      <c r="I658" s="17">
        <f t="shared" si="168"/>
        <v>2.2171253822629904E-2</v>
      </c>
      <c r="J658" s="17">
        <f t="shared" si="169"/>
        <v>-2.6836632002684678E-3</v>
      </c>
      <c r="K658" s="17">
        <f t="shared" si="170"/>
        <v>-2.103263006159093E-2</v>
      </c>
      <c r="L658" s="17">
        <f t="shared" si="171"/>
        <v>7.6425631981186948E-3</v>
      </c>
      <c r="M658" s="17">
        <f t="shared" si="172"/>
        <v>5.6555269922878883E-3</v>
      </c>
      <c r="N658" s="17">
        <f t="shared" si="173"/>
        <v>-4.2201883248426083E-3</v>
      </c>
      <c r="O658" s="17">
        <f t="shared" si="174"/>
        <v>8.0898470361121086E-4</v>
      </c>
      <c r="P658" s="17">
        <f t="shared" si="175"/>
        <v>-6.1957877589028229E-3</v>
      </c>
      <c r="Q658" s="22">
        <f t="shared" si="176"/>
        <v>2.1776779952245171E-2</v>
      </c>
      <c r="R658" s="22">
        <f t="shared" si="177"/>
        <v>-3.1143879143456315E-3</v>
      </c>
      <c r="S658" s="22">
        <f t="shared" si="178"/>
        <v>-2.1444589448428378E-2</v>
      </c>
      <c r="T658" s="22">
        <f t="shared" si="179"/>
        <v>7.5111116888857766E-3</v>
      </c>
      <c r="U658" s="22">
        <f t="shared" si="180"/>
        <v>4.9622990453341261E-3</v>
      </c>
      <c r="V658" s="22">
        <f t="shared" si="181"/>
        <v>-3.9855845153394277E-3</v>
      </c>
      <c r="W658" s="22">
        <f t="shared" si="182"/>
        <v>1.0632332577019139E-3</v>
      </c>
      <c r="X658" s="22">
        <f t="shared" si="183"/>
        <v>-5.8798433742964845E-3</v>
      </c>
    </row>
    <row r="659" spans="1:24" x14ac:dyDescent="0.35">
      <c r="A659" s="3">
        <v>13.51</v>
      </c>
      <c r="B659" s="3">
        <v>87.49</v>
      </c>
      <c r="C659" s="3">
        <v>146.41999999999999</v>
      </c>
      <c r="D659" s="3">
        <v>17.13</v>
      </c>
      <c r="E659" s="3">
        <v>58.54</v>
      </c>
      <c r="F659" s="3">
        <v>99.218072000000006</v>
      </c>
      <c r="G659" s="3">
        <v>94.049858999999998</v>
      </c>
      <c r="H659" s="3">
        <v>92.383921999999998</v>
      </c>
      <c r="I659" s="17">
        <f t="shared" si="168"/>
        <v>1.0471204188481718E-2</v>
      </c>
      <c r="J659" s="17">
        <f t="shared" si="169"/>
        <v>-1.9060432783944422E-2</v>
      </c>
      <c r="K659" s="17">
        <f t="shared" si="170"/>
        <v>-2.0012047386386515E-2</v>
      </c>
      <c r="L659" s="17">
        <f t="shared" si="171"/>
        <v>-5.8343057176205146E-4</v>
      </c>
      <c r="M659" s="17">
        <f t="shared" si="172"/>
        <v>-2.3858214042263219E-3</v>
      </c>
      <c r="N659" s="17">
        <f t="shared" si="173"/>
        <v>2.4830275527236824E-3</v>
      </c>
      <c r="O659" s="17">
        <f t="shared" si="174"/>
        <v>-5.3850259216826771E-3</v>
      </c>
      <c r="P659" s="17">
        <f t="shared" si="175"/>
        <v>9.6227200945178811E-4</v>
      </c>
      <c r="Q659" s="22">
        <f t="shared" si="176"/>
        <v>1.0076730318096984E-2</v>
      </c>
      <c r="R659" s="22">
        <f t="shared" si="177"/>
        <v>-1.9491157498021584E-2</v>
      </c>
      <c r="S659" s="22">
        <f t="shared" si="178"/>
        <v>-2.0424006773223962E-2</v>
      </c>
      <c r="T659" s="22">
        <f t="shared" si="179"/>
        <v>-7.1488208099496975E-4</v>
      </c>
      <c r="U659" s="22">
        <f t="shared" si="180"/>
        <v>-3.0790493511800845E-3</v>
      </c>
      <c r="V659" s="22">
        <f t="shared" si="181"/>
        <v>2.7176313622268625E-3</v>
      </c>
      <c r="W659" s="22">
        <f t="shared" si="182"/>
        <v>-5.1307773675919738E-3</v>
      </c>
      <c r="X659" s="22">
        <f t="shared" si="183"/>
        <v>1.2782163940581268E-3</v>
      </c>
    </row>
    <row r="660" spans="1:24" x14ac:dyDescent="0.35">
      <c r="A660" s="3">
        <v>13.55</v>
      </c>
      <c r="B660" s="3">
        <v>89.65</v>
      </c>
      <c r="C660" s="3">
        <v>149.52000000000001</v>
      </c>
      <c r="D660" s="3">
        <v>17.559999999999999</v>
      </c>
      <c r="E660" s="3">
        <v>58.63</v>
      </c>
      <c r="F660" s="3">
        <v>99.464301000000006</v>
      </c>
      <c r="G660" s="3">
        <v>94.232230000000001</v>
      </c>
      <c r="H660" s="3">
        <v>92.804907</v>
      </c>
      <c r="I660" s="17">
        <f t="shared" si="168"/>
        <v>2.9607698001481069E-3</v>
      </c>
      <c r="J660" s="17">
        <f t="shared" si="169"/>
        <v>2.4688535832666714E-2</v>
      </c>
      <c r="K660" s="17">
        <f t="shared" si="170"/>
        <v>2.1171971042207506E-2</v>
      </c>
      <c r="L660" s="17">
        <f t="shared" si="171"/>
        <v>2.5102159953298293E-2</v>
      </c>
      <c r="M660" s="17">
        <f t="shared" si="172"/>
        <v>1.5374103177315239E-3</v>
      </c>
      <c r="N660" s="17">
        <f t="shared" si="173"/>
        <v>2.4816950686161244E-3</v>
      </c>
      <c r="O660" s="17">
        <f t="shared" si="174"/>
        <v>1.9390884998562667E-3</v>
      </c>
      <c r="P660" s="17">
        <f t="shared" si="175"/>
        <v>4.5569076402710174E-3</v>
      </c>
      <c r="Q660" s="22">
        <f t="shared" si="176"/>
        <v>2.5662959297633736E-3</v>
      </c>
      <c r="R660" s="22">
        <f t="shared" si="177"/>
        <v>2.4257811118589552E-2</v>
      </c>
      <c r="S660" s="22">
        <f t="shared" si="178"/>
        <v>2.0760011655370059E-2</v>
      </c>
      <c r="T660" s="22">
        <f t="shared" si="179"/>
        <v>2.4970708444065376E-2</v>
      </c>
      <c r="U660" s="22">
        <f t="shared" si="180"/>
        <v>8.4418237077776143E-4</v>
      </c>
      <c r="V660" s="22">
        <f t="shared" si="181"/>
        <v>2.7162988781193045E-3</v>
      </c>
      <c r="W660" s="22">
        <f t="shared" si="182"/>
        <v>2.1933370539469698E-3</v>
      </c>
      <c r="X660" s="22">
        <f t="shared" si="183"/>
        <v>4.8728520248773558E-3</v>
      </c>
    </row>
    <row r="661" spans="1:24" x14ac:dyDescent="0.35">
      <c r="A661" s="3">
        <v>13.3</v>
      </c>
      <c r="B661" s="3">
        <v>89.32</v>
      </c>
      <c r="C661" s="3">
        <v>150.38999999999999</v>
      </c>
      <c r="D661" s="3">
        <v>17.21</v>
      </c>
      <c r="E661" s="3">
        <v>60.83</v>
      </c>
      <c r="F661" s="3">
        <v>99.625750999999994</v>
      </c>
      <c r="G661" s="3">
        <v>94.834495000000004</v>
      </c>
      <c r="H661" s="3">
        <v>93.139466999999996</v>
      </c>
      <c r="I661" s="17">
        <f t="shared" si="168"/>
        <v>-1.8450184501845018E-2</v>
      </c>
      <c r="J661" s="17">
        <f t="shared" si="169"/>
        <v>-3.6809815950921638E-3</v>
      </c>
      <c r="K661" s="17">
        <f t="shared" si="170"/>
        <v>5.8186195826643661E-3</v>
      </c>
      <c r="L661" s="17">
        <f t="shared" si="171"/>
        <v>-1.9931662870159333E-2</v>
      </c>
      <c r="M661" s="17">
        <f t="shared" si="172"/>
        <v>3.7523452157598426E-2</v>
      </c>
      <c r="N661" s="17">
        <f t="shared" si="173"/>
        <v>1.6231954417493756E-3</v>
      </c>
      <c r="O661" s="17">
        <f t="shared" si="174"/>
        <v>6.3912845955147483E-3</v>
      </c>
      <c r="P661" s="17">
        <f t="shared" si="175"/>
        <v>3.6049817926114207E-3</v>
      </c>
      <c r="Q661" s="22">
        <f t="shared" si="176"/>
        <v>-1.8844658372229751E-2</v>
      </c>
      <c r="R661" s="22">
        <f t="shared" si="177"/>
        <v>-4.111706309169327E-3</v>
      </c>
      <c r="S661" s="22">
        <f t="shared" si="178"/>
        <v>5.4066601958269195E-3</v>
      </c>
      <c r="T661" s="22">
        <f t="shared" si="179"/>
        <v>-2.006311437939225E-2</v>
      </c>
      <c r="U661" s="22">
        <f t="shared" si="180"/>
        <v>3.6830224210644663E-2</v>
      </c>
      <c r="V661" s="22">
        <f t="shared" si="181"/>
        <v>1.8577992512525559E-3</v>
      </c>
      <c r="W661" s="22">
        <f t="shared" si="182"/>
        <v>6.6455331496054516E-3</v>
      </c>
      <c r="X661" s="22">
        <f t="shared" si="183"/>
        <v>3.9209261772177595E-3</v>
      </c>
    </row>
    <row r="662" spans="1:24" x14ac:dyDescent="0.35">
      <c r="A662" s="3">
        <v>13.2</v>
      </c>
      <c r="B662" s="3">
        <v>88.76</v>
      </c>
      <c r="C662" s="3">
        <v>148.44</v>
      </c>
      <c r="D662" s="3">
        <v>16.46</v>
      </c>
      <c r="E662" s="3">
        <v>62.79</v>
      </c>
      <c r="F662" s="3">
        <v>98.942019999999999</v>
      </c>
      <c r="G662" s="3">
        <v>94.697265999999999</v>
      </c>
      <c r="H662" s="3">
        <v>92.497167000000005</v>
      </c>
      <c r="I662" s="17">
        <f t="shared" si="168"/>
        <v>-7.5187969924813093E-3</v>
      </c>
      <c r="J662" s="17">
        <f t="shared" si="169"/>
        <v>-6.2695924764888953E-3</v>
      </c>
      <c r="K662" s="17">
        <f t="shared" si="170"/>
        <v>-1.2966287652104454E-2</v>
      </c>
      <c r="L662" s="17">
        <f t="shared" si="171"/>
        <v>-4.3579314352120861E-2</v>
      </c>
      <c r="M662" s="17">
        <f t="shared" si="172"/>
        <v>3.2220943613348693E-2</v>
      </c>
      <c r="N662" s="17">
        <f t="shared" si="173"/>
        <v>-6.8629946889935574E-3</v>
      </c>
      <c r="O662" s="17">
        <f t="shared" si="174"/>
        <v>-1.4470367559821448E-3</v>
      </c>
      <c r="P662" s="17">
        <f t="shared" si="175"/>
        <v>-6.8961098950672721E-3</v>
      </c>
      <c r="Q662" s="22">
        <f t="shared" si="176"/>
        <v>-7.9132708628660425E-3</v>
      </c>
      <c r="R662" s="22">
        <f t="shared" si="177"/>
        <v>-6.7003171905660585E-3</v>
      </c>
      <c r="S662" s="22">
        <f t="shared" si="178"/>
        <v>-1.3378247038941901E-2</v>
      </c>
      <c r="T662" s="22">
        <f t="shared" si="179"/>
        <v>-4.3710765861353779E-2</v>
      </c>
      <c r="U662" s="22">
        <f t="shared" si="180"/>
        <v>3.152771566639493E-2</v>
      </c>
      <c r="V662" s="22">
        <f t="shared" si="181"/>
        <v>-6.6283908794903769E-3</v>
      </c>
      <c r="W662" s="22">
        <f t="shared" si="182"/>
        <v>-1.1927882018914417E-3</v>
      </c>
      <c r="X662" s="22">
        <f t="shared" si="183"/>
        <v>-6.5801655104609337E-3</v>
      </c>
    </row>
    <row r="663" spans="1:24" x14ac:dyDescent="0.35">
      <c r="A663" s="3">
        <v>13.59</v>
      </c>
      <c r="B663" s="3">
        <v>88.38</v>
      </c>
      <c r="C663" s="3">
        <v>149.86000000000001</v>
      </c>
      <c r="D663" s="3">
        <v>16.2</v>
      </c>
      <c r="E663" s="3">
        <v>63.05</v>
      </c>
      <c r="F663" s="3">
        <v>98.878439999999998</v>
      </c>
      <c r="G663" s="3">
        <v>94.347864999999999</v>
      </c>
      <c r="H663" s="3">
        <v>92.255729000000002</v>
      </c>
      <c r="I663" s="17">
        <f t="shared" si="168"/>
        <v>2.954545454545459E-2</v>
      </c>
      <c r="J663" s="17">
        <f t="shared" si="169"/>
        <v>-4.2812077512394053E-3</v>
      </c>
      <c r="K663" s="17">
        <f t="shared" si="170"/>
        <v>9.5661546752897862E-3</v>
      </c>
      <c r="L663" s="17">
        <f t="shared" si="171"/>
        <v>-1.5795868772782596E-2</v>
      </c>
      <c r="M663" s="17">
        <f t="shared" si="172"/>
        <v>4.1407867494823699E-3</v>
      </c>
      <c r="N663" s="17">
        <f t="shared" si="173"/>
        <v>-6.4259856429049809E-4</v>
      </c>
      <c r="O663" s="17">
        <f t="shared" si="174"/>
        <v>-3.6896630151920153E-3</v>
      </c>
      <c r="P663" s="17">
        <f t="shared" si="175"/>
        <v>-2.6102204838338696E-3</v>
      </c>
      <c r="Q663" s="22">
        <f t="shared" si="176"/>
        <v>2.9150980675069858E-2</v>
      </c>
      <c r="R663" s="22">
        <f t="shared" si="177"/>
        <v>-4.7119324653165685E-3</v>
      </c>
      <c r="S663" s="22">
        <f t="shared" si="178"/>
        <v>9.1541952884523388E-3</v>
      </c>
      <c r="T663" s="22">
        <f t="shared" si="179"/>
        <v>-1.5927320282015513E-2</v>
      </c>
      <c r="U663" s="22">
        <f t="shared" si="180"/>
        <v>3.4475588025286072E-3</v>
      </c>
      <c r="V663" s="22">
        <f t="shared" si="181"/>
        <v>-4.0799475478731778E-4</v>
      </c>
      <c r="W663" s="22">
        <f t="shared" si="182"/>
        <v>-3.4354144611013124E-3</v>
      </c>
      <c r="X663" s="22">
        <f t="shared" si="183"/>
        <v>-2.2942760992275307E-3</v>
      </c>
    </row>
    <row r="664" spans="1:24" x14ac:dyDescent="0.35">
      <c r="A664" s="3">
        <v>13.69</v>
      </c>
      <c r="B664" s="3">
        <v>89.64</v>
      </c>
      <c r="C664" s="3">
        <v>149.82</v>
      </c>
      <c r="D664" s="3">
        <v>16.02</v>
      </c>
      <c r="E664" s="3">
        <v>65.959999999999994</v>
      </c>
      <c r="F664" s="3">
        <v>98.902906000000002</v>
      </c>
      <c r="G664" s="3">
        <v>93.842320999999998</v>
      </c>
      <c r="H664" s="3">
        <v>92.344353999999996</v>
      </c>
      <c r="I664" s="17">
        <f t="shared" si="168"/>
        <v>7.3583517292126303E-3</v>
      </c>
      <c r="J664" s="17">
        <f t="shared" si="169"/>
        <v>1.4256619144602909E-2</v>
      </c>
      <c r="K664" s="17">
        <f t="shared" si="170"/>
        <v>-2.6691578806900079E-4</v>
      </c>
      <c r="L664" s="17">
        <f t="shared" si="171"/>
        <v>-1.1111111111111094E-2</v>
      </c>
      <c r="M664" s="17">
        <f t="shared" si="172"/>
        <v>4.6153846153846101E-2</v>
      </c>
      <c r="N664" s="17">
        <f t="shared" si="173"/>
        <v>2.4743513348313216E-4</v>
      </c>
      <c r="O664" s="17">
        <f t="shared" si="174"/>
        <v>-5.3582982508401274E-3</v>
      </c>
      <c r="P664" s="17">
        <f t="shared" si="175"/>
        <v>9.606449481310076E-4</v>
      </c>
      <c r="Q664" s="22">
        <f t="shared" si="176"/>
        <v>6.9638778588278971E-3</v>
      </c>
      <c r="R664" s="22">
        <f t="shared" si="177"/>
        <v>1.3825894430525745E-2</v>
      </c>
      <c r="S664" s="22">
        <f t="shared" si="178"/>
        <v>-6.7887517490644773E-4</v>
      </c>
      <c r="T664" s="22">
        <f t="shared" si="179"/>
        <v>-1.1242562620344012E-2</v>
      </c>
      <c r="U664" s="22">
        <f t="shared" si="180"/>
        <v>4.5460618206892338E-2</v>
      </c>
      <c r="V664" s="22">
        <f t="shared" si="181"/>
        <v>4.8203894298631247E-4</v>
      </c>
      <c r="W664" s="22">
        <f t="shared" si="182"/>
        <v>-5.104049696749424E-3</v>
      </c>
      <c r="X664" s="22">
        <f t="shared" si="183"/>
        <v>1.2765893327373464E-3</v>
      </c>
    </row>
    <row r="665" spans="1:24" x14ac:dyDescent="0.35">
      <c r="A665" s="3">
        <v>13.8</v>
      </c>
      <c r="B665" s="3">
        <v>90.87</v>
      </c>
      <c r="C665" s="3">
        <v>148.65</v>
      </c>
      <c r="D665" s="3">
        <v>15.88</v>
      </c>
      <c r="E665" s="3">
        <v>64.25</v>
      </c>
      <c r="F665" s="3">
        <v>98.620340999999996</v>
      </c>
      <c r="G665" s="3">
        <v>93.970997999999994</v>
      </c>
      <c r="H665" s="3">
        <v>92.103791000000001</v>
      </c>
      <c r="I665" s="17">
        <f t="shared" si="168"/>
        <v>8.0350620891162326E-3</v>
      </c>
      <c r="J665" s="17">
        <f t="shared" si="169"/>
        <v>1.3721552878179428E-2</v>
      </c>
      <c r="K665" s="17">
        <f t="shared" si="170"/>
        <v>-7.80937124549451E-3</v>
      </c>
      <c r="L665" s="17">
        <f t="shared" si="171"/>
        <v>-8.7390761548064161E-3</v>
      </c>
      <c r="M665" s="17">
        <f t="shared" si="172"/>
        <v>-2.5924802910854972E-2</v>
      </c>
      <c r="N665" s="17">
        <f t="shared" si="173"/>
        <v>-2.8569939087533512E-3</v>
      </c>
      <c r="O665" s="17">
        <f t="shared" si="174"/>
        <v>1.3712043631145499E-3</v>
      </c>
      <c r="P665" s="17">
        <f t="shared" si="175"/>
        <v>-2.6050645175339526E-3</v>
      </c>
      <c r="Q665" s="22">
        <f t="shared" si="176"/>
        <v>7.6405882187314993E-3</v>
      </c>
      <c r="R665" s="22">
        <f t="shared" si="177"/>
        <v>1.3290828164102264E-2</v>
      </c>
      <c r="S665" s="22">
        <f t="shared" si="178"/>
        <v>-8.2213306323319565E-3</v>
      </c>
      <c r="T665" s="22">
        <f t="shared" si="179"/>
        <v>-8.8705276640393335E-3</v>
      </c>
      <c r="U665" s="22">
        <f t="shared" si="180"/>
        <v>-2.6618030857808735E-2</v>
      </c>
      <c r="V665" s="22">
        <f t="shared" si="181"/>
        <v>-2.6223900992501711E-3</v>
      </c>
      <c r="W665" s="22">
        <f t="shared" si="182"/>
        <v>1.625452917205253E-3</v>
      </c>
      <c r="X665" s="22">
        <f t="shared" si="183"/>
        <v>-2.2891201329276138E-3</v>
      </c>
    </row>
    <row r="666" spans="1:24" x14ac:dyDescent="0.35">
      <c r="A666" s="3">
        <v>13.22</v>
      </c>
      <c r="B666" s="3">
        <v>90.22</v>
      </c>
      <c r="C666" s="3">
        <v>146.03</v>
      </c>
      <c r="D666" s="3">
        <v>16.649999999999999</v>
      </c>
      <c r="E666" s="3">
        <v>61.37</v>
      </c>
      <c r="F666" s="3">
        <v>98.825416000000004</v>
      </c>
      <c r="G666" s="3">
        <v>93.777714000000003</v>
      </c>
      <c r="H666" s="3">
        <v>92.106397999999999</v>
      </c>
      <c r="I666" s="17">
        <f t="shared" si="168"/>
        <v>-4.2028985507246382E-2</v>
      </c>
      <c r="J666" s="17">
        <f t="shared" si="169"/>
        <v>-7.153075822603782E-3</v>
      </c>
      <c r="K666" s="17">
        <f t="shared" si="170"/>
        <v>-1.7625294315506253E-2</v>
      </c>
      <c r="L666" s="17">
        <f t="shared" si="171"/>
        <v>4.8488664987405401E-2</v>
      </c>
      <c r="M666" s="17">
        <f t="shared" si="172"/>
        <v>-4.4824902723735446E-2</v>
      </c>
      <c r="N666" s="17">
        <f t="shared" si="173"/>
        <v>2.0794391696537318E-3</v>
      </c>
      <c r="O666" s="17">
        <f t="shared" si="174"/>
        <v>-2.0568473690147611E-3</v>
      </c>
      <c r="P666" s="17">
        <f t="shared" si="175"/>
        <v>2.8305023839871948E-5</v>
      </c>
      <c r="Q666" s="22">
        <f t="shared" si="176"/>
        <v>-4.2423459377631118E-2</v>
      </c>
      <c r="R666" s="22">
        <f t="shared" si="177"/>
        <v>-7.5838005366809453E-3</v>
      </c>
      <c r="S666" s="22">
        <f t="shared" si="178"/>
        <v>-1.80372537023437E-2</v>
      </c>
      <c r="T666" s="22">
        <f t="shared" si="179"/>
        <v>4.8357213478172484E-2</v>
      </c>
      <c r="U666" s="22">
        <f t="shared" si="180"/>
        <v>-4.5518130670689209E-2</v>
      </c>
      <c r="V666" s="22">
        <f t="shared" si="181"/>
        <v>2.3140429791569119E-3</v>
      </c>
      <c r="W666" s="22">
        <f t="shared" si="182"/>
        <v>-1.8025988149240582E-3</v>
      </c>
      <c r="X666" s="22">
        <f t="shared" si="183"/>
        <v>3.4424940844621069E-4</v>
      </c>
    </row>
    <row r="667" spans="1:24" x14ac:dyDescent="0.35">
      <c r="A667" s="3">
        <v>13.26</v>
      </c>
      <c r="B667" s="3">
        <v>88.75</v>
      </c>
      <c r="C667" s="3">
        <v>145.16999999999999</v>
      </c>
      <c r="D667" s="3">
        <v>16.61</v>
      </c>
      <c r="E667" s="3">
        <v>59.28</v>
      </c>
      <c r="F667" s="3">
        <v>97.979106000000002</v>
      </c>
      <c r="G667" s="3">
        <v>93.173719000000006</v>
      </c>
      <c r="H667" s="3">
        <v>91.152451999999997</v>
      </c>
      <c r="I667" s="17">
        <f t="shared" si="168"/>
        <v>3.0257186081693757E-3</v>
      </c>
      <c r="J667" s="17">
        <f t="shared" si="169"/>
        <v>-1.6293504766127231E-2</v>
      </c>
      <c r="K667" s="17">
        <f t="shared" si="170"/>
        <v>-5.8892008491406812E-3</v>
      </c>
      <c r="L667" s="17">
        <f t="shared" si="171"/>
        <v>-2.4024024024023516E-3</v>
      </c>
      <c r="M667" s="17">
        <f t="shared" si="172"/>
        <v>-3.4055727554179509E-2</v>
      </c>
      <c r="N667" s="17">
        <f t="shared" si="173"/>
        <v>-8.5636877055999695E-3</v>
      </c>
      <c r="O667" s="17">
        <f t="shared" si="174"/>
        <v>-6.4407093565961478E-3</v>
      </c>
      <c r="P667" s="17">
        <f t="shared" si="175"/>
        <v>-1.0357000389918646E-2</v>
      </c>
      <c r="Q667" s="22">
        <f t="shared" si="176"/>
        <v>2.6312447377846424E-3</v>
      </c>
      <c r="R667" s="22">
        <f t="shared" si="177"/>
        <v>-1.6724229480204394E-2</v>
      </c>
      <c r="S667" s="22">
        <f t="shared" si="178"/>
        <v>-6.3011602359781278E-3</v>
      </c>
      <c r="T667" s="22">
        <f t="shared" si="179"/>
        <v>-2.5338539116352699E-3</v>
      </c>
      <c r="U667" s="22">
        <f t="shared" si="180"/>
        <v>-3.4748955501133272E-2</v>
      </c>
      <c r="V667" s="22">
        <f t="shared" si="181"/>
        <v>-8.3290838960967898E-3</v>
      </c>
      <c r="W667" s="22">
        <f t="shared" si="182"/>
        <v>-6.1864608025054444E-3</v>
      </c>
      <c r="X667" s="22">
        <f t="shared" si="183"/>
        <v>-1.0041056005312307E-2</v>
      </c>
    </row>
    <row r="668" spans="1:24" x14ac:dyDescent="0.35">
      <c r="A668" s="3">
        <v>13.51</v>
      </c>
      <c r="B668" s="3">
        <v>88.78</v>
      </c>
      <c r="C668" s="3">
        <v>146.22</v>
      </c>
      <c r="D668" s="3">
        <v>16.329999999999998</v>
      </c>
      <c r="E668" s="3">
        <v>58.88</v>
      </c>
      <c r="F668" s="3">
        <v>97.443325000000002</v>
      </c>
      <c r="G668" s="3">
        <v>92.937467999999996</v>
      </c>
      <c r="H668" s="3">
        <v>90.596194999999994</v>
      </c>
      <c r="I668" s="17">
        <f t="shared" si="168"/>
        <v>1.8853695324283559E-2</v>
      </c>
      <c r="J668" s="17">
        <f t="shared" si="169"/>
        <v>3.380281690140973E-4</v>
      </c>
      <c r="K668" s="17">
        <f t="shared" si="170"/>
        <v>7.2328993593718501E-3</v>
      </c>
      <c r="L668" s="17">
        <f t="shared" si="171"/>
        <v>-1.6857314870559973E-2</v>
      </c>
      <c r="M668" s="17">
        <f t="shared" si="172"/>
        <v>-6.7476383265856711E-3</v>
      </c>
      <c r="N668" s="17">
        <f t="shared" si="173"/>
        <v>-5.4683189291398517E-3</v>
      </c>
      <c r="O668" s="17">
        <f t="shared" si="174"/>
        <v>-2.5355969745074784E-3</v>
      </c>
      <c r="P668" s="17">
        <f t="shared" si="175"/>
        <v>-6.1024908029901626E-3</v>
      </c>
      <c r="Q668" s="22">
        <f t="shared" si="176"/>
        <v>1.8459221453898826E-2</v>
      </c>
      <c r="R668" s="22">
        <f t="shared" si="177"/>
        <v>-9.269654506306621E-5</v>
      </c>
      <c r="S668" s="22">
        <f t="shared" si="178"/>
        <v>6.8209399725344035E-3</v>
      </c>
      <c r="T668" s="22">
        <f t="shared" si="179"/>
        <v>-1.698876637979289E-2</v>
      </c>
      <c r="U668" s="22">
        <f t="shared" si="180"/>
        <v>-7.4408662735394333E-3</v>
      </c>
      <c r="V668" s="22">
        <f t="shared" si="181"/>
        <v>-5.2337151196366711E-3</v>
      </c>
      <c r="W668" s="22">
        <f t="shared" si="182"/>
        <v>-2.2813484204167755E-3</v>
      </c>
      <c r="X668" s="22">
        <f t="shared" si="183"/>
        <v>-5.7865464183838242E-3</v>
      </c>
    </row>
    <row r="669" spans="1:24" x14ac:dyDescent="0.35">
      <c r="A669" s="3">
        <v>13.63</v>
      </c>
      <c r="B669" s="3">
        <v>88.25</v>
      </c>
      <c r="C669" s="3">
        <v>146.78</v>
      </c>
      <c r="D669" s="3">
        <v>16.14</v>
      </c>
      <c r="E669" s="3">
        <v>60.24</v>
      </c>
      <c r="F669" s="3">
        <v>97.253917999999999</v>
      </c>
      <c r="G669" s="3">
        <v>92.393024999999994</v>
      </c>
      <c r="H669" s="3">
        <v>90.10866</v>
      </c>
      <c r="I669" s="17">
        <f t="shared" si="168"/>
        <v>8.8823094004441897E-3</v>
      </c>
      <c r="J669" s="17">
        <f t="shared" si="169"/>
        <v>-5.969813020950677E-3</v>
      </c>
      <c r="K669" s="17">
        <f t="shared" si="170"/>
        <v>3.8298454383805382E-3</v>
      </c>
      <c r="L669" s="17">
        <f t="shared" si="171"/>
        <v>-1.1635027556644075E-2</v>
      </c>
      <c r="M669" s="17">
        <f t="shared" si="172"/>
        <v>2.309782608695651E-2</v>
      </c>
      <c r="N669" s="17">
        <f t="shared" si="173"/>
        <v>-1.9437657735920113E-3</v>
      </c>
      <c r="O669" s="17">
        <f t="shared" si="174"/>
        <v>-5.8581647608475966E-3</v>
      </c>
      <c r="P669" s="17">
        <f t="shared" si="175"/>
        <v>-5.38140702266794E-3</v>
      </c>
      <c r="Q669" s="22">
        <f t="shared" si="176"/>
        <v>8.4878355300594555E-3</v>
      </c>
      <c r="R669" s="22">
        <f t="shared" si="177"/>
        <v>-6.4005377350278402E-3</v>
      </c>
      <c r="S669" s="22">
        <f t="shared" si="178"/>
        <v>3.4178860515430912E-3</v>
      </c>
      <c r="T669" s="22">
        <f t="shared" si="179"/>
        <v>-1.1766479065876993E-2</v>
      </c>
      <c r="U669" s="22">
        <f t="shared" si="180"/>
        <v>2.2404598140002747E-2</v>
      </c>
      <c r="V669" s="22">
        <f t="shared" si="181"/>
        <v>-1.709161964088831E-3</v>
      </c>
      <c r="W669" s="22">
        <f t="shared" si="182"/>
        <v>-5.6039162067568933E-3</v>
      </c>
      <c r="X669" s="22">
        <f t="shared" si="183"/>
        <v>-5.0654626380616016E-3</v>
      </c>
    </row>
    <row r="670" spans="1:24" x14ac:dyDescent="0.35">
      <c r="A670" s="3">
        <v>13.66</v>
      </c>
      <c r="B670" s="3">
        <v>89.32</v>
      </c>
      <c r="C670" s="3">
        <v>147.46</v>
      </c>
      <c r="D670" s="3">
        <v>16.170000000000002</v>
      </c>
      <c r="E670" s="3">
        <v>60.6</v>
      </c>
      <c r="F670" s="3">
        <v>97.880904000000001</v>
      </c>
      <c r="G670" s="3">
        <v>92.519605999999996</v>
      </c>
      <c r="H670" s="3">
        <v>90.642139</v>
      </c>
      <c r="I670" s="17">
        <f t="shared" si="168"/>
        <v>2.2010271460014205E-3</v>
      </c>
      <c r="J670" s="17">
        <f t="shared" si="169"/>
        <v>1.2124645892351198E-2</v>
      </c>
      <c r="K670" s="17">
        <f t="shared" si="170"/>
        <v>4.6327837580052243E-3</v>
      </c>
      <c r="L670" s="17">
        <f t="shared" si="171"/>
        <v>1.8587360594796243E-3</v>
      </c>
      <c r="M670" s="17">
        <f t="shared" si="172"/>
        <v>5.9760956175298708E-3</v>
      </c>
      <c r="N670" s="17">
        <f t="shared" si="173"/>
        <v>6.4468970802801203E-3</v>
      </c>
      <c r="O670" s="17">
        <f t="shared" si="174"/>
        <v>1.3700276617201529E-3</v>
      </c>
      <c r="P670" s="17">
        <f t="shared" si="175"/>
        <v>5.9203965523402504E-3</v>
      </c>
      <c r="Q670" s="22">
        <f t="shared" si="176"/>
        <v>1.8065532756166873E-3</v>
      </c>
      <c r="R670" s="22">
        <f t="shared" si="177"/>
        <v>1.1693921178274034E-2</v>
      </c>
      <c r="S670" s="22">
        <f t="shared" si="178"/>
        <v>4.2208243711677777E-3</v>
      </c>
      <c r="T670" s="22">
        <f t="shared" si="179"/>
        <v>1.727284550246706E-3</v>
      </c>
      <c r="U670" s="22">
        <f t="shared" si="180"/>
        <v>5.2828676705761086E-3</v>
      </c>
      <c r="V670" s="22">
        <f t="shared" si="181"/>
        <v>6.6815008897833008E-3</v>
      </c>
      <c r="W670" s="22">
        <f t="shared" si="182"/>
        <v>1.6242762158108557E-3</v>
      </c>
      <c r="X670" s="22">
        <f t="shared" si="183"/>
        <v>6.2363409369465888E-3</v>
      </c>
    </row>
    <row r="671" spans="1:24" x14ac:dyDescent="0.35">
      <c r="A671" s="3">
        <v>13.49</v>
      </c>
      <c r="B671" s="3">
        <v>88.75</v>
      </c>
      <c r="C671" s="3">
        <v>144.41</v>
      </c>
      <c r="D671" s="3">
        <v>16.12</v>
      </c>
      <c r="E671" s="3">
        <v>60.05</v>
      </c>
      <c r="F671" s="3">
        <v>98.605171999999996</v>
      </c>
      <c r="G671" s="3">
        <v>93.679440999999997</v>
      </c>
      <c r="H671" s="3">
        <v>91.289895000000001</v>
      </c>
      <c r="I671" s="17">
        <f t="shared" si="168"/>
        <v>-1.2445095168374812E-2</v>
      </c>
      <c r="J671" s="17">
        <f t="shared" si="169"/>
        <v>-6.3815494849976846E-3</v>
      </c>
      <c r="K671" s="17">
        <f t="shared" si="170"/>
        <v>-2.0683575206835829E-2</v>
      </c>
      <c r="L671" s="17">
        <f t="shared" si="171"/>
        <v>-3.0921459492888499E-3</v>
      </c>
      <c r="M671" s="17">
        <f t="shared" si="172"/>
        <v>-9.0759075907591458E-3</v>
      </c>
      <c r="N671" s="17">
        <f t="shared" si="173"/>
        <v>7.3994821298339767E-3</v>
      </c>
      <c r="O671" s="17">
        <f t="shared" si="174"/>
        <v>1.2536099645733479E-2</v>
      </c>
      <c r="P671" s="17">
        <f t="shared" si="175"/>
        <v>7.1463009053658929E-3</v>
      </c>
      <c r="Q671" s="22">
        <f t="shared" si="176"/>
        <v>-1.2839569038759546E-2</v>
      </c>
      <c r="R671" s="22">
        <f t="shared" si="177"/>
        <v>-6.8122741990748479E-3</v>
      </c>
      <c r="S671" s="22">
        <f t="shared" si="178"/>
        <v>-2.1095534593673276E-2</v>
      </c>
      <c r="T671" s="22">
        <f t="shared" si="179"/>
        <v>-3.2235974585217682E-3</v>
      </c>
      <c r="U671" s="22">
        <f t="shared" si="180"/>
        <v>-9.7691355377129089E-3</v>
      </c>
      <c r="V671" s="22">
        <f t="shared" si="181"/>
        <v>7.6340859393371572E-3</v>
      </c>
      <c r="W671" s="22">
        <f t="shared" si="182"/>
        <v>1.2790348199824182E-2</v>
      </c>
      <c r="X671" s="22">
        <f t="shared" si="183"/>
        <v>7.4622452899722313E-3</v>
      </c>
    </row>
    <row r="672" spans="1:24" x14ac:dyDescent="0.35">
      <c r="A672" s="3">
        <v>13.61</v>
      </c>
      <c r="B672" s="3">
        <v>86.98</v>
      </c>
      <c r="C672" s="3">
        <v>145.02000000000001</v>
      </c>
      <c r="D672" s="3">
        <v>15.88</v>
      </c>
      <c r="E672" s="3">
        <v>59.99</v>
      </c>
      <c r="F672" s="3">
        <v>98.196516000000003</v>
      </c>
      <c r="G672" s="3">
        <v>93.390153999999995</v>
      </c>
      <c r="H672" s="3">
        <v>91.571661000000006</v>
      </c>
      <c r="I672" s="17">
        <f t="shared" si="168"/>
        <v>8.8954781319495347E-3</v>
      </c>
      <c r="J672" s="17">
        <f t="shared" si="169"/>
        <v>-1.994366197183094E-2</v>
      </c>
      <c r="K672" s="17">
        <f t="shared" si="170"/>
        <v>4.2240842046950599E-3</v>
      </c>
      <c r="L672" s="17">
        <f t="shared" si="171"/>
        <v>-1.4888337468982642E-2</v>
      </c>
      <c r="M672" s="17">
        <f t="shared" si="172"/>
        <v>-9.9916736053280893E-4</v>
      </c>
      <c r="N672" s="17">
        <f t="shared" si="173"/>
        <v>-4.1443667883870579E-3</v>
      </c>
      <c r="O672" s="17">
        <f t="shared" si="174"/>
        <v>-3.0880521586374712E-3</v>
      </c>
      <c r="P672" s="17">
        <f t="shared" si="175"/>
        <v>3.0864971418797732E-3</v>
      </c>
      <c r="Q672" s="22">
        <f t="shared" si="176"/>
        <v>8.5010042615648006E-3</v>
      </c>
      <c r="R672" s="22">
        <f t="shared" si="177"/>
        <v>-2.0374386685908102E-2</v>
      </c>
      <c r="S672" s="22">
        <f t="shared" si="178"/>
        <v>3.8121248178576129E-3</v>
      </c>
      <c r="T672" s="22">
        <f t="shared" si="179"/>
        <v>-1.501978897821556E-2</v>
      </c>
      <c r="U672" s="22">
        <f t="shared" si="180"/>
        <v>-1.6923953074865715E-3</v>
      </c>
      <c r="V672" s="22">
        <f t="shared" si="181"/>
        <v>-3.9097629788838774E-3</v>
      </c>
      <c r="W672" s="22">
        <f t="shared" si="182"/>
        <v>-2.8338036045467683E-3</v>
      </c>
      <c r="X672" s="22">
        <f t="shared" si="183"/>
        <v>3.4024415264861121E-3</v>
      </c>
    </row>
    <row r="673" spans="1:24" x14ac:dyDescent="0.35">
      <c r="A673" s="3">
        <v>13.84</v>
      </c>
      <c r="B673" s="3">
        <v>88.02</v>
      </c>
      <c r="C673" s="3">
        <v>145.83000000000001</v>
      </c>
      <c r="D673" s="3">
        <v>15.81</v>
      </c>
      <c r="E673" s="3">
        <v>58.82</v>
      </c>
      <c r="F673" s="3">
        <v>98.611221999999998</v>
      </c>
      <c r="G673" s="3">
        <v>93.413657999999998</v>
      </c>
      <c r="H673" s="3">
        <v>91.142309999999995</v>
      </c>
      <c r="I673" s="17">
        <f t="shared" si="168"/>
        <v>1.689933872152832E-2</v>
      </c>
      <c r="J673" s="17">
        <f t="shared" si="169"/>
        <v>1.1956771671648563E-2</v>
      </c>
      <c r="K673" s="17">
        <f t="shared" si="170"/>
        <v>5.5854364915184267E-3</v>
      </c>
      <c r="L673" s="17">
        <f t="shared" si="171"/>
        <v>-4.4080604534005212E-3</v>
      </c>
      <c r="M673" s="17">
        <f t="shared" si="172"/>
        <v>-1.9503250541756986E-2</v>
      </c>
      <c r="N673" s="17">
        <f t="shared" si="173"/>
        <v>4.2232251905963275E-3</v>
      </c>
      <c r="O673" s="17">
        <f t="shared" si="174"/>
        <v>2.5167535327120925E-4</v>
      </c>
      <c r="P673" s="17">
        <f t="shared" si="175"/>
        <v>-4.6886885670885791E-3</v>
      </c>
      <c r="Q673" s="22">
        <f t="shared" si="176"/>
        <v>1.6504864851143587E-2</v>
      </c>
      <c r="R673" s="22">
        <f t="shared" si="177"/>
        <v>1.1526046957571399E-2</v>
      </c>
      <c r="S673" s="22">
        <f t="shared" si="178"/>
        <v>5.1734771046809801E-3</v>
      </c>
      <c r="T673" s="22">
        <f t="shared" si="179"/>
        <v>-4.5395119626334395E-3</v>
      </c>
      <c r="U673" s="22">
        <f t="shared" si="180"/>
        <v>-2.0196478488710749E-2</v>
      </c>
      <c r="V673" s="22">
        <f t="shared" si="181"/>
        <v>4.457829000099508E-3</v>
      </c>
      <c r="W673" s="22">
        <f t="shared" si="182"/>
        <v>5.059239073619123E-4</v>
      </c>
      <c r="X673" s="22">
        <f t="shared" si="183"/>
        <v>-4.3727441824822407E-3</v>
      </c>
    </row>
    <row r="674" spans="1:24" x14ac:dyDescent="0.35">
      <c r="A674" s="3">
        <v>14.01</v>
      </c>
      <c r="B674" s="3">
        <v>88.39</v>
      </c>
      <c r="C674" s="3">
        <v>148.15</v>
      </c>
      <c r="D674" s="3">
        <v>15.97</v>
      </c>
      <c r="E674" s="3">
        <v>60.42</v>
      </c>
      <c r="F674" s="3">
        <v>98.853322000000006</v>
      </c>
      <c r="G674" s="3">
        <v>93.437168</v>
      </c>
      <c r="H674" s="3">
        <v>92.138045000000005</v>
      </c>
      <c r="I674" s="17">
        <f t="shared" si="168"/>
        <v>1.2283236994219649E-2</v>
      </c>
      <c r="J674" s="17">
        <f t="shared" si="169"/>
        <v>4.2035900931606971E-3</v>
      </c>
      <c r="K674" s="17">
        <f t="shared" si="170"/>
        <v>1.5908935061372784E-2</v>
      </c>
      <c r="L674" s="17">
        <f t="shared" si="171"/>
        <v>1.0120177103099313E-2</v>
      </c>
      <c r="M674" s="17">
        <f t="shared" si="172"/>
        <v>2.72016320979259E-2</v>
      </c>
      <c r="N674" s="17">
        <f t="shared" si="173"/>
        <v>2.4550958307768232E-3</v>
      </c>
      <c r="O674" s="17">
        <f t="shared" si="174"/>
        <v>2.5167625916117851E-4</v>
      </c>
      <c r="P674" s="17">
        <f t="shared" si="175"/>
        <v>1.0925057747603835E-2</v>
      </c>
      <c r="Q674" s="22">
        <f t="shared" si="176"/>
        <v>1.1888763123834915E-2</v>
      </c>
      <c r="R674" s="22">
        <f t="shared" si="177"/>
        <v>3.7728653790835335E-3</v>
      </c>
      <c r="S674" s="22">
        <f t="shared" si="178"/>
        <v>1.5496975674535337E-2</v>
      </c>
      <c r="T674" s="22">
        <f t="shared" si="179"/>
        <v>9.9887255938663957E-3</v>
      </c>
      <c r="U674" s="22">
        <f t="shared" si="180"/>
        <v>2.6508404150972137E-2</v>
      </c>
      <c r="V674" s="22">
        <f t="shared" si="181"/>
        <v>2.6896996402800033E-3</v>
      </c>
      <c r="W674" s="22">
        <f t="shared" si="182"/>
        <v>5.0592481325188146E-4</v>
      </c>
      <c r="X674" s="22">
        <f t="shared" si="183"/>
        <v>1.1241002132210173E-2</v>
      </c>
    </row>
    <row r="675" spans="1:24" x14ac:dyDescent="0.35">
      <c r="A675" s="3">
        <v>13.96</v>
      </c>
      <c r="B675" s="3">
        <v>87.83</v>
      </c>
      <c r="C675" s="3">
        <v>148.44</v>
      </c>
      <c r="D675" s="3">
        <v>16.309999999999999</v>
      </c>
      <c r="E675" s="3">
        <v>60.68</v>
      </c>
      <c r="F675" s="3">
        <v>98.530697000000004</v>
      </c>
      <c r="G675" s="3">
        <v>93.668869999999998</v>
      </c>
      <c r="H675" s="3">
        <v>91.640381000000005</v>
      </c>
      <c r="I675" s="17">
        <f t="shared" si="168"/>
        <v>-3.5688793718771546E-3</v>
      </c>
      <c r="J675" s="17">
        <f t="shared" si="169"/>
        <v>-6.335558321077071E-3</v>
      </c>
      <c r="K675" s="17">
        <f t="shared" si="170"/>
        <v>1.9574755315558017E-3</v>
      </c>
      <c r="L675" s="17">
        <f t="shared" si="171"/>
        <v>2.1289918597369947E-2</v>
      </c>
      <c r="M675" s="17">
        <f t="shared" si="172"/>
        <v>4.3032108573319763E-3</v>
      </c>
      <c r="N675" s="17">
        <f t="shared" si="173"/>
        <v>-3.2636738297980735E-3</v>
      </c>
      <c r="O675" s="17">
        <f t="shared" si="174"/>
        <v>2.4797626571901078E-3</v>
      </c>
      <c r="P675" s="17">
        <f t="shared" si="175"/>
        <v>-5.4012867323156282E-3</v>
      </c>
      <c r="Q675" s="22">
        <f t="shared" si="176"/>
        <v>-3.9633532422618878E-3</v>
      </c>
      <c r="R675" s="22">
        <f t="shared" si="177"/>
        <v>-6.7662830351542342E-3</v>
      </c>
      <c r="S675" s="22">
        <f t="shared" si="178"/>
        <v>1.5455161447183547E-3</v>
      </c>
      <c r="T675" s="22">
        <f t="shared" si="179"/>
        <v>2.1158467088137029E-2</v>
      </c>
      <c r="U675" s="22">
        <f t="shared" si="180"/>
        <v>3.6099829103782136E-3</v>
      </c>
      <c r="V675" s="22">
        <f t="shared" si="181"/>
        <v>-3.0290700202948934E-3</v>
      </c>
      <c r="W675" s="22">
        <f t="shared" si="182"/>
        <v>2.7340112112808107E-3</v>
      </c>
      <c r="X675" s="22">
        <f t="shared" si="183"/>
        <v>-5.0853423477092898E-3</v>
      </c>
    </row>
    <row r="676" spans="1:24" x14ac:dyDescent="0.35">
      <c r="A676" s="3">
        <v>13.45</v>
      </c>
      <c r="B676" s="3">
        <v>83.88</v>
      </c>
      <c r="C676" s="3">
        <v>144.41999999999999</v>
      </c>
      <c r="D676" s="3">
        <v>16.05</v>
      </c>
      <c r="E676" s="3">
        <v>60.06</v>
      </c>
      <c r="F676" s="3">
        <v>98.389128999999997</v>
      </c>
      <c r="G676" s="3">
        <v>93.323823000000004</v>
      </c>
      <c r="H676" s="3">
        <v>91.257182</v>
      </c>
      <c r="I676" s="17">
        <f t="shared" si="168"/>
        <v>-3.6532951289398388E-2</v>
      </c>
      <c r="J676" s="17">
        <f t="shared" si="169"/>
        <v>-4.4973243766366876E-2</v>
      </c>
      <c r="K676" s="17">
        <f t="shared" si="170"/>
        <v>-2.7081649151172262E-2</v>
      </c>
      <c r="L676" s="17">
        <f t="shared" si="171"/>
        <v>-1.5941140404659597E-2</v>
      </c>
      <c r="M676" s="17">
        <f t="shared" si="172"/>
        <v>-1.0217534607778469E-2</v>
      </c>
      <c r="N676" s="17">
        <f t="shared" si="173"/>
        <v>-1.4367908104822051E-3</v>
      </c>
      <c r="O676" s="17">
        <f t="shared" si="174"/>
        <v>-3.6836891488067902E-3</v>
      </c>
      <c r="P676" s="17">
        <f t="shared" si="175"/>
        <v>-4.1815517986552751E-3</v>
      </c>
      <c r="Q676" s="22">
        <f t="shared" si="176"/>
        <v>-3.6927425159783124E-2</v>
      </c>
      <c r="R676" s="22">
        <f t="shared" si="177"/>
        <v>-4.5403968480444042E-2</v>
      </c>
      <c r="S676" s="22">
        <f t="shared" si="178"/>
        <v>-2.7493608538009709E-2</v>
      </c>
      <c r="T676" s="22">
        <f t="shared" si="179"/>
        <v>-1.6072591913892514E-2</v>
      </c>
      <c r="U676" s="22">
        <f t="shared" si="180"/>
        <v>-1.0910762554732232E-2</v>
      </c>
      <c r="V676" s="22">
        <f t="shared" si="181"/>
        <v>-1.2021870009790248E-3</v>
      </c>
      <c r="W676" s="22">
        <f t="shared" si="182"/>
        <v>-3.4294405947160873E-3</v>
      </c>
      <c r="X676" s="22">
        <f t="shared" si="183"/>
        <v>-3.8656074140489363E-3</v>
      </c>
    </row>
    <row r="677" spans="1:24" x14ac:dyDescent="0.35">
      <c r="A677" s="3">
        <v>13.76</v>
      </c>
      <c r="B677" s="3">
        <v>84.63</v>
      </c>
      <c r="C677" s="3">
        <v>145.53</v>
      </c>
      <c r="D677" s="3">
        <v>16.02</v>
      </c>
      <c r="E677" s="3">
        <v>59.75</v>
      </c>
      <c r="F677" s="3">
        <v>98.026795000000007</v>
      </c>
      <c r="G677" s="3">
        <v>93.088998000000004</v>
      </c>
      <c r="H677" s="3">
        <v>90.767443</v>
      </c>
      <c r="I677" s="17">
        <f t="shared" si="168"/>
        <v>2.3048327137546506E-2</v>
      </c>
      <c r="J677" s="17">
        <f t="shared" si="169"/>
        <v>8.9413447782546503E-3</v>
      </c>
      <c r="K677" s="17">
        <f t="shared" si="170"/>
        <v>7.685916078105621E-3</v>
      </c>
      <c r="L677" s="17">
        <f t="shared" si="171"/>
        <v>-1.8691588785047437E-3</v>
      </c>
      <c r="M677" s="17">
        <f t="shared" si="172"/>
        <v>-5.1615051615051992E-3</v>
      </c>
      <c r="N677" s="17">
        <f t="shared" si="173"/>
        <v>-3.6826629494808309E-3</v>
      </c>
      <c r="O677" s="17">
        <f t="shared" si="174"/>
        <v>-2.5162385385776652E-3</v>
      </c>
      <c r="P677" s="17">
        <f t="shared" si="175"/>
        <v>-5.3665803530948408E-3</v>
      </c>
      <c r="Q677" s="22">
        <f t="shared" si="176"/>
        <v>2.2653853267161773E-2</v>
      </c>
      <c r="R677" s="22">
        <f t="shared" si="177"/>
        <v>8.5106200641774862E-3</v>
      </c>
      <c r="S677" s="22">
        <f t="shared" si="178"/>
        <v>7.2739566912681745E-3</v>
      </c>
      <c r="T677" s="22">
        <f t="shared" si="179"/>
        <v>-2.0006103877376617E-3</v>
      </c>
      <c r="U677" s="22">
        <f t="shared" si="180"/>
        <v>-5.8547331084589614E-3</v>
      </c>
      <c r="V677" s="22">
        <f t="shared" si="181"/>
        <v>-3.4480591399776508E-3</v>
      </c>
      <c r="W677" s="22">
        <f t="shared" si="182"/>
        <v>-2.2619899844869623E-3</v>
      </c>
      <c r="X677" s="22">
        <f t="shared" si="183"/>
        <v>-5.0506359684885024E-3</v>
      </c>
    </row>
    <row r="678" spans="1:24" x14ac:dyDescent="0.35">
      <c r="A678" s="3">
        <v>13.76</v>
      </c>
      <c r="B678" s="3">
        <v>83.75</v>
      </c>
      <c r="C678" s="3">
        <v>145.18</v>
      </c>
      <c r="D678" s="3">
        <v>15.94</v>
      </c>
      <c r="E678" s="3">
        <v>60.03</v>
      </c>
      <c r="F678" s="3">
        <v>98.309719000000001</v>
      </c>
      <c r="G678" s="3">
        <v>93.164244999999994</v>
      </c>
      <c r="H678" s="3">
        <v>91.367535000000004</v>
      </c>
      <c r="I678" s="17">
        <f t="shared" si="168"/>
        <v>0</v>
      </c>
      <c r="J678" s="17">
        <f t="shared" si="169"/>
        <v>-1.039820394659099E-2</v>
      </c>
      <c r="K678" s="17">
        <f t="shared" si="170"/>
        <v>-2.4050024050023661E-3</v>
      </c>
      <c r="L678" s="17">
        <f t="shared" si="171"/>
        <v>-4.9937578027465712E-3</v>
      </c>
      <c r="M678" s="17">
        <f t="shared" si="172"/>
        <v>4.6861924686192663E-3</v>
      </c>
      <c r="N678" s="17">
        <f t="shared" si="173"/>
        <v>2.8861904543547932E-3</v>
      </c>
      <c r="O678" s="17">
        <f t="shared" si="174"/>
        <v>8.0833397734059067E-4</v>
      </c>
      <c r="P678" s="17">
        <f t="shared" si="175"/>
        <v>6.611313265704793E-3</v>
      </c>
      <c r="Q678" s="22">
        <f t="shared" si="176"/>
        <v>-3.9447387038473331E-4</v>
      </c>
      <c r="R678" s="22">
        <f t="shared" si="177"/>
        <v>-1.0828928660668154E-2</v>
      </c>
      <c r="S678" s="22">
        <f t="shared" si="178"/>
        <v>-2.8169617918398131E-3</v>
      </c>
      <c r="T678" s="22">
        <f t="shared" si="179"/>
        <v>-5.1252093119794895E-3</v>
      </c>
      <c r="U678" s="22">
        <f t="shared" si="180"/>
        <v>3.9929645216655041E-3</v>
      </c>
      <c r="V678" s="22">
        <f t="shared" si="181"/>
        <v>3.1207942638579733E-3</v>
      </c>
      <c r="W678" s="22">
        <f t="shared" si="182"/>
        <v>1.0625825314312938E-3</v>
      </c>
      <c r="X678" s="22">
        <f t="shared" si="183"/>
        <v>6.9272576503111314E-3</v>
      </c>
    </row>
    <row r="679" spans="1:24" x14ac:dyDescent="0.35">
      <c r="A679" s="3">
        <v>13.48</v>
      </c>
      <c r="B679" s="3">
        <v>83.7</v>
      </c>
      <c r="C679" s="3">
        <v>145.15</v>
      </c>
      <c r="D679" s="3">
        <v>15.97</v>
      </c>
      <c r="E679" s="3">
        <v>60.33</v>
      </c>
      <c r="F679" s="3">
        <v>98.291674</v>
      </c>
      <c r="G679" s="3">
        <v>93.136306000000005</v>
      </c>
      <c r="H679" s="3">
        <v>91.326175000000006</v>
      </c>
      <c r="I679" s="17">
        <f t="shared" si="168"/>
        <v>-2.0348837209302278E-2</v>
      </c>
      <c r="J679" s="17">
        <f t="shared" si="169"/>
        <v>-5.970149253731004E-4</v>
      </c>
      <c r="K679" s="17">
        <f t="shared" si="170"/>
        <v>-2.0664003306241312E-4</v>
      </c>
      <c r="L679" s="17">
        <f t="shared" si="171"/>
        <v>1.8820577164367087E-3</v>
      </c>
      <c r="M679" s="17">
        <f t="shared" si="172"/>
        <v>4.9975012493752649E-3</v>
      </c>
      <c r="N679" s="17">
        <f t="shared" si="173"/>
        <v>-1.8355255394434354E-4</v>
      </c>
      <c r="O679" s="17">
        <f t="shared" si="174"/>
        <v>-2.9988972700835262E-4</v>
      </c>
      <c r="P679" s="17">
        <f t="shared" si="175"/>
        <v>-4.5267720093354163E-4</v>
      </c>
      <c r="Q679" s="22">
        <f t="shared" si="176"/>
        <v>-2.0743311079687011E-2</v>
      </c>
      <c r="R679" s="22">
        <f t="shared" si="177"/>
        <v>-1.027739639450264E-3</v>
      </c>
      <c r="S679" s="22">
        <f t="shared" si="178"/>
        <v>-6.1859941989986006E-4</v>
      </c>
      <c r="T679" s="22">
        <f t="shared" si="179"/>
        <v>1.7506062072037904E-3</v>
      </c>
      <c r="U679" s="22">
        <f t="shared" si="180"/>
        <v>4.3042733024215027E-3</v>
      </c>
      <c r="V679" s="22">
        <f t="shared" si="181"/>
        <v>5.1051255558836743E-5</v>
      </c>
      <c r="W679" s="22">
        <f t="shared" si="182"/>
        <v>-4.5641172917649619E-5</v>
      </c>
      <c r="X679" s="22">
        <f t="shared" si="183"/>
        <v>-1.3673281632720286E-4</v>
      </c>
    </row>
    <row r="680" spans="1:24" x14ac:dyDescent="0.35">
      <c r="A680" s="3">
        <v>13.31</v>
      </c>
      <c r="B680" s="3">
        <v>84.22</v>
      </c>
      <c r="C680" s="3">
        <v>144.84</v>
      </c>
      <c r="D680" s="3">
        <v>16.04</v>
      </c>
      <c r="E680" s="3">
        <v>60.28</v>
      </c>
      <c r="F680" s="3">
        <v>98.016295999999997</v>
      </c>
      <c r="G680" s="3">
        <v>92.748715000000004</v>
      </c>
      <c r="H680" s="3">
        <v>90.772855000000007</v>
      </c>
      <c r="I680" s="17">
        <f t="shared" si="168"/>
        <v>-1.2611275964391686E-2</v>
      </c>
      <c r="J680" s="17">
        <f t="shared" si="169"/>
        <v>6.2126642771803582E-3</v>
      </c>
      <c r="K680" s="17">
        <f t="shared" si="170"/>
        <v>-2.135721667240801E-3</v>
      </c>
      <c r="L680" s="17">
        <f t="shared" si="171"/>
        <v>4.3832185347525672E-3</v>
      </c>
      <c r="M680" s="17">
        <f t="shared" si="172"/>
        <v>-8.2877507044583386E-4</v>
      </c>
      <c r="N680" s="17">
        <f t="shared" si="173"/>
        <v>-2.8016411644388459E-3</v>
      </c>
      <c r="O680" s="17">
        <f t="shared" si="174"/>
        <v>-4.1615457671254474E-3</v>
      </c>
      <c r="P680" s="17">
        <f t="shared" si="175"/>
        <v>-6.0587230331282278E-3</v>
      </c>
      <c r="Q680" s="22">
        <f t="shared" si="176"/>
        <v>-1.300574983477642E-2</v>
      </c>
      <c r="R680" s="22">
        <f t="shared" si="177"/>
        <v>5.781939563103195E-3</v>
      </c>
      <c r="S680" s="22">
        <f t="shared" si="178"/>
        <v>-2.5476810540782479E-3</v>
      </c>
      <c r="T680" s="22">
        <f t="shared" si="179"/>
        <v>4.2517670255196489E-3</v>
      </c>
      <c r="U680" s="22">
        <f t="shared" si="180"/>
        <v>-1.5220030173995964E-3</v>
      </c>
      <c r="V680" s="22">
        <f t="shared" si="181"/>
        <v>-2.5670373549356658E-3</v>
      </c>
      <c r="W680" s="22">
        <f t="shared" si="182"/>
        <v>-3.907297213034744E-3</v>
      </c>
      <c r="X680" s="22">
        <f t="shared" si="183"/>
        <v>-5.7427786485218894E-3</v>
      </c>
    </row>
    <row r="681" spans="1:24" x14ac:dyDescent="0.35">
      <c r="A681" s="3">
        <v>13.02</v>
      </c>
      <c r="B681" s="3">
        <v>83.23</v>
      </c>
      <c r="C681" s="3">
        <v>142.82</v>
      </c>
      <c r="D681" s="3">
        <v>15.8</v>
      </c>
      <c r="E681" s="3">
        <v>60.37</v>
      </c>
      <c r="F681" s="3">
        <v>97.750151000000002</v>
      </c>
      <c r="G681" s="3">
        <v>92.411392000000006</v>
      </c>
      <c r="H681" s="3">
        <v>90.334226000000001</v>
      </c>
      <c r="I681" s="17">
        <f t="shared" si="168"/>
        <v>-2.1788129226145824E-2</v>
      </c>
      <c r="J681" s="17">
        <f t="shared" si="169"/>
        <v>-1.1754927570648242E-2</v>
      </c>
      <c r="K681" s="17">
        <f t="shared" si="170"/>
        <v>-1.3946423639878558E-2</v>
      </c>
      <c r="L681" s="17">
        <f t="shared" si="171"/>
        <v>-1.4962593516209379E-2</v>
      </c>
      <c r="M681" s="17">
        <f t="shared" si="172"/>
        <v>1.4930325149302638E-3</v>
      </c>
      <c r="N681" s="17">
        <f t="shared" si="173"/>
        <v>-2.7153137882296075E-3</v>
      </c>
      <c r="O681" s="17">
        <f t="shared" si="174"/>
        <v>-3.6369560483937467E-3</v>
      </c>
      <c r="P681" s="17">
        <f t="shared" si="175"/>
        <v>-4.8321604514918685E-3</v>
      </c>
      <c r="Q681" s="22">
        <f t="shared" si="176"/>
        <v>-2.2182603096530557E-2</v>
      </c>
      <c r="R681" s="22">
        <f t="shared" si="177"/>
        <v>-1.2185652284725406E-2</v>
      </c>
      <c r="S681" s="22">
        <f t="shared" si="178"/>
        <v>-1.4358383026716005E-2</v>
      </c>
      <c r="T681" s="22">
        <f t="shared" si="179"/>
        <v>-1.5094045025442296E-2</v>
      </c>
      <c r="U681" s="22">
        <f t="shared" si="180"/>
        <v>7.9980456797650132E-4</v>
      </c>
      <c r="V681" s="22">
        <f t="shared" si="181"/>
        <v>-2.4807099787264274E-3</v>
      </c>
      <c r="W681" s="22">
        <f t="shared" si="182"/>
        <v>-3.3827074943030438E-3</v>
      </c>
      <c r="X681" s="22">
        <f t="shared" si="183"/>
        <v>-4.5162160668855301E-3</v>
      </c>
    </row>
    <row r="682" spans="1:24" x14ac:dyDescent="0.35">
      <c r="A682" s="3">
        <v>12.72</v>
      </c>
      <c r="B682" s="3">
        <v>83.69</v>
      </c>
      <c r="C682" s="3">
        <v>143.47</v>
      </c>
      <c r="D682" s="3">
        <v>15.86</v>
      </c>
      <c r="E682" s="3">
        <v>60.12</v>
      </c>
      <c r="F682" s="3">
        <v>97.860602</v>
      </c>
      <c r="G682" s="3">
        <v>92.537176000000002</v>
      </c>
      <c r="H682" s="3">
        <v>90.420659000000001</v>
      </c>
      <c r="I682" s="17">
        <f t="shared" si="168"/>
        <v>-2.3041474654377798E-2</v>
      </c>
      <c r="J682" s="17">
        <f t="shared" si="169"/>
        <v>5.5268532980895556E-3</v>
      </c>
      <c r="K682" s="17">
        <f t="shared" si="170"/>
        <v>4.5511833076600314E-3</v>
      </c>
      <c r="L682" s="17">
        <f t="shared" si="171"/>
        <v>3.7974683544302985E-3</v>
      </c>
      <c r="M682" s="17">
        <f t="shared" si="172"/>
        <v>-4.1411297001822103E-3</v>
      </c>
      <c r="N682" s="17">
        <f t="shared" si="173"/>
        <v>1.1299317583662622E-3</v>
      </c>
      <c r="O682" s="17">
        <f t="shared" si="174"/>
        <v>1.3611308874126244E-3</v>
      </c>
      <c r="P682" s="17">
        <f t="shared" si="175"/>
        <v>9.5681342307620519E-4</v>
      </c>
      <c r="Q682" s="22">
        <f t="shared" si="176"/>
        <v>-2.343594852476253E-2</v>
      </c>
      <c r="R682" s="22">
        <f t="shared" si="177"/>
        <v>5.0961285840123924E-3</v>
      </c>
      <c r="S682" s="22">
        <f t="shared" si="178"/>
        <v>4.1392239208225849E-3</v>
      </c>
      <c r="T682" s="22">
        <f t="shared" si="179"/>
        <v>3.6660168451973802E-3</v>
      </c>
      <c r="U682" s="22">
        <f t="shared" si="180"/>
        <v>-4.8343576471359725E-3</v>
      </c>
      <c r="V682" s="22">
        <f t="shared" si="181"/>
        <v>1.3645355678694425E-3</v>
      </c>
      <c r="W682" s="22">
        <f t="shared" si="182"/>
        <v>1.6153794415033275E-3</v>
      </c>
      <c r="X682" s="22">
        <f t="shared" si="183"/>
        <v>1.2727578076825439E-3</v>
      </c>
    </row>
    <row r="683" spans="1:24" x14ac:dyDescent="0.35">
      <c r="A683" s="3">
        <v>12.22</v>
      </c>
      <c r="B683" s="3">
        <v>84.38</v>
      </c>
      <c r="C683" s="3">
        <v>143.25</v>
      </c>
      <c r="D683" s="3">
        <v>15.63</v>
      </c>
      <c r="E683" s="3">
        <v>60.63</v>
      </c>
      <c r="F683" s="3">
        <v>97.673077000000006</v>
      </c>
      <c r="G683" s="3">
        <v>92.306576000000007</v>
      </c>
      <c r="H683" s="3">
        <v>90.128144000000006</v>
      </c>
      <c r="I683" s="17">
        <f t="shared" si="168"/>
        <v>-3.9308176100628929E-2</v>
      </c>
      <c r="J683" s="17">
        <f t="shared" si="169"/>
        <v>8.2447126299438137E-3</v>
      </c>
      <c r="K683" s="17">
        <f t="shared" si="170"/>
        <v>-1.5334216212448517E-3</v>
      </c>
      <c r="L683" s="17">
        <f t="shared" si="171"/>
        <v>-1.4501891551071793E-2</v>
      </c>
      <c r="M683" s="17">
        <f t="shared" si="172"/>
        <v>8.4830339321358139E-3</v>
      </c>
      <c r="N683" s="17">
        <f t="shared" si="173"/>
        <v>-1.916246131410409E-3</v>
      </c>
      <c r="O683" s="17">
        <f t="shared" si="174"/>
        <v>-2.4919714429149586E-3</v>
      </c>
      <c r="P683" s="17">
        <f t="shared" si="175"/>
        <v>-3.2350460971534672E-3</v>
      </c>
      <c r="Q683" s="22">
        <f t="shared" si="176"/>
        <v>-3.9702649971013665E-2</v>
      </c>
      <c r="R683" s="22">
        <f t="shared" si="177"/>
        <v>7.8139879158666496E-3</v>
      </c>
      <c r="S683" s="22">
        <f t="shared" si="178"/>
        <v>-1.9453810080822987E-3</v>
      </c>
      <c r="T683" s="22">
        <f t="shared" si="179"/>
        <v>-1.4633343060304711E-2</v>
      </c>
      <c r="U683" s="22">
        <f t="shared" si="180"/>
        <v>7.7898059851820517E-3</v>
      </c>
      <c r="V683" s="22">
        <f t="shared" si="181"/>
        <v>-1.6816423219072286E-3</v>
      </c>
      <c r="W683" s="22">
        <f t="shared" si="182"/>
        <v>-2.2377228888242557E-3</v>
      </c>
      <c r="X683" s="22">
        <f t="shared" si="183"/>
        <v>-2.9191017125471284E-3</v>
      </c>
    </row>
    <row r="684" spans="1:24" x14ac:dyDescent="0.35">
      <c r="A684" s="3">
        <v>11.96</v>
      </c>
      <c r="B684" s="3">
        <v>83.78</v>
      </c>
      <c r="C684" s="3">
        <v>143.09</v>
      </c>
      <c r="D684" s="3">
        <v>15.81</v>
      </c>
      <c r="E684" s="3">
        <v>59.99</v>
      </c>
      <c r="F684" s="3">
        <v>96.895572999999999</v>
      </c>
      <c r="G684" s="3">
        <v>91.372044000000002</v>
      </c>
      <c r="H684" s="3">
        <v>88.903908999999999</v>
      </c>
      <c r="I684" s="17">
        <f t="shared" si="168"/>
        <v>-2.1276595744680833E-2</v>
      </c>
      <c r="J684" s="17">
        <f t="shared" si="169"/>
        <v>-7.1106897369044124E-3</v>
      </c>
      <c r="K684" s="17">
        <f t="shared" si="170"/>
        <v>-1.1169284467713548E-3</v>
      </c>
      <c r="L684" s="17">
        <f t="shared" si="171"/>
        <v>1.1516314779270615E-2</v>
      </c>
      <c r="M684" s="17">
        <f t="shared" si="172"/>
        <v>-1.0555830446973455E-2</v>
      </c>
      <c r="N684" s="17">
        <f t="shared" si="173"/>
        <v>-7.9602693380900393E-3</v>
      </c>
      <c r="O684" s="17">
        <f t="shared" si="174"/>
        <v>-1.0124219102223057E-2</v>
      </c>
      <c r="P684" s="17">
        <f t="shared" si="175"/>
        <v>-1.3583270948084843E-2</v>
      </c>
      <c r="Q684" s="22">
        <f t="shared" si="176"/>
        <v>-2.1671069615065566E-2</v>
      </c>
      <c r="R684" s="22">
        <f t="shared" si="177"/>
        <v>-7.5414144509815756E-3</v>
      </c>
      <c r="S684" s="22">
        <f t="shared" si="178"/>
        <v>-1.5288878336088018E-3</v>
      </c>
      <c r="T684" s="22">
        <f t="shared" si="179"/>
        <v>1.1384863270037697E-2</v>
      </c>
      <c r="U684" s="22">
        <f t="shared" si="180"/>
        <v>-1.1249058393927218E-2</v>
      </c>
      <c r="V684" s="22">
        <f t="shared" si="181"/>
        <v>-7.7256655285868588E-3</v>
      </c>
      <c r="W684" s="22">
        <f t="shared" si="182"/>
        <v>-9.8699705481323542E-3</v>
      </c>
      <c r="X684" s="22">
        <f t="shared" si="183"/>
        <v>-1.3267326563478505E-2</v>
      </c>
    </row>
    <row r="685" spans="1:24" x14ac:dyDescent="0.35">
      <c r="A685" s="3">
        <v>11.85</v>
      </c>
      <c r="B685" s="3">
        <v>82.62</v>
      </c>
      <c r="C685" s="3">
        <v>142.99</v>
      </c>
      <c r="D685" s="3">
        <v>15.59</v>
      </c>
      <c r="E685" s="3">
        <v>60</v>
      </c>
      <c r="F685" s="3">
        <v>97.215851999999998</v>
      </c>
      <c r="G685" s="3">
        <v>91.747699999999995</v>
      </c>
      <c r="H685" s="3">
        <v>89.174813</v>
      </c>
      <c r="I685" s="17">
        <f t="shared" si="168"/>
        <v>-9.1973244147158188E-3</v>
      </c>
      <c r="J685" s="17">
        <f t="shared" si="169"/>
        <v>-1.38457865839102E-2</v>
      </c>
      <c r="K685" s="17">
        <f t="shared" si="170"/>
        <v>-6.988608568033707E-4</v>
      </c>
      <c r="L685" s="17">
        <f t="shared" si="171"/>
        <v>-1.3915243516761584E-2</v>
      </c>
      <c r="M685" s="17">
        <f t="shared" si="172"/>
        <v>1.6669444907481263E-4</v>
      </c>
      <c r="N685" s="17">
        <f t="shared" si="173"/>
        <v>3.3054038495649259E-3</v>
      </c>
      <c r="O685" s="17">
        <f t="shared" si="174"/>
        <v>4.111279375560343E-3</v>
      </c>
      <c r="P685" s="17">
        <f t="shared" si="175"/>
        <v>3.0471551031575179E-3</v>
      </c>
      <c r="Q685" s="22">
        <f t="shared" si="176"/>
        <v>-9.5917982851005529E-3</v>
      </c>
      <c r="R685" s="22">
        <f t="shared" si="177"/>
        <v>-1.4276511297987364E-2</v>
      </c>
      <c r="S685" s="22">
        <f t="shared" si="178"/>
        <v>-1.1108202436408176E-3</v>
      </c>
      <c r="T685" s="22">
        <f t="shared" si="179"/>
        <v>-1.4046695025994501E-2</v>
      </c>
      <c r="U685" s="22">
        <f t="shared" si="180"/>
        <v>-5.2653349787894991E-4</v>
      </c>
      <c r="V685" s="22">
        <f t="shared" si="181"/>
        <v>3.540007659068106E-3</v>
      </c>
      <c r="W685" s="22">
        <f t="shared" si="182"/>
        <v>4.3655279296510464E-3</v>
      </c>
      <c r="X685" s="22">
        <f t="shared" si="183"/>
        <v>3.3630994877638567E-3</v>
      </c>
    </row>
    <row r="686" spans="1:24" x14ac:dyDescent="0.35">
      <c r="A686" s="3">
        <v>11.74</v>
      </c>
      <c r="B686" s="3">
        <v>82.37</v>
      </c>
      <c r="C686" s="3">
        <v>146.05000000000001</v>
      </c>
      <c r="D686" s="3">
        <v>15.63</v>
      </c>
      <c r="E686" s="3">
        <v>60.26</v>
      </c>
      <c r="F686" s="3">
        <v>97.842108999999994</v>
      </c>
      <c r="G686" s="3">
        <v>92.426224000000005</v>
      </c>
      <c r="H686" s="3">
        <v>89.992954999999995</v>
      </c>
      <c r="I686" s="17">
        <f t="shared" si="168"/>
        <v>-9.2827004219408812E-3</v>
      </c>
      <c r="J686" s="17">
        <f t="shared" si="169"/>
        <v>-3.0259017187121763E-3</v>
      </c>
      <c r="K686" s="17">
        <f t="shared" si="170"/>
        <v>2.1400097908944697E-2</v>
      </c>
      <c r="L686" s="17">
        <f t="shared" si="171"/>
        <v>2.5657472738935807E-3</v>
      </c>
      <c r="M686" s="17">
        <f t="shared" si="172"/>
        <v>4.3333333333333002E-3</v>
      </c>
      <c r="N686" s="17">
        <f t="shared" si="173"/>
        <v>6.4419226609256624E-3</v>
      </c>
      <c r="O686" s="17">
        <f t="shared" si="174"/>
        <v>7.3955423405710459E-3</v>
      </c>
      <c r="P686" s="17">
        <f t="shared" si="175"/>
        <v>9.1745861020195753E-3</v>
      </c>
      <c r="Q686" s="22">
        <f t="shared" si="176"/>
        <v>-9.6771742923256153E-3</v>
      </c>
      <c r="R686" s="22">
        <f t="shared" si="177"/>
        <v>-3.4566264327893399E-3</v>
      </c>
      <c r="S686" s="22">
        <f t="shared" si="178"/>
        <v>2.098813852210725E-2</v>
      </c>
      <c r="T686" s="22">
        <f t="shared" si="179"/>
        <v>2.4342957646606624E-3</v>
      </c>
      <c r="U686" s="22">
        <f t="shared" si="180"/>
        <v>3.6401053863795376E-3</v>
      </c>
      <c r="V686" s="22">
        <f t="shared" si="181"/>
        <v>6.6765264704288429E-3</v>
      </c>
      <c r="W686" s="22">
        <f t="shared" si="182"/>
        <v>7.6497908946617493E-3</v>
      </c>
      <c r="X686" s="22">
        <f t="shared" si="183"/>
        <v>9.4905304866259137E-3</v>
      </c>
    </row>
    <row r="687" spans="1:24" x14ac:dyDescent="0.35">
      <c r="A687" s="3">
        <v>11.7</v>
      </c>
      <c r="B687" s="3">
        <v>81.95</v>
      </c>
      <c r="C687" s="3">
        <v>147.4</v>
      </c>
      <c r="D687" s="3">
        <v>15.39</v>
      </c>
      <c r="E687" s="3">
        <v>60.16</v>
      </c>
      <c r="F687" s="3">
        <v>97.825021000000007</v>
      </c>
      <c r="G687" s="3">
        <v>92.399458999999993</v>
      </c>
      <c r="H687" s="3">
        <v>89.953559999999996</v>
      </c>
      <c r="I687" s="17">
        <f t="shared" si="168"/>
        <v>-3.4071550255537412E-3</v>
      </c>
      <c r="J687" s="17">
        <f t="shared" si="169"/>
        <v>-5.0989437902149047E-3</v>
      </c>
      <c r="K687" s="17">
        <f t="shared" si="170"/>
        <v>9.2434097911673688E-3</v>
      </c>
      <c r="L687" s="17">
        <f t="shared" si="171"/>
        <v>-1.5355086372360858E-2</v>
      </c>
      <c r="M687" s="17">
        <f t="shared" si="172"/>
        <v>-1.6594756057086196E-3</v>
      </c>
      <c r="N687" s="17">
        <f t="shared" si="173"/>
        <v>-1.7464872920908617E-4</v>
      </c>
      <c r="O687" s="17">
        <f t="shared" si="174"/>
        <v>-2.8958231594543662E-4</v>
      </c>
      <c r="P687" s="17">
        <f t="shared" si="175"/>
        <v>-4.3775648882736387E-4</v>
      </c>
      <c r="Q687" s="22">
        <f t="shared" si="176"/>
        <v>-3.8016288959384745E-3</v>
      </c>
      <c r="R687" s="22">
        <f t="shared" si="177"/>
        <v>-5.5296685042920679E-3</v>
      </c>
      <c r="S687" s="22">
        <f t="shared" si="178"/>
        <v>8.8314504043299213E-3</v>
      </c>
      <c r="T687" s="22">
        <f t="shared" si="179"/>
        <v>-1.5486537881593775E-2</v>
      </c>
      <c r="U687" s="22">
        <f t="shared" si="180"/>
        <v>-2.3527035526623823E-3</v>
      </c>
      <c r="V687" s="22">
        <f t="shared" si="181"/>
        <v>5.9955080294094118E-5</v>
      </c>
      <c r="W687" s="22">
        <f t="shared" si="182"/>
        <v>-3.5333761854733619E-5</v>
      </c>
      <c r="X687" s="22">
        <f t="shared" si="183"/>
        <v>-1.218121042210251E-4</v>
      </c>
    </row>
    <row r="688" spans="1:24" x14ac:dyDescent="0.35">
      <c r="A688" s="3">
        <v>11.92</v>
      </c>
      <c r="B688" s="3">
        <v>82.31</v>
      </c>
      <c r="C688" s="3">
        <v>147.19999999999999</v>
      </c>
      <c r="D688" s="3">
        <v>15.66</v>
      </c>
      <c r="E688" s="3">
        <v>60.43</v>
      </c>
      <c r="F688" s="3">
        <v>97.892767000000006</v>
      </c>
      <c r="G688" s="3">
        <v>92.524866000000003</v>
      </c>
      <c r="H688" s="3">
        <v>90.227835999999996</v>
      </c>
      <c r="I688" s="17">
        <f t="shared" si="168"/>
        <v>1.8803418803418858E-2</v>
      </c>
      <c r="J688" s="17">
        <f t="shared" si="169"/>
        <v>4.3929225137278758E-3</v>
      </c>
      <c r="K688" s="17">
        <f t="shared" si="170"/>
        <v>-1.3568521031208755E-3</v>
      </c>
      <c r="L688" s="17">
        <f t="shared" si="171"/>
        <v>1.7543859649122778E-2</v>
      </c>
      <c r="M688" s="17">
        <f t="shared" si="172"/>
        <v>4.4880319148936695E-3</v>
      </c>
      <c r="N688" s="17">
        <f t="shared" si="173"/>
        <v>6.9252221269648011E-4</v>
      </c>
      <c r="O688" s="17">
        <f t="shared" si="174"/>
        <v>1.35722656125086E-3</v>
      </c>
      <c r="P688" s="17">
        <f t="shared" si="175"/>
        <v>3.0490844386814753E-3</v>
      </c>
      <c r="Q688" s="22">
        <f t="shared" si="176"/>
        <v>1.8408944933034126E-2</v>
      </c>
      <c r="R688" s="22">
        <f t="shared" si="177"/>
        <v>3.9621977996507126E-3</v>
      </c>
      <c r="S688" s="22">
        <f t="shared" si="178"/>
        <v>-1.7688114899583225E-3</v>
      </c>
      <c r="T688" s="22">
        <f t="shared" si="179"/>
        <v>1.7412408139889861E-2</v>
      </c>
      <c r="U688" s="22">
        <f t="shared" si="180"/>
        <v>3.7948039679399069E-3</v>
      </c>
      <c r="V688" s="22">
        <f t="shared" si="181"/>
        <v>9.2712602219966042E-4</v>
      </c>
      <c r="W688" s="22">
        <f t="shared" si="182"/>
        <v>1.6114751153415629E-3</v>
      </c>
      <c r="X688" s="22">
        <f t="shared" si="183"/>
        <v>3.3650288232878142E-3</v>
      </c>
    </row>
    <row r="689" spans="1:24" x14ac:dyDescent="0.35">
      <c r="A689" s="3">
        <v>12.25</v>
      </c>
      <c r="B689" s="3">
        <v>82.91</v>
      </c>
      <c r="C689" s="3">
        <v>148.63</v>
      </c>
      <c r="D689" s="3">
        <v>15.68</v>
      </c>
      <c r="E689" s="3">
        <v>61.58</v>
      </c>
      <c r="F689" s="3">
        <v>97.368943000000002</v>
      </c>
      <c r="G689" s="3">
        <v>92.548815000000005</v>
      </c>
      <c r="H689" s="3">
        <v>89.687790000000007</v>
      </c>
      <c r="I689" s="17">
        <f t="shared" si="168"/>
        <v>2.7684563758389267E-2</v>
      </c>
      <c r="J689" s="17">
        <f t="shared" si="169"/>
        <v>7.2895152472359894E-3</v>
      </c>
      <c r="K689" s="17">
        <f t="shared" si="170"/>
        <v>9.7146739130435245E-3</v>
      </c>
      <c r="L689" s="17">
        <f t="shared" si="171"/>
        <v>1.2771392081736637E-3</v>
      </c>
      <c r="M689" s="17">
        <f t="shared" si="172"/>
        <v>1.9030282972033734E-2</v>
      </c>
      <c r="N689" s="17">
        <f t="shared" si="173"/>
        <v>-5.3509979955925109E-3</v>
      </c>
      <c r="O689" s="17">
        <f t="shared" si="174"/>
        <v>2.5883852671563742E-4</v>
      </c>
      <c r="P689" s="17">
        <f t="shared" si="175"/>
        <v>-5.9853591080250403E-3</v>
      </c>
      <c r="Q689" s="22">
        <f t="shared" si="176"/>
        <v>2.7290089888004535E-2</v>
      </c>
      <c r="R689" s="22">
        <f t="shared" si="177"/>
        <v>6.8587905331588261E-3</v>
      </c>
      <c r="S689" s="22">
        <f t="shared" si="178"/>
        <v>9.3027145262060771E-3</v>
      </c>
      <c r="T689" s="22">
        <f t="shared" si="179"/>
        <v>1.1456876989407454E-3</v>
      </c>
      <c r="U689" s="22">
        <f t="shared" si="180"/>
        <v>1.8337055025079971E-2</v>
      </c>
      <c r="V689" s="22">
        <f t="shared" si="181"/>
        <v>-5.1163941860893304E-3</v>
      </c>
      <c r="W689" s="22">
        <f t="shared" si="182"/>
        <v>5.1308708080634042E-4</v>
      </c>
      <c r="X689" s="22">
        <f t="shared" si="183"/>
        <v>-5.6694147234187019E-3</v>
      </c>
    </row>
    <row r="690" spans="1:24" x14ac:dyDescent="0.35">
      <c r="A690" s="3">
        <v>12.21</v>
      </c>
      <c r="B690" s="3">
        <v>83.35</v>
      </c>
      <c r="C690" s="3">
        <v>151.44999999999999</v>
      </c>
      <c r="D690" s="3">
        <v>15.59</v>
      </c>
      <c r="E690" s="3">
        <v>62.54</v>
      </c>
      <c r="F690" s="3">
        <v>97.226360999999997</v>
      </c>
      <c r="G690" s="3">
        <v>91.866033999999999</v>
      </c>
      <c r="H690" s="3">
        <v>89.214551</v>
      </c>
      <c r="I690" s="17">
        <f t="shared" si="168"/>
        <v>-3.2653061224489099E-3</v>
      </c>
      <c r="J690" s="17">
        <f t="shared" si="169"/>
        <v>5.3069593535158338E-3</v>
      </c>
      <c r="K690" s="17">
        <f t="shared" si="170"/>
        <v>1.8973289376303527E-2</v>
      </c>
      <c r="L690" s="17">
        <f t="shared" si="171"/>
        <v>-5.7397959183673377E-3</v>
      </c>
      <c r="M690" s="17">
        <f t="shared" si="172"/>
        <v>1.558947710295552E-2</v>
      </c>
      <c r="N690" s="17">
        <f t="shared" si="173"/>
        <v>-1.4643478259798344E-3</v>
      </c>
      <c r="O690" s="17">
        <f t="shared" si="174"/>
        <v>-7.3775228780617623E-3</v>
      </c>
      <c r="P690" s="17">
        <f t="shared" si="175"/>
        <v>-5.2765153428354803E-3</v>
      </c>
      <c r="Q690" s="22">
        <f t="shared" si="176"/>
        <v>-3.6597799928336431E-3</v>
      </c>
      <c r="R690" s="22">
        <f t="shared" si="177"/>
        <v>4.8762346394386705E-3</v>
      </c>
      <c r="S690" s="22">
        <f t="shared" si="178"/>
        <v>1.856132998946608E-2</v>
      </c>
      <c r="T690" s="22">
        <f t="shared" si="179"/>
        <v>-5.871247427600256E-3</v>
      </c>
      <c r="U690" s="22">
        <f t="shared" si="180"/>
        <v>1.4896249156001757E-2</v>
      </c>
      <c r="V690" s="22">
        <f t="shared" si="181"/>
        <v>-1.2297440164766541E-3</v>
      </c>
      <c r="W690" s="22">
        <f t="shared" si="182"/>
        <v>-7.1232743239710589E-3</v>
      </c>
      <c r="X690" s="22">
        <f t="shared" si="183"/>
        <v>-4.960570958229142E-3</v>
      </c>
    </row>
    <row r="691" spans="1:24" x14ac:dyDescent="0.35">
      <c r="A691" s="3">
        <v>11.76</v>
      </c>
      <c r="B691" s="3">
        <v>82.23</v>
      </c>
      <c r="C691" s="3">
        <v>148.56</v>
      </c>
      <c r="D691" s="3">
        <v>15.25</v>
      </c>
      <c r="E691" s="3">
        <v>62.01</v>
      </c>
      <c r="F691" s="3">
        <v>97.051973000000004</v>
      </c>
      <c r="G691" s="3">
        <v>91.938412</v>
      </c>
      <c r="H691" s="3">
        <v>88.914973000000003</v>
      </c>
      <c r="I691" s="17">
        <f t="shared" si="168"/>
        <v>-3.6855036855036938E-2</v>
      </c>
      <c r="J691" s="17">
        <f t="shared" si="169"/>
        <v>-1.3437312537492387E-2</v>
      </c>
      <c r="K691" s="17">
        <f t="shared" si="170"/>
        <v>-1.9082205348299679E-2</v>
      </c>
      <c r="L691" s="17">
        <f t="shared" si="171"/>
        <v>-2.1808851828094923E-2</v>
      </c>
      <c r="M691" s="17">
        <f t="shared" si="172"/>
        <v>-8.4745762711864597E-3</v>
      </c>
      <c r="N691" s="17">
        <f t="shared" si="173"/>
        <v>-1.7936287875671222E-3</v>
      </c>
      <c r="O691" s="17">
        <f t="shared" si="174"/>
        <v>7.8786464211571931E-4</v>
      </c>
      <c r="P691" s="17">
        <f t="shared" si="175"/>
        <v>-3.3579499828452512E-3</v>
      </c>
      <c r="Q691" s="22">
        <f t="shared" si="176"/>
        <v>-3.7249510725421674E-2</v>
      </c>
      <c r="R691" s="22">
        <f t="shared" si="177"/>
        <v>-1.3868037251569551E-2</v>
      </c>
      <c r="S691" s="22">
        <f t="shared" si="178"/>
        <v>-1.9494164735137126E-2</v>
      </c>
      <c r="T691" s="22">
        <f t="shared" si="179"/>
        <v>-2.1940303337327841E-2</v>
      </c>
      <c r="U691" s="22">
        <f t="shared" si="180"/>
        <v>-9.1678042181402228E-3</v>
      </c>
      <c r="V691" s="22">
        <f t="shared" si="181"/>
        <v>-1.5590249780639419E-3</v>
      </c>
      <c r="W691" s="22">
        <f t="shared" si="182"/>
        <v>1.0421131962064223E-3</v>
      </c>
      <c r="X691" s="22">
        <f t="shared" si="183"/>
        <v>-3.0420055982389124E-3</v>
      </c>
    </row>
    <row r="692" spans="1:24" x14ac:dyDescent="0.35">
      <c r="A692" s="3">
        <v>11.52</v>
      </c>
      <c r="B692" s="3">
        <v>82.6</v>
      </c>
      <c r="C692" s="3">
        <v>146.61000000000001</v>
      </c>
      <c r="D692" s="3">
        <v>15.16</v>
      </c>
      <c r="E692" s="3">
        <v>64.3</v>
      </c>
      <c r="F692" s="3">
        <v>96.994158999999996</v>
      </c>
      <c r="G692" s="3">
        <v>91.662085000000005</v>
      </c>
      <c r="H692" s="3">
        <v>89.184698999999995</v>
      </c>
      <c r="I692" s="17">
        <f t="shared" si="168"/>
        <v>-2.0408163265306142E-2</v>
      </c>
      <c r="J692" s="17">
        <f t="shared" si="169"/>
        <v>4.4995743645870161E-3</v>
      </c>
      <c r="K692" s="17">
        <f t="shared" si="170"/>
        <v>-1.3126009693053236E-2</v>
      </c>
      <c r="L692" s="17">
        <f t="shared" si="171"/>
        <v>-5.9016393442622855E-3</v>
      </c>
      <c r="M692" s="17">
        <f t="shared" si="172"/>
        <v>3.6929527495565218E-2</v>
      </c>
      <c r="N692" s="17">
        <f t="shared" si="173"/>
        <v>-5.9570143926911795E-4</v>
      </c>
      <c r="O692" s="17">
        <f t="shared" si="174"/>
        <v>-3.0055663785012393E-3</v>
      </c>
      <c r="P692" s="17">
        <f t="shared" si="175"/>
        <v>3.0335273227827609E-3</v>
      </c>
      <c r="Q692" s="22">
        <f t="shared" si="176"/>
        <v>-2.0802637135690874E-2</v>
      </c>
      <c r="R692" s="22">
        <f t="shared" si="177"/>
        <v>4.0688496505098528E-3</v>
      </c>
      <c r="S692" s="22">
        <f t="shared" si="178"/>
        <v>-1.3537969079890683E-2</v>
      </c>
      <c r="T692" s="22">
        <f t="shared" si="179"/>
        <v>-6.0330908534952038E-3</v>
      </c>
      <c r="U692" s="22">
        <f t="shared" si="180"/>
        <v>3.6236299548611454E-2</v>
      </c>
      <c r="V692" s="22">
        <f t="shared" si="181"/>
        <v>-3.6109762976593764E-4</v>
      </c>
      <c r="W692" s="22">
        <f t="shared" si="182"/>
        <v>-2.7513178244105365E-3</v>
      </c>
      <c r="X692" s="22">
        <f t="shared" si="183"/>
        <v>3.3494717073890997E-3</v>
      </c>
    </row>
    <row r="693" spans="1:24" x14ac:dyDescent="0.35">
      <c r="A693" s="3">
        <v>11.6</v>
      </c>
      <c r="B693" s="3">
        <v>83.01</v>
      </c>
      <c r="C693" s="3">
        <v>143.46</v>
      </c>
      <c r="D693" s="3">
        <v>14.86</v>
      </c>
      <c r="E693" s="3">
        <v>64.010000000000005</v>
      </c>
      <c r="F693" s="3">
        <v>96.686840000000004</v>
      </c>
      <c r="G693" s="3">
        <v>91.636354999999995</v>
      </c>
      <c r="H693" s="3">
        <v>88.533261999999993</v>
      </c>
      <c r="I693" s="17">
        <f t="shared" si="168"/>
        <v>6.944444444444451E-3</v>
      </c>
      <c r="J693" s="17">
        <f t="shared" si="169"/>
        <v>4.9636803874093319E-3</v>
      </c>
      <c r="K693" s="17">
        <f t="shared" si="170"/>
        <v>-2.1485573971761852E-2</v>
      </c>
      <c r="L693" s="17">
        <f t="shared" si="171"/>
        <v>-1.9788918205804796E-2</v>
      </c>
      <c r="M693" s="17">
        <f t="shared" si="172"/>
        <v>-4.5101088646966108E-3</v>
      </c>
      <c r="N693" s="17">
        <f t="shared" si="173"/>
        <v>-3.1684279050245962E-3</v>
      </c>
      <c r="O693" s="17">
        <f t="shared" si="174"/>
        <v>-2.8070493923425396E-4</v>
      </c>
      <c r="P693" s="17">
        <f t="shared" si="175"/>
        <v>-7.3043583406611195E-3</v>
      </c>
      <c r="Q693" s="22">
        <f t="shared" si="176"/>
        <v>6.5499705740597177E-3</v>
      </c>
      <c r="R693" s="22">
        <f t="shared" si="177"/>
        <v>4.5329556733321686E-3</v>
      </c>
      <c r="S693" s="22">
        <f t="shared" si="178"/>
        <v>-2.18975333585993E-2</v>
      </c>
      <c r="T693" s="22">
        <f t="shared" si="179"/>
        <v>-1.9920369715037713E-2</v>
      </c>
      <c r="U693" s="22">
        <f t="shared" si="180"/>
        <v>-5.203336811650373E-3</v>
      </c>
      <c r="V693" s="22">
        <f t="shared" si="181"/>
        <v>-2.9338240955214161E-3</v>
      </c>
      <c r="W693" s="22">
        <f t="shared" si="182"/>
        <v>-2.6456385143550955E-5</v>
      </c>
      <c r="X693" s="22">
        <f t="shared" si="183"/>
        <v>-6.9884139560547811E-3</v>
      </c>
    </row>
    <row r="694" spans="1:24" x14ac:dyDescent="0.35">
      <c r="A694" s="3">
        <v>11.5</v>
      </c>
      <c r="B694" s="3">
        <v>85.06</v>
      </c>
      <c r="C694" s="3">
        <v>144.25</v>
      </c>
      <c r="D694" s="3">
        <v>14.71</v>
      </c>
      <c r="E694" s="3">
        <v>63.36</v>
      </c>
      <c r="F694" s="3">
        <v>96.381225999999998</v>
      </c>
      <c r="G694" s="3">
        <v>91.163228000000004</v>
      </c>
      <c r="H694" s="3">
        <v>87.828723999999994</v>
      </c>
      <c r="I694" s="17">
        <f t="shared" si="168"/>
        <v>-8.6206896551723842E-3</v>
      </c>
      <c r="J694" s="17">
        <f t="shared" si="169"/>
        <v>2.4695819780749272E-2</v>
      </c>
      <c r="K694" s="17">
        <f t="shared" si="170"/>
        <v>5.5067614666108461E-3</v>
      </c>
      <c r="L694" s="17">
        <f t="shared" si="171"/>
        <v>-1.0094212651413095E-2</v>
      </c>
      <c r="M694" s="17">
        <f t="shared" si="172"/>
        <v>-1.0154663333854173E-2</v>
      </c>
      <c r="N694" s="17">
        <f t="shared" si="173"/>
        <v>-3.1608644982089144E-3</v>
      </c>
      <c r="O694" s="17">
        <f t="shared" si="174"/>
        <v>-5.1630927485056665E-3</v>
      </c>
      <c r="P694" s="17">
        <f t="shared" si="175"/>
        <v>-7.9578904479990758E-3</v>
      </c>
      <c r="Q694" s="22">
        <f t="shared" si="176"/>
        <v>-9.0151635255571183E-3</v>
      </c>
      <c r="R694" s="22">
        <f t="shared" si="177"/>
        <v>2.4265095066672109E-2</v>
      </c>
      <c r="S694" s="22">
        <f t="shared" si="178"/>
        <v>5.0948020797733995E-3</v>
      </c>
      <c r="T694" s="22">
        <f t="shared" si="179"/>
        <v>-1.0225664160646013E-2</v>
      </c>
      <c r="U694" s="22">
        <f t="shared" si="180"/>
        <v>-1.0847891280807936E-2</v>
      </c>
      <c r="V694" s="22">
        <f t="shared" si="181"/>
        <v>-2.9262606887057343E-3</v>
      </c>
      <c r="W694" s="22">
        <f t="shared" si="182"/>
        <v>-4.9088441944149632E-3</v>
      </c>
      <c r="X694" s="22">
        <f t="shared" si="183"/>
        <v>-7.6419460633927374E-3</v>
      </c>
    </row>
    <row r="695" spans="1:24" x14ac:dyDescent="0.35">
      <c r="A695" s="3">
        <v>11.61</v>
      </c>
      <c r="B695" s="3">
        <v>85.95</v>
      </c>
      <c r="C695" s="3">
        <v>147.24</v>
      </c>
      <c r="D695" s="3">
        <v>14.85</v>
      </c>
      <c r="E695" s="3">
        <v>63.39</v>
      </c>
      <c r="F695" s="3">
        <v>96.118465</v>
      </c>
      <c r="G695" s="3">
        <v>90.743065999999999</v>
      </c>
      <c r="H695" s="3">
        <v>86.835256000000001</v>
      </c>
      <c r="I695" s="17">
        <f t="shared" si="168"/>
        <v>9.5652173913042988E-3</v>
      </c>
      <c r="J695" s="17">
        <f t="shared" si="169"/>
        <v>1.0463202445332713E-2</v>
      </c>
      <c r="K695" s="17">
        <f t="shared" si="170"/>
        <v>2.0727902946273892E-2</v>
      </c>
      <c r="L695" s="17">
        <f t="shared" si="171"/>
        <v>9.5173351461589929E-3</v>
      </c>
      <c r="M695" s="17">
        <f t="shared" si="172"/>
        <v>4.7348484848486644E-4</v>
      </c>
      <c r="N695" s="17">
        <f t="shared" si="173"/>
        <v>-2.7262674579383085E-3</v>
      </c>
      <c r="O695" s="17">
        <f t="shared" si="174"/>
        <v>-4.608897789358718E-3</v>
      </c>
      <c r="P695" s="17">
        <f t="shared" si="175"/>
        <v>-1.1311424722508697E-2</v>
      </c>
      <c r="Q695" s="22">
        <f t="shared" si="176"/>
        <v>9.1707435209195647E-3</v>
      </c>
      <c r="R695" s="22">
        <f t="shared" si="177"/>
        <v>1.0032477731255549E-2</v>
      </c>
      <c r="S695" s="22">
        <f t="shared" si="178"/>
        <v>2.0315943559436445E-2</v>
      </c>
      <c r="T695" s="22">
        <f t="shared" si="179"/>
        <v>9.3858836369260755E-3</v>
      </c>
      <c r="U695" s="22">
        <f t="shared" si="180"/>
        <v>-2.1974309846889607E-4</v>
      </c>
      <c r="V695" s="22">
        <f t="shared" si="181"/>
        <v>-2.4916636484351284E-3</v>
      </c>
      <c r="W695" s="22">
        <f t="shared" si="182"/>
        <v>-4.3546492352680146E-3</v>
      </c>
      <c r="X695" s="22">
        <f t="shared" si="183"/>
        <v>-1.0995480337902359E-2</v>
      </c>
    </row>
    <row r="696" spans="1:24" x14ac:dyDescent="0.35">
      <c r="A696" s="3">
        <v>11.66</v>
      </c>
      <c r="B696" s="3">
        <v>84.95</v>
      </c>
      <c r="C696" s="3">
        <v>147.96</v>
      </c>
      <c r="D696" s="3">
        <v>15.1</v>
      </c>
      <c r="E696" s="3">
        <v>63.6</v>
      </c>
      <c r="F696" s="3">
        <v>96.609206999999998</v>
      </c>
      <c r="G696" s="3">
        <v>90.570870999999997</v>
      </c>
      <c r="H696" s="3">
        <v>88.164878000000002</v>
      </c>
      <c r="I696" s="17">
        <f t="shared" si="168"/>
        <v>4.3066322136090188E-3</v>
      </c>
      <c r="J696" s="17">
        <f t="shared" si="169"/>
        <v>-1.1634671320535195E-2</v>
      </c>
      <c r="K696" s="17">
        <f t="shared" si="170"/>
        <v>4.8899755501222416E-3</v>
      </c>
      <c r="L696" s="17">
        <f t="shared" si="171"/>
        <v>1.6835016835016835E-2</v>
      </c>
      <c r="M696" s="17">
        <f t="shared" si="172"/>
        <v>3.3128253667771075E-3</v>
      </c>
      <c r="N696" s="17">
        <f t="shared" si="173"/>
        <v>5.1055954753334576E-3</v>
      </c>
      <c r="O696" s="17">
        <f t="shared" si="174"/>
        <v>-1.8976105568220727E-3</v>
      </c>
      <c r="P696" s="17">
        <f t="shared" si="175"/>
        <v>1.5312006450467545E-2</v>
      </c>
      <c r="Q696" s="22">
        <f t="shared" si="176"/>
        <v>3.9121583432242856E-3</v>
      </c>
      <c r="R696" s="22">
        <f t="shared" si="177"/>
        <v>-1.2065396034612359E-2</v>
      </c>
      <c r="S696" s="22">
        <f t="shared" si="178"/>
        <v>4.478016163284795E-3</v>
      </c>
      <c r="T696" s="22">
        <f t="shared" si="179"/>
        <v>1.6703565325783917E-2</v>
      </c>
      <c r="U696" s="22">
        <f t="shared" si="180"/>
        <v>2.6195974198233449E-3</v>
      </c>
      <c r="V696" s="22">
        <f t="shared" si="181"/>
        <v>5.3401992848366381E-3</v>
      </c>
      <c r="W696" s="22">
        <f t="shared" si="182"/>
        <v>-1.6433620027313696E-3</v>
      </c>
      <c r="X696" s="22">
        <f t="shared" si="183"/>
        <v>1.5627950835073883E-2</v>
      </c>
    </row>
    <row r="697" spans="1:24" x14ac:dyDescent="0.35">
      <c r="A697" s="3">
        <v>11.37</v>
      </c>
      <c r="B697" s="3">
        <v>84.02</v>
      </c>
      <c r="C697" s="3">
        <v>146.11000000000001</v>
      </c>
      <c r="D697" s="3">
        <v>15.09</v>
      </c>
      <c r="E697" s="3">
        <v>63.41</v>
      </c>
      <c r="F697" s="3">
        <v>96.759309999999999</v>
      </c>
      <c r="G697" s="3">
        <v>91.037937999999997</v>
      </c>
      <c r="H697" s="3">
        <v>88.188491999999997</v>
      </c>
      <c r="I697" s="17">
        <f t="shared" si="168"/>
        <v>-2.4871355060034385E-2</v>
      </c>
      <c r="J697" s="17">
        <f t="shared" si="169"/>
        <v>-1.0947616244849991E-2</v>
      </c>
      <c r="K697" s="17">
        <f t="shared" si="170"/>
        <v>-1.2503379291700421E-2</v>
      </c>
      <c r="L697" s="17">
        <f t="shared" si="171"/>
        <v>-6.6225165562912498E-4</v>
      </c>
      <c r="M697" s="17">
        <f t="shared" si="172"/>
        <v>-2.9874213836478748E-3</v>
      </c>
      <c r="N697" s="17">
        <f t="shared" si="173"/>
        <v>1.5537131983704351E-3</v>
      </c>
      <c r="O697" s="17">
        <f t="shared" si="174"/>
        <v>5.1569229139907481E-3</v>
      </c>
      <c r="P697" s="17">
        <f t="shared" si="175"/>
        <v>2.6783908213421351E-4</v>
      </c>
      <c r="Q697" s="22">
        <f t="shared" si="176"/>
        <v>-2.5265828930419117E-2</v>
      </c>
      <c r="R697" s="22">
        <f t="shared" si="177"/>
        <v>-1.1378340958927155E-2</v>
      </c>
      <c r="S697" s="22">
        <f t="shared" si="178"/>
        <v>-1.2915338678537868E-2</v>
      </c>
      <c r="T697" s="22">
        <f t="shared" si="179"/>
        <v>-7.9370316486204327E-4</v>
      </c>
      <c r="U697" s="22">
        <f t="shared" si="180"/>
        <v>-3.6806493306016375E-3</v>
      </c>
      <c r="V697" s="22">
        <f t="shared" si="181"/>
        <v>1.7883170078736154E-3</v>
      </c>
      <c r="W697" s="22">
        <f t="shared" si="182"/>
        <v>5.4111714680814514E-3</v>
      </c>
      <c r="X697" s="22">
        <f t="shared" si="183"/>
        <v>5.8378346674055229E-4</v>
      </c>
    </row>
    <row r="698" spans="1:24" x14ac:dyDescent="0.35">
      <c r="A698" s="3">
        <v>11.47</v>
      </c>
      <c r="B698" s="3">
        <v>82.96</v>
      </c>
      <c r="C698" s="3">
        <v>149.81</v>
      </c>
      <c r="D698" s="3">
        <v>15.06</v>
      </c>
      <c r="E698" s="3">
        <v>62.92</v>
      </c>
      <c r="F698" s="3">
        <v>96.290152000000006</v>
      </c>
      <c r="G698" s="3">
        <v>91.210481000000001</v>
      </c>
      <c r="H698" s="3">
        <v>88.212113000000002</v>
      </c>
      <c r="I698" s="17">
        <f t="shared" si="168"/>
        <v>8.7950747581355699E-3</v>
      </c>
      <c r="J698" s="17">
        <f t="shared" si="169"/>
        <v>-1.2616043799095481E-2</v>
      </c>
      <c r="K698" s="17">
        <f t="shared" si="170"/>
        <v>2.532338648963102E-2</v>
      </c>
      <c r="L698" s="17">
        <f t="shared" si="171"/>
        <v>-1.9880715705764985E-3</v>
      </c>
      <c r="M698" s="17">
        <f t="shared" si="172"/>
        <v>-7.7274877779529242E-3</v>
      </c>
      <c r="N698" s="17">
        <f t="shared" si="173"/>
        <v>-4.8487117156994306E-3</v>
      </c>
      <c r="O698" s="17">
        <f t="shared" si="174"/>
        <v>1.8952867759373523E-3</v>
      </c>
      <c r="P698" s="17">
        <f t="shared" si="175"/>
        <v>2.6784673900542112E-4</v>
      </c>
      <c r="Q698" s="22">
        <f t="shared" si="176"/>
        <v>8.4006008877508358E-3</v>
      </c>
      <c r="R698" s="22">
        <f t="shared" si="177"/>
        <v>-1.3046768513172645E-2</v>
      </c>
      <c r="S698" s="22">
        <f t="shared" si="178"/>
        <v>2.4911427102793572E-2</v>
      </c>
      <c r="T698" s="22">
        <f t="shared" si="179"/>
        <v>-2.1195230798094168E-3</v>
      </c>
      <c r="U698" s="22">
        <f t="shared" si="180"/>
        <v>-8.4207157249066873E-3</v>
      </c>
      <c r="V698" s="22">
        <f t="shared" si="181"/>
        <v>-4.6141079061962501E-3</v>
      </c>
      <c r="W698" s="22">
        <f t="shared" si="182"/>
        <v>2.1495353300280554E-3</v>
      </c>
      <c r="X698" s="22">
        <f t="shared" si="183"/>
        <v>5.8379112361175989E-4</v>
      </c>
    </row>
    <row r="699" spans="1:24" x14ac:dyDescent="0.35">
      <c r="A699" s="3">
        <v>11.05</v>
      </c>
      <c r="B699" s="3">
        <v>81.849999999999994</v>
      </c>
      <c r="C699" s="3">
        <v>144.07</v>
      </c>
      <c r="D699" s="3">
        <v>14.73</v>
      </c>
      <c r="E699" s="3">
        <v>63.64</v>
      </c>
      <c r="F699" s="3">
        <v>96.439700000000002</v>
      </c>
      <c r="G699" s="3">
        <v>90.939044999999993</v>
      </c>
      <c r="H699" s="3">
        <v>87.753544000000005</v>
      </c>
      <c r="I699" s="17">
        <f t="shared" si="168"/>
        <v>-3.6617262423714027E-2</v>
      </c>
      <c r="J699" s="17">
        <f t="shared" si="169"/>
        <v>-1.3379942140790737E-2</v>
      </c>
      <c r="K699" s="17">
        <f t="shared" si="170"/>
        <v>-3.8315199252386418E-2</v>
      </c>
      <c r="L699" s="17">
        <f t="shared" si="171"/>
        <v>-2.1912350597609567E-2</v>
      </c>
      <c r="M699" s="17">
        <f t="shared" si="172"/>
        <v>1.1443102352193243E-2</v>
      </c>
      <c r="N699" s="17">
        <f t="shared" si="173"/>
        <v>1.5530975587201875E-3</v>
      </c>
      <c r="O699" s="17">
        <f t="shared" si="174"/>
        <v>-2.9759299262988037E-3</v>
      </c>
      <c r="P699" s="17">
        <f t="shared" si="175"/>
        <v>-5.198481074815622E-3</v>
      </c>
      <c r="Q699" s="22">
        <f t="shared" si="176"/>
        <v>-3.7011736294098763E-2</v>
      </c>
      <c r="R699" s="22">
        <f t="shared" si="177"/>
        <v>-1.3810666854867901E-2</v>
      </c>
      <c r="S699" s="22">
        <f t="shared" si="178"/>
        <v>-3.8727158639223866E-2</v>
      </c>
      <c r="T699" s="22">
        <f t="shared" si="179"/>
        <v>-2.2043802106842484E-2</v>
      </c>
      <c r="U699" s="22">
        <f t="shared" si="180"/>
        <v>1.074987440523948E-2</v>
      </c>
      <c r="V699" s="22">
        <f t="shared" si="181"/>
        <v>1.7877013682233679E-3</v>
      </c>
      <c r="W699" s="22">
        <f t="shared" si="182"/>
        <v>-2.7216813722081008E-3</v>
      </c>
      <c r="X699" s="22">
        <f t="shared" si="183"/>
        <v>-4.8825366902092836E-3</v>
      </c>
    </row>
    <row r="700" spans="1:24" x14ac:dyDescent="0.35">
      <c r="A700" s="3">
        <v>11.24</v>
      </c>
      <c r="B700" s="3">
        <v>81.48</v>
      </c>
      <c r="C700" s="3">
        <v>143.5</v>
      </c>
      <c r="D700" s="3">
        <v>15.19</v>
      </c>
      <c r="E700" s="3">
        <v>64.099999999999994</v>
      </c>
      <c r="F700" s="3">
        <v>96.795803000000006</v>
      </c>
      <c r="G700" s="3">
        <v>90.718001000000001</v>
      </c>
      <c r="H700" s="3">
        <v>88.441130000000001</v>
      </c>
      <c r="I700" s="17">
        <f t="shared" si="168"/>
        <v>1.7194570135746559E-2</v>
      </c>
      <c r="J700" s="17">
        <f t="shared" si="169"/>
        <v>-4.5204642638972557E-3</v>
      </c>
      <c r="K700" s="17">
        <f t="shared" si="170"/>
        <v>-3.9564100784340471E-3</v>
      </c>
      <c r="L700" s="17">
        <f t="shared" si="171"/>
        <v>3.1228784792939515E-2</v>
      </c>
      <c r="M700" s="17">
        <f t="shared" si="172"/>
        <v>7.2281583909489903E-3</v>
      </c>
      <c r="N700" s="17">
        <f t="shared" si="173"/>
        <v>3.6924938588569281E-3</v>
      </c>
      <c r="O700" s="17">
        <f t="shared" si="174"/>
        <v>-2.4306831020711956E-3</v>
      </c>
      <c r="P700" s="17">
        <f t="shared" si="175"/>
        <v>7.8354214389335201E-3</v>
      </c>
      <c r="Q700" s="22">
        <f t="shared" si="176"/>
        <v>1.6800096265361827E-2</v>
      </c>
      <c r="R700" s="22">
        <f t="shared" si="177"/>
        <v>-4.9511889779744189E-3</v>
      </c>
      <c r="S700" s="22">
        <f t="shared" si="178"/>
        <v>-4.3683694652714936E-3</v>
      </c>
      <c r="T700" s="22">
        <f t="shared" si="179"/>
        <v>3.1097333283706598E-2</v>
      </c>
      <c r="U700" s="22">
        <f t="shared" si="180"/>
        <v>6.5349304439952282E-3</v>
      </c>
      <c r="V700" s="22">
        <f t="shared" si="181"/>
        <v>3.9270976683601086E-3</v>
      </c>
      <c r="W700" s="22">
        <f t="shared" si="182"/>
        <v>-2.1764345479804927E-3</v>
      </c>
      <c r="X700" s="22">
        <f t="shared" si="183"/>
        <v>8.1513658235398585E-3</v>
      </c>
    </row>
    <row r="701" spans="1:24" x14ac:dyDescent="0.35">
      <c r="A701" s="3">
        <v>10.72</v>
      </c>
      <c r="B701" s="3">
        <v>82.62</v>
      </c>
      <c r="C701" s="3">
        <v>140.9</v>
      </c>
      <c r="D701" s="3">
        <v>15.3</v>
      </c>
      <c r="E701" s="3">
        <v>63.87</v>
      </c>
      <c r="F701" s="3">
        <v>97.039135999999999</v>
      </c>
      <c r="G701" s="3">
        <v>91.381963999999996</v>
      </c>
      <c r="H701" s="3">
        <v>88.694218000000006</v>
      </c>
      <c r="I701" s="17">
        <f t="shared" si="168"/>
        <v>-4.6263345195729499E-2</v>
      </c>
      <c r="J701" s="17">
        <f t="shared" si="169"/>
        <v>1.3991163475699564E-2</v>
      </c>
      <c r="K701" s="17">
        <f t="shared" si="170"/>
        <v>-1.8118466898954664E-2</v>
      </c>
      <c r="L701" s="17">
        <f t="shared" si="171"/>
        <v>7.2416063199474134E-3</v>
      </c>
      <c r="M701" s="17">
        <f t="shared" si="172"/>
        <v>-3.5881435257409814E-3</v>
      </c>
      <c r="N701" s="17">
        <f t="shared" si="173"/>
        <v>2.5138796565383386E-3</v>
      </c>
      <c r="O701" s="17">
        <f t="shared" si="174"/>
        <v>7.3189774100070326E-3</v>
      </c>
      <c r="P701" s="17">
        <f t="shared" si="175"/>
        <v>2.8616549788543556E-3</v>
      </c>
      <c r="Q701" s="22">
        <f t="shared" si="176"/>
        <v>-4.6657819066114235E-2</v>
      </c>
      <c r="R701" s="22">
        <f t="shared" si="177"/>
        <v>1.35604387616224E-2</v>
      </c>
      <c r="S701" s="22">
        <f t="shared" si="178"/>
        <v>-1.8530426285792111E-2</v>
      </c>
      <c r="T701" s="22">
        <f t="shared" si="179"/>
        <v>7.1101548107144951E-3</v>
      </c>
      <c r="U701" s="22">
        <f t="shared" si="180"/>
        <v>-4.2813714726947436E-3</v>
      </c>
      <c r="V701" s="22">
        <f t="shared" si="181"/>
        <v>2.7484834660415187E-3</v>
      </c>
      <c r="W701" s="22">
        <f t="shared" si="182"/>
        <v>7.5732259640977359E-3</v>
      </c>
      <c r="X701" s="22">
        <f t="shared" si="183"/>
        <v>3.1775993634606944E-3</v>
      </c>
    </row>
    <row r="702" spans="1:24" x14ac:dyDescent="0.35">
      <c r="A702" s="3">
        <v>10.67</v>
      </c>
      <c r="B702" s="3">
        <v>82.15</v>
      </c>
      <c r="C702" s="3">
        <v>144.51</v>
      </c>
      <c r="D702" s="3">
        <v>15.06</v>
      </c>
      <c r="E702" s="3">
        <v>63.73</v>
      </c>
      <c r="F702" s="3">
        <v>96.982370000000003</v>
      </c>
      <c r="G702" s="3">
        <v>91.307676999999998</v>
      </c>
      <c r="H702" s="3">
        <v>88.778681000000006</v>
      </c>
      <c r="I702" s="17">
        <f t="shared" si="168"/>
        <v>-4.6641791044776783E-3</v>
      </c>
      <c r="J702" s="17">
        <f t="shared" si="169"/>
        <v>-5.6886952311788769E-3</v>
      </c>
      <c r="K702" s="17">
        <f t="shared" si="170"/>
        <v>2.5621007806955181E-2</v>
      </c>
      <c r="L702" s="17">
        <f t="shared" si="171"/>
        <v>-1.5686274509803935E-2</v>
      </c>
      <c r="M702" s="17">
        <f t="shared" si="172"/>
        <v>-2.1919524033192513E-3</v>
      </c>
      <c r="N702" s="17">
        <f t="shared" si="173"/>
        <v>-5.8498047633066417E-4</v>
      </c>
      <c r="O702" s="17">
        <f t="shared" si="174"/>
        <v>-8.1292846802896702E-4</v>
      </c>
      <c r="P702" s="17">
        <f t="shared" si="175"/>
        <v>9.5229431979432417E-4</v>
      </c>
      <c r="Q702" s="22">
        <f t="shared" si="176"/>
        <v>-5.0586529748624116E-3</v>
      </c>
      <c r="R702" s="22">
        <f t="shared" si="177"/>
        <v>-6.1194199452560402E-3</v>
      </c>
      <c r="S702" s="22">
        <f t="shared" si="178"/>
        <v>2.5209048420117734E-2</v>
      </c>
      <c r="T702" s="22">
        <f t="shared" si="179"/>
        <v>-1.5817726019036853E-2</v>
      </c>
      <c r="U702" s="22">
        <f t="shared" si="180"/>
        <v>-2.8851803502730139E-3</v>
      </c>
      <c r="V702" s="22">
        <f t="shared" si="181"/>
        <v>-3.5037666682748386E-4</v>
      </c>
      <c r="W702" s="22">
        <f t="shared" si="182"/>
        <v>-5.5867991393826401E-4</v>
      </c>
      <c r="X702" s="22">
        <f t="shared" si="183"/>
        <v>1.2682387044006629E-3</v>
      </c>
    </row>
    <row r="703" spans="1:24" x14ac:dyDescent="0.35">
      <c r="A703" s="3">
        <v>10.75</v>
      </c>
      <c r="B703" s="3">
        <v>81.61</v>
      </c>
      <c r="C703" s="3">
        <v>147.55000000000001</v>
      </c>
      <c r="D703" s="3">
        <v>15.18</v>
      </c>
      <c r="E703" s="3">
        <v>63.43</v>
      </c>
      <c r="F703" s="3">
        <v>96.843266</v>
      </c>
      <c r="G703" s="3">
        <v>91.430825999999996</v>
      </c>
      <c r="H703" s="3">
        <v>88.559285000000003</v>
      </c>
      <c r="I703" s="17">
        <f t="shared" si="168"/>
        <v>7.4976569821930718E-3</v>
      </c>
      <c r="J703" s="17">
        <f t="shared" si="169"/>
        <v>-6.5733414485697654E-3</v>
      </c>
      <c r="K703" s="17">
        <f t="shared" si="170"/>
        <v>2.103660646322068E-2</v>
      </c>
      <c r="L703" s="17">
        <f t="shared" si="171"/>
        <v>7.9681274900397885E-3</v>
      </c>
      <c r="M703" s="17">
        <f t="shared" si="172"/>
        <v>-4.7073591715047413E-3</v>
      </c>
      <c r="N703" s="17">
        <f t="shared" si="173"/>
        <v>-1.4343225474898501E-3</v>
      </c>
      <c r="O703" s="17">
        <f t="shared" si="174"/>
        <v>1.3487255841586898E-3</v>
      </c>
      <c r="P703" s="17">
        <f t="shared" si="175"/>
        <v>-2.47126897503696E-3</v>
      </c>
      <c r="Q703" s="22">
        <f t="shared" si="176"/>
        <v>7.1031831118083385E-3</v>
      </c>
      <c r="R703" s="22">
        <f t="shared" si="177"/>
        <v>-7.0040661626469287E-3</v>
      </c>
      <c r="S703" s="22">
        <f t="shared" si="178"/>
        <v>2.0624647076383232E-2</v>
      </c>
      <c r="T703" s="22">
        <f t="shared" si="179"/>
        <v>7.836675980806871E-3</v>
      </c>
      <c r="U703" s="22">
        <f t="shared" si="180"/>
        <v>-5.4005871184585035E-3</v>
      </c>
      <c r="V703" s="22">
        <f t="shared" si="181"/>
        <v>-1.1997187379866698E-3</v>
      </c>
      <c r="W703" s="22">
        <f t="shared" si="182"/>
        <v>1.6029741382493929E-3</v>
      </c>
      <c r="X703" s="22">
        <f t="shared" si="183"/>
        <v>-2.1553245904306212E-3</v>
      </c>
    </row>
    <row r="704" spans="1:24" x14ac:dyDescent="0.35">
      <c r="A704" s="3">
        <v>10.97</v>
      </c>
      <c r="B704" s="3">
        <v>82.13</v>
      </c>
      <c r="C704" s="3">
        <v>151.09</v>
      </c>
      <c r="D704" s="3">
        <v>15.21</v>
      </c>
      <c r="E704" s="3">
        <v>64.86</v>
      </c>
      <c r="F704" s="3">
        <v>97.614766000000003</v>
      </c>
      <c r="G704" s="3">
        <v>91.851353000000003</v>
      </c>
      <c r="H704" s="3">
        <v>89.498930999999999</v>
      </c>
      <c r="I704" s="17">
        <f t="shared" si="168"/>
        <v>2.0465116279069828E-2</v>
      </c>
      <c r="J704" s="17">
        <f t="shared" si="169"/>
        <v>6.3717681656659236E-3</v>
      </c>
      <c r="K704" s="17">
        <f t="shared" si="170"/>
        <v>2.3991867163673276E-2</v>
      </c>
      <c r="L704" s="17">
        <f t="shared" si="171"/>
        <v>1.976284584980312E-3</v>
      </c>
      <c r="M704" s="17">
        <f t="shared" si="172"/>
        <v>2.2544537285196276E-2</v>
      </c>
      <c r="N704" s="17">
        <f t="shared" si="173"/>
        <v>7.9664806017591683E-3</v>
      </c>
      <c r="O704" s="17">
        <f t="shared" si="174"/>
        <v>4.5994006441548172E-3</v>
      </c>
      <c r="P704" s="17">
        <f t="shared" si="175"/>
        <v>1.0610361183471572E-2</v>
      </c>
      <c r="Q704" s="22">
        <f t="shared" si="176"/>
        <v>2.0070642408685096E-2</v>
      </c>
      <c r="R704" s="22">
        <f t="shared" si="177"/>
        <v>5.9410434515887603E-3</v>
      </c>
      <c r="S704" s="22">
        <f t="shared" si="178"/>
        <v>2.3579907776835829E-2</v>
      </c>
      <c r="T704" s="22">
        <f t="shared" si="179"/>
        <v>1.8448330757473938E-3</v>
      </c>
      <c r="U704" s="22">
        <f t="shared" si="180"/>
        <v>2.1851309338242513E-2</v>
      </c>
      <c r="V704" s="22">
        <f t="shared" si="181"/>
        <v>8.2010844112623479E-3</v>
      </c>
      <c r="W704" s="22">
        <f t="shared" si="182"/>
        <v>4.8536491982455205E-3</v>
      </c>
      <c r="X704" s="22">
        <f t="shared" si="183"/>
        <v>1.092630556807791E-2</v>
      </c>
    </row>
    <row r="705" spans="1:24" x14ac:dyDescent="0.35">
      <c r="A705" s="3">
        <v>11.45</v>
      </c>
      <c r="B705" s="3">
        <v>79.650000000000006</v>
      </c>
      <c r="C705" s="3">
        <v>152.94999999999999</v>
      </c>
      <c r="D705" s="3">
        <v>15.18</v>
      </c>
      <c r="E705" s="3">
        <v>63.96</v>
      </c>
      <c r="F705" s="3">
        <v>97.807149999999993</v>
      </c>
      <c r="G705" s="3">
        <v>92.174186000000006</v>
      </c>
      <c r="H705" s="3">
        <v>89.830706000000006</v>
      </c>
      <c r="I705" s="17">
        <f t="shared" si="168"/>
        <v>4.3755697356426496E-2</v>
      </c>
      <c r="J705" s="17">
        <f t="shared" si="169"/>
        <v>-3.0196030683063313E-2</v>
      </c>
      <c r="K705" s="17">
        <f t="shared" si="170"/>
        <v>1.2310543384737475E-2</v>
      </c>
      <c r="L705" s="17">
        <f t="shared" si="171"/>
        <v>-1.9723865877712778E-3</v>
      </c>
      <c r="M705" s="17">
        <f t="shared" si="172"/>
        <v>-1.3876040703052707E-2</v>
      </c>
      <c r="N705" s="17">
        <f t="shared" si="173"/>
        <v>1.9708493692438896E-3</v>
      </c>
      <c r="O705" s="17">
        <f t="shared" si="174"/>
        <v>3.5147332015893419E-3</v>
      </c>
      <c r="P705" s="17">
        <f t="shared" si="175"/>
        <v>3.7070275174572475E-3</v>
      </c>
      <c r="Q705" s="22">
        <f t="shared" si="176"/>
        <v>4.336122348604176E-2</v>
      </c>
      <c r="R705" s="22">
        <f t="shared" si="177"/>
        <v>-3.0626755397140475E-2</v>
      </c>
      <c r="S705" s="22">
        <f t="shared" si="178"/>
        <v>1.1898583997900027E-2</v>
      </c>
      <c r="T705" s="22">
        <f t="shared" si="179"/>
        <v>-2.1038380970041961E-3</v>
      </c>
      <c r="U705" s="22">
        <f t="shared" si="180"/>
        <v>-1.456926865000647E-2</v>
      </c>
      <c r="V705" s="22">
        <f t="shared" si="181"/>
        <v>2.2054531787470697E-3</v>
      </c>
      <c r="W705" s="22">
        <f t="shared" si="182"/>
        <v>3.7689817556800448E-3</v>
      </c>
      <c r="X705" s="22">
        <f t="shared" si="183"/>
        <v>4.0229719020635863E-3</v>
      </c>
    </row>
    <row r="706" spans="1:24" x14ac:dyDescent="0.35">
      <c r="A706" s="3">
        <v>11.14</v>
      </c>
      <c r="B706" s="3">
        <v>79.02</v>
      </c>
      <c r="C706" s="3">
        <v>148.88999999999999</v>
      </c>
      <c r="D706" s="3">
        <v>15.14</v>
      </c>
      <c r="E706" s="3">
        <v>62.32</v>
      </c>
      <c r="F706" s="3">
        <v>97.551886999999994</v>
      </c>
      <c r="G706" s="3">
        <v>92.197299999999998</v>
      </c>
      <c r="H706" s="3">
        <v>89.593148999999997</v>
      </c>
      <c r="I706" s="17">
        <f t="shared" si="168"/>
        <v>-2.7074235807860152E-2</v>
      </c>
      <c r="J706" s="17">
        <f t="shared" si="169"/>
        <v>-7.9096045197741324E-3</v>
      </c>
      <c r="K706" s="17">
        <f t="shared" si="170"/>
        <v>-2.6544622425629306E-2</v>
      </c>
      <c r="L706" s="17">
        <f t="shared" si="171"/>
        <v>-2.6350461133069266E-3</v>
      </c>
      <c r="M706" s="17">
        <f t="shared" si="172"/>
        <v>-2.5641025641025651E-2</v>
      </c>
      <c r="N706" s="17">
        <f t="shared" si="173"/>
        <v>-2.6098603220725621E-3</v>
      </c>
      <c r="O706" s="17">
        <f t="shared" si="174"/>
        <v>2.507643517458622E-4</v>
      </c>
      <c r="P706" s="17">
        <f t="shared" si="175"/>
        <v>-2.6444966379314612E-3</v>
      </c>
      <c r="Q706" s="22">
        <f t="shared" si="176"/>
        <v>-2.7468709678244885E-2</v>
      </c>
      <c r="R706" s="22">
        <f t="shared" si="177"/>
        <v>-8.3403292338512965E-3</v>
      </c>
      <c r="S706" s="22">
        <f t="shared" si="178"/>
        <v>-2.6956581812466754E-2</v>
      </c>
      <c r="T706" s="22">
        <f t="shared" si="179"/>
        <v>-2.7664976225398449E-3</v>
      </c>
      <c r="U706" s="22">
        <f t="shared" si="180"/>
        <v>-2.6334253587979414E-2</v>
      </c>
      <c r="V706" s="22">
        <f t="shared" si="181"/>
        <v>-2.375256512569382E-3</v>
      </c>
      <c r="W706" s="22">
        <f t="shared" si="182"/>
        <v>5.0501290583656526E-4</v>
      </c>
      <c r="X706" s="22">
        <f t="shared" si="183"/>
        <v>-2.3285522533251224E-3</v>
      </c>
    </row>
    <row r="707" spans="1:24" x14ac:dyDescent="0.35">
      <c r="A707" s="3">
        <v>11.15</v>
      </c>
      <c r="B707" s="3">
        <v>77.92</v>
      </c>
      <c r="C707" s="3">
        <v>150.68</v>
      </c>
      <c r="D707" s="3">
        <v>15.15</v>
      </c>
      <c r="E707" s="3">
        <v>60.95</v>
      </c>
      <c r="F707" s="3">
        <v>97.453497999999996</v>
      </c>
      <c r="G707" s="3">
        <v>91.775110999999995</v>
      </c>
      <c r="H707" s="3">
        <v>89.555280999999994</v>
      </c>
      <c r="I707" s="17">
        <f t="shared" si="168"/>
        <v>8.9766606822260203E-4</v>
      </c>
      <c r="J707" s="17">
        <f t="shared" si="169"/>
        <v>-1.3920526449000182E-2</v>
      </c>
      <c r="K707" s="17">
        <f t="shared" si="170"/>
        <v>1.2022298341057294E-2</v>
      </c>
      <c r="L707" s="17">
        <f t="shared" si="171"/>
        <v>6.6050198150593043E-4</v>
      </c>
      <c r="M707" s="17">
        <f t="shared" si="172"/>
        <v>-2.1983311938382502E-2</v>
      </c>
      <c r="N707" s="17">
        <f t="shared" si="173"/>
        <v>-1.008581207660262E-3</v>
      </c>
      <c r="O707" s="17">
        <f t="shared" si="174"/>
        <v>-4.5791904969017857E-3</v>
      </c>
      <c r="P707" s="17">
        <f t="shared" si="175"/>
        <v>-4.2266624650064621E-4</v>
      </c>
      <c r="Q707" s="22">
        <f t="shared" si="176"/>
        <v>5.0319219783786866E-4</v>
      </c>
      <c r="R707" s="22">
        <f t="shared" si="177"/>
        <v>-1.4351251163077346E-2</v>
      </c>
      <c r="S707" s="22">
        <f t="shared" si="178"/>
        <v>1.1610338954219847E-2</v>
      </c>
      <c r="T707" s="22">
        <f t="shared" si="179"/>
        <v>5.2905047227301213E-4</v>
      </c>
      <c r="U707" s="22">
        <f t="shared" si="180"/>
        <v>-2.2676539885336265E-2</v>
      </c>
      <c r="V707" s="22">
        <f t="shared" si="181"/>
        <v>-7.7397739815708165E-4</v>
      </c>
      <c r="W707" s="22">
        <f t="shared" si="182"/>
        <v>-4.3249419428110824E-3</v>
      </c>
      <c r="X707" s="22">
        <f t="shared" si="183"/>
        <v>-1.0672186189430744E-4</v>
      </c>
    </row>
    <row r="708" spans="1:24" x14ac:dyDescent="0.35">
      <c r="A708" s="3">
        <v>11.58</v>
      </c>
      <c r="B708" s="3">
        <v>78.47</v>
      </c>
      <c r="C708" s="3">
        <v>149.78</v>
      </c>
      <c r="D708" s="3">
        <v>15.27</v>
      </c>
      <c r="E708" s="3">
        <v>61.96</v>
      </c>
      <c r="F708" s="3">
        <v>97.272846999999999</v>
      </c>
      <c r="G708" s="3">
        <v>91.948036999999999</v>
      </c>
      <c r="H708" s="3">
        <v>89.272588999999996</v>
      </c>
      <c r="I708" s="17">
        <f t="shared" ref="I708:I771" si="184">(A708-A707)/A707</f>
        <v>3.8565022421524639E-2</v>
      </c>
      <c r="J708" s="17">
        <f t="shared" ref="J708:J771" si="185">(B708-B707)/B707</f>
        <v>7.0585215605749119E-3</v>
      </c>
      <c r="K708" s="17">
        <f t="shared" ref="K708:K771" si="186">(C708-C707)/C707</f>
        <v>-5.9729227501991349E-3</v>
      </c>
      <c r="L708" s="17">
        <f t="shared" ref="L708:L771" si="187">(D708-D707)/D707</f>
        <v>7.9207920792078688E-3</v>
      </c>
      <c r="M708" s="17">
        <f t="shared" ref="M708:M771" si="188">(E708-E707)/E707</f>
        <v>1.6570959803117277E-2</v>
      </c>
      <c r="N708" s="17">
        <f t="shared" ref="N708:N771" si="189">(F708-F707)/F707</f>
        <v>-1.8537148866631494E-3</v>
      </c>
      <c r="O708" s="17">
        <f t="shared" ref="O708:O771" si="190">(G708-G707)/G707</f>
        <v>1.8842363481315094E-3</v>
      </c>
      <c r="P708" s="17">
        <f t="shared" ref="P708:P771" si="191">(H708-H707)/H707</f>
        <v>-3.1566200992658076E-3</v>
      </c>
      <c r="Q708" s="22">
        <f t="shared" si="176"/>
        <v>3.8170548551139903E-2</v>
      </c>
      <c r="R708" s="22">
        <f t="shared" si="177"/>
        <v>6.6277968464977487E-3</v>
      </c>
      <c r="S708" s="22">
        <f t="shared" si="178"/>
        <v>-6.3848821370365814E-3</v>
      </c>
      <c r="T708" s="22">
        <f t="shared" si="179"/>
        <v>7.7893405699749505E-3</v>
      </c>
      <c r="U708" s="22">
        <f t="shared" si="180"/>
        <v>1.5877731856163514E-2</v>
      </c>
      <c r="V708" s="22">
        <f t="shared" si="181"/>
        <v>-1.6191110771599691E-3</v>
      </c>
      <c r="W708" s="22">
        <f t="shared" si="182"/>
        <v>2.1384849022222123E-3</v>
      </c>
      <c r="X708" s="22">
        <f t="shared" si="183"/>
        <v>-2.8406757146594687E-3</v>
      </c>
    </row>
    <row r="709" spans="1:24" x14ac:dyDescent="0.35">
      <c r="A709" s="3">
        <v>11.52</v>
      </c>
      <c r="B709" s="3">
        <v>78.239999999999995</v>
      </c>
      <c r="C709" s="3">
        <v>148.37</v>
      </c>
      <c r="D709" s="3">
        <v>15.35</v>
      </c>
      <c r="E709" s="3">
        <v>62.1</v>
      </c>
      <c r="F709" s="3">
        <v>97.216408000000001</v>
      </c>
      <c r="G709" s="3">
        <v>91.725194000000002</v>
      </c>
      <c r="H709" s="3">
        <v>88.809269</v>
      </c>
      <c r="I709" s="17">
        <f t="shared" si="184"/>
        <v>-5.1813471502591101E-3</v>
      </c>
      <c r="J709" s="17">
        <f t="shared" si="185"/>
        <v>-2.9310564546961128E-3</v>
      </c>
      <c r="K709" s="17">
        <f t="shared" si="186"/>
        <v>-9.4138069168113007E-3</v>
      </c>
      <c r="L709" s="17">
        <f t="shared" si="187"/>
        <v>5.239030779305833E-3</v>
      </c>
      <c r="M709" s="17">
        <f t="shared" si="188"/>
        <v>2.2595222724338376E-3</v>
      </c>
      <c r="N709" s="17">
        <f t="shared" si="189"/>
        <v>-5.8021330454116821E-4</v>
      </c>
      <c r="O709" s="17">
        <f t="shared" si="190"/>
        <v>-2.4235753940021303E-3</v>
      </c>
      <c r="P709" s="17">
        <f t="shared" si="191"/>
        <v>-5.1899469388077902E-3</v>
      </c>
      <c r="Q709" s="22">
        <f t="shared" ref="Q709:Q772" si="192">I709-AB$2</f>
        <v>-5.5758210206438433E-3</v>
      </c>
      <c r="R709" s="22">
        <f t="shared" ref="R709:R772" si="193">J709-AC$2</f>
        <v>-3.3617811687732765E-3</v>
      </c>
      <c r="S709" s="22">
        <f t="shared" ref="S709:S772" si="194">K709-AD$2</f>
        <v>-9.8257663036487482E-3</v>
      </c>
      <c r="T709" s="22">
        <f t="shared" ref="T709:T772" si="195">L709-AE$2</f>
        <v>5.1075792700729147E-3</v>
      </c>
      <c r="U709" s="22">
        <f t="shared" ref="U709:U772" si="196">M709-AF$2</f>
        <v>1.5662943254800749E-3</v>
      </c>
      <c r="V709" s="22">
        <f t="shared" ref="V709:V772" si="197">N709-AG$2</f>
        <v>-3.456094950379879E-4</v>
      </c>
      <c r="W709" s="22">
        <f t="shared" ref="W709:W772" si="198">O709-AH$2</f>
        <v>-2.1693268399114274E-3</v>
      </c>
      <c r="X709" s="22">
        <f t="shared" ref="X709:X772" si="199">P709-AI$2</f>
        <v>-4.8740025542014518E-3</v>
      </c>
    </row>
    <row r="710" spans="1:24" x14ac:dyDescent="0.35">
      <c r="A710" s="3">
        <v>11.17</v>
      </c>
      <c r="B710" s="3">
        <v>77.349999999999994</v>
      </c>
      <c r="C710" s="3">
        <v>148.82</v>
      </c>
      <c r="D710" s="3">
        <v>14.92</v>
      </c>
      <c r="E710" s="3">
        <v>61.52</v>
      </c>
      <c r="F710" s="3">
        <v>96.995750999999998</v>
      </c>
      <c r="G710" s="3">
        <v>91.257885999999999</v>
      </c>
      <c r="H710" s="3">
        <v>88.349779999999996</v>
      </c>
      <c r="I710" s="17">
        <f t="shared" si="184"/>
        <v>-3.0381944444444416E-2</v>
      </c>
      <c r="J710" s="17">
        <f t="shared" si="185"/>
        <v>-1.1375255623721889E-2</v>
      </c>
      <c r="K710" s="17">
        <f t="shared" si="186"/>
        <v>3.0329581451775198E-3</v>
      </c>
      <c r="L710" s="17">
        <f t="shared" si="187"/>
        <v>-2.8013029315960895E-2</v>
      </c>
      <c r="M710" s="17">
        <f t="shared" si="188"/>
        <v>-9.3397745571658346E-3</v>
      </c>
      <c r="N710" s="17">
        <f t="shared" si="189"/>
        <v>-2.2697505960105292E-3</v>
      </c>
      <c r="O710" s="17">
        <f t="shared" si="190"/>
        <v>-5.0946526207401944E-3</v>
      </c>
      <c r="P710" s="17">
        <f t="shared" si="191"/>
        <v>-5.173885622231672E-3</v>
      </c>
      <c r="Q710" s="22">
        <f t="shared" si="192"/>
        <v>-3.0776418314829149E-2</v>
      </c>
      <c r="R710" s="22">
        <f t="shared" si="193"/>
        <v>-1.1805980337799053E-2</v>
      </c>
      <c r="S710" s="22">
        <f t="shared" si="194"/>
        <v>2.6209987583400728E-3</v>
      </c>
      <c r="T710" s="22">
        <f t="shared" si="195"/>
        <v>-2.8144480825193812E-2</v>
      </c>
      <c r="U710" s="22">
        <f t="shared" si="196"/>
        <v>-1.0033002504119598E-2</v>
      </c>
      <c r="V710" s="22">
        <f t="shared" si="197"/>
        <v>-2.0351467865073491E-3</v>
      </c>
      <c r="W710" s="22">
        <f t="shared" si="198"/>
        <v>-4.840404066649491E-3</v>
      </c>
      <c r="X710" s="22">
        <f t="shared" si="199"/>
        <v>-4.8579412376253336E-3</v>
      </c>
    </row>
    <row r="711" spans="1:24" x14ac:dyDescent="0.35">
      <c r="A711" s="3">
        <v>11.06</v>
      </c>
      <c r="B711" s="3">
        <v>74.78</v>
      </c>
      <c r="C711" s="3">
        <v>147.85</v>
      </c>
      <c r="D711" s="3">
        <v>15.07</v>
      </c>
      <c r="E711" s="3">
        <v>61.43</v>
      </c>
      <c r="F711" s="3">
        <v>96.992208000000005</v>
      </c>
      <c r="G711" s="3">
        <v>90.941001</v>
      </c>
      <c r="H711" s="3">
        <v>88.541478999999995</v>
      </c>
      <c r="I711" s="17">
        <f t="shared" si="184"/>
        <v>-9.847806624888043E-3</v>
      </c>
      <c r="J711" s="17">
        <f t="shared" si="185"/>
        <v>-3.3225597931480201E-2</v>
      </c>
      <c r="K711" s="17">
        <f t="shared" si="186"/>
        <v>-6.517941136943952E-3</v>
      </c>
      <c r="L711" s="17">
        <f t="shared" si="187"/>
        <v>1.0053619302949086E-2</v>
      </c>
      <c r="M711" s="17">
        <f t="shared" si="188"/>
        <v>-1.4629388816645547E-3</v>
      </c>
      <c r="N711" s="17">
        <f t="shared" si="189"/>
        <v>-3.6527373245384867E-5</v>
      </c>
      <c r="O711" s="17">
        <f t="shared" si="190"/>
        <v>-3.4724122362422378E-3</v>
      </c>
      <c r="P711" s="17">
        <f t="shared" si="191"/>
        <v>2.1697733712523091E-3</v>
      </c>
      <c r="Q711" s="22">
        <f t="shared" si="192"/>
        <v>-1.0242280495272777E-2</v>
      </c>
      <c r="R711" s="22">
        <f t="shared" si="193"/>
        <v>-3.3656322645557367E-2</v>
      </c>
      <c r="S711" s="22">
        <f t="shared" si="194"/>
        <v>-6.9299005237813986E-3</v>
      </c>
      <c r="T711" s="22">
        <f t="shared" si="195"/>
        <v>9.9221677937161683E-3</v>
      </c>
      <c r="U711" s="22">
        <f t="shared" si="196"/>
        <v>-2.1561668286183173E-3</v>
      </c>
      <c r="V711" s="22">
        <f t="shared" si="197"/>
        <v>1.9807643625779542E-4</v>
      </c>
      <c r="W711" s="22">
        <f t="shared" si="198"/>
        <v>-3.2181636821515349E-3</v>
      </c>
      <c r="X711" s="22">
        <f t="shared" si="199"/>
        <v>2.4857177558586479E-3</v>
      </c>
    </row>
    <row r="712" spans="1:24" x14ac:dyDescent="0.35">
      <c r="A712" s="3">
        <v>10.95</v>
      </c>
      <c r="B712" s="3">
        <v>73.180000000000007</v>
      </c>
      <c r="C712" s="3">
        <v>142.80000000000001</v>
      </c>
      <c r="D712" s="3">
        <v>15.33</v>
      </c>
      <c r="E712" s="3">
        <v>59.59</v>
      </c>
      <c r="F712" s="3">
        <v>97.100329000000002</v>
      </c>
      <c r="G712" s="3">
        <v>91.014398</v>
      </c>
      <c r="H712" s="3">
        <v>88.565241</v>
      </c>
      <c r="I712" s="17">
        <f t="shared" si="184"/>
        <v>-9.9457504520796755E-3</v>
      </c>
      <c r="J712" s="17">
        <f t="shared" si="185"/>
        <v>-2.139609521262362E-2</v>
      </c>
      <c r="K712" s="17">
        <f t="shared" si="186"/>
        <v>-3.41562394318565E-2</v>
      </c>
      <c r="L712" s="17">
        <f t="shared" si="187"/>
        <v>1.7252820172528188E-2</v>
      </c>
      <c r="M712" s="17">
        <f t="shared" si="188"/>
        <v>-2.9952791795539578E-2</v>
      </c>
      <c r="N712" s="17">
        <f t="shared" si="189"/>
        <v>1.1147390314075231E-3</v>
      </c>
      <c r="O712" s="17">
        <f t="shared" si="190"/>
        <v>8.070837047417142E-4</v>
      </c>
      <c r="P712" s="17">
        <f t="shared" si="191"/>
        <v>2.6837139235052701E-4</v>
      </c>
      <c r="Q712" s="22">
        <f t="shared" si="192"/>
        <v>-1.034022432246441E-2</v>
      </c>
      <c r="R712" s="22">
        <f t="shared" si="193"/>
        <v>-2.1826819926700783E-2</v>
      </c>
      <c r="S712" s="22">
        <f t="shared" si="194"/>
        <v>-3.4568198818693947E-2</v>
      </c>
      <c r="T712" s="22">
        <f t="shared" si="195"/>
        <v>1.7121368663295271E-2</v>
      </c>
      <c r="U712" s="22">
        <f t="shared" si="196"/>
        <v>-3.0646019742493341E-2</v>
      </c>
      <c r="V712" s="22">
        <f t="shared" si="197"/>
        <v>1.3493428409107034E-3</v>
      </c>
      <c r="W712" s="22">
        <f t="shared" si="198"/>
        <v>1.0613322588324172E-3</v>
      </c>
      <c r="X712" s="22">
        <f t="shared" si="199"/>
        <v>5.8431577695686578E-4</v>
      </c>
    </row>
    <row r="713" spans="1:24" x14ac:dyDescent="0.35">
      <c r="A713" s="3">
        <v>10.83</v>
      </c>
      <c r="B713" s="3">
        <v>75.09</v>
      </c>
      <c r="C713" s="3">
        <v>143.41</v>
      </c>
      <c r="D713" s="3">
        <v>15.21</v>
      </c>
      <c r="E713" s="3">
        <v>59.21</v>
      </c>
      <c r="F713" s="3">
        <v>97.208487000000005</v>
      </c>
      <c r="G713" s="3">
        <v>91.283062000000001</v>
      </c>
      <c r="H713" s="3">
        <v>88.770007000000007</v>
      </c>
      <c r="I713" s="17">
        <f t="shared" si="184"/>
        <v>-1.095890410958897E-2</v>
      </c>
      <c r="J713" s="17">
        <f t="shared" si="185"/>
        <v>2.61000273298715E-2</v>
      </c>
      <c r="K713" s="17">
        <f t="shared" si="186"/>
        <v>4.2717086834732857E-3</v>
      </c>
      <c r="L713" s="17">
        <f t="shared" si="187"/>
        <v>-7.8277886497064072E-3</v>
      </c>
      <c r="M713" s="17">
        <f t="shared" si="188"/>
        <v>-6.3769088773284535E-3</v>
      </c>
      <c r="N713" s="17">
        <f t="shared" si="189"/>
        <v>1.1138788211521207E-3</v>
      </c>
      <c r="O713" s="17">
        <f t="shared" si="190"/>
        <v>2.9518846018187269E-3</v>
      </c>
      <c r="P713" s="17">
        <f t="shared" si="191"/>
        <v>2.3120357116174555E-3</v>
      </c>
      <c r="Q713" s="22">
        <f t="shared" si="192"/>
        <v>-1.1353377979973704E-2</v>
      </c>
      <c r="R713" s="22">
        <f t="shared" si="193"/>
        <v>2.5669302615794337E-2</v>
      </c>
      <c r="S713" s="22">
        <f t="shared" si="194"/>
        <v>3.8597492966358387E-3</v>
      </c>
      <c r="T713" s="22">
        <f t="shared" si="195"/>
        <v>-7.9592401589393246E-3</v>
      </c>
      <c r="U713" s="22">
        <f t="shared" si="196"/>
        <v>-7.0701368242822157E-3</v>
      </c>
      <c r="V713" s="22">
        <f t="shared" si="197"/>
        <v>1.348482630655301E-3</v>
      </c>
      <c r="W713" s="22">
        <f t="shared" si="198"/>
        <v>3.2061331559094298E-3</v>
      </c>
      <c r="X713" s="22">
        <f t="shared" si="199"/>
        <v>2.6279800962237944E-3</v>
      </c>
    </row>
    <row r="714" spans="1:24" x14ac:dyDescent="0.35">
      <c r="A714" s="3">
        <v>10.83</v>
      </c>
      <c r="B714" s="3">
        <v>73.989999999999995</v>
      </c>
      <c r="C714" s="3">
        <v>145.78</v>
      </c>
      <c r="D714" s="3">
        <v>15.37</v>
      </c>
      <c r="E714" s="3">
        <v>58.81</v>
      </c>
      <c r="F714" s="3">
        <v>96.948132999999999</v>
      </c>
      <c r="G714" s="3">
        <v>91.454469000000003</v>
      </c>
      <c r="H714" s="3">
        <v>88.252382999999995</v>
      </c>
      <c r="I714" s="17">
        <f t="shared" si="184"/>
        <v>0</v>
      </c>
      <c r="J714" s="17">
        <f t="shared" si="185"/>
        <v>-1.4649087761353156E-2</v>
      </c>
      <c r="K714" s="17">
        <f t="shared" si="186"/>
        <v>1.6526044208911544E-2</v>
      </c>
      <c r="L714" s="17">
        <f t="shared" si="187"/>
        <v>1.0519395134779641E-2</v>
      </c>
      <c r="M714" s="17">
        <f t="shared" si="188"/>
        <v>-6.7556156054720245E-3</v>
      </c>
      <c r="N714" s="17">
        <f t="shared" si="189"/>
        <v>-2.6783052389243197E-3</v>
      </c>
      <c r="O714" s="17">
        <f t="shared" si="190"/>
        <v>1.8777525232446966E-3</v>
      </c>
      <c r="P714" s="17">
        <f t="shared" si="191"/>
        <v>-5.8310685950493622E-3</v>
      </c>
      <c r="Q714" s="22">
        <f t="shared" si="192"/>
        <v>-3.9447387038473331E-4</v>
      </c>
      <c r="R714" s="22">
        <f t="shared" si="193"/>
        <v>-1.507981247543032E-2</v>
      </c>
      <c r="S714" s="22">
        <f t="shared" si="194"/>
        <v>1.6114084822074097E-2</v>
      </c>
      <c r="T714" s="22">
        <f t="shared" si="195"/>
        <v>1.0387943625546724E-2</v>
      </c>
      <c r="U714" s="22">
        <f t="shared" si="196"/>
        <v>-7.4488435524257867E-3</v>
      </c>
      <c r="V714" s="22">
        <f t="shared" si="197"/>
        <v>-2.4437014294211397E-3</v>
      </c>
      <c r="W714" s="22">
        <f t="shared" si="198"/>
        <v>2.1320010773353995E-3</v>
      </c>
      <c r="X714" s="22">
        <f t="shared" si="199"/>
        <v>-5.5151242104430238E-3</v>
      </c>
    </row>
    <row r="715" spans="1:24" x14ac:dyDescent="0.35">
      <c r="A715" s="3">
        <v>11.08</v>
      </c>
      <c r="B715" s="3">
        <v>75.13</v>
      </c>
      <c r="C715" s="3">
        <v>148.54</v>
      </c>
      <c r="D715" s="3">
        <v>15.21</v>
      </c>
      <c r="E715" s="3">
        <v>61.87</v>
      </c>
      <c r="F715" s="3">
        <v>96.567142000000004</v>
      </c>
      <c r="G715" s="3">
        <v>90.991185999999999</v>
      </c>
      <c r="H715" s="3">
        <v>87.561639</v>
      </c>
      <c r="I715" s="17">
        <f t="shared" si="184"/>
        <v>2.3084025854108955E-2</v>
      </c>
      <c r="J715" s="17">
        <f t="shared" si="185"/>
        <v>1.5407487498310592E-2</v>
      </c>
      <c r="K715" s="17">
        <f t="shared" si="186"/>
        <v>1.893263822197826E-2</v>
      </c>
      <c r="L715" s="17">
        <f t="shared" si="187"/>
        <v>-1.0409889394925074E-2</v>
      </c>
      <c r="M715" s="17">
        <f t="shared" si="188"/>
        <v>5.2031967352490986E-2</v>
      </c>
      <c r="N715" s="17">
        <f t="shared" si="189"/>
        <v>-3.9298435999793263E-3</v>
      </c>
      <c r="O715" s="17">
        <f t="shared" si="190"/>
        <v>-5.0657229227366032E-3</v>
      </c>
      <c r="P715" s="17">
        <f t="shared" si="191"/>
        <v>-7.8269161298454137E-3</v>
      </c>
      <c r="Q715" s="22">
        <f t="shared" si="192"/>
        <v>2.2689551983724222E-2</v>
      </c>
      <c r="R715" s="22">
        <f t="shared" si="193"/>
        <v>1.4976762784233428E-2</v>
      </c>
      <c r="S715" s="22">
        <f t="shared" si="194"/>
        <v>1.8520678835140813E-2</v>
      </c>
      <c r="T715" s="22">
        <f t="shared" si="195"/>
        <v>-1.0541340904157991E-2</v>
      </c>
      <c r="U715" s="22">
        <f t="shared" si="196"/>
        <v>5.1338739405537223E-2</v>
      </c>
      <c r="V715" s="22">
        <f t="shared" si="197"/>
        <v>-3.6952397904761462E-3</v>
      </c>
      <c r="W715" s="22">
        <f t="shared" si="198"/>
        <v>-4.8114743686458999E-3</v>
      </c>
      <c r="X715" s="22">
        <f t="shared" si="199"/>
        <v>-7.5109717452390753E-3</v>
      </c>
    </row>
    <row r="716" spans="1:24" x14ac:dyDescent="0.35">
      <c r="A716" s="3">
        <v>11.31</v>
      </c>
      <c r="B716" s="3">
        <v>75.09</v>
      </c>
      <c r="C716" s="3">
        <v>145.81</v>
      </c>
      <c r="D716" s="3">
        <v>15.24</v>
      </c>
      <c r="E716" s="3">
        <v>62.69</v>
      </c>
      <c r="F716" s="3">
        <v>96.241769000000005</v>
      </c>
      <c r="G716" s="3">
        <v>90.196374000000006</v>
      </c>
      <c r="H716" s="3">
        <v>87.692622</v>
      </c>
      <c r="I716" s="17">
        <f t="shared" si="184"/>
        <v>2.0758122743682349E-2</v>
      </c>
      <c r="J716" s="17">
        <f t="shared" si="185"/>
        <v>-5.3241048848651727E-4</v>
      </c>
      <c r="K716" s="17">
        <f t="shared" si="186"/>
        <v>-1.8378887841658746E-2</v>
      </c>
      <c r="L716" s="17">
        <f t="shared" si="187"/>
        <v>1.9723865877711612E-3</v>
      </c>
      <c r="M716" s="17">
        <f t="shared" si="188"/>
        <v>1.3253596250202041E-2</v>
      </c>
      <c r="N716" s="17">
        <f t="shared" si="189"/>
        <v>-3.3693966007609399E-3</v>
      </c>
      <c r="O716" s="17">
        <f t="shared" si="190"/>
        <v>-8.7350438535881182E-3</v>
      </c>
      <c r="P716" s="17">
        <f t="shared" si="191"/>
        <v>1.4958947947513923E-3</v>
      </c>
      <c r="Q716" s="22">
        <f t="shared" si="192"/>
        <v>2.0363648873297616E-2</v>
      </c>
      <c r="R716" s="22">
        <f t="shared" si="193"/>
        <v>-9.6313520256368084E-4</v>
      </c>
      <c r="S716" s="22">
        <f t="shared" si="194"/>
        <v>-1.8790847228496194E-2</v>
      </c>
      <c r="T716" s="22">
        <f t="shared" si="195"/>
        <v>1.8409350785382429E-3</v>
      </c>
      <c r="U716" s="22">
        <f t="shared" si="196"/>
        <v>1.2560368303248278E-2</v>
      </c>
      <c r="V716" s="22">
        <f t="shared" si="197"/>
        <v>-3.1347927912577598E-3</v>
      </c>
      <c r="W716" s="22">
        <f t="shared" si="198"/>
        <v>-8.4807952994974158E-3</v>
      </c>
      <c r="X716" s="22">
        <f t="shared" si="199"/>
        <v>1.8118391793577311E-3</v>
      </c>
    </row>
    <row r="717" spans="1:24" x14ac:dyDescent="0.35">
      <c r="A717" s="3">
        <v>10.78</v>
      </c>
      <c r="B717" s="3">
        <v>72.27</v>
      </c>
      <c r="C717" s="3">
        <v>146.69</v>
      </c>
      <c r="D717" s="3">
        <v>15.14</v>
      </c>
      <c r="E717" s="3">
        <v>61.68</v>
      </c>
      <c r="F717" s="3">
        <v>96.916522000000001</v>
      </c>
      <c r="G717" s="3">
        <v>90.847708999999995</v>
      </c>
      <c r="H717" s="3">
        <v>88.013439000000005</v>
      </c>
      <c r="I717" s="17">
        <f t="shared" si="184"/>
        <v>-4.6861184792219374E-2</v>
      </c>
      <c r="J717" s="17">
        <f t="shared" si="185"/>
        <v>-3.7554934079105172E-2</v>
      </c>
      <c r="K717" s="17">
        <f t="shared" si="186"/>
        <v>6.0352513545024033E-3</v>
      </c>
      <c r="L717" s="17">
        <f t="shared" si="187"/>
        <v>-6.5616797900262232E-3</v>
      </c>
      <c r="M717" s="17">
        <f t="shared" si="188"/>
        <v>-1.6111022491625427E-2</v>
      </c>
      <c r="N717" s="17">
        <f t="shared" si="189"/>
        <v>7.0110203398276632E-3</v>
      </c>
      <c r="O717" s="17">
        <f t="shared" si="190"/>
        <v>7.2212991622034482E-3</v>
      </c>
      <c r="P717" s="17">
        <f t="shared" si="191"/>
        <v>3.658426361113997E-3</v>
      </c>
      <c r="Q717" s="22">
        <f t="shared" si="192"/>
        <v>-4.7255658662604109E-2</v>
      </c>
      <c r="R717" s="22">
        <f t="shared" si="193"/>
        <v>-3.7985658793182338E-2</v>
      </c>
      <c r="S717" s="22">
        <f t="shared" si="194"/>
        <v>5.6232919676649567E-3</v>
      </c>
      <c r="T717" s="22">
        <f t="shared" si="195"/>
        <v>-6.6931312992591415E-3</v>
      </c>
      <c r="U717" s="22">
        <f t="shared" si="196"/>
        <v>-1.680425043857919E-2</v>
      </c>
      <c r="V717" s="22">
        <f t="shared" si="197"/>
        <v>7.2456241493308437E-3</v>
      </c>
      <c r="W717" s="22">
        <f t="shared" si="198"/>
        <v>7.4755477162941515E-3</v>
      </c>
      <c r="X717" s="22">
        <f t="shared" si="199"/>
        <v>3.9743707457203358E-3</v>
      </c>
    </row>
    <row r="718" spans="1:24" x14ac:dyDescent="0.35">
      <c r="A718" s="3">
        <v>10.75</v>
      </c>
      <c r="B718" s="3">
        <v>70.069999999999993</v>
      </c>
      <c r="C718" s="3">
        <v>150.35</v>
      </c>
      <c r="D718" s="3">
        <v>15.03</v>
      </c>
      <c r="E718" s="3">
        <v>61.65</v>
      </c>
      <c r="F718" s="3">
        <v>97.024257000000006</v>
      </c>
      <c r="G718" s="3">
        <v>90.920933000000005</v>
      </c>
      <c r="H718" s="3">
        <v>87.977855000000005</v>
      </c>
      <c r="I718" s="17">
        <f t="shared" si="184"/>
        <v>-2.7829313543598667E-3</v>
      </c>
      <c r="J718" s="17">
        <f t="shared" si="185"/>
        <v>-3.0441400304414043E-2</v>
      </c>
      <c r="K718" s="17">
        <f t="shared" si="186"/>
        <v>2.4950576044720136E-2</v>
      </c>
      <c r="L718" s="17">
        <f t="shared" si="187"/>
        <v>-7.2655217965654694E-3</v>
      </c>
      <c r="M718" s="17">
        <f t="shared" si="188"/>
        <v>-4.8638132295721688E-4</v>
      </c>
      <c r="N718" s="17">
        <f t="shared" si="189"/>
        <v>1.1116267667963286E-3</v>
      </c>
      <c r="O718" s="17">
        <f t="shared" si="190"/>
        <v>8.0600821755461547E-4</v>
      </c>
      <c r="P718" s="17">
        <f t="shared" si="191"/>
        <v>-4.0430189303249537E-4</v>
      </c>
      <c r="Q718" s="22">
        <f t="shared" si="192"/>
        <v>-3.1774052247446E-3</v>
      </c>
      <c r="R718" s="22">
        <f t="shared" si="193"/>
        <v>-3.0872125018491205E-2</v>
      </c>
      <c r="S718" s="22">
        <f t="shared" si="194"/>
        <v>2.4538616657882689E-2</v>
      </c>
      <c r="T718" s="22">
        <f t="shared" si="195"/>
        <v>-7.3969733057983877E-3</v>
      </c>
      <c r="U718" s="22">
        <f t="shared" si="196"/>
        <v>-1.1796092699109793E-3</v>
      </c>
      <c r="V718" s="22">
        <f t="shared" si="197"/>
        <v>1.3462305762995089E-3</v>
      </c>
      <c r="W718" s="22">
        <f t="shared" si="198"/>
        <v>1.0602567716453185E-3</v>
      </c>
      <c r="X718" s="22">
        <f t="shared" si="199"/>
        <v>-8.8357508426156598E-5</v>
      </c>
    </row>
    <row r="719" spans="1:24" x14ac:dyDescent="0.35">
      <c r="A719" s="3">
        <v>10.83</v>
      </c>
      <c r="B719" s="3">
        <v>73.38</v>
      </c>
      <c r="C719" s="3">
        <v>146.32</v>
      </c>
      <c r="D719" s="3">
        <v>14.89</v>
      </c>
      <c r="E719" s="3">
        <v>59.74</v>
      </c>
      <c r="F719" s="3">
        <v>96.590232</v>
      </c>
      <c r="G719" s="3">
        <v>90.440146999999996</v>
      </c>
      <c r="H719" s="3">
        <v>87.493002000000004</v>
      </c>
      <c r="I719" s="17">
        <f t="shared" si="184"/>
        <v>7.4418604651162856E-3</v>
      </c>
      <c r="J719" s="17">
        <f t="shared" si="185"/>
        <v>4.7238475809904416E-2</v>
      </c>
      <c r="K719" s="17">
        <f t="shared" si="186"/>
        <v>-2.6804123711340215E-2</v>
      </c>
      <c r="L719" s="17">
        <f t="shared" si="187"/>
        <v>-9.3147039254822886E-3</v>
      </c>
      <c r="M719" s="17">
        <f t="shared" si="188"/>
        <v>-3.0981346309813407E-2</v>
      </c>
      <c r="N719" s="17">
        <f t="shared" si="189"/>
        <v>-4.4733658717943641E-3</v>
      </c>
      <c r="O719" s="17">
        <f t="shared" si="190"/>
        <v>-5.287957174834634E-3</v>
      </c>
      <c r="P719" s="17">
        <f t="shared" si="191"/>
        <v>-5.5110800325832111E-3</v>
      </c>
      <c r="Q719" s="22">
        <f t="shared" si="192"/>
        <v>7.0473865947315523E-3</v>
      </c>
      <c r="R719" s="22">
        <f t="shared" si="193"/>
        <v>4.6807751095827251E-2</v>
      </c>
      <c r="S719" s="22">
        <f t="shared" si="194"/>
        <v>-2.7216083098177662E-2</v>
      </c>
      <c r="T719" s="22">
        <f t="shared" si="195"/>
        <v>-9.446155434715206E-3</v>
      </c>
      <c r="U719" s="22">
        <f t="shared" si="196"/>
        <v>-3.1674574256767167E-2</v>
      </c>
      <c r="V719" s="22">
        <f t="shared" si="197"/>
        <v>-4.2387620622911836E-3</v>
      </c>
      <c r="W719" s="22">
        <f t="shared" si="198"/>
        <v>-5.0337086207439307E-3</v>
      </c>
      <c r="X719" s="22">
        <f t="shared" si="199"/>
        <v>-5.1951356479768727E-3</v>
      </c>
    </row>
    <row r="720" spans="1:24" x14ac:dyDescent="0.35">
      <c r="A720" s="3">
        <v>10.95</v>
      </c>
      <c r="B720" s="3">
        <v>75.709999999999994</v>
      </c>
      <c r="C720" s="3">
        <v>151.65</v>
      </c>
      <c r="D720" s="3">
        <v>14.8</v>
      </c>
      <c r="E720" s="3">
        <v>60.07</v>
      </c>
      <c r="F720" s="3">
        <v>96.750590000000003</v>
      </c>
      <c r="G720" s="3">
        <v>90.611062000000004</v>
      </c>
      <c r="H720" s="3">
        <v>87.801096000000001</v>
      </c>
      <c r="I720" s="17">
        <f t="shared" si="184"/>
        <v>1.1080332409972226E-2</v>
      </c>
      <c r="J720" s="17">
        <f t="shared" si="185"/>
        <v>3.1752521122921755E-2</v>
      </c>
      <c r="K720" s="17">
        <f t="shared" si="186"/>
        <v>3.6427009294696645E-2</v>
      </c>
      <c r="L720" s="17">
        <f t="shared" si="187"/>
        <v>-6.0443250503693655E-3</v>
      </c>
      <c r="M720" s="17">
        <f t="shared" si="188"/>
        <v>5.5239370605958873E-3</v>
      </c>
      <c r="N720" s="17">
        <f t="shared" si="189"/>
        <v>1.6601885789031155E-3</v>
      </c>
      <c r="O720" s="17">
        <f t="shared" si="190"/>
        <v>1.8898133812189396E-3</v>
      </c>
      <c r="P720" s="17">
        <f t="shared" si="191"/>
        <v>3.5213559136992117E-3</v>
      </c>
      <c r="Q720" s="22">
        <f t="shared" si="192"/>
        <v>1.0685858539587492E-2</v>
      </c>
      <c r="R720" s="22">
        <f t="shared" si="193"/>
        <v>3.1321796408844589E-2</v>
      </c>
      <c r="S720" s="22">
        <f t="shared" si="194"/>
        <v>3.6015049907859198E-2</v>
      </c>
      <c r="T720" s="22">
        <f t="shared" si="195"/>
        <v>-6.1757765596022838E-3</v>
      </c>
      <c r="U720" s="22">
        <f t="shared" si="196"/>
        <v>4.8307091136421251E-3</v>
      </c>
      <c r="V720" s="22">
        <f t="shared" si="197"/>
        <v>1.8947923884062958E-3</v>
      </c>
      <c r="W720" s="22">
        <f t="shared" si="198"/>
        <v>2.1440619353096427E-3</v>
      </c>
      <c r="X720" s="22">
        <f t="shared" si="199"/>
        <v>3.8373002983055505E-3</v>
      </c>
    </row>
    <row r="721" spans="1:24" x14ac:dyDescent="0.35">
      <c r="A721" s="3">
        <v>11.7</v>
      </c>
      <c r="B721" s="3">
        <v>78.41</v>
      </c>
      <c r="C721" s="3">
        <v>157.55000000000001</v>
      </c>
      <c r="D721" s="3">
        <v>15.12</v>
      </c>
      <c r="E721" s="3">
        <v>62.2</v>
      </c>
      <c r="F721" s="3">
        <v>98.287368000000001</v>
      </c>
      <c r="G721" s="3">
        <v>91.069894000000005</v>
      </c>
      <c r="H721" s="3">
        <v>89.502965000000003</v>
      </c>
      <c r="I721" s="17">
        <f t="shared" si="184"/>
        <v>6.8493150684931517E-2</v>
      </c>
      <c r="J721" s="17">
        <f t="shared" si="185"/>
        <v>3.5662395984678422E-2</v>
      </c>
      <c r="K721" s="17">
        <f t="shared" si="186"/>
        <v>3.8905374216946953E-2</v>
      </c>
      <c r="L721" s="17">
        <f t="shared" si="187"/>
        <v>2.1621621621621519E-2</v>
      </c>
      <c r="M721" s="17">
        <f t="shared" si="188"/>
        <v>3.5458631596470828E-2</v>
      </c>
      <c r="N721" s="17">
        <f t="shared" si="189"/>
        <v>1.5883913472775704E-2</v>
      </c>
      <c r="O721" s="17">
        <f t="shared" si="190"/>
        <v>5.0637525912675101E-3</v>
      </c>
      <c r="P721" s="17">
        <f t="shared" si="191"/>
        <v>1.9383231844850798E-2</v>
      </c>
      <c r="Q721" s="22">
        <f t="shared" si="192"/>
        <v>6.8098676814546788E-2</v>
      </c>
      <c r="R721" s="22">
        <f t="shared" si="193"/>
        <v>3.5231671270601256E-2</v>
      </c>
      <c r="S721" s="22">
        <f t="shared" si="194"/>
        <v>3.8493414830109506E-2</v>
      </c>
      <c r="T721" s="22">
        <f t="shared" si="195"/>
        <v>2.1490170112388601E-2</v>
      </c>
      <c r="U721" s="22">
        <f t="shared" si="196"/>
        <v>3.4765403649517065E-2</v>
      </c>
      <c r="V721" s="22">
        <f t="shared" si="197"/>
        <v>1.6118517282278883E-2</v>
      </c>
      <c r="W721" s="22">
        <f t="shared" si="198"/>
        <v>5.3180011453582135E-3</v>
      </c>
      <c r="X721" s="22">
        <f t="shared" si="199"/>
        <v>1.9699176229457136E-2</v>
      </c>
    </row>
    <row r="722" spans="1:24" x14ac:dyDescent="0.35">
      <c r="A722" s="3">
        <v>11.85</v>
      </c>
      <c r="B722" s="3">
        <v>82.1</v>
      </c>
      <c r="C722" s="3">
        <v>153.58000000000001</v>
      </c>
      <c r="D722" s="3">
        <v>15.28</v>
      </c>
      <c r="E722" s="3">
        <v>62.01</v>
      </c>
      <c r="F722" s="3">
        <v>98.272126</v>
      </c>
      <c r="G722" s="3">
        <v>92.708980999999994</v>
      </c>
      <c r="H722" s="3">
        <v>89.892104000000003</v>
      </c>
      <c r="I722" s="17">
        <f t="shared" si="184"/>
        <v>1.2820512820512851E-2</v>
      </c>
      <c r="J722" s="17">
        <f t="shared" si="185"/>
        <v>4.7060323938273155E-2</v>
      </c>
      <c r="K722" s="17">
        <f t="shared" si="186"/>
        <v>-2.5198349730244356E-2</v>
      </c>
      <c r="L722" s="17">
        <f t="shared" si="187"/>
        <v>1.0582010582010592E-2</v>
      </c>
      <c r="M722" s="17">
        <f t="shared" si="188"/>
        <v>-3.0546623794212996E-3</v>
      </c>
      <c r="N722" s="17">
        <f t="shared" si="189"/>
        <v>-1.550758791302728E-4</v>
      </c>
      <c r="O722" s="17">
        <f t="shared" si="190"/>
        <v>1.7998121311088702E-2</v>
      </c>
      <c r="P722" s="17">
        <f t="shared" si="191"/>
        <v>4.3477777523906625E-3</v>
      </c>
      <c r="Q722" s="22">
        <f t="shared" si="192"/>
        <v>1.2426038950128117E-2</v>
      </c>
      <c r="R722" s="22">
        <f t="shared" si="193"/>
        <v>4.6629599224195989E-2</v>
      </c>
      <c r="S722" s="22">
        <f t="shared" si="194"/>
        <v>-2.5610309117081804E-2</v>
      </c>
      <c r="T722" s="22">
        <f t="shared" si="195"/>
        <v>1.0450559072777674E-2</v>
      </c>
      <c r="U722" s="22">
        <f t="shared" si="196"/>
        <v>-3.7478903263750622E-3</v>
      </c>
      <c r="V722" s="22">
        <f t="shared" si="197"/>
        <v>7.9527930372907485E-5</v>
      </c>
      <c r="W722" s="22">
        <f t="shared" si="198"/>
        <v>1.8252369865179405E-2</v>
      </c>
      <c r="X722" s="22">
        <f t="shared" si="199"/>
        <v>4.6637221369970009E-3</v>
      </c>
    </row>
    <row r="723" spans="1:24" x14ac:dyDescent="0.35">
      <c r="A723" s="3">
        <v>11.97</v>
      </c>
      <c r="B723" s="3">
        <v>80.760000000000005</v>
      </c>
      <c r="C723" s="3">
        <v>153.09</v>
      </c>
      <c r="D723" s="3">
        <v>14.99</v>
      </c>
      <c r="E723" s="3">
        <v>61.26</v>
      </c>
      <c r="F723" s="3">
        <v>98.380508000000006</v>
      </c>
      <c r="G723" s="3">
        <v>92.535849999999996</v>
      </c>
      <c r="H723" s="3">
        <v>90.099287000000004</v>
      </c>
      <c r="I723" s="17">
        <f t="shared" si="184"/>
        <v>1.0126582278481096E-2</v>
      </c>
      <c r="J723" s="17">
        <f t="shared" si="185"/>
        <v>-1.6321559074299503E-2</v>
      </c>
      <c r="K723" s="17">
        <f t="shared" si="186"/>
        <v>-3.1905195989061666E-3</v>
      </c>
      <c r="L723" s="17">
        <f t="shared" si="187"/>
        <v>-1.897905759162298E-2</v>
      </c>
      <c r="M723" s="17">
        <f t="shared" si="188"/>
        <v>-1.2094823415578134E-2</v>
      </c>
      <c r="N723" s="17">
        <f t="shared" si="189"/>
        <v>1.1028763130656802E-3</v>
      </c>
      <c r="O723" s="17">
        <f t="shared" si="190"/>
        <v>-1.8674674031850047E-3</v>
      </c>
      <c r="P723" s="17">
        <f t="shared" si="191"/>
        <v>2.3047964257238941E-3</v>
      </c>
      <c r="Q723" s="22">
        <f t="shared" si="192"/>
        <v>9.732108408096362E-3</v>
      </c>
      <c r="R723" s="22">
        <f t="shared" si="193"/>
        <v>-1.6752283788376666E-2</v>
      </c>
      <c r="S723" s="22">
        <f t="shared" si="194"/>
        <v>-3.6024789857436136E-3</v>
      </c>
      <c r="T723" s="22">
        <f t="shared" si="195"/>
        <v>-1.9110509100855898E-2</v>
      </c>
      <c r="U723" s="22">
        <f t="shared" si="196"/>
        <v>-1.2788051362531897E-2</v>
      </c>
      <c r="V723" s="22">
        <f t="shared" si="197"/>
        <v>1.3374801225688605E-3</v>
      </c>
      <c r="W723" s="22">
        <f t="shared" si="198"/>
        <v>-1.6132188490943018E-3</v>
      </c>
      <c r="X723" s="22">
        <f t="shared" si="199"/>
        <v>2.6207408103302329E-3</v>
      </c>
    </row>
    <row r="724" spans="1:24" x14ac:dyDescent="0.35">
      <c r="A724" s="3">
        <v>12.17</v>
      </c>
      <c r="B724" s="3">
        <v>80.31</v>
      </c>
      <c r="C724" s="3">
        <v>153.38</v>
      </c>
      <c r="D724" s="3">
        <v>14.97</v>
      </c>
      <c r="E724" s="3">
        <v>60.91</v>
      </c>
      <c r="F724" s="3">
        <v>98.902557000000002</v>
      </c>
      <c r="G724" s="3">
        <v>92.807444000000004</v>
      </c>
      <c r="H724" s="3">
        <v>90.676418999999996</v>
      </c>
      <c r="I724" s="17">
        <f t="shared" si="184"/>
        <v>1.670843776106928E-2</v>
      </c>
      <c r="J724" s="17">
        <f t="shared" si="185"/>
        <v>-5.5720653789004806E-3</v>
      </c>
      <c r="K724" s="17">
        <f t="shared" si="186"/>
        <v>1.8943105362857929E-3</v>
      </c>
      <c r="L724" s="17">
        <f t="shared" si="187"/>
        <v>-1.3342228152101116E-3</v>
      </c>
      <c r="M724" s="17">
        <f t="shared" si="188"/>
        <v>-5.7133529219719464E-3</v>
      </c>
      <c r="N724" s="17">
        <f t="shared" si="189"/>
        <v>5.3064271633969963E-3</v>
      </c>
      <c r="O724" s="17">
        <f t="shared" si="190"/>
        <v>2.9350138351785546E-3</v>
      </c>
      <c r="P724" s="17">
        <f t="shared" si="191"/>
        <v>6.4055112888961232E-3</v>
      </c>
      <c r="Q724" s="22">
        <f t="shared" si="192"/>
        <v>1.6313963890684548E-2</v>
      </c>
      <c r="R724" s="22">
        <f t="shared" si="193"/>
        <v>-6.0027900929776438E-3</v>
      </c>
      <c r="S724" s="22">
        <f t="shared" si="194"/>
        <v>1.4823511494483459E-3</v>
      </c>
      <c r="T724" s="22">
        <f t="shared" si="195"/>
        <v>-1.4656743244430299E-3</v>
      </c>
      <c r="U724" s="22">
        <f t="shared" si="196"/>
        <v>-6.4065808689257086E-3</v>
      </c>
      <c r="V724" s="22">
        <f t="shared" si="197"/>
        <v>5.5410309729001768E-3</v>
      </c>
      <c r="W724" s="22">
        <f t="shared" si="198"/>
        <v>3.1892623892692575E-3</v>
      </c>
      <c r="X724" s="22">
        <f t="shared" si="199"/>
        <v>6.7214556735024616E-3</v>
      </c>
    </row>
    <row r="725" spans="1:24" x14ac:dyDescent="0.35">
      <c r="A725" s="3">
        <v>12.3</v>
      </c>
      <c r="B725" s="3">
        <v>80.55</v>
      </c>
      <c r="C725" s="3">
        <v>152.96</v>
      </c>
      <c r="D725" s="3">
        <v>15.13</v>
      </c>
      <c r="E725" s="3">
        <v>61.12</v>
      </c>
      <c r="F725" s="3">
        <v>99.228909000000002</v>
      </c>
      <c r="G725" s="3">
        <v>92.634050999999999</v>
      </c>
      <c r="H725" s="3">
        <v>90.255465000000001</v>
      </c>
      <c r="I725" s="17">
        <f t="shared" si="184"/>
        <v>1.0682004930156187E-2</v>
      </c>
      <c r="J725" s="17">
        <f t="shared" si="185"/>
        <v>2.9884198729920918E-3</v>
      </c>
      <c r="K725" s="17">
        <f t="shared" si="186"/>
        <v>-2.7382970400312134E-3</v>
      </c>
      <c r="L725" s="17">
        <f t="shared" si="187"/>
        <v>1.0688042752171018E-2</v>
      </c>
      <c r="M725" s="17">
        <f t="shared" si="188"/>
        <v>3.4477097356756009E-3</v>
      </c>
      <c r="N725" s="17">
        <f t="shared" si="189"/>
        <v>3.2997326853743524E-3</v>
      </c>
      <c r="O725" s="17">
        <f t="shared" si="190"/>
        <v>-1.8683091843365964E-3</v>
      </c>
      <c r="P725" s="17">
        <f t="shared" si="191"/>
        <v>-4.6423756544686084E-3</v>
      </c>
      <c r="Q725" s="22">
        <f t="shared" si="192"/>
        <v>1.0287531059771452E-2</v>
      </c>
      <c r="R725" s="22">
        <f t="shared" si="193"/>
        <v>2.5576951589149281E-3</v>
      </c>
      <c r="S725" s="22">
        <f t="shared" si="194"/>
        <v>-3.1502564268686604E-3</v>
      </c>
      <c r="T725" s="22">
        <f t="shared" si="195"/>
        <v>1.0556591242938101E-2</v>
      </c>
      <c r="U725" s="22">
        <f t="shared" si="196"/>
        <v>2.7544817887218383E-3</v>
      </c>
      <c r="V725" s="22">
        <f t="shared" si="197"/>
        <v>3.5343364948775325E-3</v>
      </c>
      <c r="W725" s="22">
        <f t="shared" si="198"/>
        <v>-1.6140606302458933E-3</v>
      </c>
      <c r="X725" s="22">
        <f t="shared" si="199"/>
        <v>-4.3264312698622701E-3</v>
      </c>
    </row>
    <row r="726" spans="1:24" x14ac:dyDescent="0.35">
      <c r="A726" s="3">
        <v>12.26</v>
      </c>
      <c r="B726" s="3">
        <v>80.48</v>
      </c>
      <c r="C726" s="3">
        <v>157.47</v>
      </c>
      <c r="D726" s="3">
        <v>15.23</v>
      </c>
      <c r="E726" s="3">
        <v>61</v>
      </c>
      <c r="F726" s="3">
        <v>99.171566999999996</v>
      </c>
      <c r="G726" s="3">
        <v>93.501368999999997</v>
      </c>
      <c r="H726" s="3">
        <v>90.771107999999998</v>
      </c>
      <c r="I726" s="17">
        <f t="shared" si="184"/>
        <v>-3.2520325203252783E-3</v>
      </c>
      <c r="J726" s="17">
        <f t="shared" si="185"/>
        <v>-8.6902545003095201E-4</v>
      </c>
      <c r="K726" s="17">
        <f t="shared" si="186"/>
        <v>2.9484832635983203E-2</v>
      </c>
      <c r="L726" s="17">
        <f t="shared" si="187"/>
        <v>6.6093853271645495E-3</v>
      </c>
      <c r="M726" s="17">
        <f t="shared" si="188"/>
        <v>-1.9633507853402724E-3</v>
      </c>
      <c r="N726" s="17">
        <f t="shared" si="189"/>
        <v>-5.7787594943733132E-4</v>
      </c>
      <c r="O726" s="17">
        <f t="shared" si="190"/>
        <v>9.3628421799236364E-3</v>
      </c>
      <c r="P726" s="17">
        <f t="shared" si="191"/>
        <v>5.7131498907018784E-3</v>
      </c>
      <c r="Q726" s="22">
        <f t="shared" si="192"/>
        <v>-3.6465063907100115E-3</v>
      </c>
      <c r="R726" s="22">
        <f t="shared" si="193"/>
        <v>-1.2997501641081155E-3</v>
      </c>
      <c r="S726" s="22">
        <f t="shared" si="194"/>
        <v>2.9072873249145755E-2</v>
      </c>
      <c r="T726" s="22">
        <f t="shared" si="195"/>
        <v>6.4779338179316312E-3</v>
      </c>
      <c r="U726" s="22">
        <f t="shared" si="196"/>
        <v>-2.656578732294035E-3</v>
      </c>
      <c r="V726" s="22">
        <f t="shared" si="197"/>
        <v>-3.4327213993415101E-4</v>
      </c>
      <c r="W726" s="22">
        <f t="shared" si="198"/>
        <v>9.6170907340143389E-3</v>
      </c>
      <c r="X726" s="22">
        <f t="shared" si="199"/>
        <v>6.0290942753082168E-3</v>
      </c>
    </row>
    <row r="727" spans="1:24" x14ac:dyDescent="0.35">
      <c r="A727" s="3">
        <v>12.11</v>
      </c>
      <c r="B727" s="3">
        <v>80.05</v>
      </c>
      <c r="C727" s="3">
        <v>155.18</v>
      </c>
      <c r="D727" s="3">
        <v>15.24</v>
      </c>
      <c r="E727" s="3">
        <v>61.08</v>
      </c>
      <c r="F727" s="3">
        <v>99.114384000000001</v>
      </c>
      <c r="G727" s="3">
        <v>93.725459999999998</v>
      </c>
      <c r="H727" s="3">
        <v>90.302960999999996</v>
      </c>
      <c r="I727" s="17">
        <f t="shared" si="184"/>
        <v>-1.2234910277324661E-2</v>
      </c>
      <c r="J727" s="17">
        <f t="shared" si="185"/>
        <v>-5.342942345924538E-3</v>
      </c>
      <c r="K727" s="17">
        <f t="shared" si="186"/>
        <v>-1.4542452530640706E-2</v>
      </c>
      <c r="L727" s="17">
        <f t="shared" si="187"/>
        <v>6.5659881812211334E-4</v>
      </c>
      <c r="M727" s="17">
        <f t="shared" si="188"/>
        <v>1.3114754098360376E-3</v>
      </c>
      <c r="N727" s="17">
        <f t="shared" si="189"/>
        <v>-5.7660680101984151E-4</v>
      </c>
      <c r="O727" s="17">
        <f t="shared" si="190"/>
        <v>2.3966600959607486E-3</v>
      </c>
      <c r="P727" s="17">
        <f t="shared" si="191"/>
        <v>-5.1574450319588679E-3</v>
      </c>
      <c r="Q727" s="22">
        <f t="shared" si="192"/>
        <v>-1.2629384147709396E-2</v>
      </c>
      <c r="R727" s="22">
        <f t="shared" si="193"/>
        <v>-5.7736670600017012E-3</v>
      </c>
      <c r="S727" s="22">
        <f t="shared" si="194"/>
        <v>-1.4954411917478153E-2</v>
      </c>
      <c r="T727" s="22">
        <f t="shared" si="195"/>
        <v>5.2514730888919504E-4</v>
      </c>
      <c r="U727" s="22">
        <f t="shared" si="196"/>
        <v>6.1824746288227509E-4</v>
      </c>
      <c r="V727" s="22">
        <f t="shared" si="197"/>
        <v>-3.420029915166612E-4</v>
      </c>
      <c r="W727" s="22">
        <f t="shared" si="198"/>
        <v>2.6509086500514515E-3</v>
      </c>
      <c r="X727" s="22">
        <f t="shared" si="199"/>
        <v>-4.8415006473525295E-3</v>
      </c>
    </row>
    <row r="728" spans="1:24" x14ac:dyDescent="0.35">
      <c r="A728" s="3">
        <v>12.35</v>
      </c>
      <c r="B728" s="3">
        <v>82.57</v>
      </c>
      <c r="C728" s="3">
        <v>159.80000000000001</v>
      </c>
      <c r="D728" s="3">
        <v>15.49</v>
      </c>
      <c r="E728" s="3">
        <v>60.99</v>
      </c>
      <c r="F728" s="3">
        <v>100.05703699999999</v>
      </c>
      <c r="G728" s="3">
        <v>93.550127000000003</v>
      </c>
      <c r="H728" s="3">
        <v>91.938785999999993</v>
      </c>
      <c r="I728" s="17">
        <f t="shared" si="184"/>
        <v>1.9818331957060301E-2</v>
      </c>
      <c r="J728" s="17">
        <f t="shared" si="185"/>
        <v>3.1480324797001823E-2</v>
      </c>
      <c r="K728" s="17">
        <f t="shared" si="186"/>
        <v>2.9771877819306639E-2</v>
      </c>
      <c r="L728" s="17">
        <f t="shared" si="187"/>
        <v>1.6404199475065617E-2</v>
      </c>
      <c r="M728" s="17">
        <f t="shared" si="188"/>
        <v>-1.4734774066797037E-3</v>
      </c>
      <c r="N728" s="17">
        <f t="shared" si="189"/>
        <v>9.5107588016689164E-3</v>
      </c>
      <c r="O728" s="17">
        <f t="shared" si="190"/>
        <v>-1.8707083432825495E-3</v>
      </c>
      <c r="P728" s="17">
        <f t="shared" si="191"/>
        <v>1.8114854506265824E-2</v>
      </c>
      <c r="Q728" s="22">
        <f t="shared" si="192"/>
        <v>1.9423858086675568E-2</v>
      </c>
      <c r="R728" s="22">
        <f t="shared" si="193"/>
        <v>3.104960008292466E-2</v>
      </c>
      <c r="S728" s="22">
        <f t="shared" si="194"/>
        <v>2.9359918432469191E-2</v>
      </c>
      <c r="T728" s="22">
        <f t="shared" si="195"/>
        <v>1.6272747965832699E-2</v>
      </c>
      <c r="U728" s="22">
        <f t="shared" si="196"/>
        <v>-2.1667053536334664E-3</v>
      </c>
      <c r="V728" s="22">
        <f t="shared" si="197"/>
        <v>9.745362611172096E-3</v>
      </c>
      <c r="W728" s="22">
        <f t="shared" si="198"/>
        <v>-1.6164597891918466E-3</v>
      </c>
      <c r="X728" s="22">
        <f t="shared" si="199"/>
        <v>1.8430798890872162E-2</v>
      </c>
    </row>
    <row r="729" spans="1:24" x14ac:dyDescent="0.35">
      <c r="A729" s="3">
        <v>12.19</v>
      </c>
      <c r="B729" s="3">
        <v>83.62</v>
      </c>
      <c r="C729" s="3">
        <v>162.28</v>
      </c>
      <c r="D729" s="3">
        <v>15.31</v>
      </c>
      <c r="E729" s="3">
        <v>61.78</v>
      </c>
      <c r="F729" s="3">
        <v>100.040588</v>
      </c>
      <c r="G729" s="3">
        <v>94.780703000000003</v>
      </c>
      <c r="H729" s="3">
        <v>91.836927000000003</v>
      </c>
      <c r="I729" s="17">
        <f t="shared" si="184"/>
        <v>-1.2955465587044546E-2</v>
      </c>
      <c r="J729" s="17">
        <f t="shared" si="185"/>
        <v>1.2716482984134813E-2</v>
      </c>
      <c r="K729" s="17">
        <f t="shared" si="186"/>
        <v>1.5519399249061261E-2</v>
      </c>
      <c r="L729" s="17">
        <f t="shared" si="187"/>
        <v>-1.1620400258231099E-2</v>
      </c>
      <c r="M729" s="17">
        <f t="shared" si="188"/>
        <v>1.2952943105427104E-2</v>
      </c>
      <c r="N729" s="17">
        <f t="shared" si="189"/>
        <v>-1.6439623332034493E-4</v>
      </c>
      <c r="O729" s="17">
        <f t="shared" si="190"/>
        <v>1.3154188449150894E-2</v>
      </c>
      <c r="P729" s="17">
        <f t="shared" si="191"/>
        <v>-1.1079002065568974E-3</v>
      </c>
      <c r="Q729" s="22">
        <f t="shared" si="192"/>
        <v>-1.334993945742928E-2</v>
      </c>
      <c r="R729" s="22">
        <f t="shared" si="193"/>
        <v>1.2285758270057649E-2</v>
      </c>
      <c r="S729" s="22">
        <f t="shared" si="194"/>
        <v>1.5107439862223813E-2</v>
      </c>
      <c r="T729" s="22">
        <f t="shared" si="195"/>
        <v>-1.1751851767464017E-2</v>
      </c>
      <c r="U729" s="22">
        <f t="shared" si="196"/>
        <v>1.2259715158473341E-2</v>
      </c>
      <c r="V729" s="22">
        <f t="shared" si="197"/>
        <v>7.0207576182835358E-5</v>
      </c>
      <c r="W729" s="22">
        <f t="shared" si="198"/>
        <v>1.3408437003241597E-2</v>
      </c>
      <c r="X729" s="22">
        <f t="shared" si="199"/>
        <v>-7.9195582195055862E-4</v>
      </c>
    </row>
    <row r="730" spans="1:24" x14ac:dyDescent="0.35">
      <c r="A730" s="3">
        <v>11.9</v>
      </c>
      <c r="B730" s="3">
        <v>83.58</v>
      </c>
      <c r="C730" s="3">
        <v>161.82</v>
      </c>
      <c r="D730" s="3">
        <v>15.28</v>
      </c>
      <c r="E730" s="3">
        <v>60.11</v>
      </c>
      <c r="F730" s="3">
        <v>100.60393000000001</v>
      </c>
      <c r="G730" s="3">
        <v>94.72542</v>
      </c>
      <c r="H730" s="3">
        <v>91.993911999999995</v>
      </c>
      <c r="I730" s="17">
        <f t="shared" si="184"/>
        <v>-2.3789991796554485E-2</v>
      </c>
      <c r="J730" s="17">
        <f t="shared" si="185"/>
        <v>-4.7835446065542034E-4</v>
      </c>
      <c r="K730" s="17">
        <f t="shared" si="186"/>
        <v>-2.834606852354005E-3</v>
      </c>
      <c r="L730" s="17">
        <f t="shared" si="187"/>
        <v>-1.959503592423327E-3</v>
      </c>
      <c r="M730" s="17">
        <f t="shared" si="188"/>
        <v>-2.7031401748138582E-2</v>
      </c>
      <c r="N730" s="17">
        <f t="shared" si="189"/>
        <v>5.631134435155517E-3</v>
      </c>
      <c r="O730" s="17">
        <f t="shared" si="190"/>
        <v>-5.8327273643457632E-4</v>
      </c>
      <c r="P730" s="17">
        <f t="shared" si="191"/>
        <v>1.7093886427623139E-3</v>
      </c>
      <c r="Q730" s="22">
        <f t="shared" si="192"/>
        <v>-2.4184465666939218E-2</v>
      </c>
      <c r="R730" s="22">
        <f t="shared" si="193"/>
        <v>-9.0907917473258379E-4</v>
      </c>
      <c r="S730" s="22">
        <f t="shared" si="194"/>
        <v>-3.246566239191452E-3</v>
      </c>
      <c r="T730" s="22">
        <f t="shared" si="195"/>
        <v>-2.0909551016562453E-3</v>
      </c>
      <c r="U730" s="22">
        <f t="shared" si="196"/>
        <v>-2.7724629695092345E-2</v>
      </c>
      <c r="V730" s="22">
        <f t="shared" si="197"/>
        <v>5.8657382446586975E-3</v>
      </c>
      <c r="W730" s="22">
        <f t="shared" si="198"/>
        <v>-3.2902418234387332E-4</v>
      </c>
      <c r="X730" s="22">
        <f t="shared" si="199"/>
        <v>2.0253330273686527E-3</v>
      </c>
    </row>
    <row r="731" spans="1:24" x14ac:dyDescent="0.35">
      <c r="A731" s="3">
        <v>12.06</v>
      </c>
      <c r="B731" s="3">
        <v>83.56</v>
      </c>
      <c r="C731" s="3">
        <v>161</v>
      </c>
      <c r="D731" s="3">
        <v>15.23</v>
      </c>
      <c r="E731" s="3">
        <v>60.48</v>
      </c>
      <c r="F731" s="3">
        <v>100.37732</v>
      </c>
      <c r="G731" s="3">
        <v>95.205665999999994</v>
      </c>
      <c r="H731" s="3">
        <v>92.583917999999997</v>
      </c>
      <c r="I731" s="17">
        <f t="shared" si="184"/>
        <v>1.3445378151260515E-2</v>
      </c>
      <c r="J731" s="17">
        <f t="shared" si="185"/>
        <v>-2.3929169657808114E-4</v>
      </c>
      <c r="K731" s="17">
        <f t="shared" si="186"/>
        <v>-5.0673587937213769E-3</v>
      </c>
      <c r="L731" s="17">
        <f t="shared" si="187"/>
        <v>-3.2722513089004542E-3</v>
      </c>
      <c r="M731" s="17">
        <f t="shared" si="188"/>
        <v>6.1553818000332295E-3</v>
      </c>
      <c r="N731" s="17">
        <f t="shared" si="189"/>
        <v>-2.2524964979003101E-3</v>
      </c>
      <c r="O731" s="17">
        <f t="shared" si="190"/>
        <v>5.0698745912131499E-3</v>
      </c>
      <c r="P731" s="17">
        <f t="shared" si="191"/>
        <v>6.4135331042341421E-3</v>
      </c>
      <c r="Q731" s="22">
        <f t="shared" si="192"/>
        <v>1.3050904280875781E-2</v>
      </c>
      <c r="R731" s="22">
        <f t="shared" si="193"/>
        <v>-6.7001641065524468E-4</v>
      </c>
      <c r="S731" s="22">
        <f t="shared" si="194"/>
        <v>-5.4793181805588235E-3</v>
      </c>
      <c r="T731" s="22">
        <f t="shared" si="195"/>
        <v>-3.4037028181333724E-3</v>
      </c>
      <c r="U731" s="22">
        <f t="shared" si="196"/>
        <v>5.4621538530794673E-3</v>
      </c>
      <c r="V731" s="22">
        <f t="shared" si="197"/>
        <v>-2.01789268839713E-3</v>
      </c>
      <c r="W731" s="22">
        <f t="shared" si="198"/>
        <v>5.3241231453038532E-3</v>
      </c>
      <c r="X731" s="22">
        <f t="shared" si="199"/>
        <v>6.7294774888404804E-3</v>
      </c>
    </row>
    <row r="732" spans="1:24" x14ac:dyDescent="0.35">
      <c r="A732" s="3">
        <v>11.79</v>
      </c>
      <c r="B732" s="3">
        <v>84.85</v>
      </c>
      <c r="C732" s="3">
        <v>162.16999999999999</v>
      </c>
      <c r="D732" s="3">
        <v>15.18</v>
      </c>
      <c r="E732" s="3">
        <v>60.48</v>
      </c>
      <c r="F732" s="3">
        <v>100.068235</v>
      </c>
      <c r="G732" s="3">
        <v>94.824281999999997</v>
      </c>
      <c r="H732" s="3">
        <v>92.103790000000004</v>
      </c>
      <c r="I732" s="17">
        <f t="shared" si="184"/>
        <v>-2.2388059701492647E-2</v>
      </c>
      <c r="J732" s="17">
        <f t="shared" si="185"/>
        <v>1.5438008616562852E-2</v>
      </c>
      <c r="K732" s="17">
        <f t="shared" si="186"/>
        <v>7.2670807453415372E-3</v>
      </c>
      <c r="L732" s="17">
        <f t="shared" si="187"/>
        <v>-3.2829940906106835E-3</v>
      </c>
      <c r="M732" s="17">
        <f t="shared" si="188"/>
        <v>0</v>
      </c>
      <c r="N732" s="17">
        <f t="shared" si="189"/>
        <v>-3.0792314439157778E-3</v>
      </c>
      <c r="O732" s="17">
        <f t="shared" si="190"/>
        <v>-4.0058960356413771E-3</v>
      </c>
      <c r="P732" s="17">
        <f t="shared" si="191"/>
        <v>-5.1858682411776253E-3</v>
      </c>
      <c r="Q732" s="22">
        <f t="shared" si="192"/>
        <v>-2.2782533571877379E-2</v>
      </c>
      <c r="R732" s="22">
        <f t="shared" si="193"/>
        <v>1.5007283902485688E-2</v>
      </c>
      <c r="S732" s="22">
        <f t="shared" si="194"/>
        <v>6.8551213585040906E-3</v>
      </c>
      <c r="T732" s="22">
        <f t="shared" si="195"/>
        <v>-3.4144455998436018E-3</v>
      </c>
      <c r="U732" s="22">
        <f t="shared" si="196"/>
        <v>-6.9322794695376251E-4</v>
      </c>
      <c r="V732" s="22">
        <f t="shared" si="197"/>
        <v>-2.8446276344125977E-3</v>
      </c>
      <c r="W732" s="22">
        <f t="shared" si="198"/>
        <v>-3.7516474815506742E-3</v>
      </c>
      <c r="X732" s="22">
        <f t="shared" si="199"/>
        <v>-4.869923856571287E-3</v>
      </c>
    </row>
    <row r="733" spans="1:24" x14ac:dyDescent="0.35">
      <c r="A733" s="3">
        <v>11.66</v>
      </c>
      <c r="B733" s="3">
        <v>85</v>
      </c>
      <c r="C733" s="3">
        <v>162.05000000000001</v>
      </c>
      <c r="D733" s="3">
        <v>15.13</v>
      </c>
      <c r="E733" s="3">
        <v>60.53</v>
      </c>
      <c r="F733" s="3">
        <v>99.885537999999997</v>
      </c>
      <c r="G733" s="3">
        <v>94.495632999999998</v>
      </c>
      <c r="H733" s="3">
        <v>91.939530000000005</v>
      </c>
      <c r="I733" s="17">
        <f t="shared" si="184"/>
        <v>-1.1026293469041477E-2</v>
      </c>
      <c r="J733" s="17">
        <f t="shared" si="185"/>
        <v>1.7678255745433788E-3</v>
      </c>
      <c r="K733" s="17">
        <f t="shared" si="186"/>
        <v>-7.399642350618249E-4</v>
      </c>
      <c r="L733" s="17">
        <f t="shared" si="187"/>
        <v>-3.2938076416336583E-3</v>
      </c>
      <c r="M733" s="17">
        <f t="shared" si="188"/>
        <v>8.2671957671964726E-4</v>
      </c>
      <c r="N733" s="17">
        <f t="shared" si="189"/>
        <v>-1.8257242170805206E-3</v>
      </c>
      <c r="O733" s="17">
        <f t="shared" si="190"/>
        <v>-3.4658738570780704E-3</v>
      </c>
      <c r="P733" s="17">
        <f t="shared" si="191"/>
        <v>-1.783422810288249E-3</v>
      </c>
      <c r="Q733" s="22">
        <f t="shared" si="192"/>
        <v>-1.1420767339426211E-2</v>
      </c>
      <c r="R733" s="22">
        <f t="shared" si="193"/>
        <v>1.3371008604662153E-3</v>
      </c>
      <c r="S733" s="22">
        <f t="shared" si="194"/>
        <v>-1.1519236218992719E-3</v>
      </c>
      <c r="T733" s="22">
        <f t="shared" si="195"/>
        <v>-3.4252591508665766E-3</v>
      </c>
      <c r="U733" s="22">
        <f t="shared" si="196"/>
        <v>1.3349162976588475E-4</v>
      </c>
      <c r="V733" s="22">
        <f t="shared" si="197"/>
        <v>-1.5911204075773403E-3</v>
      </c>
      <c r="W733" s="22">
        <f t="shared" si="198"/>
        <v>-3.2116253029873675E-3</v>
      </c>
      <c r="X733" s="22">
        <f t="shared" si="199"/>
        <v>-1.4674784256819102E-3</v>
      </c>
    </row>
    <row r="734" spans="1:24" x14ac:dyDescent="0.35">
      <c r="A734" s="3">
        <v>11.84</v>
      </c>
      <c r="B734" s="3">
        <v>85.57</v>
      </c>
      <c r="C734" s="3">
        <v>163.92</v>
      </c>
      <c r="D734" s="3">
        <v>15.25</v>
      </c>
      <c r="E734" s="3">
        <v>60.19</v>
      </c>
      <c r="F734" s="3">
        <v>99.920948999999993</v>
      </c>
      <c r="G734" s="3">
        <v>94.367742000000007</v>
      </c>
      <c r="H734" s="3">
        <v>92.010429999999999</v>
      </c>
      <c r="I734" s="17">
        <f t="shared" si="184"/>
        <v>1.5437392795883338E-2</v>
      </c>
      <c r="J734" s="17">
        <f t="shared" si="185"/>
        <v>6.7058823529410963E-3</v>
      </c>
      <c r="K734" s="17">
        <f t="shared" si="186"/>
        <v>1.1539648256710744E-2</v>
      </c>
      <c r="L734" s="17">
        <f t="shared" si="187"/>
        <v>7.9312623925974369E-3</v>
      </c>
      <c r="M734" s="17">
        <f t="shared" si="188"/>
        <v>-5.6170493969932827E-3</v>
      </c>
      <c r="N734" s="17">
        <f t="shared" si="189"/>
        <v>3.5451578585877277E-4</v>
      </c>
      <c r="O734" s="17">
        <f t="shared" si="190"/>
        <v>-1.3534064584761404E-3</v>
      </c>
      <c r="P734" s="17">
        <f t="shared" si="191"/>
        <v>7.7115904334071133E-4</v>
      </c>
      <c r="Q734" s="22">
        <f t="shared" si="192"/>
        <v>1.5042918925498604E-2</v>
      </c>
      <c r="R734" s="22">
        <f t="shared" si="193"/>
        <v>6.2751576388639331E-3</v>
      </c>
      <c r="S734" s="22">
        <f t="shared" si="194"/>
        <v>1.1127688869873297E-2</v>
      </c>
      <c r="T734" s="22">
        <f t="shared" si="195"/>
        <v>7.7998108833645186E-3</v>
      </c>
      <c r="U734" s="22">
        <f t="shared" si="196"/>
        <v>-6.3102773439470449E-3</v>
      </c>
      <c r="V734" s="22">
        <f t="shared" si="197"/>
        <v>5.8911959536195302E-4</v>
      </c>
      <c r="W734" s="22">
        <f t="shared" si="198"/>
        <v>-1.0991579043854375E-3</v>
      </c>
      <c r="X734" s="22">
        <f t="shared" si="199"/>
        <v>1.08710342794705E-3</v>
      </c>
    </row>
    <row r="735" spans="1:24" x14ac:dyDescent="0.35">
      <c r="A735" s="3">
        <v>11.9</v>
      </c>
      <c r="B735" s="3">
        <v>85.51</v>
      </c>
      <c r="C735" s="3">
        <v>162.30000000000001</v>
      </c>
      <c r="D735" s="3">
        <v>15.32</v>
      </c>
      <c r="E735" s="3">
        <v>59.61</v>
      </c>
      <c r="F735" s="3">
        <v>99.285342</v>
      </c>
      <c r="G735" s="3">
        <v>94.392067999999995</v>
      </c>
      <c r="H735" s="3">
        <v>91.846856000000002</v>
      </c>
      <c r="I735" s="17">
        <f t="shared" si="184"/>
        <v>5.0675675675676095E-3</v>
      </c>
      <c r="J735" s="17">
        <f t="shared" si="185"/>
        <v>-7.0118032020554007E-4</v>
      </c>
      <c r="K735" s="17">
        <f t="shared" si="186"/>
        <v>-9.8828696925327975E-3</v>
      </c>
      <c r="L735" s="17">
        <f t="shared" si="187"/>
        <v>4.5901639344262477E-3</v>
      </c>
      <c r="M735" s="17">
        <f t="shared" si="188"/>
        <v>-9.636152184748269E-3</v>
      </c>
      <c r="N735" s="17">
        <f t="shared" si="189"/>
        <v>-6.3610985119846412E-3</v>
      </c>
      <c r="O735" s="17">
        <f t="shared" si="190"/>
        <v>2.577787651206898E-4</v>
      </c>
      <c r="P735" s="17">
        <f t="shared" si="191"/>
        <v>-1.7777767150962886E-3</v>
      </c>
      <c r="Q735" s="22">
        <f t="shared" si="192"/>
        <v>4.6730936971828762E-3</v>
      </c>
      <c r="R735" s="22">
        <f t="shared" si="193"/>
        <v>-1.1319050342827035E-3</v>
      </c>
      <c r="S735" s="22">
        <f t="shared" si="194"/>
        <v>-1.0294829079370245E-2</v>
      </c>
      <c r="T735" s="22">
        <f t="shared" si="195"/>
        <v>4.4587124251933294E-3</v>
      </c>
      <c r="U735" s="22">
        <f t="shared" si="196"/>
        <v>-1.0329380131702032E-2</v>
      </c>
      <c r="V735" s="22">
        <f t="shared" si="197"/>
        <v>-6.1264947024814607E-3</v>
      </c>
      <c r="W735" s="22">
        <f t="shared" si="198"/>
        <v>5.1202731921139275E-4</v>
      </c>
      <c r="X735" s="22">
        <f t="shared" si="199"/>
        <v>-1.4618323304899498E-3</v>
      </c>
    </row>
    <row r="736" spans="1:24" x14ac:dyDescent="0.35">
      <c r="A736" s="3">
        <v>11.53</v>
      </c>
      <c r="B736" s="3">
        <v>85.72</v>
      </c>
      <c r="C736" s="3">
        <v>159.41</v>
      </c>
      <c r="D736" s="3">
        <v>15.19</v>
      </c>
      <c r="E736" s="3">
        <v>60.45</v>
      </c>
      <c r="F736" s="3">
        <v>99.972313</v>
      </c>
      <c r="G736" s="3">
        <v>94.316316999999998</v>
      </c>
      <c r="H736" s="3">
        <v>91.746032</v>
      </c>
      <c r="I736" s="17">
        <f t="shared" si="184"/>
        <v>-3.109243697479E-2</v>
      </c>
      <c r="J736" s="17">
        <f t="shared" si="185"/>
        <v>2.4558531165944772E-3</v>
      </c>
      <c r="K736" s="17">
        <f t="shared" si="186"/>
        <v>-1.7806531115218821E-2</v>
      </c>
      <c r="L736" s="17">
        <f t="shared" si="187"/>
        <v>-8.4856396866841242E-3</v>
      </c>
      <c r="M736" s="17">
        <f t="shared" si="188"/>
        <v>1.4091595369904435E-2</v>
      </c>
      <c r="N736" s="17">
        <f t="shared" si="189"/>
        <v>6.9191583184555058E-3</v>
      </c>
      <c r="O736" s="17">
        <f t="shared" si="190"/>
        <v>-8.0251446551628464E-4</v>
      </c>
      <c r="P736" s="17">
        <f t="shared" si="191"/>
        <v>-1.097740351613156E-3</v>
      </c>
      <c r="Q736" s="22">
        <f t="shared" si="192"/>
        <v>-3.1486910845174736E-2</v>
      </c>
      <c r="R736" s="22">
        <f t="shared" si="193"/>
        <v>2.0251284025173135E-3</v>
      </c>
      <c r="S736" s="22">
        <f t="shared" si="194"/>
        <v>-1.8218490502056268E-2</v>
      </c>
      <c r="T736" s="22">
        <f t="shared" si="195"/>
        <v>-8.6170911959170416E-3</v>
      </c>
      <c r="U736" s="22">
        <f t="shared" si="196"/>
        <v>1.3398367422950672E-2</v>
      </c>
      <c r="V736" s="22">
        <f t="shared" si="197"/>
        <v>7.1537621279586863E-3</v>
      </c>
      <c r="W736" s="22">
        <f t="shared" si="198"/>
        <v>-5.4826591142558164E-4</v>
      </c>
      <c r="X736" s="22">
        <f t="shared" si="199"/>
        <v>-7.8179596700681713E-4</v>
      </c>
    </row>
    <row r="737" spans="1:24" x14ac:dyDescent="0.35">
      <c r="A737" s="3">
        <v>11.65</v>
      </c>
      <c r="B737" s="3">
        <v>85.86</v>
      </c>
      <c r="C737" s="3">
        <v>159.81</v>
      </c>
      <c r="D737" s="3">
        <v>15.23</v>
      </c>
      <c r="E737" s="3">
        <v>60.47</v>
      </c>
      <c r="F737" s="3">
        <v>100.91593899999999</v>
      </c>
      <c r="G737" s="3">
        <v>94.591092000000003</v>
      </c>
      <c r="H737" s="3">
        <v>93.152175999999997</v>
      </c>
      <c r="I737" s="17">
        <f t="shared" si="184"/>
        <v>1.0407632263660104E-2</v>
      </c>
      <c r="J737" s="17">
        <f t="shared" si="185"/>
        <v>1.6332244517032264E-3</v>
      </c>
      <c r="K737" s="17">
        <f t="shared" si="186"/>
        <v>2.5092528699580058E-3</v>
      </c>
      <c r="L737" s="17">
        <f t="shared" si="187"/>
        <v>2.6333113890718188E-3</v>
      </c>
      <c r="M737" s="17">
        <f t="shared" si="188"/>
        <v>3.308519437551037E-4</v>
      </c>
      <c r="N737" s="17">
        <f t="shared" si="189"/>
        <v>9.4388733408618322E-3</v>
      </c>
      <c r="O737" s="17">
        <f t="shared" si="190"/>
        <v>2.9133347096240549E-3</v>
      </c>
      <c r="P737" s="17">
        <f t="shared" si="191"/>
        <v>1.5326483002556422E-2</v>
      </c>
      <c r="Q737" s="22">
        <f t="shared" si="192"/>
        <v>1.001315839327537E-2</v>
      </c>
      <c r="R737" s="22">
        <f t="shared" si="193"/>
        <v>1.202499737626063E-3</v>
      </c>
      <c r="S737" s="22">
        <f t="shared" si="194"/>
        <v>2.0972934831205588E-3</v>
      </c>
      <c r="T737" s="22">
        <f t="shared" si="195"/>
        <v>2.5018598798389005E-3</v>
      </c>
      <c r="U737" s="22">
        <f t="shared" si="196"/>
        <v>-3.6237600319865881E-4</v>
      </c>
      <c r="V737" s="22">
        <f t="shared" si="197"/>
        <v>9.6734771503650119E-3</v>
      </c>
      <c r="W737" s="22">
        <f t="shared" si="198"/>
        <v>3.1675832637147578E-3</v>
      </c>
      <c r="X737" s="22">
        <f t="shared" si="199"/>
        <v>1.5642427387162761E-2</v>
      </c>
    </row>
    <row r="738" spans="1:24" x14ac:dyDescent="0.35">
      <c r="A738" s="3">
        <v>12.04</v>
      </c>
      <c r="B738" s="3">
        <v>86.31</v>
      </c>
      <c r="C738" s="3">
        <v>157.75</v>
      </c>
      <c r="D738" s="3">
        <v>15.46</v>
      </c>
      <c r="E738" s="3">
        <v>60.61</v>
      </c>
      <c r="F738" s="3">
        <v>101.277659</v>
      </c>
      <c r="G738" s="3">
        <v>95.473189000000005</v>
      </c>
      <c r="H738" s="3">
        <v>93.813642000000002</v>
      </c>
      <c r="I738" s="17">
        <f t="shared" si="184"/>
        <v>3.3476394849785304E-2</v>
      </c>
      <c r="J738" s="17">
        <f t="shared" si="185"/>
        <v>5.2410901467505574E-3</v>
      </c>
      <c r="K738" s="17">
        <f t="shared" si="186"/>
        <v>-1.2890307239847333E-2</v>
      </c>
      <c r="L738" s="17">
        <f t="shared" si="187"/>
        <v>1.5101772816808957E-2</v>
      </c>
      <c r="M738" s="17">
        <f t="shared" si="188"/>
        <v>2.3151976186538874E-3</v>
      </c>
      <c r="N738" s="17">
        <f t="shared" si="189"/>
        <v>3.5843693630993752E-3</v>
      </c>
      <c r="O738" s="17">
        <f t="shared" si="190"/>
        <v>9.3253707230697962E-3</v>
      </c>
      <c r="P738" s="17">
        <f t="shared" si="191"/>
        <v>7.1009183940051422E-3</v>
      </c>
      <c r="Q738" s="22">
        <f t="shared" si="192"/>
        <v>3.3081920979400568E-2</v>
      </c>
      <c r="R738" s="22">
        <f t="shared" si="193"/>
        <v>4.8103654326733941E-3</v>
      </c>
      <c r="S738" s="22">
        <f t="shared" si="194"/>
        <v>-1.3302266626684781E-2</v>
      </c>
      <c r="T738" s="22">
        <f t="shared" si="195"/>
        <v>1.4970321307576039E-2</v>
      </c>
      <c r="U738" s="22">
        <f t="shared" si="196"/>
        <v>1.6219696717001248E-3</v>
      </c>
      <c r="V738" s="22">
        <f t="shared" si="197"/>
        <v>3.8189731726025553E-3</v>
      </c>
      <c r="W738" s="22">
        <f t="shared" si="198"/>
        <v>9.5796192771604987E-3</v>
      </c>
      <c r="X738" s="22">
        <f t="shared" si="199"/>
        <v>7.4168627786114806E-3</v>
      </c>
    </row>
    <row r="739" spans="1:24" x14ac:dyDescent="0.35">
      <c r="A739" s="3">
        <v>12.07</v>
      </c>
      <c r="B739" s="3">
        <v>87.64</v>
      </c>
      <c r="C739" s="3">
        <v>161.51</v>
      </c>
      <c r="D739" s="3">
        <v>15.71</v>
      </c>
      <c r="E739" s="3">
        <v>60.66</v>
      </c>
      <c r="F739" s="3">
        <v>100.849908</v>
      </c>
      <c r="G739" s="3">
        <v>95.140882000000005</v>
      </c>
      <c r="H739" s="3">
        <v>93.119478000000001</v>
      </c>
      <c r="I739" s="17">
        <f t="shared" si="184"/>
        <v>2.4916943521595628E-3</v>
      </c>
      <c r="J739" s="17">
        <f t="shared" si="185"/>
        <v>1.5409570154095682E-2</v>
      </c>
      <c r="K739" s="17">
        <f t="shared" si="186"/>
        <v>2.3835182250396138E-2</v>
      </c>
      <c r="L739" s="17">
        <f t="shared" si="187"/>
        <v>1.6170763260025874E-2</v>
      </c>
      <c r="M739" s="17">
        <f t="shared" si="188"/>
        <v>8.2494637848535158E-4</v>
      </c>
      <c r="N739" s="17">
        <f t="shared" si="189"/>
        <v>-4.2235474656854054E-3</v>
      </c>
      <c r="O739" s="17">
        <f t="shared" si="190"/>
        <v>-3.4806316148086359E-3</v>
      </c>
      <c r="P739" s="17">
        <f t="shared" si="191"/>
        <v>-7.3993929369035759E-3</v>
      </c>
      <c r="Q739" s="22">
        <f t="shared" si="192"/>
        <v>2.0972204817748296E-3</v>
      </c>
      <c r="R739" s="22">
        <f t="shared" si="193"/>
        <v>1.4978845440018517E-2</v>
      </c>
      <c r="S739" s="22">
        <f t="shared" si="194"/>
        <v>2.342322286355869E-2</v>
      </c>
      <c r="T739" s="22">
        <f t="shared" si="195"/>
        <v>1.6039311750792956E-2</v>
      </c>
      <c r="U739" s="22">
        <f t="shared" si="196"/>
        <v>1.3171843153158907E-4</v>
      </c>
      <c r="V739" s="22">
        <f t="shared" si="197"/>
        <v>-3.9889436561822249E-3</v>
      </c>
      <c r="W739" s="22">
        <f t="shared" si="198"/>
        <v>-3.2263830607179331E-3</v>
      </c>
      <c r="X739" s="22">
        <f t="shared" si="199"/>
        <v>-7.0834485522972375E-3</v>
      </c>
    </row>
    <row r="740" spans="1:24" x14ac:dyDescent="0.35">
      <c r="A740" s="3">
        <v>12.33</v>
      </c>
      <c r="B740" s="3">
        <v>87</v>
      </c>
      <c r="C740" s="3">
        <v>159.61000000000001</v>
      </c>
      <c r="D740" s="3">
        <v>15.99</v>
      </c>
      <c r="E740" s="3">
        <v>59.9</v>
      </c>
      <c r="F740" s="3">
        <v>101.547049</v>
      </c>
      <c r="G740" s="3">
        <v>95.468297000000007</v>
      </c>
      <c r="H740" s="3">
        <v>93.843390999999997</v>
      </c>
      <c r="I740" s="17">
        <f t="shared" si="184"/>
        <v>2.1541010770505367E-2</v>
      </c>
      <c r="J740" s="17">
        <f t="shared" si="185"/>
        <v>-7.3026015518028358E-3</v>
      </c>
      <c r="K740" s="17">
        <f t="shared" si="186"/>
        <v>-1.1763977462695668E-2</v>
      </c>
      <c r="L740" s="17">
        <f t="shared" si="187"/>
        <v>1.7823042647994867E-2</v>
      </c>
      <c r="M740" s="17">
        <f t="shared" si="188"/>
        <v>-1.2528849324101518E-2</v>
      </c>
      <c r="N740" s="17">
        <f t="shared" si="189"/>
        <v>6.9126587601845112E-3</v>
      </c>
      <c r="O740" s="17">
        <f t="shared" si="190"/>
        <v>3.4413702408182634E-3</v>
      </c>
      <c r="P740" s="17">
        <f t="shared" si="191"/>
        <v>7.7740233896070165E-3</v>
      </c>
      <c r="Q740" s="22">
        <f t="shared" si="192"/>
        <v>2.1146536900120635E-2</v>
      </c>
      <c r="R740" s="22">
        <f t="shared" si="193"/>
        <v>-7.733326265879999E-3</v>
      </c>
      <c r="S740" s="22">
        <f t="shared" si="194"/>
        <v>-1.2175936849533116E-2</v>
      </c>
      <c r="T740" s="22">
        <f t="shared" si="195"/>
        <v>1.7691591138761949E-2</v>
      </c>
      <c r="U740" s="22">
        <f t="shared" si="196"/>
        <v>-1.3222077271055281E-2</v>
      </c>
      <c r="V740" s="22">
        <f t="shared" si="197"/>
        <v>7.1472625696876917E-3</v>
      </c>
      <c r="W740" s="22">
        <f t="shared" si="198"/>
        <v>3.6956187949089662E-3</v>
      </c>
      <c r="X740" s="22">
        <f t="shared" si="199"/>
        <v>8.0899677742133549E-3</v>
      </c>
    </row>
    <row r="741" spans="1:24" x14ac:dyDescent="0.35">
      <c r="A741" s="3">
        <v>12.32</v>
      </c>
      <c r="B741" s="3">
        <v>87.62</v>
      </c>
      <c r="C741" s="3">
        <v>159.88</v>
      </c>
      <c r="D741" s="3">
        <v>15.98</v>
      </c>
      <c r="E741" s="3">
        <v>60.26</v>
      </c>
      <c r="F741" s="3">
        <v>101.151899</v>
      </c>
      <c r="G741" s="3">
        <v>95.847701000000001</v>
      </c>
      <c r="H741" s="3">
        <v>93.356854999999996</v>
      </c>
      <c r="I741" s="17">
        <f t="shared" si="184"/>
        <v>-8.1103000811028276E-4</v>
      </c>
      <c r="J741" s="17">
        <f t="shared" si="185"/>
        <v>7.1264367816092477E-3</v>
      </c>
      <c r="K741" s="17">
        <f t="shared" si="186"/>
        <v>1.6916233318713225E-3</v>
      </c>
      <c r="L741" s="17">
        <f t="shared" si="187"/>
        <v>-6.2539086929329498E-4</v>
      </c>
      <c r="M741" s="17">
        <f t="shared" si="188"/>
        <v>6.0100166944908086E-3</v>
      </c>
      <c r="N741" s="17">
        <f t="shared" si="189"/>
        <v>-3.8912996871036695E-3</v>
      </c>
      <c r="O741" s="17">
        <f t="shared" si="190"/>
        <v>3.9741360422506939E-3</v>
      </c>
      <c r="P741" s="17">
        <f t="shared" si="191"/>
        <v>-5.1845526340794845E-3</v>
      </c>
      <c r="Q741" s="22">
        <f t="shared" si="192"/>
        <v>-1.205503878495016E-3</v>
      </c>
      <c r="R741" s="22">
        <f t="shared" si="193"/>
        <v>6.6957120675320845E-3</v>
      </c>
      <c r="S741" s="22">
        <f t="shared" si="194"/>
        <v>1.2796639450338755E-3</v>
      </c>
      <c r="T741" s="22">
        <f t="shared" si="195"/>
        <v>-7.5684237852621328E-4</v>
      </c>
      <c r="U741" s="22">
        <f t="shared" si="196"/>
        <v>5.3167887475370464E-3</v>
      </c>
      <c r="V741" s="22">
        <f t="shared" si="197"/>
        <v>-3.6566958776004894E-3</v>
      </c>
      <c r="W741" s="22">
        <f t="shared" si="198"/>
        <v>4.2283845963413972E-3</v>
      </c>
      <c r="X741" s="22">
        <f t="shared" si="199"/>
        <v>-4.8686082494731461E-3</v>
      </c>
    </row>
    <row r="742" spans="1:24" x14ac:dyDescent="0.35">
      <c r="A742" s="3">
        <v>12.14</v>
      </c>
      <c r="B742" s="3">
        <v>89.07</v>
      </c>
      <c r="C742" s="3">
        <v>159.88</v>
      </c>
      <c r="D742" s="3">
        <v>15.97</v>
      </c>
      <c r="E742" s="3">
        <v>60.52</v>
      </c>
      <c r="F742" s="3">
        <v>97.215979000000004</v>
      </c>
      <c r="G742" s="3">
        <v>91.649186</v>
      </c>
      <c r="H742" s="3">
        <v>89.462344999999999</v>
      </c>
      <c r="I742" s="17">
        <f t="shared" si="184"/>
        <v>-1.4610389610389588E-2</v>
      </c>
      <c r="J742" s="17">
        <f t="shared" si="185"/>
        <v>1.6548733165943717E-2</v>
      </c>
      <c r="K742" s="17">
        <f t="shared" si="186"/>
        <v>0</v>
      </c>
      <c r="L742" s="17">
        <f t="shared" si="187"/>
        <v>-6.2578222778471759E-4</v>
      </c>
      <c r="M742" s="17">
        <f t="shared" si="188"/>
        <v>4.3146365748424351E-3</v>
      </c>
      <c r="N742" s="17">
        <f t="shared" si="189"/>
        <v>-3.8910984755708797E-2</v>
      </c>
      <c r="O742" s="17">
        <f t="shared" si="190"/>
        <v>-4.3804024052700029E-2</v>
      </c>
      <c r="P742" s="17">
        <f t="shared" si="191"/>
        <v>-4.1716379584552168E-2</v>
      </c>
      <c r="Q742" s="22">
        <f t="shared" si="192"/>
        <v>-1.5004863480774322E-2</v>
      </c>
      <c r="R742" s="22">
        <f t="shared" si="193"/>
        <v>1.6118008451866554E-2</v>
      </c>
      <c r="S742" s="22">
        <f t="shared" si="194"/>
        <v>-4.1195938683744694E-4</v>
      </c>
      <c r="T742" s="22">
        <f t="shared" si="195"/>
        <v>-7.5723373701763589E-4</v>
      </c>
      <c r="U742" s="22">
        <f t="shared" si="196"/>
        <v>3.6214086278886725E-3</v>
      </c>
      <c r="V742" s="22">
        <f t="shared" si="197"/>
        <v>-3.8676380946205617E-2</v>
      </c>
      <c r="W742" s="22">
        <f t="shared" si="198"/>
        <v>-4.3549775498609326E-2</v>
      </c>
      <c r="X742" s="22">
        <f t="shared" si="199"/>
        <v>-4.140043519994583E-2</v>
      </c>
    </row>
    <row r="743" spans="1:24" x14ac:dyDescent="0.35">
      <c r="A743" s="3">
        <v>12.14</v>
      </c>
      <c r="B743" s="3">
        <v>88.78</v>
      </c>
      <c r="C743" s="3">
        <v>160.38</v>
      </c>
      <c r="D743" s="3">
        <v>16.03</v>
      </c>
      <c r="E743" s="3">
        <v>61.44</v>
      </c>
      <c r="F743" s="3">
        <v>97.366445999999996</v>
      </c>
      <c r="G743" s="3">
        <v>92.180498</v>
      </c>
      <c r="H743" s="3">
        <v>90.444119999999998</v>
      </c>
      <c r="I743" s="17">
        <f t="shared" si="184"/>
        <v>0</v>
      </c>
      <c r="J743" s="17">
        <f t="shared" si="185"/>
        <v>-3.2558661726730894E-3</v>
      </c>
      <c r="K743" s="17">
        <f t="shared" si="186"/>
        <v>3.1273455091318488E-3</v>
      </c>
      <c r="L743" s="17">
        <f t="shared" si="187"/>
        <v>3.7570444583594547E-3</v>
      </c>
      <c r="M743" s="17">
        <f t="shared" si="188"/>
        <v>1.520158625247843E-2</v>
      </c>
      <c r="N743" s="17">
        <f t="shared" si="189"/>
        <v>1.5477599623822326E-3</v>
      </c>
      <c r="O743" s="17">
        <f t="shared" si="190"/>
        <v>5.797236431537971E-3</v>
      </c>
      <c r="P743" s="17">
        <f t="shared" si="191"/>
        <v>1.0974170194174978E-2</v>
      </c>
      <c r="Q743" s="22">
        <f t="shared" si="192"/>
        <v>-3.9447387038473331E-4</v>
      </c>
      <c r="R743" s="22">
        <f t="shared" si="193"/>
        <v>-3.6865908867502531E-3</v>
      </c>
      <c r="S743" s="22">
        <f t="shared" si="194"/>
        <v>2.7153861222944018E-3</v>
      </c>
      <c r="T743" s="22">
        <f t="shared" si="195"/>
        <v>3.6255929491265364E-3</v>
      </c>
      <c r="U743" s="22">
        <f t="shared" si="196"/>
        <v>1.4508358305524667E-2</v>
      </c>
      <c r="V743" s="22">
        <f t="shared" si="197"/>
        <v>1.7823637718854129E-3</v>
      </c>
      <c r="W743" s="22">
        <f t="shared" si="198"/>
        <v>6.0514849856286744E-3</v>
      </c>
      <c r="X743" s="22">
        <f t="shared" si="199"/>
        <v>1.1290114578781317E-2</v>
      </c>
    </row>
    <row r="744" spans="1:24" x14ac:dyDescent="0.35">
      <c r="A744" s="3">
        <v>12.23</v>
      </c>
      <c r="B744" s="3">
        <v>89.13</v>
      </c>
      <c r="C744" s="3">
        <v>163.79</v>
      </c>
      <c r="D744" s="3">
        <v>16.03</v>
      </c>
      <c r="E744" s="3">
        <v>61.77</v>
      </c>
      <c r="F744" s="3">
        <v>97.438816000000003</v>
      </c>
      <c r="G744" s="3">
        <v>92.658480999999995</v>
      </c>
      <c r="H744" s="3">
        <v>90.447137999999995</v>
      </c>
      <c r="I744" s="17">
        <f t="shared" si="184"/>
        <v>7.4135090609555067E-3</v>
      </c>
      <c r="J744" s="17">
        <f t="shared" si="185"/>
        <v>3.9423293534579223E-3</v>
      </c>
      <c r="K744" s="17">
        <f t="shared" si="186"/>
        <v>2.1262002743484203E-2</v>
      </c>
      <c r="L744" s="17">
        <f t="shared" si="187"/>
        <v>0</v>
      </c>
      <c r="M744" s="17">
        <f t="shared" si="188"/>
        <v>5.3710937500000885E-3</v>
      </c>
      <c r="N744" s="17">
        <f t="shared" si="189"/>
        <v>7.4327453628128201E-4</v>
      </c>
      <c r="O744" s="17">
        <f t="shared" si="190"/>
        <v>5.1852941822899973E-3</v>
      </c>
      <c r="P744" s="17">
        <f t="shared" si="191"/>
        <v>3.3368670069400868E-5</v>
      </c>
      <c r="Q744" s="22">
        <f t="shared" si="192"/>
        <v>7.0190351905707734E-3</v>
      </c>
      <c r="R744" s="22">
        <f t="shared" si="193"/>
        <v>3.5116046393807586E-3</v>
      </c>
      <c r="S744" s="22">
        <f t="shared" si="194"/>
        <v>2.0850043356646756E-2</v>
      </c>
      <c r="T744" s="22">
        <f t="shared" si="195"/>
        <v>-1.3145150923291827E-4</v>
      </c>
      <c r="U744" s="22">
        <f t="shared" si="196"/>
        <v>4.6778658030463263E-3</v>
      </c>
      <c r="V744" s="22">
        <f t="shared" si="197"/>
        <v>9.7787834578446221E-4</v>
      </c>
      <c r="W744" s="22">
        <f t="shared" si="198"/>
        <v>5.4395427363807007E-3</v>
      </c>
      <c r="X744" s="22">
        <f t="shared" si="199"/>
        <v>3.4931305467573965E-4</v>
      </c>
    </row>
    <row r="745" spans="1:24" x14ac:dyDescent="0.35">
      <c r="A745" s="3">
        <v>12.33</v>
      </c>
      <c r="B745" s="3">
        <v>87.27</v>
      </c>
      <c r="C745" s="3">
        <v>166.06</v>
      </c>
      <c r="D745" s="3">
        <v>15.89</v>
      </c>
      <c r="E745" s="3">
        <v>61.94</v>
      </c>
      <c r="F745" s="3">
        <v>97.487093000000002</v>
      </c>
      <c r="G745" s="3">
        <v>92.806950999999998</v>
      </c>
      <c r="H745" s="3">
        <v>90.171336999999994</v>
      </c>
      <c r="I745" s="17">
        <f t="shared" si="184"/>
        <v>8.1766148814390541E-3</v>
      </c>
      <c r="J745" s="17">
        <f t="shared" si="185"/>
        <v>-2.0868394479973067E-2</v>
      </c>
      <c r="K745" s="17">
        <f t="shared" si="186"/>
        <v>1.3859209963978329E-2</v>
      </c>
      <c r="L745" s="17">
        <f t="shared" si="187"/>
        <v>-8.7336244541485059E-3</v>
      </c>
      <c r="M745" s="17">
        <f t="shared" si="188"/>
        <v>2.7521450542333592E-3</v>
      </c>
      <c r="N745" s="17">
        <f t="shared" si="189"/>
        <v>4.9545963284281685E-4</v>
      </c>
      <c r="O745" s="17">
        <f t="shared" si="190"/>
        <v>1.6023357861867304E-3</v>
      </c>
      <c r="P745" s="17">
        <f t="shared" si="191"/>
        <v>-3.0493059935185712E-3</v>
      </c>
      <c r="Q745" s="22">
        <f t="shared" si="192"/>
        <v>7.7821410110543209E-3</v>
      </c>
      <c r="R745" s="22">
        <f t="shared" si="193"/>
        <v>-2.1299119194050229E-2</v>
      </c>
      <c r="S745" s="22">
        <f t="shared" si="194"/>
        <v>1.3447250577140881E-2</v>
      </c>
      <c r="T745" s="22">
        <f t="shared" si="195"/>
        <v>-8.8650759633814233E-3</v>
      </c>
      <c r="U745" s="22">
        <f t="shared" si="196"/>
        <v>2.0589171072795966E-3</v>
      </c>
      <c r="V745" s="22">
        <f t="shared" si="197"/>
        <v>7.3006344234599716E-4</v>
      </c>
      <c r="W745" s="22">
        <f t="shared" si="198"/>
        <v>1.8565843402774335E-3</v>
      </c>
      <c r="X745" s="22">
        <f t="shared" si="199"/>
        <v>-2.7333616089122324E-3</v>
      </c>
    </row>
    <row r="746" spans="1:24" x14ac:dyDescent="0.35">
      <c r="A746" s="3">
        <v>12.44</v>
      </c>
      <c r="B746" s="3">
        <v>87.32</v>
      </c>
      <c r="C746" s="3">
        <v>166.29</v>
      </c>
      <c r="D746" s="3">
        <v>15.9</v>
      </c>
      <c r="E746" s="3">
        <v>61.6</v>
      </c>
      <c r="F746" s="3">
        <v>96.716455999999994</v>
      </c>
      <c r="G746" s="3">
        <v>92.217129999999997</v>
      </c>
      <c r="H746" s="3">
        <v>89.303937000000005</v>
      </c>
      <c r="I746" s="17">
        <f t="shared" si="184"/>
        <v>8.9213300892132547E-3</v>
      </c>
      <c r="J746" s="17">
        <f t="shared" si="185"/>
        <v>5.7293457087197392E-4</v>
      </c>
      <c r="K746" s="17">
        <f t="shared" si="186"/>
        <v>1.3850415512464758E-3</v>
      </c>
      <c r="L746" s="17">
        <f t="shared" si="187"/>
        <v>6.2932662051603443E-4</v>
      </c>
      <c r="M746" s="17">
        <f t="shared" si="188"/>
        <v>-5.4891830804003278E-3</v>
      </c>
      <c r="N746" s="17">
        <f t="shared" si="189"/>
        <v>-7.9050156926928558E-3</v>
      </c>
      <c r="O746" s="17">
        <f t="shared" si="190"/>
        <v>-6.3553537062110855E-3</v>
      </c>
      <c r="P746" s="17">
        <f t="shared" si="191"/>
        <v>-9.6194647751534322E-3</v>
      </c>
      <c r="Q746" s="22">
        <f t="shared" si="192"/>
        <v>8.5268562188285206E-3</v>
      </c>
      <c r="R746" s="22">
        <f t="shared" si="193"/>
        <v>1.4220985679481041E-4</v>
      </c>
      <c r="S746" s="22">
        <f t="shared" si="194"/>
        <v>9.7308216440902882E-4</v>
      </c>
      <c r="T746" s="22">
        <f t="shared" si="195"/>
        <v>4.9787511128311613E-4</v>
      </c>
      <c r="U746" s="22">
        <f t="shared" si="196"/>
        <v>-6.18241102735409E-3</v>
      </c>
      <c r="V746" s="22">
        <f t="shared" si="197"/>
        <v>-7.6704118831896753E-3</v>
      </c>
      <c r="W746" s="22">
        <f t="shared" si="198"/>
        <v>-6.1011051521203822E-3</v>
      </c>
      <c r="X746" s="22">
        <f t="shared" si="199"/>
        <v>-9.3035203905470938E-3</v>
      </c>
    </row>
    <row r="747" spans="1:24" x14ac:dyDescent="0.35">
      <c r="A747" s="3">
        <v>12.89</v>
      </c>
      <c r="B747" s="3">
        <v>88.62</v>
      </c>
      <c r="C747" s="3">
        <v>169.2</v>
      </c>
      <c r="D747" s="3">
        <v>15.78</v>
      </c>
      <c r="E747" s="3">
        <v>61.73</v>
      </c>
      <c r="F747" s="3">
        <v>97.872349</v>
      </c>
      <c r="G747" s="3">
        <v>92.750418999999994</v>
      </c>
      <c r="H747" s="3">
        <v>89.770005999999995</v>
      </c>
      <c r="I747" s="17">
        <f t="shared" si="184"/>
        <v>3.6173633440514559E-2</v>
      </c>
      <c r="J747" s="17">
        <f t="shared" si="185"/>
        <v>1.4887769125057392E-2</v>
      </c>
      <c r="K747" s="17">
        <f t="shared" si="186"/>
        <v>1.7499548980696354E-2</v>
      </c>
      <c r="L747" s="17">
        <f t="shared" si="187"/>
        <v>-7.5471698113208172E-3</v>
      </c>
      <c r="M747" s="17">
        <f t="shared" si="188"/>
        <v>2.1103896103895365E-3</v>
      </c>
      <c r="N747" s="17">
        <f t="shared" si="189"/>
        <v>1.1951358101872613E-2</v>
      </c>
      <c r="O747" s="17">
        <f t="shared" si="190"/>
        <v>5.7829711247790556E-3</v>
      </c>
      <c r="P747" s="17">
        <f t="shared" si="191"/>
        <v>5.2189076501743736E-3</v>
      </c>
      <c r="Q747" s="22">
        <f t="shared" si="192"/>
        <v>3.5779159570129823E-2</v>
      </c>
      <c r="R747" s="22">
        <f t="shared" si="193"/>
        <v>1.4457044410980228E-2</v>
      </c>
      <c r="S747" s="22">
        <f t="shared" si="194"/>
        <v>1.7087589593858907E-2</v>
      </c>
      <c r="T747" s="22">
        <f t="shared" si="195"/>
        <v>-7.6786213205537355E-3</v>
      </c>
      <c r="U747" s="22">
        <f t="shared" si="196"/>
        <v>1.4171616634357739E-3</v>
      </c>
      <c r="V747" s="22">
        <f t="shared" si="197"/>
        <v>1.2185961911375793E-2</v>
      </c>
      <c r="W747" s="22">
        <f t="shared" si="198"/>
        <v>6.0372196788697589E-3</v>
      </c>
      <c r="X747" s="22">
        <f t="shared" si="199"/>
        <v>5.534852034780712E-3</v>
      </c>
    </row>
    <row r="748" spans="1:24" x14ac:dyDescent="0.35">
      <c r="A748" s="3">
        <v>13.54</v>
      </c>
      <c r="B748" s="3">
        <v>88.44</v>
      </c>
      <c r="C748" s="3">
        <v>172.19</v>
      </c>
      <c r="D748" s="3">
        <v>16.22</v>
      </c>
      <c r="E748" s="3">
        <v>61.94</v>
      </c>
      <c r="F748" s="3">
        <v>98.664523000000003</v>
      </c>
      <c r="G748" s="3">
        <v>93.953664000000003</v>
      </c>
      <c r="H748" s="3">
        <v>92.098979999999997</v>
      </c>
      <c r="I748" s="17">
        <f t="shared" si="184"/>
        <v>5.0426687354538292E-2</v>
      </c>
      <c r="J748" s="17">
        <f t="shared" si="185"/>
        <v>-2.0311442112390748E-3</v>
      </c>
      <c r="K748" s="17">
        <f t="shared" si="186"/>
        <v>1.7671394799054427E-2</v>
      </c>
      <c r="L748" s="17">
        <f t="shared" si="187"/>
        <v>2.788339670468945E-2</v>
      </c>
      <c r="M748" s="17">
        <f t="shared" si="188"/>
        <v>3.4019115502997061E-3</v>
      </c>
      <c r="N748" s="17">
        <f t="shared" si="189"/>
        <v>8.0939510300299718E-3</v>
      </c>
      <c r="O748" s="17">
        <f t="shared" si="190"/>
        <v>1.297293330825826E-2</v>
      </c>
      <c r="P748" s="17">
        <f t="shared" si="191"/>
        <v>2.5943787950732704E-2</v>
      </c>
      <c r="Q748" s="22">
        <f t="shared" si="192"/>
        <v>5.0032213484153557E-2</v>
      </c>
      <c r="R748" s="22">
        <f t="shared" si="193"/>
        <v>-2.4618689253162384E-3</v>
      </c>
      <c r="S748" s="22">
        <f t="shared" si="194"/>
        <v>1.7259435412216979E-2</v>
      </c>
      <c r="T748" s="22">
        <f t="shared" si="195"/>
        <v>2.7751945195456533E-2</v>
      </c>
      <c r="U748" s="22">
        <f t="shared" si="196"/>
        <v>2.7086836033459434E-3</v>
      </c>
      <c r="V748" s="22">
        <f t="shared" si="197"/>
        <v>8.3285548395331515E-3</v>
      </c>
      <c r="W748" s="22">
        <f t="shared" si="198"/>
        <v>1.3227181862348962E-2</v>
      </c>
      <c r="X748" s="22">
        <f t="shared" si="199"/>
        <v>2.6259732335339042E-2</v>
      </c>
    </row>
    <row r="749" spans="1:24" x14ac:dyDescent="0.35">
      <c r="A749" s="3">
        <v>13.52</v>
      </c>
      <c r="B749" s="3">
        <v>88.19</v>
      </c>
      <c r="C749" s="3">
        <v>171.15</v>
      </c>
      <c r="D749" s="3">
        <v>16.12</v>
      </c>
      <c r="E749" s="3">
        <v>61.22</v>
      </c>
      <c r="F749" s="3">
        <v>98.306426999999999</v>
      </c>
      <c r="G749" s="3">
        <v>93.45881</v>
      </c>
      <c r="H749" s="3">
        <v>91.143109999999993</v>
      </c>
      <c r="I749" s="17">
        <f t="shared" si="184"/>
        <v>-1.4771048744460543E-3</v>
      </c>
      <c r="J749" s="17">
        <f t="shared" si="185"/>
        <v>-2.8267752148349165E-3</v>
      </c>
      <c r="K749" s="17">
        <f t="shared" si="186"/>
        <v>-6.0398397119460602E-3</v>
      </c>
      <c r="L749" s="17">
        <f t="shared" si="187"/>
        <v>-6.1652281134400664E-3</v>
      </c>
      <c r="M749" s="17">
        <f t="shared" si="188"/>
        <v>-1.1624152405553744E-2</v>
      </c>
      <c r="N749" s="17">
        <f t="shared" si="189"/>
        <v>-3.6294302056272374E-3</v>
      </c>
      <c r="O749" s="17">
        <f t="shared" si="190"/>
        <v>-5.2670005503990102E-3</v>
      </c>
      <c r="P749" s="17">
        <f t="shared" si="191"/>
        <v>-1.0378725149833413E-2</v>
      </c>
      <c r="Q749" s="22">
        <f t="shared" si="192"/>
        <v>-1.8715787448307876E-3</v>
      </c>
      <c r="R749" s="22">
        <f t="shared" si="193"/>
        <v>-3.2574999289120801E-3</v>
      </c>
      <c r="S749" s="22">
        <f t="shared" si="194"/>
        <v>-6.4517990987835068E-3</v>
      </c>
      <c r="T749" s="22">
        <f t="shared" si="195"/>
        <v>-6.2966796226729847E-3</v>
      </c>
      <c r="U749" s="22">
        <f t="shared" si="196"/>
        <v>-1.2317380352507507E-2</v>
      </c>
      <c r="V749" s="22">
        <f t="shared" si="197"/>
        <v>-3.3948263961240573E-3</v>
      </c>
      <c r="W749" s="22">
        <f t="shared" si="198"/>
        <v>-5.0127519963083069E-3</v>
      </c>
      <c r="X749" s="22">
        <f t="shared" si="199"/>
        <v>-1.0062780765227075E-2</v>
      </c>
    </row>
    <row r="750" spans="1:24" x14ac:dyDescent="0.35">
      <c r="A750" s="3">
        <v>13.59</v>
      </c>
      <c r="B750" s="3">
        <v>89</v>
      </c>
      <c r="C750" s="3">
        <v>174.68</v>
      </c>
      <c r="D750" s="3">
        <v>16.28</v>
      </c>
      <c r="E750" s="3">
        <v>62</v>
      </c>
      <c r="F750" s="3">
        <v>97.740196999999995</v>
      </c>
      <c r="G750" s="3">
        <v>93.224300999999997</v>
      </c>
      <c r="H750" s="3">
        <v>90.778237000000004</v>
      </c>
      <c r="I750" s="17">
        <f t="shared" si="184"/>
        <v>5.1775147928994295E-3</v>
      </c>
      <c r="J750" s="17">
        <f t="shared" si="185"/>
        <v>9.1847148202744335E-3</v>
      </c>
      <c r="K750" s="17">
        <f t="shared" si="186"/>
        <v>2.062518258837278E-2</v>
      </c>
      <c r="L750" s="17">
        <f t="shared" si="187"/>
        <v>9.9255583126550955E-3</v>
      </c>
      <c r="M750" s="17">
        <f t="shared" si="188"/>
        <v>1.2740934335184599E-2</v>
      </c>
      <c r="N750" s="17">
        <f t="shared" si="189"/>
        <v>-5.7598472173137211E-3</v>
      </c>
      <c r="O750" s="17">
        <f t="shared" si="190"/>
        <v>-2.5092230470300527E-3</v>
      </c>
      <c r="P750" s="17">
        <f t="shared" si="191"/>
        <v>-4.0032976711019486E-3</v>
      </c>
      <c r="Q750" s="22">
        <f t="shared" si="192"/>
        <v>4.7830409225146963E-3</v>
      </c>
      <c r="R750" s="22">
        <f t="shared" si="193"/>
        <v>8.7539901061972694E-3</v>
      </c>
      <c r="S750" s="22">
        <f t="shared" si="194"/>
        <v>2.0213223201535332E-2</v>
      </c>
      <c r="T750" s="22">
        <f t="shared" si="195"/>
        <v>9.7941068034221781E-3</v>
      </c>
      <c r="U750" s="22">
        <f t="shared" si="196"/>
        <v>1.2047706388230836E-2</v>
      </c>
      <c r="V750" s="22">
        <f t="shared" si="197"/>
        <v>-5.5252434078105405E-3</v>
      </c>
      <c r="W750" s="22">
        <f t="shared" si="198"/>
        <v>-2.2549744929393498E-3</v>
      </c>
      <c r="X750" s="22">
        <f t="shared" si="199"/>
        <v>-3.6873532864956098E-3</v>
      </c>
    </row>
    <row r="751" spans="1:24" x14ac:dyDescent="0.35">
      <c r="A751" s="3">
        <v>13.6</v>
      </c>
      <c r="B751" s="3">
        <v>87.39</v>
      </c>
      <c r="C751" s="3">
        <v>174.03</v>
      </c>
      <c r="D751" s="3">
        <v>15.91</v>
      </c>
      <c r="E751" s="3">
        <v>63.27</v>
      </c>
      <c r="F751" s="3">
        <v>97.764354999999995</v>
      </c>
      <c r="G751" s="3">
        <v>93.195886999999999</v>
      </c>
      <c r="H751" s="3">
        <v>91.188024999999996</v>
      </c>
      <c r="I751" s="17">
        <f t="shared" si="184"/>
        <v>7.3583517292124991E-4</v>
      </c>
      <c r="J751" s="17">
        <f t="shared" si="185"/>
        <v>-1.8089887640449432E-2</v>
      </c>
      <c r="K751" s="17">
        <f t="shared" si="186"/>
        <v>-3.7210899931303279E-3</v>
      </c>
      <c r="L751" s="17">
        <f t="shared" si="187"/>
        <v>-2.2727272727272787E-2</v>
      </c>
      <c r="M751" s="17">
        <f t="shared" si="188"/>
        <v>2.0483870967741985E-2</v>
      </c>
      <c r="N751" s="17">
        <f t="shared" si="189"/>
        <v>2.4716545230617757E-4</v>
      </c>
      <c r="O751" s="17">
        <f t="shared" si="190"/>
        <v>-3.0479177312359726E-4</v>
      </c>
      <c r="P751" s="17">
        <f t="shared" si="191"/>
        <v>4.5141656584495229E-3</v>
      </c>
      <c r="Q751" s="22">
        <f t="shared" si="192"/>
        <v>3.413613025365166E-4</v>
      </c>
      <c r="R751" s="22">
        <f t="shared" si="193"/>
        <v>-1.8520612354526594E-2</v>
      </c>
      <c r="S751" s="22">
        <f t="shared" si="194"/>
        <v>-4.1330493799677749E-3</v>
      </c>
      <c r="T751" s="22">
        <f t="shared" si="195"/>
        <v>-2.2858724236505704E-2</v>
      </c>
      <c r="U751" s="22">
        <f t="shared" si="196"/>
        <v>1.9790643020788222E-2</v>
      </c>
      <c r="V751" s="22">
        <f t="shared" si="197"/>
        <v>4.8176926180935789E-4</v>
      </c>
      <c r="W751" s="22">
        <f t="shared" si="198"/>
        <v>-5.054321903289426E-5</v>
      </c>
      <c r="X751" s="22">
        <f t="shared" si="199"/>
        <v>4.8301100430558613E-3</v>
      </c>
    </row>
    <row r="752" spans="1:24" x14ac:dyDescent="0.35">
      <c r="A752" s="3">
        <v>13.45</v>
      </c>
      <c r="B752" s="3">
        <v>86.86</v>
      </c>
      <c r="C752" s="3">
        <v>170.57</v>
      </c>
      <c r="D752" s="3">
        <v>15.71</v>
      </c>
      <c r="E752" s="3">
        <v>63.12</v>
      </c>
      <c r="F752" s="3">
        <v>98.082826999999995</v>
      </c>
      <c r="G752" s="3">
        <v>93.116264999999999</v>
      </c>
      <c r="H752" s="3">
        <v>91.469875999999999</v>
      </c>
      <c r="I752" s="17">
        <f t="shared" si="184"/>
        <v>-1.1029411764705909E-2</v>
      </c>
      <c r="J752" s="17">
        <f t="shared" si="185"/>
        <v>-6.064767135827911E-3</v>
      </c>
      <c r="K752" s="17">
        <f t="shared" si="186"/>
        <v>-1.9881629604091296E-2</v>
      </c>
      <c r="L752" s="17">
        <f t="shared" si="187"/>
        <v>-1.2570710245128805E-2</v>
      </c>
      <c r="M752" s="17">
        <f t="shared" si="188"/>
        <v>-2.3707918444761445E-3</v>
      </c>
      <c r="N752" s="17">
        <f t="shared" si="189"/>
        <v>3.2575471908959036E-3</v>
      </c>
      <c r="O752" s="17">
        <f t="shared" si="190"/>
        <v>-8.5435100800103467E-4</v>
      </c>
      <c r="P752" s="17">
        <f t="shared" si="191"/>
        <v>3.0908773383347562E-3</v>
      </c>
      <c r="Q752" s="22">
        <f t="shared" si="192"/>
        <v>-1.1423885635090643E-2</v>
      </c>
      <c r="R752" s="22">
        <f t="shared" si="193"/>
        <v>-6.4954918499050742E-3</v>
      </c>
      <c r="S752" s="22">
        <f t="shared" si="194"/>
        <v>-2.0293588990928743E-2</v>
      </c>
      <c r="T752" s="22">
        <f t="shared" si="195"/>
        <v>-1.2702161754361722E-2</v>
      </c>
      <c r="U752" s="22">
        <f t="shared" si="196"/>
        <v>-3.0640197914299071E-3</v>
      </c>
      <c r="V752" s="22">
        <f t="shared" si="197"/>
        <v>3.4921510003990837E-3</v>
      </c>
      <c r="W752" s="22">
        <f t="shared" si="198"/>
        <v>-6.0010245391033167E-4</v>
      </c>
      <c r="X752" s="22">
        <f t="shared" si="199"/>
        <v>3.406821722941095E-3</v>
      </c>
    </row>
    <row r="753" spans="1:24" x14ac:dyDescent="0.35">
      <c r="A753" s="3">
        <v>13.75</v>
      </c>
      <c r="B753" s="3">
        <v>88.29</v>
      </c>
      <c r="C753" s="3">
        <v>171.46</v>
      </c>
      <c r="D753" s="3">
        <v>15.89</v>
      </c>
      <c r="E753" s="3">
        <v>64.34</v>
      </c>
      <c r="F753" s="3">
        <v>98.179103999999995</v>
      </c>
      <c r="G753" s="3">
        <v>93.619062999999997</v>
      </c>
      <c r="H753" s="3">
        <v>91.494755999999995</v>
      </c>
      <c r="I753" s="17">
        <f t="shared" si="184"/>
        <v>2.2304832713754701E-2</v>
      </c>
      <c r="J753" s="17">
        <f t="shared" si="185"/>
        <v>1.6463274234400263E-2</v>
      </c>
      <c r="K753" s="17">
        <f t="shared" si="186"/>
        <v>5.217799144046519E-3</v>
      </c>
      <c r="L753" s="17">
        <f t="shared" si="187"/>
        <v>1.1457670273710993E-2</v>
      </c>
      <c r="M753" s="17">
        <f t="shared" si="188"/>
        <v>1.9328263624841666E-2</v>
      </c>
      <c r="N753" s="17">
        <f t="shared" si="189"/>
        <v>9.8158875457372992E-4</v>
      </c>
      <c r="O753" s="17">
        <f t="shared" si="190"/>
        <v>5.3996796370644647E-3</v>
      </c>
      <c r="P753" s="17">
        <f t="shared" si="191"/>
        <v>2.7200211794313592E-4</v>
      </c>
      <c r="Q753" s="22">
        <f t="shared" si="192"/>
        <v>2.1910358843369969E-2</v>
      </c>
      <c r="R753" s="22">
        <f t="shared" si="193"/>
        <v>1.6032549520323101E-2</v>
      </c>
      <c r="S753" s="22">
        <f t="shared" si="194"/>
        <v>4.8058397572090725E-3</v>
      </c>
      <c r="T753" s="22">
        <f t="shared" si="195"/>
        <v>1.1326218764478075E-2</v>
      </c>
      <c r="U753" s="22">
        <f t="shared" si="196"/>
        <v>1.8635035677887903E-2</v>
      </c>
      <c r="V753" s="22">
        <f t="shared" si="197"/>
        <v>1.2161925640769102E-3</v>
      </c>
      <c r="W753" s="22">
        <f t="shared" si="198"/>
        <v>5.653928191155168E-3</v>
      </c>
      <c r="X753" s="22">
        <f t="shared" si="199"/>
        <v>5.8794650254947469E-4</v>
      </c>
    </row>
    <row r="754" spans="1:24" x14ac:dyDescent="0.35">
      <c r="A754" s="3">
        <v>13.92</v>
      </c>
      <c r="B754" s="3">
        <v>88.77</v>
      </c>
      <c r="C754" s="3">
        <v>167.29</v>
      </c>
      <c r="D754" s="3">
        <v>15.69</v>
      </c>
      <c r="E754" s="3">
        <v>64.84</v>
      </c>
      <c r="F754" s="3">
        <v>97.909429000000003</v>
      </c>
      <c r="G754" s="3">
        <v>93.385019999999997</v>
      </c>
      <c r="H754" s="3">
        <v>91.647081</v>
      </c>
      <c r="I754" s="17">
        <f t="shared" si="184"/>
        <v>1.2363636363636358E-2</v>
      </c>
      <c r="J754" s="17">
        <f t="shared" si="185"/>
        <v>5.4366292898401824E-3</v>
      </c>
      <c r="K754" s="17">
        <f t="shared" si="186"/>
        <v>-2.4320541234107172E-2</v>
      </c>
      <c r="L754" s="17">
        <f t="shared" si="187"/>
        <v>-1.2586532410321023E-2</v>
      </c>
      <c r="M754" s="17">
        <f t="shared" si="188"/>
        <v>7.7712154180913894E-3</v>
      </c>
      <c r="N754" s="17">
        <f t="shared" si="189"/>
        <v>-2.7467657476278489E-3</v>
      </c>
      <c r="O754" s="17">
        <f t="shared" si="190"/>
        <v>-2.4999502505168181E-3</v>
      </c>
      <c r="P754" s="17">
        <f t="shared" si="191"/>
        <v>1.6648495133426522E-3</v>
      </c>
      <c r="Q754" s="22">
        <f t="shared" si="192"/>
        <v>1.1969162493251624E-2</v>
      </c>
      <c r="R754" s="22">
        <f t="shared" si="193"/>
        <v>5.0059045757630191E-3</v>
      </c>
      <c r="S754" s="22">
        <f t="shared" si="194"/>
        <v>-2.473250062094462E-2</v>
      </c>
      <c r="T754" s="22">
        <f t="shared" si="195"/>
        <v>-1.271798391955394E-2</v>
      </c>
      <c r="U754" s="22">
        <f t="shared" si="196"/>
        <v>7.0779874711376272E-3</v>
      </c>
      <c r="V754" s="22">
        <f t="shared" si="197"/>
        <v>-2.5121619381246688E-3</v>
      </c>
      <c r="W754" s="22">
        <f t="shared" si="198"/>
        <v>-2.2457016964261152E-3</v>
      </c>
      <c r="X754" s="22">
        <f t="shared" si="199"/>
        <v>1.980793897948991E-3</v>
      </c>
    </row>
    <row r="755" spans="1:24" x14ac:dyDescent="0.35">
      <c r="A755" s="3">
        <v>13.79</v>
      </c>
      <c r="B755" s="3">
        <v>87.99</v>
      </c>
      <c r="C755" s="3">
        <v>173.64</v>
      </c>
      <c r="D755" s="3">
        <v>15.79</v>
      </c>
      <c r="E755" s="3">
        <v>64.319999999999993</v>
      </c>
      <c r="F755" s="3">
        <v>98.101293999999996</v>
      </c>
      <c r="G755" s="3">
        <v>93.356729999999999</v>
      </c>
      <c r="H755" s="3">
        <v>91.474872000000005</v>
      </c>
      <c r="I755" s="17">
        <f t="shared" si="184"/>
        <v>-9.3390804597701712E-3</v>
      </c>
      <c r="J755" s="17">
        <f t="shared" si="185"/>
        <v>-8.786752281176086E-3</v>
      </c>
      <c r="K755" s="17">
        <f t="shared" si="186"/>
        <v>3.7958036941837497E-2</v>
      </c>
      <c r="L755" s="17">
        <f t="shared" si="187"/>
        <v>6.3734862970044387E-3</v>
      </c>
      <c r="M755" s="17">
        <f t="shared" si="188"/>
        <v>-8.0197409006787512E-3</v>
      </c>
      <c r="N755" s="17">
        <f t="shared" si="189"/>
        <v>1.959617188657007E-3</v>
      </c>
      <c r="O755" s="17">
        <f t="shared" si="190"/>
        <v>-3.029393793565432E-4</v>
      </c>
      <c r="P755" s="17">
        <f t="shared" si="191"/>
        <v>-1.8790451165596335E-3</v>
      </c>
      <c r="Q755" s="22">
        <f t="shared" si="192"/>
        <v>-9.7335543301549053E-3</v>
      </c>
      <c r="R755" s="22">
        <f t="shared" si="193"/>
        <v>-9.2174769952532501E-3</v>
      </c>
      <c r="S755" s="22">
        <f t="shared" si="194"/>
        <v>3.754607755500005E-2</v>
      </c>
      <c r="T755" s="22">
        <f t="shared" si="195"/>
        <v>6.2420347877715204E-3</v>
      </c>
      <c r="U755" s="22">
        <f t="shared" si="196"/>
        <v>-8.7129688476325143E-3</v>
      </c>
      <c r="V755" s="22">
        <f t="shared" si="197"/>
        <v>2.1942209981601871E-3</v>
      </c>
      <c r="W755" s="22">
        <f t="shared" si="198"/>
        <v>-4.8690825265840199E-5</v>
      </c>
      <c r="X755" s="22">
        <f t="shared" si="199"/>
        <v>-1.5631007319532946E-3</v>
      </c>
    </row>
    <row r="756" spans="1:24" x14ac:dyDescent="0.35">
      <c r="A756" s="3">
        <v>13.76</v>
      </c>
      <c r="B756" s="3">
        <v>87.53</v>
      </c>
      <c r="C756" s="3">
        <v>168.25</v>
      </c>
      <c r="D756" s="3">
        <v>15.65</v>
      </c>
      <c r="E756" s="3">
        <v>64.23</v>
      </c>
      <c r="F756" s="3">
        <v>98.503853000000007</v>
      </c>
      <c r="G756" s="3">
        <v>93.379729999999995</v>
      </c>
      <c r="H756" s="3">
        <v>91.238702000000004</v>
      </c>
      <c r="I756" s="17">
        <f t="shared" si="184"/>
        <v>-2.1754894851341087E-3</v>
      </c>
      <c r="J756" s="17">
        <f t="shared" si="185"/>
        <v>-5.22786680304573E-3</v>
      </c>
      <c r="K756" s="17">
        <f t="shared" si="186"/>
        <v>-3.1041234738539432E-2</v>
      </c>
      <c r="L756" s="17">
        <f t="shared" si="187"/>
        <v>-8.866371120962559E-3</v>
      </c>
      <c r="M756" s="17">
        <f t="shared" si="188"/>
        <v>-1.3992537313431159E-3</v>
      </c>
      <c r="N756" s="17">
        <f t="shared" si="189"/>
        <v>4.1035034665293079E-3</v>
      </c>
      <c r="O756" s="17">
        <f t="shared" si="190"/>
        <v>2.463668125479131E-4</v>
      </c>
      <c r="P756" s="17">
        <f t="shared" si="191"/>
        <v>-2.5818019182360956E-3</v>
      </c>
      <c r="Q756" s="22">
        <f t="shared" si="192"/>
        <v>-2.569963355518842E-3</v>
      </c>
      <c r="R756" s="22">
        <f t="shared" si="193"/>
        <v>-5.6585915171228933E-3</v>
      </c>
      <c r="S756" s="22">
        <f t="shared" si="194"/>
        <v>-3.1453194125376879E-2</v>
      </c>
      <c r="T756" s="22">
        <f t="shared" si="195"/>
        <v>-8.9978226301954765E-3</v>
      </c>
      <c r="U756" s="22">
        <f t="shared" si="196"/>
        <v>-2.0924816782968785E-3</v>
      </c>
      <c r="V756" s="22">
        <f t="shared" si="197"/>
        <v>4.3381072760324884E-3</v>
      </c>
      <c r="W756" s="22">
        <f t="shared" si="198"/>
        <v>5.006153666386161E-4</v>
      </c>
      <c r="X756" s="22">
        <f t="shared" si="199"/>
        <v>-2.2658575336297567E-3</v>
      </c>
    </row>
    <row r="757" spans="1:24" x14ac:dyDescent="0.35">
      <c r="A757" s="3">
        <v>13.42</v>
      </c>
      <c r="B757" s="3">
        <v>87.48</v>
      </c>
      <c r="C757" s="3">
        <v>171.62</v>
      </c>
      <c r="D757" s="3">
        <v>15.61</v>
      </c>
      <c r="E757" s="3">
        <v>63.95</v>
      </c>
      <c r="F757" s="3">
        <v>98.389776999999995</v>
      </c>
      <c r="G757" s="3">
        <v>94.037075000000002</v>
      </c>
      <c r="H757" s="3">
        <v>91.846877000000006</v>
      </c>
      <c r="I757" s="17">
        <f t="shared" si="184"/>
        <v>-2.4709302325581384E-2</v>
      </c>
      <c r="J757" s="17">
        <f t="shared" si="185"/>
        <v>-5.7123272021018117E-4</v>
      </c>
      <c r="K757" s="17">
        <f t="shared" si="186"/>
        <v>2.0029717682020831E-2</v>
      </c>
      <c r="L757" s="17">
        <f t="shared" si="187"/>
        <v>-2.5559105431310495E-3</v>
      </c>
      <c r="M757" s="17">
        <f t="shared" si="188"/>
        <v>-4.3593336447143253E-3</v>
      </c>
      <c r="N757" s="17">
        <f t="shared" si="189"/>
        <v>-1.1580866791069725E-3</v>
      </c>
      <c r="O757" s="17">
        <f t="shared" si="190"/>
        <v>7.0394827656923677E-3</v>
      </c>
      <c r="P757" s="17">
        <f t="shared" si="191"/>
        <v>6.6657568188552572E-3</v>
      </c>
      <c r="Q757" s="22">
        <f t="shared" si="192"/>
        <v>-2.5103776195966116E-2</v>
      </c>
      <c r="R757" s="22">
        <f t="shared" si="193"/>
        <v>-1.0019574342873447E-3</v>
      </c>
      <c r="S757" s="22">
        <f t="shared" si="194"/>
        <v>1.9617758295183384E-2</v>
      </c>
      <c r="T757" s="22">
        <f t="shared" si="195"/>
        <v>-2.6873620523639678E-3</v>
      </c>
      <c r="U757" s="22">
        <f t="shared" si="196"/>
        <v>-5.0525615916680875E-3</v>
      </c>
      <c r="V757" s="22">
        <f t="shared" si="197"/>
        <v>-9.2348286960379218E-4</v>
      </c>
      <c r="W757" s="22">
        <f t="shared" si="198"/>
        <v>7.293731319783071E-3</v>
      </c>
      <c r="X757" s="22">
        <f t="shared" si="199"/>
        <v>6.9817012034615955E-3</v>
      </c>
    </row>
    <row r="758" spans="1:24" x14ac:dyDescent="0.35">
      <c r="A758" s="3">
        <v>13.22</v>
      </c>
      <c r="B758" s="3">
        <v>85.95</v>
      </c>
      <c r="C758" s="3">
        <v>170.76</v>
      </c>
      <c r="D758" s="3">
        <v>15.74</v>
      </c>
      <c r="E758" s="3">
        <v>64.16</v>
      </c>
      <c r="F758" s="3">
        <v>98.792394999999999</v>
      </c>
      <c r="G758" s="3">
        <v>94.111559999999997</v>
      </c>
      <c r="H758" s="3">
        <v>92.195094999999995</v>
      </c>
      <c r="I758" s="17">
        <f t="shared" si="184"/>
        <v>-1.4903129657227966E-2</v>
      </c>
      <c r="J758" s="17">
        <f t="shared" si="185"/>
        <v>-1.7489711934156389E-2</v>
      </c>
      <c r="K758" s="17">
        <f t="shared" si="186"/>
        <v>-5.0110709707494091E-3</v>
      </c>
      <c r="L758" s="17">
        <f t="shared" si="187"/>
        <v>8.3279948750801264E-3</v>
      </c>
      <c r="M758" s="17">
        <f t="shared" si="188"/>
        <v>3.2838154808443117E-3</v>
      </c>
      <c r="N758" s="17">
        <f t="shared" si="189"/>
        <v>4.0920714760843899E-3</v>
      </c>
      <c r="O758" s="17">
        <f t="shared" si="190"/>
        <v>7.9208120839568529E-4</v>
      </c>
      <c r="P758" s="17">
        <f t="shared" si="191"/>
        <v>3.7912884071168644E-3</v>
      </c>
      <c r="Q758" s="22">
        <f t="shared" si="192"/>
        <v>-1.52976035276127E-2</v>
      </c>
      <c r="R758" s="22">
        <f t="shared" si="193"/>
        <v>-1.7920436648233552E-2</v>
      </c>
      <c r="S758" s="22">
        <f t="shared" si="194"/>
        <v>-5.4230303575868557E-3</v>
      </c>
      <c r="T758" s="22">
        <f t="shared" si="195"/>
        <v>8.196543365847209E-3</v>
      </c>
      <c r="U758" s="22">
        <f t="shared" si="196"/>
        <v>2.5905875338905491E-3</v>
      </c>
      <c r="V758" s="22">
        <f t="shared" si="197"/>
        <v>4.3266752855875704E-3</v>
      </c>
      <c r="W758" s="22">
        <f t="shared" si="198"/>
        <v>1.0463297624863882E-3</v>
      </c>
      <c r="X758" s="22">
        <f t="shared" si="199"/>
        <v>4.1072327917232032E-3</v>
      </c>
    </row>
    <row r="759" spans="1:24" x14ac:dyDescent="0.35">
      <c r="A759" s="3">
        <v>13</v>
      </c>
      <c r="B759" s="3">
        <v>87.1</v>
      </c>
      <c r="C759" s="3">
        <v>168.08</v>
      </c>
      <c r="D759" s="3">
        <v>15.75</v>
      </c>
      <c r="E759" s="3">
        <v>63.21</v>
      </c>
      <c r="F759" s="3">
        <v>98.144969000000003</v>
      </c>
      <c r="G759" s="3">
        <v>94.444681000000003</v>
      </c>
      <c r="H759" s="3">
        <v>91.503051999999997</v>
      </c>
      <c r="I759" s="17">
        <f t="shared" si="184"/>
        <v>-1.6641452344931969E-2</v>
      </c>
      <c r="J759" s="17">
        <f t="shared" si="185"/>
        <v>1.3379872018615374E-2</v>
      </c>
      <c r="K759" s="17">
        <f t="shared" si="186"/>
        <v>-1.5694542047317746E-2</v>
      </c>
      <c r="L759" s="17">
        <f t="shared" si="187"/>
        <v>6.3532401524776284E-4</v>
      </c>
      <c r="M759" s="17">
        <f t="shared" si="188"/>
        <v>-1.4806733167082229E-2</v>
      </c>
      <c r="N759" s="17">
        <f t="shared" si="189"/>
        <v>-6.5533991761207513E-3</v>
      </c>
      <c r="O759" s="17">
        <f t="shared" si="190"/>
        <v>3.5396395511880321E-3</v>
      </c>
      <c r="P759" s="17">
        <f t="shared" si="191"/>
        <v>-7.50628870223517E-3</v>
      </c>
      <c r="Q759" s="22">
        <f t="shared" si="192"/>
        <v>-1.7035926215316702E-2</v>
      </c>
      <c r="R759" s="22">
        <f t="shared" si="193"/>
        <v>1.294914730453821E-2</v>
      </c>
      <c r="S759" s="22">
        <f t="shared" si="194"/>
        <v>-1.6106501434155193E-2</v>
      </c>
      <c r="T759" s="22">
        <f t="shared" si="195"/>
        <v>5.0387250601484454E-4</v>
      </c>
      <c r="U759" s="22">
        <f t="shared" si="196"/>
        <v>-1.5499961114035992E-2</v>
      </c>
      <c r="V759" s="22">
        <f t="shared" si="197"/>
        <v>-6.3187953666175708E-3</v>
      </c>
      <c r="W759" s="22">
        <f t="shared" si="198"/>
        <v>3.793888105278735E-3</v>
      </c>
      <c r="X759" s="22">
        <f t="shared" si="199"/>
        <v>-7.1903443176288316E-3</v>
      </c>
    </row>
    <row r="760" spans="1:24" x14ac:dyDescent="0.35">
      <c r="A760" s="3">
        <v>12.68</v>
      </c>
      <c r="B760" s="3">
        <v>84.85</v>
      </c>
      <c r="C760" s="3">
        <v>163.21</v>
      </c>
      <c r="D760" s="3">
        <v>15.51</v>
      </c>
      <c r="E760" s="3">
        <v>63.71</v>
      </c>
      <c r="F760" s="3">
        <v>98.546014999999997</v>
      </c>
      <c r="G760" s="3">
        <v>93.848471000000004</v>
      </c>
      <c r="H760" s="3">
        <v>91.849394000000004</v>
      </c>
      <c r="I760" s="17">
        <f t="shared" si="184"/>
        <v>-2.4615384615384636E-2</v>
      </c>
      <c r="J760" s="17">
        <f t="shared" si="185"/>
        <v>-2.5832376578645237E-2</v>
      </c>
      <c r="K760" s="17">
        <f t="shared" si="186"/>
        <v>-2.8974297953355571E-2</v>
      </c>
      <c r="L760" s="17">
        <f t="shared" si="187"/>
        <v>-1.5238095238095252E-2</v>
      </c>
      <c r="M760" s="17">
        <f t="shared" si="188"/>
        <v>7.9101408005062494E-3</v>
      </c>
      <c r="N760" s="17">
        <f t="shared" si="189"/>
        <v>4.0862614160079242E-3</v>
      </c>
      <c r="O760" s="17">
        <f t="shared" si="190"/>
        <v>-6.3127959530087166E-3</v>
      </c>
      <c r="P760" s="17">
        <f t="shared" si="191"/>
        <v>3.7850322194718385E-3</v>
      </c>
      <c r="Q760" s="22">
        <f t="shared" si="192"/>
        <v>-2.5009858485769369E-2</v>
      </c>
      <c r="R760" s="22">
        <f t="shared" si="193"/>
        <v>-2.6263101292722399E-2</v>
      </c>
      <c r="S760" s="22">
        <f t="shared" si="194"/>
        <v>-2.9386257340193019E-2</v>
      </c>
      <c r="T760" s="22">
        <f t="shared" si="195"/>
        <v>-1.5369546747328169E-2</v>
      </c>
      <c r="U760" s="22">
        <f t="shared" si="196"/>
        <v>7.2169128535524872E-3</v>
      </c>
      <c r="V760" s="22">
        <f t="shared" si="197"/>
        <v>4.3208652255111047E-3</v>
      </c>
      <c r="W760" s="22">
        <f t="shared" si="198"/>
        <v>-6.0585473989180133E-3</v>
      </c>
      <c r="X760" s="22">
        <f t="shared" si="199"/>
        <v>4.1009766040781773E-3</v>
      </c>
    </row>
    <row r="761" spans="1:24" x14ac:dyDescent="0.35">
      <c r="A761" s="3">
        <v>12.67</v>
      </c>
      <c r="B761" s="3">
        <v>84.74</v>
      </c>
      <c r="C761" s="3">
        <v>164.62</v>
      </c>
      <c r="D761" s="3">
        <v>15.47</v>
      </c>
      <c r="E761" s="3">
        <v>62.57</v>
      </c>
      <c r="F761" s="3">
        <v>98.200222999999994</v>
      </c>
      <c r="G761" s="3">
        <v>93.763564000000002</v>
      </c>
      <c r="H761" s="3">
        <v>91.335425999999998</v>
      </c>
      <c r="I761" s="17">
        <f t="shared" si="184"/>
        <v>-7.8864353312301156E-4</v>
      </c>
      <c r="J761" s="17">
        <f t="shared" si="185"/>
        <v>-1.2964054213317553E-3</v>
      </c>
      <c r="K761" s="17">
        <f t="shared" si="186"/>
        <v>8.6391765210464839E-3</v>
      </c>
      <c r="L761" s="17">
        <f t="shared" si="187"/>
        <v>-2.5789813023855026E-3</v>
      </c>
      <c r="M761" s="17">
        <f t="shared" si="188"/>
        <v>-1.7893580285669449E-2</v>
      </c>
      <c r="N761" s="17">
        <f t="shared" si="189"/>
        <v>-3.5089394533102431E-3</v>
      </c>
      <c r="O761" s="17">
        <f t="shared" si="190"/>
        <v>-9.0472438277658428E-4</v>
      </c>
      <c r="P761" s="17">
        <f t="shared" si="191"/>
        <v>-5.5957690913018493E-3</v>
      </c>
      <c r="Q761" s="22">
        <f t="shared" si="192"/>
        <v>-1.1831174035077448E-3</v>
      </c>
      <c r="R761" s="22">
        <f t="shared" si="193"/>
        <v>-1.7271301354089188E-3</v>
      </c>
      <c r="S761" s="22">
        <f t="shared" si="194"/>
        <v>8.2272171342090365E-3</v>
      </c>
      <c r="T761" s="22">
        <f t="shared" si="195"/>
        <v>-2.7104328116184209E-3</v>
      </c>
      <c r="U761" s="22">
        <f t="shared" si="196"/>
        <v>-1.8586808232623212E-2</v>
      </c>
      <c r="V761" s="22">
        <f t="shared" si="197"/>
        <v>-3.274335643807063E-3</v>
      </c>
      <c r="W761" s="22">
        <f t="shared" si="198"/>
        <v>-6.5047582868588128E-4</v>
      </c>
      <c r="X761" s="22">
        <f t="shared" si="199"/>
        <v>-5.2798247066955109E-3</v>
      </c>
    </row>
    <row r="762" spans="1:24" x14ac:dyDescent="0.35">
      <c r="A762" s="3">
        <v>13</v>
      </c>
      <c r="B762" s="3">
        <v>88.62</v>
      </c>
      <c r="C762" s="3">
        <v>170.6</v>
      </c>
      <c r="D762" s="3">
        <v>15.41</v>
      </c>
      <c r="E762" s="3">
        <v>62.88</v>
      </c>
      <c r="F762" s="3">
        <v>98.307905000000005</v>
      </c>
      <c r="G762" s="3">
        <v>93.530963</v>
      </c>
      <c r="H762" s="3">
        <v>91.358025999999995</v>
      </c>
      <c r="I762" s="17">
        <f t="shared" si="184"/>
        <v>2.6045777426992902E-2</v>
      </c>
      <c r="J762" s="17">
        <f t="shared" si="185"/>
        <v>4.5787113523719732E-2</v>
      </c>
      <c r="K762" s="17">
        <f t="shared" si="186"/>
        <v>3.6326084315392963E-2</v>
      </c>
      <c r="L762" s="17">
        <f t="shared" si="187"/>
        <v>-3.878474466709793E-3</v>
      </c>
      <c r="M762" s="17">
        <f t="shared" si="188"/>
        <v>4.9544510148633895E-3</v>
      </c>
      <c r="N762" s="17">
        <f t="shared" si="189"/>
        <v>1.0965555546651982E-3</v>
      </c>
      <c r="O762" s="17">
        <f t="shared" si="190"/>
        <v>-2.4807184163776292E-3</v>
      </c>
      <c r="P762" s="17">
        <f t="shared" si="191"/>
        <v>2.4743958603748196E-4</v>
      </c>
      <c r="Q762" s="22">
        <f t="shared" si="192"/>
        <v>2.565130355660817E-2</v>
      </c>
      <c r="R762" s="22">
        <f t="shared" si="193"/>
        <v>4.5356388809642566E-2</v>
      </c>
      <c r="S762" s="22">
        <f t="shared" si="194"/>
        <v>3.5914124928555516E-2</v>
      </c>
      <c r="T762" s="22">
        <f t="shared" si="195"/>
        <v>-4.0099259759427113E-3</v>
      </c>
      <c r="U762" s="22">
        <f t="shared" si="196"/>
        <v>4.2612230679096273E-3</v>
      </c>
      <c r="V762" s="22">
        <f t="shared" si="197"/>
        <v>1.3311593641683786E-3</v>
      </c>
      <c r="W762" s="22">
        <f t="shared" si="198"/>
        <v>-2.2264698622869263E-3</v>
      </c>
      <c r="X762" s="22">
        <f t="shared" si="199"/>
        <v>5.6338397064382073E-4</v>
      </c>
    </row>
    <row r="763" spans="1:24" x14ac:dyDescent="0.35">
      <c r="A763" s="3">
        <v>13.08</v>
      </c>
      <c r="B763" s="3">
        <v>86.27</v>
      </c>
      <c r="C763" s="3">
        <v>166.95</v>
      </c>
      <c r="D763" s="3">
        <v>15.4</v>
      </c>
      <c r="E763" s="3">
        <v>62.57</v>
      </c>
      <c r="F763" s="3">
        <v>98.540985000000006</v>
      </c>
      <c r="G763" s="3">
        <v>93.503049000000004</v>
      </c>
      <c r="H763" s="3">
        <v>91.444980000000001</v>
      </c>
      <c r="I763" s="17">
        <f t="shared" si="184"/>
        <v>6.153846153846159E-3</v>
      </c>
      <c r="J763" s="17">
        <f t="shared" si="185"/>
        <v>-2.65177160911759E-2</v>
      </c>
      <c r="K763" s="17">
        <f t="shared" si="186"/>
        <v>-2.13950762016413E-2</v>
      </c>
      <c r="L763" s="17">
        <f t="shared" si="187"/>
        <v>-6.4892926670991481E-4</v>
      </c>
      <c r="M763" s="17">
        <f t="shared" si="188"/>
        <v>-4.9300254452926571E-3</v>
      </c>
      <c r="N763" s="17">
        <f t="shared" si="189"/>
        <v>2.3709181881151984E-3</v>
      </c>
      <c r="O763" s="17">
        <f t="shared" si="190"/>
        <v>-2.9844662243021653E-4</v>
      </c>
      <c r="P763" s="17">
        <f t="shared" si="191"/>
        <v>9.5179377015004415E-4</v>
      </c>
      <c r="Q763" s="22">
        <f t="shared" si="192"/>
        <v>5.7593722834614258E-3</v>
      </c>
      <c r="R763" s="22">
        <f t="shared" si="193"/>
        <v>-2.6948440805253063E-2</v>
      </c>
      <c r="S763" s="22">
        <f t="shared" si="194"/>
        <v>-2.1807035588478747E-2</v>
      </c>
      <c r="T763" s="22">
        <f t="shared" si="195"/>
        <v>-7.803807759428331E-4</v>
      </c>
      <c r="U763" s="22">
        <f t="shared" si="196"/>
        <v>-5.6232533922464193E-3</v>
      </c>
      <c r="V763" s="22">
        <f t="shared" si="197"/>
        <v>2.6055219976183785E-3</v>
      </c>
      <c r="W763" s="22">
        <f t="shared" si="198"/>
        <v>-4.4198068339513532E-5</v>
      </c>
      <c r="X763" s="22">
        <f t="shared" si="199"/>
        <v>1.2677381547563829E-3</v>
      </c>
    </row>
    <row r="764" spans="1:24" x14ac:dyDescent="0.35">
      <c r="A764" s="3">
        <v>13.21</v>
      </c>
      <c r="B764" s="3">
        <v>84.37</v>
      </c>
      <c r="C764" s="3">
        <v>164.96</v>
      </c>
      <c r="D764" s="3">
        <v>15.25</v>
      </c>
      <c r="E764" s="3">
        <v>61.76</v>
      </c>
      <c r="F764" s="3">
        <v>98.314718999999997</v>
      </c>
      <c r="G764" s="3">
        <v>93.781486000000001</v>
      </c>
      <c r="H764" s="3">
        <v>91.403240999999994</v>
      </c>
      <c r="I764" s="17">
        <f t="shared" si="184"/>
        <v>9.9388379204893556E-3</v>
      </c>
      <c r="J764" s="17">
        <f t="shared" si="185"/>
        <v>-2.2023878520922587E-2</v>
      </c>
      <c r="K764" s="17">
        <f t="shared" si="186"/>
        <v>-1.191973644803822E-2</v>
      </c>
      <c r="L764" s="17">
        <f t="shared" si="187"/>
        <v>-9.7402597402597626E-3</v>
      </c>
      <c r="M764" s="17">
        <f t="shared" si="188"/>
        <v>-1.294550103883654E-2</v>
      </c>
      <c r="N764" s="17">
        <f t="shared" si="189"/>
        <v>-2.2961613383508358E-3</v>
      </c>
      <c r="O764" s="17">
        <f t="shared" si="190"/>
        <v>2.9778387226709227E-3</v>
      </c>
      <c r="P764" s="17">
        <f t="shared" si="191"/>
        <v>-4.5643839607167999E-4</v>
      </c>
      <c r="Q764" s="22">
        <f t="shared" si="192"/>
        <v>9.5443640501046215E-3</v>
      </c>
      <c r="R764" s="22">
        <f t="shared" si="193"/>
        <v>-2.2454603234999749E-2</v>
      </c>
      <c r="S764" s="22">
        <f t="shared" si="194"/>
        <v>-1.2331695834875667E-2</v>
      </c>
      <c r="T764" s="22">
        <f t="shared" si="195"/>
        <v>-9.87171124949268E-3</v>
      </c>
      <c r="U764" s="22">
        <f t="shared" si="196"/>
        <v>-1.3638728985790303E-2</v>
      </c>
      <c r="V764" s="22">
        <f t="shared" si="197"/>
        <v>-2.0615575288476557E-3</v>
      </c>
      <c r="W764" s="22">
        <f t="shared" si="198"/>
        <v>3.2320872767616256E-3</v>
      </c>
      <c r="X764" s="22">
        <f t="shared" si="199"/>
        <v>-1.4049401146534122E-4</v>
      </c>
    </row>
    <row r="765" spans="1:24" x14ac:dyDescent="0.35">
      <c r="A765" s="3">
        <v>13.32</v>
      </c>
      <c r="B765" s="3">
        <v>83.91</v>
      </c>
      <c r="C765" s="3">
        <v>165.42</v>
      </c>
      <c r="D765" s="3">
        <v>15.29</v>
      </c>
      <c r="E765" s="3">
        <v>61.48</v>
      </c>
      <c r="F765" s="3">
        <v>98.547556999999998</v>
      </c>
      <c r="G765" s="3">
        <v>93.549276000000006</v>
      </c>
      <c r="H765" s="3">
        <v>91.490189999999998</v>
      </c>
      <c r="I765" s="17">
        <f t="shared" si="184"/>
        <v>8.327024981074899E-3</v>
      </c>
      <c r="J765" s="17">
        <f t="shared" si="185"/>
        <v>-5.4521749437004613E-3</v>
      </c>
      <c r="K765" s="17">
        <f t="shared" si="186"/>
        <v>2.7885548011637945E-3</v>
      </c>
      <c r="L765" s="17">
        <f t="shared" si="187"/>
        <v>2.6229508196720752E-3</v>
      </c>
      <c r="M765" s="17">
        <f t="shared" si="188"/>
        <v>-4.5336787564767026E-3</v>
      </c>
      <c r="N765" s="17">
        <f t="shared" si="189"/>
        <v>2.368292381530389E-3</v>
      </c>
      <c r="O765" s="17">
        <f t="shared" si="190"/>
        <v>-2.4760750752018893E-3</v>
      </c>
      <c r="P765" s="17">
        <f t="shared" si="191"/>
        <v>9.5126823785169896E-4</v>
      </c>
      <c r="Q765" s="22">
        <f t="shared" si="192"/>
        <v>7.9325511106901649E-3</v>
      </c>
      <c r="R765" s="22">
        <f t="shared" si="193"/>
        <v>-5.8828996577776245E-3</v>
      </c>
      <c r="S765" s="22">
        <f t="shared" si="194"/>
        <v>2.3765954143263475E-3</v>
      </c>
      <c r="T765" s="22">
        <f t="shared" si="195"/>
        <v>2.4914993104391569E-3</v>
      </c>
      <c r="U765" s="22">
        <f t="shared" si="196"/>
        <v>-5.2269067034304648E-3</v>
      </c>
      <c r="V765" s="22">
        <f t="shared" si="197"/>
        <v>2.6028961910335691E-3</v>
      </c>
      <c r="W765" s="22">
        <f t="shared" si="198"/>
        <v>-2.2218265211111864E-3</v>
      </c>
      <c r="X765" s="22">
        <f t="shared" si="199"/>
        <v>1.2672126224580378E-3</v>
      </c>
    </row>
    <row r="766" spans="1:24" x14ac:dyDescent="0.35">
      <c r="A766" s="3">
        <v>13.22</v>
      </c>
      <c r="B766" s="3">
        <v>84.85</v>
      </c>
      <c r="C766" s="3">
        <v>165.24</v>
      </c>
      <c r="D766" s="3">
        <v>15.57</v>
      </c>
      <c r="E766" s="3">
        <v>61.48</v>
      </c>
      <c r="F766" s="3">
        <v>98.620176000000001</v>
      </c>
      <c r="G766" s="3">
        <v>93.771602000000001</v>
      </c>
      <c r="H766" s="3">
        <v>91.301180000000002</v>
      </c>
      <c r="I766" s="17">
        <f t="shared" si="184"/>
        <v>-7.5075075075074806E-3</v>
      </c>
      <c r="J766" s="17">
        <f t="shared" si="185"/>
        <v>1.1202478846383002E-2</v>
      </c>
      <c r="K766" s="17">
        <f t="shared" si="186"/>
        <v>-1.0881392818279435E-3</v>
      </c>
      <c r="L766" s="17">
        <f t="shared" si="187"/>
        <v>1.8312622629169467E-2</v>
      </c>
      <c r="M766" s="17">
        <f t="shared" si="188"/>
        <v>0</v>
      </c>
      <c r="N766" s="17">
        <f t="shared" si="189"/>
        <v>7.3689295007082828E-4</v>
      </c>
      <c r="O766" s="17">
        <f t="shared" si="190"/>
        <v>2.376565693570898E-3</v>
      </c>
      <c r="P766" s="17">
        <f t="shared" si="191"/>
        <v>-2.0659045521710701E-3</v>
      </c>
      <c r="Q766" s="22">
        <f t="shared" si="192"/>
        <v>-7.9019813778922147E-3</v>
      </c>
      <c r="R766" s="22">
        <f t="shared" si="193"/>
        <v>1.0771754132305838E-2</v>
      </c>
      <c r="S766" s="22">
        <f t="shared" si="194"/>
        <v>-1.5000986686653905E-3</v>
      </c>
      <c r="T766" s="22">
        <f t="shared" si="195"/>
        <v>1.818117111993655E-2</v>
      </c>
      <c r="U766" s="22">
        <f t="shared" si="196"/>
        <v>-6.9322794695376251E-4</v>
      </c>
      <c r="V766" s="22">
        <f t="shared" si="197"/>
        <v>9.7149675957400859E-4</v>
      </c>
      <c r="W766" s="22">
        <f t="shared" si="198"/>
        <v>2.6308142476616008E-3</v>
      </c>
      <c r="X766" s="22">
        <f t="shared" si="199"/>
        <v>-1.7499601675647312E-3</v>
      </c>
    </row>
    <row r="767" spans="1:24" x14ac:dyDescent="0.35">
      <c r="A767" s="3">
        <v>13.22</v>
      </c>
      <c r="B767" s="3">
        <v>85.39</v>
      </c>
      <c r="C767" s="3">
        <v>165.51</v>
      </c>
      <c r="D767" s="3">
        <v>15.76</v>
      </c>
      <c r="E767" s="3">
        <v>61.71</v>
      </c>
      <c r="F767" s="3">
        <v>99.482921000000005</v>
      </c>
      <c r="G767" s="3">
        <v>94.050253999999995</v>
      </c>
      <c r="H767" s="3">
        <v>92.227035999999998</v>
      </c>
      <c r="I767" s="17">
        <f t="shared" si="184"/>
        <v>0</v>
      </c>
      <c r="J767" s="17">
        <f t="shared" si="185"/>
        <v>6.3641720683559966E-3</v>
      </c>
      <c r="K767" s="17">
        <f t="shared" si="186"/>
        <v>1.6339869281044651E-3</v>
      </c>
      <c r="L767" s="17">
        <f t="shared" si="187"/>
        <v>1.220295439948616E-2</v>
      </c>
      <c r="M767" s="17">
        <f t="shared" si="188"/>
        <v>3.7410540013013012E-3</v>
      </c>
      <c r="N767" s="17">
        <f t="shared" si="189"/>
        <v>8.7481592002026428E-3</v>
      </c>
      <c r="O767" s="17">
        <f t="shared" si="190"/>
        <v>2.9716032792102016E-3</v>
      </c>
      <c r="P767" s="17">
        <f t="shared" si="191"/>
        <v>1.0140679452335622E-2</v>
      </c>
      <c r="Q767" s="22">
        <f t="shared" si="192"/>
        <v>-3.9447387038473331E-4</v>
      </c>
      <c r="R767" s="22">
        <f t="shared" si="193"/>
        <v>5.9334473542788334E-3</v>
      </c>
      <c r="S767" s="22">
        <f t="shared" si="194"/>
        <v>1.2220275412670181E-3</v>
      </c>
      <c r="T767" s="22">
        <f t="shared" si="195"/>
        <v>1.2071502890253242E-2</v>
      </c>
      <c r="U767" s="22">
        <f t="shared" si="196"/>
        <v>3.0478260543475386E-3</v>
      </c>
      <c r="V767" s="22">
        <f t="shared" si="197"/>
        <v>8.9827630097058225E-3</v>
      </c>
      <c r="W767" s="22">
        <f t="shared" si="198"/>
        <v>3.2258518333009045E-3</v>
      </c>
      <c r="X767" s="22">
        <f t="shared" si="199"/>
        <v>1.045662383694196E-2</v>
      </c>
    </row>
    <row r="768" spans="1:24" x14ac:dyDescent="0.35">
      <c r="A768" s="3">
        <v>13.06</v>
      </c>
      <c r="B768" s="3">
        <v>84.95</v>
      </c>
      <c r="C768" s="3">
        <v>164.9</v>
      </c>
      <c r="D768" s="3">
        <v>15.91</v>
      </c>
      <c r="E768" s="3">
        <v>61.28</v>
      </c>
      <c r="F768" s="3">
        <v>99.506822</v>
      </c>
      <c r="G768" s="3">
        <v>94.073300000000003</v>
      </c>
      <c r="H768" s="3">
        <v>92.249585999999994</v>
      </c>
      <c r="I768" s="17">
        <f t="shared" si="184"/>
        <v>-1.2102874432677772E-2</v>
      </c>
      <c r="J768" s="17">
        <f t="shared" si="185"/>
        <v>-5.1528282000233953E-3</v>
      </c>
      <c r="K768" s="17">
        <f t="shared" si="186"/>
        <v>-3.6855779107001709E-3</v>
      </c>
      <c r="L768" s="17">
        <f t="shared" si="187"/>
        <v>9.5177664974619523E-3</v>
      </c>
      <c r="M768" s="17">
        <f t="shared" si="188"/>
        <v>-6.96807648679306E-3</v>
      </c>
      <c r="N768" s="17">
        <f t="shared" si="189"/>
        <v>2.4025229416007059E-4</v>
      </c>
      <c r="O768" s="17">
        <f t="shared" si="190"/>
        <v>2.4503921063315676E-4</v>
      </c>
      <c r="P768" s="17">
        <f t="shared" si="191"/>
        <v>2.4450530970110987E-4</v>
      </c>
      <c r="Q768" s="22">
        <f t="shared" si="192"/>
        <v>-1.2497348303062506E-2</v>
      </c>
      <c r="R768" s="22">
        <f t="shared" si="193"/>
        <v>-5.5835529141005586E-3</v>
      </c>
      <c r="S768" s="22">
        <f t="shared" si="194"/>
        <v>-4.0975372975376179E-3</v>
      </c>
      <c r="T768" s="22">
        <f t="shared" si="195"/>
        <v>9.3863149882290348E-3</v>
      </c>
      <c r="U768" s="22">
        <f t="shared" si="196"/>
        <v>-7.6613044337468222E-3</v>
      </c>
      <c r="V768" s="22">
        <f t="shared" si="197"/>
        <v>4.748561036632509E-4</v>
      </c>
      <c r="W768" s="22">
        <f t="shared" si="198"/>
        <v>4.9928776472385971E-4</v>
      </c>
      <c r="X768" s="22">
        <f t="shared" si="199"/>
        <v>5.6044969430744864E-4</v>
      </c>
    </row>
    <row r="769" spans="1:24" x14ac:dyDescent="0.35">
      <c r="A769" s="3">
        <v>12.8</v>
      </c>
      <c r="B769" s="3">
        <v>87.01</v>
      </c>
      <c r="C769" s="3">
        <v>164.18</v>
      </c>
      <c r="D769" s="3">
        <v>15.69</v>
      </c>
      <c r="E769" s="3">
        <v>61.34</v>
      </c>
      <c r="F769" s="3">
        <v>99.152584000000004</v>
      </c>
      <c r="G769" s="3">
        <v>94.045196000000004</v>
      </c>
      <c r="H769" s="3">
        <v>91.561671000000004</v>
      </c>
      <c r="I769" s="17">
        <f t="shared" si="184"/>
        <v>-1.9908116385911161E-2</v>
      </c>
      <c r="J769" s="17">
        <f t="shared" si="185"/>
        <v>2.4249558563861122E-2</v>
      </c>
      <c r="K769" s="17">
        <f t="shared" si="186"/>
        <v>-4.3662825955124249E-3</v>
      </c>
      <c r="L769" s="17">
        <f t="shared" si="187"/>
        <v>-1.3827781269641775E-2</v>
      </c>
      <c r="M769" s="17">
        <f t="shared" si="188"/>
        <v>9.7911227154050696E-4</v>
      </c>
      <c r="N769" s="17">
        <f t="shared" si="189"/>
        <v>-3.5599368252359135E-3</v>
      </c>
      <c r="O769" s="17">
        <f t="shared" si="190"/>
        <v>-2.9874576527026285E-4</v>
      </c>
      <c r="P769" s="17">
        <f t="shared" si="191"/>
        <v>-7.4571066367711356E-3</v>
      </c>
      <c r="Q769" s="22">
        <f t="shared" si="192"/>
        <v>-2.0302590256295893E-2</v>
      </c>
      <c r="R769" s="22">
        <f t="shared" si="193"/>
        <v>2.381883384978396E-2</v>
      </c>
      <c r="S769" s="22">
        <f t="shared" si="194"/>
        <v>-4.7782419823498715E-3</v>
      </c>
      <c r="T769" s="22">
        <f t="shared" si="195"/>
        <v>-1.3959232778874692E-2</v>
      </c>
      <c r="U769" s="22">
        <f t="shared" si="196"/>
        <v>2.8588432458674445E-4</v>
      </c>
      <c r="V769" s="22">
        <f t="shared" si="197"/>
        <v>-3.3253330157327335E-3</v>
      </c>
      <c r="W769" s="22">
        <f t="shared" si="198"/>
        <v>-4.4497211179559846E-5</v>
      </c>
      <c r="X769" s="22">
        <f t="shared" si="199"/>
        <v>-7.1411622521647972E-3</v>
      </c>
    </row>
    <row r="770" spans="1:24" x14ac:dyDescent="0.35">
      <c r="A770" s="3">
        <v>12.85</v>
      </c>
      <c r="B770" s="3">
        <v>85.62</v>
      </c>
      <c r="C770" s="3">
        <v>164.69</v>
      </c>
      <c r="D770" s="3">
        <v>15.39</v>
      </c>
      <c r="E770" s="3">
        <v>62.06</v>
      </c>
      <c r="F770" s="3">
        <v>98.592214999999996</v>
      </c>
      <c r="G770" s="3">
        <v>94.221801999999997</v>
      </c>
      <c r="H770" s="3">
        <v>91.072316000000001</v>
      </c>
      <c r="I770" s="17">
        <f t="shared" si="184"/>
        <v>3.9062499999999167E-3</v>
      </c>
      <c r="J770" s="17">
        <f t="shared" si="185"/>
        <v>-1.5975175267210671E-2</v>
      </c>
      <c r="K770" s="17">
        <f t="shared" si="186"/>
        <v>3.1063466926543482E-3</v>
      </c>
      <c r="L770" s="17">
        <f t="shared" si="187"/>
        <v>-1.9120458891013319E-2</v>
      </c>
      <c r="M770" s="17">
        <f t="shared" si="188"/>
        <v>1.1737854581023782E-2</v>
      </c>
      <c r="N770" s="17">
        <f t="shared" si="189"/>
        <v>-5.6515824136263411E-3</v>
      </c>
      <c r="O770" s="17">
        <f t="shared" si="190"/>
        <v>1.8778843312740024E-3</v>
      </c>
      <c r="P770" s="17">
        <f t="shared" si="191"/>
        <v>-5.3445398566393937E-3</v>
      </c>
      <c r="Q770" s="22">
        <f t="shared" si="192"/>
        <v>3.5117761296151835E-3</v>
      </c>
      <c r="R770" s="22">
        <f t="shared" si="193"/>
        <v>-1.6405899981287834E-2</v>
      </c>
      <c r="S770" s="22">
        <f t="shared" si="194"/>
        <v>2.6943873058169012E-3</v>
      </c>
      <c r="T770" s="22">
        <f t="shared" si="195"/>
        <v>-1.9251910400246236E-2</v>
      </c>
      <c r="U770" s="22">
        <f t="shared" si="196"/>
        <v>1.1044626634070019E-2</v>
      </c>
      <c r="V770" s="22">
        <f t="shared" si="197"/>
        <v>-5.4169786041231606E-3</v>
      </c>
      <c r="W770" s="22">
        <f t="shared" si="198"/>
        <v>2.1321328853647053E-3</v>
      </c>
      <c r="X770" s="22">
        <f t="shared" si="199"/>
        <v>-5.0285954720330553E-3</v>
      </c>
    </row>
    <row r="771" spans="1:24" x14ac:dyDescent="0.35">
      <c r="A771" s="3">
        <v>12.74</v>
      </c>
      <c r="B771" s="3">
        <v>84.74</v>
      </c>
      <c r="C771" s="3">
        <v>163.55000000000001</v>
      </c>
      <c r="D771" s="3">
        <v>15.44</v>
      </c>
      <c r="E771" s="3">
        <v>64.31</v>
      </c>
      <c r="F771" s="3">
        <v>98.582061999999993</v>
      </c>
      <c r="G771" s="3">
        <v>93.628388999999999</v>
      </c>
      <c r="H771" s="3">
        <v>90.886059000000003</v>
      </c>
      <c r="I771" s="17">
        <f t="shared" si="184"/>
        <v>-8.5603112840466483E-3</v>
      </c>
      <c r="J771" s="17">
        <f t="shared" si="185"/>
        <v>-1.0277972436346761E-2</v>
      </c>
      <c r="K771" s="17">
        <f t="shared" si="186"/>
        <v>-6.9220960592627744E-3</v>
      </c>
      <c r="L771" s="17">
        <f t="shared" si="187"/>
        <v>3.2488628979856354E-3</v>
      </c>
      <c r="M771" s="17">
        <f t="shared" si="188"/>
        <v>3.625523686754753E-2</v>
      </c>
      <c r="N771" s="17">
        <f t="shared" si="189"/>
        <v>-1.0297973323758394E-4</v>
      </c>
      <c r="O771" s="17">
        <f t="shared" si="190"/>
        <v>-6.2980434188681534E-3</v>
      </c>
      <c r="P771" s="17">
        <f t="shared" si="191"/>
        <v>-2.0451549733290814E-3</v>
      </c>
      <c r="Q771" s="22">
        <f t="shared" si="192"/>
        <v>-8.9547851544313824E-3</v>
      </c>
      <c r="R771" s="22">
        <f t="shared" si="193"/>
        <v>-1.0708697150423925E-2</v>
      </c>
      <c r="S771" s="22">
        <f t="shared" si="194"/>
        <v>-7.3340554461002209E-3</v>
      </c>
      <c r="T771" s="22">
        <f t="shared" si="195"/>
        <v>3.1174113887527171E-3</v>
      </c>
      <c r="U771" s="22">
        <f t="shared" si="196"/>
        <v>3.5562008920593767E-2</v>
      </c>
      <c r="V771" s="22">
        <f t="shared" si="197"/>
        <v>1.3162407626559635E-4</v>
      </c>
      <c r="W771" s="22">
        <f t="shared" si="198"/>
        <v>-6.0437948647774501E-3</v>
      </c>
      <c r="X771" s="22">
        <f t="shared" si="199"/>
        <v>-1.7292105887227426E-3</v>
      </c>
    </row>
    <row r="772" spans="1:24" x14ac:dyDescent="0.35">
      <c r="A772" s="3">
        <v>12.82</v>
      </c>
      <c r="B772" s="3">
        <v>84.42</v>
      </c>
      <c r="C772" s="3">
        <v>167.05</v>
      </c>
      <c r="D772" s="3">
        <v>15.78</v>
      </c>
      <c r="E772" s="3">
        <v>64.010000000000005</v>
      </c>
      <c r="F772" s="3">
        <v>98.606402000000003</v>
      </c>
      <c r="G772" s="3">
        <v>93.651605000000004</v>
      </c>
      <c r="H772" s="3">
        <v>90.908835999999994</v>
      </c>
      <c r="I772" s="17">
        <f t="shared" ref="I772:I835" si="200">(A772-A771)/A771</f>
        <v>6.2794348508634279E-3</v>
      </c>
      <c r="J772" s="17">
        <f t="shared" ref="J772:J835" si="201">(B772-B771)/B771</f>
        <v>-3.7762567854613309E-3</v>
      </c>
      <c r="K772" s="17">
        <f t="shared" ref="K772:K835" si="202">(C772-C771)/C771</f>
        <v>2.1400183430143684E-2</v>
      </c>
      <c r="L772" s="17">
        <f t="shared" ref="L772:L835" si="203">(D772-D771)/D771</f>
        <v>2.2020725388601028E-2</v>
      </c>
      <c r="M772" s="17">
        <f t="shared" ref="M772:M835" si="204">(E772-E771)/E771</f>
        <v>-4.6649043694603817E-3</v>
      </c>
      <c r="N772" s="17">
        <f t="shared" ref="N772:N835" si="205">(F772-F771)/F771</f>
        <v>2.4690090170775039E-4</v>
      </c>
      <c r="O772" s="17">
        <f t="shared" ref="O772:O835" si="206">(G772-G771)/G771</f>
        <v>2.4795898175717848E-4</v>
      </c>
      <c r="P772" s="17">
        <f t="shared" ref="P772:P835" si="207">(H772-H771)/H771</f>
        <v>2.5061049241876274E-4</v>
      </c>
      <c r="Q772" s="22">
        <f t="shared" si="192"/>
        <v>5.8849609804786946E-3</v>
      </c>
      <c r="R772" s="22">
        <f t="shared" si="193"/>
        <v>-4.2069814995384942E-3</v>
      </c>
      <c r="S772" s="22">
        <f t="shared" si="194"/>
        <v>2.0988224043306237E-2</v>
      </c>
      <c r="T772" s="22">
        <f t="shared" si="195"/>
        <v>2.188927387936811E-2</v>
      </c>
      <c r="U772" s="22">
        <f t="shared" si="196"/>
        <v>-5.3581323164141438E-3</v>
      </c>
      <c r="V772" s="22">
        <f t="shared" si="197"/>
        <v>4.8150471121093065E-4</v>
      </c>
      <c r="W772" s="22">
        <f t="shared" si="198"/>
        <v>5.0220753584788143E-4</v>
      </c>
      <c r="X772" s="22">
        <f t="shared" si="199"/>
        <v>5.6655487702510156E-4</v>
      </c>
    </row>
    <row r="773" spans="1:24" x14ac:dyDescent="0.35">
      <c r="A773" s="3">
        <v>12.81</v>
      </c>
      <c r="B773" s="3">
        <v>78.61</v>
      </c>
      <c r="C773" s="3">
        <v>166.91</v>
      </c>
      <c r="D773" s="3">
        <v>15.7</v>
      </c>
      <c r="E773" s="3">
        <v>64.239999999999995</v>
      </c>
      <c r="F773" s="3">
        <v>98.630747999999997</v>
      </c>
      <c r="G773" s="3">
        <v>93.421706999999998</v>
      </c>
      <c r="H773" s="3">
        <v>90.931619999999995</v>
      </c>
      <c r="I773" s="17">
        <f t="shared" si="200"/>
        <v>-7.8003120124803325E-4</v>
      </c>
      <c r="J773" s="17">
        <f t="shared" si="201"/>
        <v>-6.8822553897180783E-2</v>
      </c>
      <c r="K773" s="17">
        <f t="shared" si="202"/>
        <v>-8.3807243340326112E-4</v>
      </c>
      <c r="L773" s="17">
        <f t="shared" si="203"/>
        <v>-5.0697084917617286E-3</v>
      </c>
      <c r="M773" s="17">
        <f t="shared" si="204"/>
        <v>3.5931885642866701E-3</v>
      </c>
      <c r="N773" s="17">
        <f t="shared" si="205"/>
        <v>2.4690080467588916E-4</v>
      </c>
      <c r="O773" s="17">
        <f t="shared" si="206"/>
        <v>-2.4548217833533733E-3</v>
      </c>
      <c r="P773" s="17">
        <f t="shared" si="207"/>
        <v>2.5062470275168271E-4</v>
      </c>
      <c r="Q773" s="22">
        <f t="shared" ref="Q773:Q836" si="208">I773-AB$2</f>
        <v>-1.1745050716327665E-3</v>
      </c>
      <c r="R773" s="22">
        <f t="shared" ref="R773:R836" si="209">J773-AC$2</f>
        <v>-6.9253278611257948E-2</v>
      </c>
      <c r="S773" s="22">
        <f t="shared" ref="S773:S836" si="210">K773-AD$2</f>
        <v>-1.250031820240708E-3</v>
      </c>
      <c r="T773" s="22">
        <f t="shared" ref="T773:T836" si="211">L773-AE$2</f>
        <v>-5.2011600009946469E-3</v>
      </c>
      <c r="U773" s="22">
        <f t="shared" ref="U773:U836" si="212">M773-AF$2</f>
        <v>2.8999606173329075E-3</v>
      </c>
      <c r="V773" s="22">
        <f t="shared" ref="V773:V836" si="213">N773-AG$2</f>
        <v>4.8150461417906948E-4</v>
      </c>
      <c r="W773" s="22">
        <f t="shared" ref="W773:W836" si="214">O773-AH$2</f>
        <v>-2.2005732292626704E-3</v>
      </c>
      <c r="X773" s="22">
        <f t="shared" ref="X773:X836" si="215">P773-AI$2</f>
        <v>5.6656908735802148E-4</v>
      </c>
    </row>
    <row r="774" spans="1:24" x14ac:dyDescent="0.35">
      <c r="A774" s="3">
        <v>13.06</v>
      </c>
      <c r="B774" s="3">
        <v>78.099999999999994</v>
      </c>
      <c r="C774" s="3">
        <v>167.86</v>
      </c>
      <c r="D774" s="3">
        <v>15.91</v>
      </c>
      <c r="E774" s="3">
        <v>63.96</v>
      </c>
      <c r="F774" s="3">
        <v>98.738045</v>
      </c>
      <c r="G774" s="3">
        <v>93.546115</v>
      </c>
      <c r="H774" s="3">
        <v>90.890968999999998</v>
      </c>
      <c r="I774" s="17">
        <f t="shared" si="200"/>
        <v>1.95160031225605E-2</v>
      </c>
      <c r="J774" s="17">
        <f t="shared" si="201"/>
        <v>-6.4877242081160811E-3</v>
      </c>
      <c r="K774" s="17">
        <f t="shared" si="202"/>
        <v>5.6916901324067888E-3</v>
      </c>
      <c r="L774" s="17">
        <f t="shared" si="203"/>
        <v>1.3375796178344003E-2</v>
      </c>
      <c r="M774" s="17">
        <f t="shared" si="204"/>
        <v>-4.3586550435864577E-3</v>
      </c>
      <c r="N774" s="17">
        <f t="shared" si="205"/>
        <v>1.0878656217836111E-3</v>
      </c>
      <c r="O774" s="17">
        <f t="shared" si="206"/>
        <v>1.3316819398301353E-3</v>
      </c>
      <c r="P774" s="17">
        <f t="shared" si="207"/>
        <v>-4.4705021201642384E-4</v>
      </c>
      <c r="Q774" s="22">
        <f t="shared" si="208"/>
        <v>1.9121529252175768E-2</v>
      </c>
      <c r="R774" s="22">
        <f t="shared" si="209"/>
        <v>-6.9184489221932443E-3</v>
      </c>
      <c r="S774" s="22">
        <f t="shared" si="210"/>
        <v>5.2797307455693422E-3</v>
      </c>
      <c r="T774" s="22">
        <f t="shared" si="211"/>
        <v>1.3244344669111086E-2</v>
      </c>
      <c r="U774" s="22">
        <f t="shared" si="212"/>
        <v>-5.0518829905402199E-3</v>
      </c>
      <c r="V774" s="22">
        <f t="shared" si="213"/>
        <v>1.3224694312867914E-3</v>
      </c>
      <c r="W774" s="22">
        <f t="shared" si="214"/>
        <v>1.5859304939208384E-3</v>
      </c>
      <c r="X774" s="22">
        <f t="shared" si="215"/>
        <v>-1.3110582741008507E-4</v>
      </c>
    </row>
    <row r="775" spans="1:24" x14ac:dyDescent="0.35">
      <c r="A775" s="3">
        <v>13.34</v>
      </c>
      <c r="B775" s="3">
        <v>77.55</v>
      </c>
      <c r="C775" s="3">
        <v>168.31</v>
      </c>
      <c r="D775" s="3">
        <v>15.49</v>
      </c>
      <c r="E775" s="3">
        <v>64.89</v>
      </c>
      <c r="F775" s="3">
        <v>98.638034000000005</v>
      </c>
      <c r="G775" s="3">
        <v>93.518821000000003</v>
      </c>
      <c r="H775" s="3">
        <v>90.913771999999994</v>
      </c>
      <c r="I775" s="17">
        <f t="shared" si="200"/>
        <v>2.1439509954058144E-2</v>
      </c>
      <c r="J775" s="17">
        <f t="shared" si="201"/>
        <v>-7.0422535211267243E-3</v>
      </c>
      <c r="K775" s="17">
        <f t="shared" si="202"/>
        <v>2.6808054330989431E-3</v>
      </c>
      <c r="L775" s="17">
        <f t="shared" si="203"/>
        <v>-2.639849151477058E-2</v>
      </c>
      <c r="M775" s="17">
        <f t="shared" si="204"/>
        <v>1.4540337711069414E-2</v>
      </c>
      <c r="N775" s="17">
        <f t="shared" si="205"/>
        <v>-1.0128922443217805E-3</v>
      </c>
      <c r="O775" s="17">
        <f t="shared" si="206"/>
        <v>-2.9177053477846419E-4</v>
      </c>
      <c r="P775" s="17">
        <f t="shared" si="207"/>
        <v>2.5088301127030709E-4</v>
      </c>
      <c r="Q775" s="22">
        <f t="shared" si="208"/>
        <v>2.1045036083673412E-2</v>
      </c>
      <c r="R775" s="22">
        <f t="shared" si="209"/>
        <v>-7.4729782352038875E-3</v>
      </c>
      <c r="S775" s="22">
        <f t="shared" si="210"/>
        <v>2.2688460462614961E-3</v>
      </c>
      <c r="T775" s="22">
        <f t="shared" si="211"/>
        <v>-2.6529943024003497E-2</v>
      </c>
      <c r="U775" s="22">
        <f t="shared" si="212"/>
        <v>1.3847109764115651E-2</v>
      </c>
      <c r="V775" s="22">
        <f t="shared" si="213"/>
        <v>-7.7828843481860021E-4</v>
      </c>
      <c r="W775" s="22">
        <f t="shared" si="214"/>
        <v>-3.7521980687761191E-5</v>
      </c>
      <c r="X775" s="22">
        <f t="shared" si="215"/>
        <v>5.6682739587664592E-4</v>
      </c>
    </row>
    <row r="776" spans="1:24" x14ac:dyDescent="0.35">
      <c r="A776" s="3">
        <v>13.99</v>
      </c>
      <c r="B776" s="3">
        <v>77.099999999999994</v>
      </c>
      <c r="C776" s="3">
        <v>169.42</v>
      </c>
      <c r="D776" s="3">
        <v>15.31</v>
      </c>
      <c r="E776" s="3">
        <v>64.989999999999995</v>
      </c>
      <c r="F776" s="3">
        <v>98.711191999999997</v>
      </c>
      <c r="G776" s="3">
        <v>93.386939999999996</v>
      </c>
      <c r="H776" s="3">
        <v>90.918869000000001</v>
      </c>
      <c r="I776" s="17">
        <f t="shared" si="200"/>
        <v>4.872563718140932E-2</v>
      </c>
      <c r="J776" s="17">
        <f t="shared" si="201"/>
        <v>-5.8027079303675415E-3</v>
      </c>
      <c r="K776" s="17">
        <f t="shared" si="202"/>
        <v>6.5949735606914929E-3</v>
      </c>
      <c r="L776" s="17">
        <f t="shared" si="203"/>
        <v>-1.1620400258231099E-2</v>
      </c>
      <c r="M776" s="17">
        <f t="shared" si="204"/>
        <v>1.5410695022344632E-3</v>
      </c>
      <c r="N776" s="17">
        <f t="shared" si="205"/>
        <v>7.4168144916586921E-4</v>
      </c>
      <c r="O776" s="17">
        <f t="shared" si="206"/>
        <v>-1.4102081120120945E-3</v>
      </c>
      <c r="P776" s="17">
        <f t="shared" si="207"/>
        <v>5.6064113146755661E-5</v>
      </c>
      <c r="Q776" s="22">
        <f t="shared" si="208"/>
        <v>4.8331163311024584E-2</v>
      </c>
      <c r="R776" s="22">
        <f t="shared" si="209"/>
        <v>-6.2334326444447048E-3</v>
      </c>
      <c r="S776" s="22">
        <f t="shared" si="210"/>
        <v>6.1830141738540463E-3</v>
      </c>
      <c r="T776" s="22">
        <f t="shared" si="211"/>
        <v>-1.1751851767464017E-2</v>
      </c>
      <c r="U776" s="22">
        <f t="shared" si="212"/>
        <v>8.4784155528070065E-4</v>
      </c>
      <c r="V776" s="22">
        <f t="shared" si="213"/>
        <v>9.7628525866904953E-4</v>
      </c>
      <c r="W776" s="22">
        <f t="shared" si="214"/>
        <v>-1.1559595579213916E-3</v>
      </c>
      <c r="X776" s="22">
        <f t="shared" si="215"/>
        <v>3.7200849775309444E-4</v>
      </c>
    </row>
    <row r="777" spans="1:24" x14ac:dyDescent="0.35">
      <c r="A777" s="3">
        <v>14.15</v>
      </c>
      <c r="B777" s="3">
        <v>79.05</v>
      </c>
      <c r="C777" s="3">
        <v>170.56</v>
      </c>
      <c r="D777" s="3">
        <v>15.47</v>
      </c>
      <c r="E777" s="3">
        <v>66.69</v>
      </c>
      <c r="F777" s="3">
        <v>98.901161000000002</v>
      </c>
      <c r="G777" s="3">
        <v>93.561528999999993</v>
      </c>
      <c r="H777" s="3">
        <v>90.688946000000001</v>
      </c>
      <c r="I777" s="17">
        <f t="shared" si="200"/>
        <v>1.143674052894926E-2</v>
      </c>
      <c r="J777" s="17">
        <f t="shared" si="201"/>
        <v>2.5291828793774358E-2</v>
      </c>
      <c r="K777" s="17">
        <f t="shared" si="202"/>
        <v>6.7288395702987539E-3</v>
      </c>
      <c r="L777" s="17">
        <f t="shared" si="203"/>
        <v>1.0450685826257357E-2</v>
      </c>
      <c r="M777" s="17">
        <f t="shared" si="204"/>
        <v>2.6157870441606446E-2</v>
      </c>
      <c r="N777" s="17">
        <f t="shared" si="205"/>
        <v>1.9244930200012673E-3</v>
      </c>
      <c r="O777" s="17">
        <f t="shared" si="206"/>
        <v>1.8695226548808373E-3</v>
      </c>
      <c r="P777" s="17">
        <f t="shared" si="207"/>
        <v>-2.5288809960889356E-3</v>
      </c>
      <c r="Q777" s="22">
        <f t="shared" si="208"/>
        <v>1.1042266658564526E-2</v>
      </c>
      <c r="R777" s="22">
        <f t="shared" si="209"/>
        <v>2.4861104079697195E-2</v>
      </c>
      <c r="S777" s="22">
        <f t="shared" si="210"/>
        <v>6.3168801834613073E-3</v>
      </c>
      <c r="T777" s="22">
        <f t="shared" si="211"/>
        <v>1.031923431702444E-2</v>
      </c>
      <c r="U777" s="22">
        <f t="shared" si="212"/>
        <v>2.5464642494652683E-2</v>
      </c>
      <c r="V777" s="22">
        <f t="shared" si="213"/>
        <v>2.1590968295044474E-3</v>
      </c>
      <c r="W777" s="22">
        <f t="shared" si="214"/>
        <v>2.1237712089715402E-3</v>
      </c>
      <c r="X777" s="22">
        <f t="shared" si="215"/>
        <v>-2.2129366114825967E-3</v>
      </c>
    </row>
    <row r="778" spans="1:24" x14ac:dyDescent="0.35">
      <c r="A778" s="3">
        <v>14.29</v>
      </c>
      <c r="B778" s="3">
        <v>79.33</v>
      </c>
      <c r="C778" s="3">
        <v>170.78</v>
      </c>
      <c r="D778" s="3">
        <v>15.49</v>
      </c>
      <c r="E778" s="3">
        <v>67.86</v>
      </c>
      <c r="F778" s="3">
        <v>98.801338000000001</v>
      </c>
      <c r="G778" s="3">
        <v>93.433655000000002</v>
      </c>
      <c r="H778" s="3">
        <v>90.838061999999994</v>
      </c>
      <c r="I778" s="17">
        <f t="shared" si="200"/>
        <v>9.893992932862106E-3</v>
      </c>
      <c r="J778" s="17">
        <f t="shared" si="201"/>
        <v>3.5420619860847711E-3</v>
      </c>
      <c r="K778" s="17">
        <f t="shared" si="202"/>
        <v>1.2898686679174416E-3</v>
      </c>
      <c r="L778" s="17">
        <f t="shared" si="203"/>
        <v>1.2928248222365594E-3</v>
      </c>
      <c r="M778" s="17">
        <f t="shared" si="204"/>
        <v>1.7543859649122834E-2</v>
      </c>
      <c r="N778" s="17">
        <f t="shared" si="205"/>
        <v>-1.0093208107031287E-3</v>
      </c>
      <c r="O778" s="17">
        <f t="shared" si="206"/>
        <v>-1.3667369630095654E-3</v>
      </c>
      <c r="P778" s="17">
        <f t="shared" si="207"/>
        <v>1.6442577246403576E-3</v>
      </c>
      <c r="Q778" s="22">
        <f t="shared" si="208"/>
        <v>9.4995190624773719E-3</v>
      </c>
      <c r="R778" s="22">
        <f t="shared" si="209"/>
        <v>3.1113372720076075E-3</v>
      </c>
      <c r="S778" s="22">
        <f t="shared" si="210"/>
        <v>8.7790928107999463E-4</v>
      </c>
      <c r="T778" s="22">
        <f t="shared" si="211"/>
        <v>1.1613733130036411E-3</v>
      </c>
      <c r="U778" s="22">
        <f t="shared" si="212"/>
        <v>1.6850631702169071E-2</v>
      </c>
      <c r="V778" s="22">
        <f t="shared" si="213"/>
        <v>-7.7471700119994841E-4</v>
      </c>
      <c r="W778" s="22">
        <f t="shared" si="214"/>
        <v>-1.1124884089188623E-3</v>
      </c>
      <c r="X778" s="22">
        <f t="shared" si="215"/>
        <v>1.9602021092466962E-3</v>
      </c>
    </row>
    <row r="779" spans="1:24" x14ac:dyDescent="0.35">
      <c r="A779" s="3">
        <v>14.38</v>
      </c>
      <c r="B779" s="3">
        <v>77.83</v>
      </c>
      <c r="C779" s="3">
        <v>176.52</v>
      </c>
      <c r="D779" s="3">
        <v>15.57</v>
      </c>
      <c r="E779" s="3">
        <v>67.31</v>
      </c>
      <c r="F779" s="3">
        <v>98.743098000000003</v>
      </c>
      <c r="G779" s="3">
        <v>93.457021999999995</v>
      </c>
      <c r="H779" s="3">
        <v>90.860923999999997</v>
      </c>
      <c r="I779" s="17">
        <f t="shared" si="200"/>
        <v>6.2981105668300655E-3</v>
      </c>
      <c r="J779" s="17">
        <f t="shared" si="201"/>
        <v>-1.8908357494012352E-2</v>
      </c>
      <c r="K779" s="17">
        <f t="shared" si="202"/>
        <v>3.3610493031971007E-2</v>
      </c>
      <c r="L779" s="17">
        <f t="shared" si="203"/>
        <v>5.1646223369916124E-3</v>
      </c>
      <c r="M779" s="17">
        <f t="shared" si="204"/>
        <v>-8.1049218980253045E-3</v>
      </c>
      <c r="N779" s="17">
        <f t="shared" si="205"/>
        <v>-5.8946570136527755E-4</v>
      </c>
      <c r="O779" s="17">
        <f t="shared" si="206"/>
        <v>2.5009189675811414E-4</v>
      </c>
      <c r="P779" s="17">
        <f t="shared" si="207"/>
        <v>2.516786410525083E-4</v>
      </c>
      <c r="Q779" s="22">
        <f t="shared" si="208"/>
        <v>5.9036366964453323E-3</v>
      </c>
      <c r="R779" s="22">
        <f t="shared" si="209"/>
        <v>-1.9339082208089515E-2</v>
      </c>
      <c r="S779" s="22">
        <f t="shared" si="210"/>
        <v>3.319853364513356E-2</v>
      </c>
      <c r="T779" s="22">
        <f t="shared" si="211"/>
        <v>5.0331708277586941E-3</v>
      </c>
      <c r="U779" s="22">
        <f t="shared" si="212"/>
        <v>-8.7981498449790675E-3</v>
      </c>
      <c r="V779" s="22">
        <f t="shared" si="213"/>
        <v>-3.5486189186209724E-4</v>
      </c>
      <c r="W779" s="22">
        <f t="shared" si="214"/>
        <v>5.0434045084881709E-4</v>
      </c>
      <c r="X779" s="22">
        <f t="shared" si="215"/>
        <v>5.6762302565884707E-4</v>
      </c>
    </row>
    <row r="780" spans="1:24" x14ac:dyDescent="0.35">
      <c r="A780" s="3">
        <v>14.3</v>
      </c>
      <c r="B780" s="3">
        <v>78.52</v>
      </c>
      <c r="C780" s="3">
        <v>175.06</v>
      </c>
      <c r="D780" s="3">
        <v>15.55</v>
      </c>
      <c r="E780" s="3">
        <v>67.260000000000005</v>
      </c>
      <c r="F780" s="3">
        <v>98.850132000000002</v>
      </c>
      <c r="G780" s="3">
        <v>93.379818</v>
      </c>
      <c r="H780" s="3">
        <v>91.646072000000004</v>
      </c>
      <c r="I780" s="17">
        <f t="shared" si="200"/>
        <v>-5.5632823365785863E-3</v>
      </c>
      <c r="J780" s="17">
        <f t="shared" si="201"/>
        <v>8.8654760375176372E-3</v>
      </c>
      <c r="K780" s="17">
        <f t="shared" si="202"/>
        <v>-8.2710174484478122E-3</v>
      </c>
      <c r="L780" s="17">
        <f t="shared" si="203"/>
        <v>-1.2845215157353612E-3</v>
      </c>
      <c r="M780" s="17">
        <f t="shared" si="204"/>
        <v>-7.4283167434255175E-4</v>
      </c>
      <c r="N780" s="17">
        <f t="shared" si="205"/>
        <v>1.0839643698438419E-3</v>
      </c>
      <c r="O780" s="17">
        <f t="shared" si="206"/>
        <v>-8.2609094905671963E-4</v>
      </c>
      <c r="P780" s="17">
        <f t="shared" si="207"/>
        <v>8.641206422246011E-3</v>
      </c>
      <c r="Q780" s="22">
        <f t="shared" si="208"/>
        <v>-5.9577562069633196E-3</v>
      </c>
      <c r="R780" s="22">
        <f t="shared" si="209"/>
        <v>8.4347513234404731E-3</v>
      </c>
      <c r="S780" s="22">
        <f t="shared" si="210"/>
        <v>-8.6829768352852596E-3</v>
      </c>
      <c r="T780" s="22">
        <f t="shared" si="211"/>
        <v>-1.4159730249682795E-3</v>
      </c>
      <c r="U780" s="22">
        <f t="shared" si="212"/>
        <v>-1.4360596212963143E-3</v>
      </c>
      <c r="V780" s="22">
        <f t="shared" si="213"/>
        <v>1.3185681793470223E-3</v>
      </c>
      <c r="W780" s="22">
        <f t="shared" si="214"/>
        <v>-5.7184239496601663E-4</v>
      </c>
      <c r="X780" s="22">
        <f t="shared" si="215"/>
        <v>8.9571508068523494E-3</v>
      </c>
    </row>
    <row r="781" spans="1:24" x14ac:dyDescent="0.35">
      <c r="A781" s="3">
        <v>14.42</v>
      </c>
      <c r="B781" s="3">
        <v>78.53</v>
      </c>
      <c r="C781" s="3">
        <v>176.67</v>
      </c>
      <c r="D781" s="3">
        <v>15.49</v>
      </c>
      <c r="E781" s="3">
        <v>68.209999999999994</v>
      </c>
      <c r="F781" s="3">
        <v>99.485988000000006</v>
      </c>
      <c r="G781" s="3">
        <v>94.331950000000006</v>
      </c>
      <c r="H781" s="3">
        <v>92.637023999999997</v>
      </c>
      <c r="I781" s="17">
        <f t="shared" si="200"/>
        <v>8.3916083916083361E-3</v>
      </c>
      <c r="J781" s="17">
        <f t="shared" si="201"/>
        <v>1.2735608762105344E-4</v>
      </c>
      <c r="K781" s="17">
        <f t="shared" si="202"/>
        <v>9.1968467953843554E-3</v>
      </c>
      <c r="L781" s="17">
        <f t="shared" si="203"/>
        <v>-3.8585209003215754E-3</v>
      </c>
      <c r="M781" s="17">
        <f t="shared" si="204"/>
        <v>1.4124293785310564E-2</v>
      </c>
      <c r="N781" s="17">
        <f t="shared" si="205"/>
        <v>6.4325255529249468E-3</v>
      </c>
      <c r="O781" s="17">
        <f t="shared" si="206"/>
        <v>1.0196336000569265E-2</v>
      </c>
      <c r="P781" s="17">
        <f t="shared" si="207"/>
        <v>1.0812814759807632E-2</v>
      </c>
      <c r="Q781" s="22">
        <f t="shared" si="208"/>
        <v>7.997134521223602E-3</v>
      </c>
      <c r="R781" s="22">
        <f t="shared" si="209"/>
        <v>-3.0336862645611006E-4</v>
      </c>
      <c r="S781" s="22">
        <f t="shared" si="210"/>
        <v>8.784887408546908E-3</v>
      </c>
      <c r="T781" s="22">
        <f t="shared" si="211"/>
        <v>-3.9899724095544932E-3</v>
      </c>
      <c r="U781" s="22">
        <f t="shared" si="212"/>
        <v>1.3431065838356801E-2</v>
      </c>
      <c r="V781" s="22">
        <f t="shared" si="213"/>
        <v>6.6671293624281274E-3</v>
      </c>
      <c r="W781" s="22">
        <f t="shared" si="214"/>
        <v>1.0450584554659968E-2</v>
      </c>
      <c r="X781" s="22">
        <f t="shared" si="215"/>
        <v>1.1128759144413971E-2</v>
      </c>
    </row>
    <row r="782" spans="1:24" x14ac:dyDescent="0.35">
      <c r="A782" s="3">
        <v>14.71</v>
      </c>
      <c r="B782" s="3">
        <v>77.900000000000006</v>
      </c>
      <c r="C782" s="3">
        <v>181.14</v>
      </c>
      <c r="D782" s="3">
        <v>15.51</v>
      </c>
      <c r="E782" s="3">
        <v>66.97</v>
      </c>
      <c r="F782" s="3">
        <v>98.930992000000003</v>
      </c>
      <c r="G782" s="3">
        <v>94.000542999999993</v>
      </c>
      <c r="H782" s="3">
        <v>91.124583000000001</v>
      </c>
      <c r="I782" s="17">
        <f t="shared" si="200"/>
        <v>2.0110957004160952E-2</v>
      </c>
      <c r="J782" s="17">
        <f t="shared" si="201"/>
        <v>-8.0224118171398889E-3</v>
      </c>
      <c r="K782" s="17">
        <f t="shared" si="202"/>
        <v>2.5301409407369666E-2</v>
      </c>
      <c r="L782" s="17">
        <f t="shared" si="203"/>
        <v>1.2911555842478742E-3</v>
      </c>
      <c r="M782" s="17">
        <f t="shared" si="204"/>
        <v>-1.8179152616918267E-2</v>
      </c>
      <c r="N782" s="17">
        <f t="shared" si="205"/>
        <v>-5.5786348525784625E-3</v>
      </c>
      <c r="O782" s="17">
        <f t="shared" si="206"/>
        <v>-3.5131999285503254E-3</v>
      </c>
      <c r="P782" s="17">
        <f t="shared" si="207"/>
        <v>-1.6326528365159867E-2</v>
      </c>
      <c r="Q782" s="22">
        <f t="shared" si="208"/>
        <v>1.9716483133776219E-2</v>
      </c>
      <c r="R782" s="22">
        <f t="shared" si="209"/>
        <v>-8.453136531217053E-3</v>
      </c>
      <c r="S782" s="22">
        <f t="shared" si="210"/>
        <v>2.4889450020532219E-2</v>
      </c>
      <c r="T782" s="22">
        <f t="shared" si="211"/>
        <v>1.159704075014956E-3</v>
      </c>
      <c r="U782" s="22">
        <f t="shared" si="212"/>
        <v>-1.887238056387203E-2</v>
      </c>
      <c r="V782" s="22">
        <f t="shared" si="213"/>
        <v>-5.344031043075282E-3</v>
      </c>
      <c r="W782" s="22">
        <f t="shared" si="214"/>
        <v>-3.2589513744596225E-3</v>
      </c>
      <c r="X782" s="22">
        <f t="shared" si="215"/>
        <v>-1.6010583980553529E-2</v>
      </c>
    </row>
    <row r="783" spans="1:24" x14ac:dyDescent="0.35">
      <c r="A783" s="3">
        <v>14.78</v>
      </c>
      <c r="B783" s="3">
        <v>81.599999999999994</v>
      </c>
      <c r="C783" s="3">
        <v>185.33</v>
      </c>
      <c r="D783" s="3">
        <v>15.37</v>
      </c>
      <c r="E783" s="3">
        <v>67.34</v>
      </c>
      <c r="F783" s="3">
        <v>98.544476000000003</v>
      </c>
      <c r="G783" s="3">
        <v>93.771653999999998</v>
      </c>
      <c r="H783" s="3">
        <v>90.958033999999998</v>
      </c>
      <c r="I783" s="17">
        <f t="shared" si="200"/>
        <v>4.7586675730794357E-3</v>
      </c>
      <c r="J783" s="17">
        <f t="shared" si="201"/>
        <v>4.7496790757381106E-2</v>
      </c>
      <c r="K783" s="17">
        <f t="shared" si="202"/>
        <v>2.3131279673181113E-2</v>
      </c>
      <c r="L783" s="17">
        <f t="shared" si="203"/>
        <v>-9.026434558349488E-3</v>
      </c>
      <c r="M783" s="17">
        <f t="shared" si="204"/>
        <v>5.524861878453107E-3</v>
      </c>
      <c r="N783" s="17">
        <f t="shared" si="205"/>
        <v>-3.9069253444865924E-3</v>
      </c>
      <c r="O783" s="17">
        <f t="shared" si="206"/>
        <v>-2.4349752958341448E-3</v>
      </c>
      <c r="P783" s="17">
        <f t="shared" si="207"/>
        <v>-1.8277065805612893E-3</v>
      </c>
      <c r="Q783" s="22">
        <f t="shared" si="208"/>
        <v>4.3641937026947025E-3</v>
      </c>
      <c r="R783" s="22">
        <f t="shared" si="209"/>
        <v>4.706606604330394E-2</v>
      </c>
      <c r="S783" s="22">
        <f t="shared" si="210"/>
        <v>2.2719320286343665E-2</v>
      </c>
      <c r="T783" s="22">
        <f t="shared" si="211"/>
        <v>-9.1578860675824054E-3</v>
      </c>
      <c r="U783" s="22">
        <f t="shared" si="212"/>
        <v>4.8316339314993448E-3</v>
      </c>
      <c r="V783" s="22">
        <f t="shared" si="213"/>
        <v>-3.6723215349834123E-3</v>
      </c>
      <c r="W783" s="22">
        <f t="shared" si="214"/>
        <v>-2.1807267417434419E-3</v>
      </c>
      <c r="X783" s="22">
        <f t="shared" si="215"/>
        <v>-1.5117621959549504E-3</v>
      </c>
    </row>
    <row r="784" spans="1:24" x14ac:dyDescent="0.35">
      <c r="A784" s="3">
        <v>14.86</v>
      </c>
      <c r="B784" s="3">
        <v>79.31</v>
      </c>
      <c r="C784" s="3">
        <v>189.85</v>
      </c>
      <c r="D784" s="3">
        <v>15.24</v>
      </c>
      <c r="E784" s="3">
        <v>67.400000000000006</v>
      </c>
      <c r="F784" s="3">
        <v>98.569095000000004</v>
      </c>
      <c r="G784" s="3">
        <v>93.593945000000005</v>
      </c>
      <c r="H784" s="3">
        <v>91.170361</v>
      </c>
      <c r="I784" s="17">
        <f t="shared" si="200"/>
        <v>5.4127198917456069E-3</v>
      </c>
      <c r="J784" s="17">
        <f t="shared" si="201"/>
        <v>-2.8063725490195982E-2</v>
      </c>
      <c r="K784" s="17">
        <f t="shared" si="202"/>
        <v>2.4388927858414618E-2</v>
      </c>
      <c r="L784" s="17">
        <f t="shared" si="203"/>
        <v>-8.458035133376644E-3</v>
      </c>
      <c r="M784" s="17">
        <f t="shared" si="204"/>
        <v>8.9100089100092471E-4</v>
      </c>
      <c r="N784" s="17">
        <f t="shared" si="205"/>
        <v>2.4982628148533946E-4</v>
      </c>
      <c r="O784" s="17">
        <f t="shared" si="206"/>
        <v>-1.8951249382888459E-3</v>
      </c>
      <c r="P784" s="17">
        <f t="shared" si="207"/>
        <v>2.3343402519012441E-3</v>
      </c>
      <c r="Q784" s="22">
        <f t="shared" si="208"/>
        <v>5.0182460213608737E-3</v>
      </c>
      <c r="R784" s="22">
        <f t="shared" si="209"/>
        <v>-2.8494450204273145E-2</v>
      </c>
      <c r="S784" s="22">
        <f t="shared" si="210"/>
        <v>2.3976968471577171E-2</v>
      </c>
      <c r="T784" s="22">
        <f t="shared" si="211"/>
        <v>-8.5894866426095614E-3</v>
      </c>
      <c r="U784" s="22">
        <f t="shared" si="212"/>
        <v>1.977729440471622E-4</v>
      </c>
      <c r="V784" s="22">
        <f t="shared" si="213"/>
        <v>4.8443009098851977E-4</v>
      </c>
      <c r="W784" s="22">
        <f t="shared" si="214"/>
        <v>-1.6408763841981428E-3</v>
      </c>
      <c r="X784" s="22">
        <f t="shared" si="215"/>
        <v>2.6502846365075829E-3</v>
      </c>
    </row>
    <row r="785" spans="1:24" x14ac:dyDescent="0.35">
      <c r="A785" s="3">
        <v>13.63</v>
      </c>
      <c r="B785" s="3">
        <v>79.47</v>
      </c>
      <c r="C785" s="3">
        <v>184.33</v>
      </c>
      <c r="D785" s="3">
        <v>14.85</v>
      </c>
      <c r="E785" s="3">
        <v>66.08</v>
      </c>
      <c r="F785" s="3">
        <v>98.724880999999996</v>
      </c>
      <c r="G785" s="3">
        <v>93.714439999999996</v>
      </c>
      <c r="H785" s="3">
        <v>91.302301</v>
      </c>
      <c r="I785" s="17">
        <f t="shared" si="200"/>
        <v>-8.2772543741588073E-2</v>
      </c>
      <c r="J785" s="17">
        <f t="shared" si="201"/>
        <v>2.0174000756524599E-3</v>
      </c>
      <c r="K785" s="17">
        <f t="shared" si="202"/>
        <v>-2.907558598893854E-2</v>
      </c>
      <c r="L785" s="17">
        <f t="shared" si="203"/>
        <v>-2.55905511811024E-2</v>
      </c>
      <c r="M785" s="17">
        <f t="shared" si="204"/>
        <v>-1.9584569732937793E-2</v>
      </c>
      <c r="N785" s="17">
        <f t="shared" si="205"/>
        <v>1.5804750971893571E-3</v>
      </c>
      <c r="O785" s="17">
        <f t="shared" si="206"/>
        <v>1.287423027205351E-3</v>
      </c>
      <c r="P785" s="17">
        <f t="shared" si="207"/>
        <v>1.4471808442219525E-3</v>
      </c>
      <c r="Q785" s="22">
        <f t="shared" si="208"/>
        <v>-8.3167017611972802E-2</v>
      </c>
      <c r="R785" s="22">
        <f t="shared" si="209"/>
        <v>1.5866753615752965E-3</v>
      </c>
      <c r="S785" s="22">
        <f t="shared" si="210"/>
        <v>-2.9487545375775987E-2</v>
      </c>
      <c r="T785" s="22">
        <f t="shared" si="211"/>
        <v>-2.5722002690335317E-2</v>
      </c>
      <c r="U785" s="22">
        <f t="shared" si="212"/>
        <v>-2.0277797679891556E-2</v>
      </c>
      <c r="V785" s="22">
        <f t="shared" si="213"/>
        <v>1.8150789066925374E-3</v>
      </c>
      <c r="W785" s="22">
        <f t="shared" si="214"/>
        <v>1.5416715812960539E-3</v>
      </c>
      <c r="X785" s="22">
        <f t="shared" si="215"/>
        <v>1.7631252288282913E-3</v>
      </c>
    </row>
    <row r="786" spans="1:24" x14ac:dyDescent="0.35">
      <c r="A786" s="3">
        <v>13.13</v>
      </c>
      <c r="B786" s="3">
        <v>78.34</v>
      </c>
      <c r="C786" s="3">
        <v>184.12</v>
      </c>
      <c r="D786" s="3">
        <v>14.67</v>
      </c>
      <c r="E786" s="3">
        <v>66.760000000000005</v>
      </c>
      <c r="F786" s="3">
        <v>98.913472999999996</v>
      </c>
      <c r="G786" s="3">
        <v>94.039623000000006</v>
      </c>
      <c r="H786" s="3">
        <v>91.578692000000004</v>
      </c>
      <c r="I786" s="17">
        <f t="shared" si="200"/>
        <v>-3.6683785766691124E-2</v>
      </c>
      <c r="J786" s="17">
        <f t="shared" si="201"/>
        <v>-1.4219202214672147E-2</v>
      </c>
      <c r="K786" s="17">
        <f t="shared" si="202"/>
        <v>-1.139261107795844E-3</v>
      </c>
      <c r="L786" s="17">
        <f t="shared" si="203"/>
        <v>-1.2121212121212102E-2</v>
      </c>
      <c r="M786" s="17">
        <f t="shared" si="204"/>
        <v>1.0290556900726496E-2</v>
      </c>
      <c r="N786" s="17">
        <f t="shared" si="205"/>
        <v>1.9102783218345929E-3</v>
      </c>
      <c r="O786" s="17">
        <f t="shared" si="206"/>
        <v>3.4699348360829963E-3</v>
      </c>
      <c r="P786" s="17">
        <f t="shared" si="207"/>
        <v>3.0272073865915366E-3</v>
      </c>
      <c r="Q786" s="22">
        <f t="shared" si="208"/>
        <v>-3.707825963707586E-2</v>
      </c>
      <c r="R786" s="22">
        <f t="shared" si="209"/>
        <v>-1.4649926928749311E-2</v>
      </c>
      <c r="S786" s="22">
        <f t="shared" si="210"/>
        <v>-1.551220494633291E-3</v>
      </c>
      <c r="T786" s="22">
        <f t="shared" si="211"/>
        <v>-1.225266363044502E-2</v>
      </c>
      <c r="U786" s="22">
        <f t="shared" si="212"/>
        <v>9.5973289537727331E-3</v>
      </c>
      <c r="V786" s="22">
        <f t="shared" si="213"/>
        <v>2.144882131337773E-3</v>
      </c>
      <c r="W786" s="22">
        <f t="shared" si="214"/>
        <v>3.7241833901736992E-3</v>
      </c>
      <c r="X786" s="22">
        <f t="shared" si="215"/>
        <v>3.3431517711978755E-3</v>
      </c>
    </row>
    <row r="787" spans="1:24" x14ac:dyDescent="0.35">
      <c r="A787" s="3">
        <v>13.31</v>
      </c>
      <c r="B787" s="3">
        <v>78.959999999999994</v>
      </c>
      <c r="C787" s="3">
        <v>184.21</v>
      </c>
      <c r="D787" s="3">
        <v>14.69</v>
      </c>
      <c r="E787" s="3">
        <v>65.44</v>
      </c>
      <c r="F787" s="3">
        <v>99.184544000000002</v>
      </c>
      <c r="G787" s="3">
        <v>94.264797000000002</v>
      </c>
      <c r="H787" s="3">
        <v>91.919728000000006</v>
      </c>
      <c r="I787" s="17">
        <f t="shared" si="200"/>
        <v>1.3709063214013686E-2</v>
      </c>
      <c r="J787" s="17">
        <f t="shared" si="201"/>
        <v>7.9142200663772054E-3</v>
      </c>
      <c r="K787" s="17">
        <f t="shared" si="202"/>
        <v>4.8881164457964055E-4</v>
      </c>
      <c r="L787" s="17">
        <f t="shared" si="203"/>
        <v>1.3633265167007208E-3</v>
      </c>
      <c r="M787" s="17">
        <f t="shared" si="204"/>
        <v>-1.9772318753744866E-2</v>
      </c>
      <c r="N787" s="17">
        <f t="shared" si="205"/>
        <v>2.7404861216429664E-3</v>
      </c>
      <c r="O787" s="17">
        <f t="shared" si="206"/>
        <v>2.3944587697889382E-3</v>
      </c>
      <c r="P787" s="17">
        <f t="shared" si="207"/>
        <v>3.7239667061416703E-3</v>
      </c>
      <c r="Q787" s="22">
        <f t="shared" si="208"/>
        <v>1.3314589343628952E-2</v>
      </c>
      <c r="R787" s="22">
        <f t="shared" si="209"/>
        <v>7.4834953523000422E-3</v>
      </c>
      <c r="S787" s="22">
        <f t="shared" si="210"/>
        <v>7.6852257742193611E-5</v>
      </c>
      <c r="T787" s="22">
        <f t="shared" si="211"/>
        <v>1.2318750074678025E-3</v>
      </c>
      <c r="U787" s="22">
        <f t="shared" si="212"/>
        <v>-2.0465546700698629E-2</v>
      </c>
      <c r="V787" s="22">
        <f t="shared" si="213"/>
        <v>2.9750899311461465E-3</v>
      </c>
      <c r="W787" s="22">
        <f t="shared" si="214"/>
        <v>2.6487073238796411E-3</v>
      </c>
      <c r="X787" s="22">
        <f t="shared" si="215"/>
        <v>4.0399110907480091E-3</v>
      </c>
    </row>
    <row r="788" spans="1:24" x14ac:dyDescent="0.35">
      <c r="A788" s="3">
        <v>13.13</v>
      </c>
      <c r="B788" s="3">
        <v>78.150000000000006</v>
      </c>
      <c r="C788" s="3">
        <v>182.36</v>
      </c>
      <c r="D788" s="3">
        <v>14.58</v>
      </c>
      <c r="E788" s="3">
        <v>64.94</v>
      </c>
      <c r="F788" s="3">
        <v>99.167883000000003</v>
      </c>
      <c r="G788" s="3">
        <v>94.237629999999996</v>
      </c>
      <c r="H788" s="3">
        <v>92.006372999999996</v>
      </c>
      <c r="I788" s="17">
        <f t="shared" si="200"/>
        <v>-1.3523666416228378E-2</v>
      </c>
      <c r="J788" s="17">
        <f t="shared" si="201"/>
        <v>-1.0258358662613831E-2</v>
      </c>
      <c r="K788" s="17">
        <f t="shared" si="202"/>
        <v>-1.0042885836816645E-2</v>
      </c>
      <c r="L788" s="17">
        <f t="shared" si="203"/>
        <v>-7.488087134104795E-3</v>
      </c>
      <c r="M788" s="17">
        <f t="shared" si="204"/>
        <v>-7.6405867970660152E-3</v>
      </c>
      <c r="N788" s="17">
        <f t="shared" si="205"/>
        <v>-1.6797980136904343E-4</v>
      </c>
      <c r="O788" s="17">
        <f t="shared" si="206"/>
        <v>-2.8819878538544687E-4</v>
      </c>
      <c r="P788" s="17">
        <f t="shared" si="207"/>
        <v>9.4261593115234289E-4</v>
      </c>
      <c r="Q788" s="22">
        <f t="shared" si="208"/>
        <v>-1.3918140286613112E-2</v>
      </c>
      <c r="R788" s="22">
        <f t="shared" si="209"/>
        <v>-1.0689083376690995E-2</v>
      </c>
      <c r="S788" s="22">
        <f t="shared" si="210"/>
        <v>-1.0454845223654093E-2</v>
      </c>
      <c r="T788" s="22">
        <f t="shared" si="211"/>
        <v>-7.6195386433377133E-3</v>
      </c>
      <c r="U788" s="22">
        <f t="shared" si="212"/>
        <v>-8.3338147440197782E-3</v>
      </c>
      <c r="V788" s="22">
        <f t="shared" si="213"/>
        <v>6.6624008134136855E-5</v>
      </c>
      <c r="W788" s="22">
        <f t="shared" si="214"/>
        <v>-3.3950231294743868E-5</v>
      </c>
      <c r="X788" s="22">
        <f t="shared" si="215"/>
        <v>1.2585603157586817E-3</v>
      </c>
    </row>
    <row r="789" spans="1:24" x14ac:dyDescent="0.35">
      <c r="A789" s="3">
        <v>13.02</v>
      </c>
      <c r="B789" s="3">
        <v>77.540000000000006</v>
      </c>
      <c r="C789" s="3">
        <v>184.3</v>
      </c>
      <c r="D789" s="3">
        <v>15.01</v>
      </c>
      <c r="E789" s="3">
        <v>64.98</v>
      </c>
      <c r="F789" s="3">
        <v>98.537555999999995</v>
      </c>
      <c r="G789" s="3">
        <v>93.507936999999998</v>
      </c>
      <c r="H789" s="3">
        <v>91.204547000000005</v>
      </c>
      <c r="I789" s="17">
        <f t="shared" si="200"/>
        <v>-8.3777608530084691E-3</v>
      </c>
      <c r="J789" s="17">
        <f t="shared" si="201"/>
        <v>-7.8055022392834218E-3</v>
      </c>
      <c r="K789" s="17">
        <f t="shared" si="202"/>
        <v>1.0638297872340413E-2</v>
      </c>
      <c r="L789" s="17">
        <f t="shared" si="203"/>
        <v>2.9492455418381323E-2</v>
      </c>
      <c r="M789" s="17">
        <f t="shared" si="204"/>
        <v>6.159531875578419E-4</v>
      </c>
      <c r="N789" s="17">
        <f t="shared" si="205"/>
        <v>-6.3561606936795075E-3</v>
      </c>
      <c r="O789" s="17">
        <f t="shared" si="206"/>
        <v>-7.7431170541958404E-3</v>
      </c>
      <c r="P789" s="17">
        <f t="shared" si="207"/>
        <v>-8.7148963039765867E-3</v>
      </c>
      <c r="Q789" s="22">
        <f t="shared" si="208"/>
        <v>-8.7722347233932033E-3</v>
      </c>
      <c r="R789" s="22">
        <f t="shared" si="209"/>
        <v>-8.2362269533605859E-3</v>
      </c>
      <c r="S789" s="22">
        <f t="shared" si="210"/>
        <v>1.0226338485502966E-2</v>
      </c>
      <c r="T789" s="22">
        <f t="shared" si="211"/>
        <v>2.9361003909148406E-2</v>
      </c>
      <c r="U789" s="22">
        <f t="shared" si="212"/>
        <v>-7.727475939592061E-5</v>
      </c>
      <c r="V789" s="22">
        <f t="shared" si="213"/>
        <v>-6.121556884176327E-3</v>
      </c>
      <c r="W789" s="22">
        <f t="shared" si="214"/>
        <v>-7.4888685001051371E-3</v>
      </c>
      <c r="X789" s="22">
        <f t="shared" si="215"/>
        <v>-8.3989519193702483E-3</v>
      </c>
    </row>
    <row r="790" spans="1:24" x14ac:dyDescent="0.35">
      <c r="A790" s="3">
        <v>13.19</v>
      </c>
      <c r="B790" s="3">
        <v>78.5</v>
      </c>
      <c r="C790" s="3">
        <v>184.21</v>
      </c>
      <c r="D790" s="3">
        <v>15.29</v>
      </c>
      <c r="E790" s="3">
        <v>66.55</v>
      </c>
      <c r="F790" s="3">
        <v>98.979043000000004</v>
      </c>
      <c r="G790" s="3">
        <v>93.878620999999995</v>
      </c>
      <c r="H790" s="3">
        <v>91.970284000000007</v>
      </c>
      <c r="I790" s="17">
        <f t="shared" si="200"/>
        <v>1.3056835637480793E-2</v>
      </c>
      <c r="J790" s="17">
        <f t="shared" si="201"/>
        <v>1.2380706732009203E-2</v>
      </c>
      <c r="K790" s="17">
        <f t="shared" si="202"/>
        <v>-4.8833423765601411E-4</v>
      </c>
      <c r="L790" s="17">
        <f t="shared" si="203"/>
        <v>1.8654230512991296E-2</v>
      </c>
      <c r="M790" s="17">
        <f t="shared" si="204"/>
        <v>2.4161280393967269E-2</v>
      </c>
      <c r="N790" s="17">
        <f t="shared" si="205"/>
        <v>4.4803932421462666E-3</v>
      </c>
      <c r="O790" s="17">
        <f t="shared" si="206"/>
        <v>3.9641982476845486E-3</v>
      </c>
      <c r="P790" s="17">
        <f t="shared" si="207"/>
        <v>8.3958204408383433E-3</v>
      </c>
      <c r="Q790" s="22">
        <f t="shared" si="208"/>
        <v>1.2662361767096059E-2</v>
      </c>
      <c r="R790" s="22">
        <f t="shared" si="209"/>
        <v>1.1949982017932039E-2</v>
      </c>
      <c r="S790" s="22">
        <f t="shared" si="210"/>
        <v>-9.0029362449346099E-4</v>
      </c>
      <c r="T790" s="22">
        <f t="shared" si="211"/>
        <v>1.8522779003758379E-2</v>
      </c>
      <c r="U790" s="22">
        <f t="shared" si="212"/>
        <v>2.3468052447013506E-2</v>
      </c>
      <c r="V790" s="22">
        <f t="shared" si="213"/>
        <v>4.7149970516494472E-3</v>
      </c>
      <c r="W790" s="22">
        <f t="shared" si="214"/>
        <v>4.2184468017752519E-3</v>
      </c>
      <c r="X790" s="22">
        <f t="shared" si="215"/>
        <v>8.7117648254446817E-3</v>
      </c>
    </row>
    <row r="791" spans="1:24" x14ac:dyDescent="0.35">
      <c r="A791" s="3">
        <v>13.42</v>
      </c>
      <c r="B791" s="3">
        <v>77.77</v>
      </c>
      <c r="C791" s="3">
        <v>187.58</v>
      </c>
      <c r="D791" s="3">
        <v>15.59</v>
      </c>
      <c r="E791" s="3">
        <v>67.38</v>
      </c>
      <c r="F791" s="3">
        <v>98.636583999999999</v>
      </c>
      <c r="G791" s="3">
        <v>93.452574999999996</v>
      </c>
      <c r="H791" s="3">
        <v>91.548935</v>
      </c>
      <c r="I791" s="17">
        <f t="shared" si="200"/>
        <v>1.7437452615617924E-2</v>
      </c>
      <c r="J791" s="17">
        <f t="shared" si="201"/>
        <v>-9.2993630573248911E-3</v>
      </c>
      <c r="K791" s="17">
        <f t="shared" si="202"/>
        <v>1.8294337983822836E-2</v>
      </c>
      <c r="L791" s="17">
        <f t="shared" si="203"/>
        <v>1.9620667102681538E-2</v>
      </c>
      <c r="M791" s="17">
        <f t="shared" si="204"/>
        <v>1.2471825694966165E-2</v>
      </c>
      <c r="N791" s="17">
        <f t="shared" si="205"/>
        <v>-3.4599142365925395E-3</v>
      </c>
      <c r="O791" s="17">
        <f t="shared" si="206"/>
        <v>-4.5382643615951655E-3</v>
      </c>
      <c r="P791" s="17">
        <f t="shared" si="207"/>
        <v>-4.5813602141318429E-3</v>
      </c>
      <c r="Q791" s="22">
        <f t="shared" si="208"/>
        <v>1.7042978745233191E-2</v>
      </c>
      <c r="R791" s="22">
        <f t="shared" si="209"/>
        <v>-9.7300877714020552E-3</v>
      </c>
      <c r="S791" s="22">
        <f t="shared" si="210"/>
        <v>1.7882378596985389E-2</v>
      </c>
      <c r="T791" s="22">
        <f t="shared" si="211"/>
        <v>1.9489215593448621E-2</v>
      </c>
      <c r="U791" s="22">
        <f t="shared" si="212"/>
        <v>1.1778597748012402E-2</v>
      </c>
      <c r="V791" s="22">
        <f t="shared" si="213"/>
        <v>-3.2253104270893594E-3</v>
      </c>
      <c r="W791" s="22">
        <f t="shared" si="214"/>
        <v>-4.2840158075044621E-3</v>
      </c>
      <c r="X791" s="22">
        <f t="shared" si="215"/>
        <v>-4.2654158295255045E-3</v>
      </c>
    </row>
    <row r="792" spans="1:24" x14ac:dyDescent="0.35">
      <c r="A792" s="3">
        <v>13.49</v>
      </c>
      <c r="B792" s="3">
        <v>79.09</v>
      </c>
      <c r="C792" s="3">
        <v>187.59</v>
      </c>
      <c r="D792" s="3">
        <v>15.85</v>
      </c>
      <c r="E792" s="3">
        <v>67.319999999999993</v>
      </c>
      <c r="F792" s="3">
        <v>98.702042000000006</v>
      </c>
      <c r="G792" s="3">
        <v>93.775470999999996</v>
      </c>
      <c r="H792" s="3">
        <v>91.635153000000003</v>
      </c>
      <c r="I792" s="17">
        <f t="shared" si="200"/>
        <v>5.2160953800298275E-3</v>
      </c>
      <c r="J792" s="17">
        <f t="shared" si="201"/>
        <v>1.697312588401707E-2</v>
      </c>
      <c r="K792" s="17">
        <f t="shared" si="202"/>
        <v>5.3310587482625572E-5</v>
      </c>
      <c r="L792" s="17">
        <f t="shared" si="203"/>
        <v>1.6677357280307874E-2</v>
      </c>
      <c r="M792" s="17">
        <f t="shared" si="204"/>
        <v>-8.904719501336046E-4</v>
      </c>
      <c r="N792" s="17">
        <f t="shared" si="205"/>
        <v>6.6362801047536969E-4</v>
      </c>
      <c r="O792" s="17">
        <f t="shared" si="206"/>
        <v>3.4551856917800295E-3</v>
      </c>
      <c r="P792" s="17">
        <f t="shared" si="207"/>
        <v>9.4176955745036632E-4</v>
      </c>
      <c r="Q792" s="22">
        <f t="shared" si="208"/>
        <v>4.8216215096450942E-3</v>
      </c>
      <c r="R792" s="22">
        <f t="shared" si="209"/>
        <v>1.6542401169939908E-2</v>
      </c>
      <c r="S792" s="22">
        <f t="shared" si="210"/>
        <v>-3.5864879935482136E-4</v>
      </c>
      <c r="T792" s="22">
        <f t="shared" si="211"/>
        <v>1.6545905771074957E-2</v>
      </c>
      <c r="U792" s="22">
        <f t="shared" si="212"/>
        <v>-1.5836998970873671E-3</v>
      </c>
      <c r="V792" s="22">
        <f t="shared" si="213"/>
        <v>8.9823181997855E-4</v>
      </c>
      <c r="W792" s="22">
        <f t="shared" si="214"/>
        <v>3.7094342458707324E-3</v>
      </c>
      <c r="X792" s="22">
        <f t="shared" si="215"/>
        <v>1.2577139420567051E-3</v>
      </c>
    </row>
    <row r="793" spans="1:24" x14ac:dyDescent="0.35">
      <c r="A793" s="3">
        <v>13.44</v>
      </c>
      <c r="B793" s="3">
        <v>76.349999999999994</v>
      </c>
      <c r="C793" s="3">
        <v>186.97</v>
      </c>
      <c r="D793" s="3">
        <v>15.75</v>
      </c>
      <c r="E793" s="3">
        <v>68.12</v>
      </c>
      <c r="F793" s="3">
        <v>98.767495999999994</v>
      </c>
      <c r="G793" s="3">
        <v>93.749041000000005</v>
      </c>
      <c r="H793" s="3">
        <v>91.594828000000007</v>
      </c>
      <c r="I793" s="17">
        <f t="shared" si="200"/>
        <v>-3.7064492216457162E-3</v>
      </c>
      <c r="J793" s="17">
        <f t="shared" si="201"/>
        <v>-3.4644076368694009E-2</v>
      </c>
      <c r="K793" s="17">
        <f t="shared" si="202"/>
        <v>-3.3050802281571756E-3</v>
      </c>
      <c r="L793" s="17">
        <f t="shared" si="203"/>
        <v>-6.3091482649842053E-3</v>
      </c>
      <c r="M793" s="17">
        <f t="shared" si="204"/>
        <v>1.1883541295306171E-2</v>
      </c>
      <c r="N793" s="17">
        <f t="shared" si="205"/>
        <v>6.6314737439766803E-4</v>
      </c>
      <c r="O793" s="17">
        <f t="shared" si="206"/>
        <v>-2.8184342577165653E-4</v>
      </c>
      <c r="P793" s="17">
        <f t="shared" si="207"/>
        <v>-4.4006037726587006E-4</v>
      </c>
      <c r="Q793" s="22">
        <f t="shared" si="208"/>
        <v>-4.1009230920304495E-3</v>
      </c>
      <c r="R793" s="22">
        <f t="shared" si="209"/>
        <v>-3.5074801082771175E-2</v>
      </c>
      <c r="S793" s="22">
        <f t="shared" si="210"/>
        <v>-3.7170396149946226E-3</v>
      </c>
      <c r="T793" s="22">
        <f t="shared" si="211"/>
        <v>-6.4405997742171235E-3</v>
      </c>
      <c r="U793" s="22">
        <f t="shared" si="212"/>
        <v>1.1190313348352408E-2</v>
      </c>
      <c r="V793" s="22">
        <f t="shared" si="213"/>
        <v>8.9775118390084834E-4</v>
      </c>
      <c r="W793" s="22">
        <f t="shared" si="214"/>
        <v>-2.7594871680953527E-5</v>
      </c>
      <c r="X793" s="22">
        <f t="shared" si="215"/>
        <v>-1.2411599265953129E-4</v>
      </c>
    </row>
    <row r="794" spans="1:24" x14ac:dyDescent="0.35">
      <c r="A794" s="3">
        <v>13.53</v>
      </c>
      <c r="B794" s="3">
        <v>74.81</v>
      </c>
      <c r="C794" s="3">
        <v>183.96</v>
      </c>
      <c r="D794" s="3">
        <v>15.99</v>
      </c>
      <c r="E794" s="3">
        <v>66.98</v>
      </c>
      <c r="F794" s="3">
        <v>99.118412000000006</v>
      </c>
      <c r="G794" s="3">
        <v>93.772586000000004</v>
      </c>
      <c r="H794" s="3">
        <v>91.934663</v>
      </c>
      <c r="I794" s="17">
        <f t="shared" si="200"/>
        <v>6.6964285714285615E-3</v>
      </c>
      <c r="J794" s="17">
        <f t="shared" si="201"/>
        <v>-2.0170268500327337E-2</v>
      </c>
      <c r="K794" s="17">
        <f t="shared" si="202"/>
        <v>-1.6098839385997706E-2</v>
      </c>
      <c r="L794" s="17">
        <f t="shared" si="203"/>
        <v>1.5238095238095252E-2</v>
      </c>
      <c r="M794" s="17">
        <f t="shared" si="204"/>
        <v>-1.6735173223722848E-2</v>
      </c>
      <c r="N794" s="17">
        <f t="shared" si="205"/>
        <v>3.5529502539986663E-3</v>
      </c>
      <c r="O794" s="17">
        <f t="shared" si="206"/>
        <v>2.5114923575590063E-4</v>
      </c>
      <c r="P794" s="17">
        <f t="shared" si="207"/>
        <v>3.710198571473857E-3</v>
      </c>
      <c r="Q794" s="22">
        <f t="shared" si="208"/>
        <v>6.3019547010438283E-3</v>
      </c>
      <c r="R794" s="22">
        <f t="shared" si="209"/>
        <v>-2.0600993214404499E-2</v>
      </c>
      <c r="S794" s="22">
        <f t="shared" si="210"/>
        <v>-1.6510798772835154E-2</v>
      </c>
      <c r="T794" s="22">
        <f t="shared" si="211"/>
        <v>1.5106643728862335E-2</v>
      </c>
      <c r="U794" s="22">
        <f t="shared" si="212"/>
        <v>-1.7428401170676611E-2</v>
      </c>
      <c r="V794" s="22">
        <f t="shared" si="213"/>
        <v>3.7875540635018464E-3</v>
      </c>
      <c r="W794" s="22">
        <f t="shared" si="214"/>
        <v>5.0539778984660358E-4</v>
      </c>
      <c r="X794" s="22">
        <f t="shared" si="215"/>
        <v>4.0261429560801958E-3</v>
      </c>
    </row>
    <row r="795" spans="1:24" x14ac:dyDescent="0.35">
      <c r="A795" s="3">
        <v>13.7</v>
      </c>
      <c r="B795" s="3">
        <v>72.98</v>
      </c>
      <c r="C795" s="3">
        <v>183.14</v>
      </c>
      <c r="D795" s="3">
        <v>16.25</v>
      </c>
      <c r="E795" s="3">
        <v>65.03</v>
      </c>
      <c r="F795" s="3">
        <v>99.110749999999996</v>
      </c>
      <c r="G795" s="3">
        <v>94.143209999999996</v>
      </c>
      <c r="H795" s="3">
        <v>92.003435999999994</v>
      </c>
      <c r="I795" s="17">
        <f t="shared" si="200"/>
        <v>1.2564671101256463E-2</v>
      </c>
      <c r="J795" s="17">
        <f t="shared" si="201"/>
        <v>-2.4461970324822863E-2</v>
      </c>
      <c r="K795" s="17">
        <f t="shared" si="202"/>
        <v>-4.4574907588607387E-3</v>
      </c>
      <c r="L795" s="17">
        <f t="shared" si="203"/>
        <v>1.6260162601626004E-2</v>
      </c>
      <c r="M795" s="17">
        <f t="shared" si="204"/>
        <v>-2.9113168109883587E-2</v>
      </c>
      <c r="N795" s="17">
        <f t="shared" si="205"/>
        <v>-7.7301480576691381E-5</v>
      </c>
      <c r="O795" s="17">
        <f t="shared" si="206"/>
        <v>3.9523704721120979E-3</v>
      </c>
      <c r="P795" s="17">
        <f t="shared" si="207"/>
        <v>7.4806387227408541E-4</v>
      </c>
      <c r="Q795" s="22">
        <f t="shared" si="208"/>
        <v>1.2170197230871729E-2</v>
      </c>
      <c r="R795" s="22">
        <f t="shared" si="209"/>
        <v>-2.4892695038900025E-2</v>
      </c>
      <c r="S795" s="22">
        <f t="shared" si="210"/>
        <v>-4.8694501456981853E-3</v>
      </c>
      <c r="T795" s="22">
        <f t="shared" si="211"/>
        <v>1.6128711092393087E-2</v>
      </c>
      <c r="U795" s="22">
        <f t="shared" si="212"/>
        <v>-2.980639605683735E-2</v>
      </c>
      <c r="V795" s="22">
        <f t="shared" si="213"/>
        <v>1.5730232892648892E-4</v>
      </c>
      <c r="W795" s="22">
        <f t="shared" si="214"/>
        <v>4.2066190262028012E-3</v>
      </c>
      <c r="X795" s="22">
        <f t="shared" si="215"/>
        <v>1.0640082568804242E-3</v>
      </c>
    </row>
    <row r="796" spans="1:24" x14ac:dyDescent="0.35">
      <c r="A796" s="3">
        <v>13.99</v>
      </c>
      <c r="B796" s="3">
        <v>73.63</v>
      </c>
      <c r="C796" s="3">
        <v>183.09</v>
      </c>
      <c r="D796" s="3">
        <v>16.54</v>
      </c>
      <c r="E796" s="3">
        <v>64.510000000000005</v>
      </c>
      <c r="F796" s="3">
        <v>99.094694000000004</v>
      </c>
      <c r="G796" s="3">
        <v>94.266936999999999</v>
      </c>
      <c r="H796" s="3">
        <v>92.089890999999994</v>
      </c>
      <c r="I796" s="17">
        <f t="shared" si="200"/>
        <v>2.1167883211678902E-2</v>
      </c>
      <c r="J796" s="17">
        <f t="shared" si="201"/>
        <v>8.9065497396545821E-3</v>
      </c>
      <c r="K796" s="17">
        <f t="shared" si="202"/>
        <v>-2.7301517964389512E-4</v>
      </c>
      <c r="L796" s="17">
        <f t="shared" si="203"/>
        <v>1.7846153846153793E-2</v>
      </c>
      <c r="M796" s="17">
        <f t="shared" si="204"/>
        <v>-7.9963093956634777E-3</v>
      </c>
      <c r="N796" s="17">
        <f t="shared" si="205"/>
        <v>-1.6200059024870517E-4</v>
      </c>
      <c r="O796" s="17">
        <f t="shared" si="206"/>
        <v>1.3142424185451332E-3</v>
      </c>
      <c r="P796" s="17">
        <f t="shared" si="207"/>
        <v>9.3969316537265894E-4</v>
      </c>
      <c r="Q796" s="22">
        <f t="shared" si="208"/>
        <v>2.077340934129417E-2</v>
      </c>
      <c r="R796" s="22">
        <f t="shared" si="209"/>
        <v>8.475825025577418E-3</v>
      </c>
      <c r="S796" s="22">
        <f t="shared" si="210"/>
        <v>-6.8497456648134206E-4</v>
      </c>
      <c r="T796" s="22">
        <f t="shared" si="211"/>
        <v>1.7714702336920875E-2</v>
      </c>
      <c r="U796" s="22">
        <f t="shared" si="212"/>
        <v>-8.6895373426172408E-3</v>
      </c>
      <c r="V796" s="22">
        <f t="shared" si="213"/>
        <v>7.2603219254475113E-5</v>
      </c>
      <c r="W796" s="22">
        <f t="shared" si="214"/>
        <v>1.5684909726358361E-3</v>
      </c>
      <c r="X796" s="22">
        <f t="shared" si="215"/>
        <v>1.2556375499789977E-3</v>
      </c>
    </row>
    <row r="797" spans="1:24" x14ac:dyDescent="0.35">
      <c r="A797" s="3">
        <v>13.89</v>
      </c>
      <c r="B797" s="3">
        <v>72.489999999999995</v>
      </c>
      <c r="C797" s="3">
        <v>178.77</v>
      </c>
      <c r="D797" s="3">
        <v>16.57</v>
      </c>
      <c r="E797" s="3">
        <v>65.25</v>
      </c>
      <c r="F797" s="3">
        <v>98.916105999999999</v>
      </c>
      <c r="G797" s="3">
        <v>94.290413000000001</v>
      </c>
      <c r="H797" s="3">
        <v>91.795861000000002</v>
      </c>
      <c r="I797" s="17">
        <f t="shared" si="200"/>
        <v>-7.1479628305932555E-3</v>
      </c>
      <c r="J797" s="17">
        <f t="shared" si="201"/>
        <v>-1.5482819502920015E-2</v>
      </c>
      <c r="K797" s="17">
        <f t="shared" si="202"/>
        <v>-2.3594953301654887E-2</v>
      </c>
      <c r="L797" s="17">
        <f t="shared" si="203"/>
        <v>1.8137847642080494E-3</v>
      </c>
      <c r="M797" s="17">
        <f t="shared" si="204"/>
        <v>1.1471089753526505E-2</v>
      </c>
      <c r="N797" s="17">
        <f t="shared" si="205"/>
        <v>-1.8021953829334681E-3</v>
      </c>
      <c r="O797" s="17">
        <f t="shared" si="206"/>
        <v>2.4903747535577901E-4</v>
      </c>
      <c r="P797" s="17">
        <f t="shared" si="207"/>
        <v>-3.1928585950871877E-3</v>
      </c>
      <c r="Q797" s="22">
        <f t="shared" si="208"/>
        <v>-7.5424367009779888E-3</v>
      </c>
      <c r="R797" s="22">
        <f t="shared" si="209"/>
        <v>-1.5913544216997179E-2</v>
      </c>
      <c r="S797" s="22">
        <f t="shared" si="210"/>
        <v>-2.4006912688492334E-2</v>
      </c>
      <c r="T797" s="22">
        <f t="shared" si="211"/>
        <v>1.6823332549751311E-3</v>
      </c>
      <c r="U797" s="22">
        <f t="shared" si="212"/>
        <v>1.0777861806572742E-2</v>
      </c>
      <c r="V797" s="22">
        <f t="shared" si="213"/>
        <v>-1.5675915734302878E-3</v>
      </c>
      <c r="W797" s="22">
        <f t="shared" si="214"/>
        <v>5.0328602944648207E-4</v>
      </c>
      <c r="X797" s="22">
        <f t="shared" si="215"/>
        <v>-2.8769142104808488E-3</v>
      </c>
    </row>
    <row r="798" spans="1:24" x14ac:dyDescent="0.35">
      <c r="A798" s="3">
        <v>13.66</v>
      </c>
      <c r="B798" s="3">
        <v>73.47</v>
      </c>
      <c r="C798" s="3">
        <v>178.68</v>
      </c>
      <c r="D798" s="3">
        <v>16.54</v>
      </c>
      <c r="E798" s="3">
        <v>66.06</v>
      </c>
      <c r="F798" s="3">
        <v>99.144107000000005</v>
      </c>
      <c r="G798" s="3">
        <v>94.414213000000004</v>
      </c>
      <c r="H798" s="3">
        <v>92.008815999999996</v>
      </c>
      <c r="I798" s="17">
        <f t="shared" si="200"/>
        <v>-1.6558675305975552E-2</v>
      </c>
      <c r="J798" s="17">
        <f t="shared" si="201"/>
        <v>1.3519106083597793E-2</v>
      </c>
      <c r="K798" s="17">
        <f t="shared" si="202"/>
        <v>-5.0344017452594618E-4</v>
      </c>
      <c r="L798" s="17">
        <f t="shared" si="203"/>
        <v>-1.8105009052505213E-3</v>
      </c>
      <c r="M798" s="17">
        <f t="shared" si="204"/>
        <v>1.241379310344831E-2</v>
      </c>
      <c r="N798" s="17">
        <f t="shared" si="205"/>
        <v>2.3049936882877913E-3</v>
      </c>
      <c r="O798" s="17">
        <f t="shared" si="206"/>
        <v>1.3129648716248893E-3</v>
      </c>
      <c r="P798" s="17">
        <f t="shared" si="207"/>
        <v>2.3198758384105553E-3</v>
      </c>
      <c r="Q798" s="22">
        <f t="shared" si="208"/>
        <v>-1.6953149176360285E-2</v>
      </c>
      <c r="R798" s="22">
        <f t="shared" si="209"/>
        <v>1.3088381369520629E-2</v>
      </c>
      <c r="S798" s="22">
        <f t="shared" si="210"/>
        <v>-9.1539956136339317E-4</v>
      </c>
      <c r="T798" s="22">
        <f t="shared" si="211"/>
        <v>-1.9419524144834396E-3</v>
      </c>
      <c r="U798" s="22">
        <f t="shared" si="212"/>
        <v>1.1720565156494547E-2</v>
      </c>
      <c r="V798" s="22">
        <f t="shared" si="213"/>
        <v>2.5395974977909714E-3</v>
      </c>
      <c r="W798" s="22">
        <f t="shared" si="214"/>
        <v>1.5672134257155921E-3</v>
      </c>
      <c r="X798" s="22">
        <f t="shared" si="215"/>
        <v>2.6358202230168941E-3</v>
      </c>
    </row>
    <row r="799" spans="1:24" x14ac:dyDescent="0.35">
      <c r="A799" s="3">
        <v>13.2</v>
      </c>
      <c r="B799" s="3">
        <v>72.7</v>
      </c>
      <c r="C799" s="3">
        <v>176.86</v>
      </c>
      <c r="D799" s="3">
        <v>16.2</v>
      </c>
      <c r="E799" s="3">
        <v>64.64</v>
      </c>
      <c r="F799" s="3">
        <v>98.884589000000005</v>
      </c>
      <c r="G799" s="3">
        <v>94.087241000000006</v>
      </c>
      <c r="H799" s="3">
        <v>91.715494000000007</v>
      </c>
      <c r="I799" s="17">
        <f t="shared" si="200"/>
        <v>-3.367496339677898E-2</v>
      </c>
      <c r="J799" s="17">
        <f t="shared" si="201"/>
        <v>-1.0480468218320349E-2</v>
      </c>
      <c r="K799" s="17">
        <f t="shared" si="202"/>
        <v>-1.0185807029326132E-2</v>
      </c>
      <c r="L799" s="17">
        <f t="shared" si="203"/>
        <v>-2.0556227327690441E-2</v>
      </c>
      <c r="M799" s="17">
        <f t="shared" si="204"/>
        <v>-2.1495610051468387E-2</v>
      </c>
      <c r="N799" s="17">
        <f t="shared" si="205"/>
        <v>-2.6175837157926076E-3</v>
      </c>
      <c r="O799" s="17">
        <f t="shared" si="206"/>
        <v>-3.4631650215629908E-3</v>
      </c>
      <c r="P799" s="17">
        <f t="shared" si="207"/>
        <v>-3.1879771173230751E-3</v>
      </c>
      <c r="Q799" s="22">
        <f t="shared" si="208"/>
        <v>-3.4069437267163716E-2</v>
      </c>
      <c r="R799" s="22">
        <f t="shared" si="209"/>
        <v>-1.0911192932397513E-2</v>
      </c>
      <c r="S799" s="22">
        <f t="shared" si="210"/>
        <v>-1.0597766416163579E-2</v>
      </c>
      <c r="T799" s="22">
        <f t="shared" si="211"/>
        <v>-2.0687678836923358E-2</v>
      </c>
      <c r="U799" s="22">
        <f t="shared" si="212"/>
        <v>-2.218883799842215E-2</v>
      </c>
      <c r="V799" s="22">
        <f t="shared" si="213"/>
        <v>-2.3829799062894275E-3</v>
      </c>
      <c r="W799" s="22">
        <f t="shared" si="214"/>
        <v>-3.2089164674722879E-3</v>
      </c>
      <c r="X799" s="22">
        <f t="shared" si="215"/>
        <v>-2.8720327327167363E-3</v>
      </c>
    </row>
    <row r="800" spans="1:24" x14ac:dyDescent="0.35">
      <c r="A800" s="3">
        <v>13.03</v>
      </c>
      <c r="B800" s="3">
        <v>71.3</v>
      </c>
      <c r="C800" s="3">
        <v>176.22</v>
      </c>
      <c r="D800" s="3">
        <v>15.96</v>
      </c>
      <c r="E800" s="3">
        <v>65.319999999999993</v>
      </c>
      <c r="F800" s="3">
        <v>99.487166000000002</v>
      </c>
      <c r="G800" s="3">
        <v>94.457966999999996</v>
      </c>
      <c r="H800" s="3">
        <v>92.609635999999995</v>
      </c>
      <c r="I800" s="17">
        <f t="shared" si="200"/>
        <v>-1.2878787878787873E-2</v>
      </c>
      <c r="J800" s="17">
        <f t="shared" si="201"/>
        <v>-1.9257221458046845E-2</v>
      </c>
      <c r="K800" s="17">
        <f t="shared" si="202"/>
        <v>-3.6186814429493086E-3</v>
      </c>
      <c r="L800" s="17">
        <f t="shared" si="203"/>
        <v>-1.4814814814814718E-2</v>
      </c>
      <c r="M800" s="17">
        <f t="shared" si="204"/>
        <v>1.0519801980197906E-2</v>
      </c>
      <c r="N800" s="17">
        <f t="shared" si="205"/>
        <v>6.0937402490492884E-3</v>
      </c>
      <c r="O800" s="17">
        <f t="shared" si="206"/>
        <v>3.9402367001067718E-3</v>
      </c>
      <c r="P800" s="17">
        <f t="shared" si="207"/>
        <v>9.7490833991472365E-3</v>
      </c>
      <c r="Q800" s="22">
        <f t="shared" si="208"/>
        <v>-1.3273261749172607E-2</v>
      </c>
      <c r="R800" s="22">
        <f t="shared" si="209"/>
        <v>-1.9687946172124007E-2</v>
      </c>
      <c r="S800" s="22">
        <f t="shared" si="210"/>
        <v>-4.0306408297867552E-3</v>
      </c>
      <c r="T800" s="22">
        <f t="shared" si="211"/>
        <v>-1.4946266324047636E-2</v>
      </c>
      <c r="U800" s="22">
        <f t="shared" si="212"/>
        <v>9.8265740332441429E-3</v>
      </c>
      <c r="V800" s="22">
        <f t="shared" si="213"/>
        <v>6.3283440585524689E-3</v>
      </c>
      <c r="W800" s="22">
        <f t="shared" si="214"/>
        <v>4.1944852541974751E-3</v>
      </c>
      <c r="X800" s="22">
        <f t="shared" si="215"/>
        <v>1.0065027783753575E-2</v>
      </c>
    </row>
    <row r="801" spans="1:24" x14ac:dyDescent="0.35">
      <c r="A801" s="3">
        <v>13.4</v>
      </c>
      <c r="B801" s="3">
        <v>71.680000000000007</v>
      </c>
      <c r="C801" s="3">
        <v>176.9</v>
      </c>
      <c r="D801" s="3">
        <v>15.93</v>
      </c>
      <c r="E801" s="3">
        <v>66.52</v>
      </c>
      <c r="F801" s="3">
        <v>99.349017000000003</v>
      </c>
      <c r="G801" s="3">
        <v>94.732377</v>
      </c>
      <c r="H801" s="3">
        <v>92.377638000000005</v>
      </c>
      <c r="I801" s="17">
        <f t="shared" si="200"/>
        <v>2.8396009209516578E-2</v>
      </c>
      <c r="J801" s="17">
        <f t="shared" si="201"/>
        <v>5.3295932678823236E-3</v>
      </c>
      <c r="K801" s="17">
        <f t="shared" si="202"/>
        <v>3.858812847576931E-3</v>
      </c>
      <c r="L801" s="17">
        <f t="shared" si="203"/>
        <v>-1.879699248120372E-3</v>
      </c>
      <c r="M801" s="17">
        <f t="shared" si="204"/>
        <v>1.8371096142069856E-2</v>
      </c>
      <c r="N801" s="17">
        <f t="shared" si="205"/>
        <v>-1.3886112707240904E-3</v>
      </c>
      <c r="O801" s="17">
        <f t="shared" si="206"/>
        <v>2.9051016945982246E-3</v>
      </c>
      <c r="P801" s="17">
        <f t="shared" si="207"/>
        <v>-2.505117286067188E-3</v>
      </c>
      <c r="Q801" s="22">
        <f t="shared" si="208"/>
        <v>2.8001535339131845E-2</v>
      </c>
      <c r="R801" s="22">
        <f t="shared" si="209"/>
        <v>4.8988685538051604E-3</v>
      </c>
      <c r="S801" s="22">
        <f t="shared" si="210"/>
        <v>3.446853460739484E-3</v>
      </c>
      <c r="T801" s="22">
        <f t="shared" si="211"/>
        <v>-2.0111507573532901E-3</v>
      </c>
      <c r="U801" s="22">
        <f t="shared" si="212"/>
        <v>1.7677868195116093E-2</v>
      </c>
      <c r="V801" s="22">
        <f t="shared" si="213"/>
        <v>-1.1540074612209101E-3</v>
      </c>
      <c r="W801" s="22">
        <f t="shared" si="214"/>
        <v>3.1593502486889275E-3</v>
      </c>
      <c r="X801" s="22">
        <f t="shared" si="215"/>
        <v>-2.1891729014608492E-3</v>
      </c>
    </row>
    <row r="802" spans="1:24" x14ac:dyDescent="0.35">
      <c r="A802" s="3">
        <v>13.23</v>
      </c>
      <c r="B802" s="3">
        <v>71.95</v>
      </c>
      <c r="C802" s="3">
        <v>179.06</v>
      </c>
      <c r="D802" s="3">
        <v>16.13</v>
      </c>
      <c r="E802" s="3">
        <v>66.709999999999994</v>
      </c>
      <c r="F802" s="3">
        <v>99.292492999999993</v>
      </c>
      <c r="G802" s="3">
        <v>94.655373999999995</v>
      </c>
      <c r="H802" s="3">
        <v>92.337024</v>
      </c>
      <c r="I802" s="17">
        <f t="shared" si="200"/>
        <v>-1.2686567164179098E-2</v>
      </c>
      <c r="J802" s="17">
        <f t="shared" si="201"/>
        <v>3.7667410714285155E-3</v>
      </c>
      <c r="K802" s="17">
        <f t="shared" si="202"/>
        <v>1.2210288298473695E-2</v>
      </c>
      <c r="L802" s="17">
        <f t="shared" si="203"/>
        <v>1.2554927809165053E-2</v>
      </c>
      <c r="M802" s="17">
        <f t="shared" si="204"/>
        <v>2.856283824413676E-3</v>
      </c>
      <c r="N802" s="17">
        <f t="shared" si="205"/>
        <v>-5.6894372694206159E-4</v>
      </c>
      <c r="O802" s="17">
        <f t="shared" si="206"/>
        <v>-8.1284775531394952E-4</v>
      </c>
      <c r="P802" s="17">
        <f t="shared" si="207"/>
        <v>-4.3965185600442646E-4</v>
      </c>
      <c r="Q802" s="22">
        <f t="shared" si="208"/>
        <v>-1.3081041034563833E-2</v>
      </c>
      <c r="R802" s="22">
        <f t="shared" si="209"/>
        <v>3.3360163573513519E-3</v>
      </c>
      <c r="S802" s="22">
        <f t="shared" si="210"/>
        <v>1.1798328911636248E-2</v>
      </c>
      <c r="T802" s="22">
        <f t="shared" si="211"/>
        <v>1.2423476299932136E-2</v>
      </c>
      <c r="U802" s="22">
        <f t="shared" si="212"/>
        <v>2.1630558774599134E-3</v>
      </c>
      <c r="V802" s="22">
        <f t="shared" si="213"/>
        <v>-3.3433991743888128E-4</v>
      </c>
      <c r="W802" s="22">
        <f t="shared" si="214"/>
        <v>-5.5859920122324652E-4</v>
      </c>
      <c r="X802" s="22">
        <f t="shared" si="215"/>
        <v>-1.2370747139808769E-4</v>
      </c>
    </row>
    <row r="803" spans="1:24" x14ac:dyDescent="0.35">
      <c r="A803" s="3">
        <v>13.1</v>
      </c>
      <c r="B803" s="3">
        <v>72.510000000000005</v>
      </c>
      <c r="C803" s="3">
        <v>180.05</v>
      </c>
      <c r="D803" s="3">
        <v>16.13</v>
      </c>
      <c r="E803" s="3">
        <v>67.88</v>
      </c>
      <c r="F803" s="3">
        <v>98.912481</v>
      </c>
      <c r="G803" s="3">
        <v>94.428400999999994</v>
      </c>
      <c r="H803" s="3">
        <v>91.351065000000006</v>
      </c>
      <c r="I803" s="17">
        <f t="shared" si="200"/>
        <v>-9.8261526832955984E-3</v>
      </c>
      <c r="J803" s="17">
        <f t="shared" si="201"/>
        <v>7.783182765809621E-3</v>
      </c>
      <c r="K803" s="17">
        <f t="shared" si="202"/>
        <v>5.5288730034625776E-3</v>
      </c>
      <c r="L803" s="17">
        <f t="shared" si="203"/>
        <v>0</v>
      </c>
      <c r="M803" s="17">
        <f t="shared" si="204"/>
        <v>1.7538599910058489E-2</v>
      </c>
      <c r="N803" s="17">
        <f t="shared" si="205"/>
        <v>-3.8271976915716438E-3</v>
      </c>
      <c r="O803" s="17">
        <f t="shared" si="206"/>
        <v>-2.3978881537143467E-3</v>
      </c>
      <c r="P803" s="17">
        <f t="shared" si="207"/>
        <v>-1.0677829512893918E-2</v>
      </c>
      <c r="Q803" s="22">
        <f t="shared" si="208"/>
        <v>-1.0220626553680333E-2</v>
      </c>
      <c r="R803" s="22">
        <f t="shared" si="209"/>
        <v>7.3524580517324578E-3</v>
      </c>
      <c r="S803" s="22">
        <f t="shared" si="210"/>
        <v>5.116913616625131E-3</v>
      </c>
      <c r="T803" s="22">
        <f t="shared" si="211"/>
        <v>-1.3145150923291827E-4</v>
      </c>
      <c r="U803" s="22">
        <f t="shared" si="212"/>
        <v>1.6845371963104726E-2</v>
      </c>
      <c r="V803" s="22">
        <f t="shared" si="213"/>
        <v>-3.5925938820684637E-3</v>
      </c>
      <c r="W803" s="22">
        <f t="shared" si="214"/>
        <v>-2.1436395996236438E-3</v>
      </c>
      <c r="X803" s="22">
        <f t="shared" si="215"/>
        <v>-1.036188512828758E-2</v>
      </c>
    </row>
    <row r="804" spans="1:24" x14ac:dyDescent="0.35">
      <c r="A804" s="3">
        <v>13.27</v>
      </c>
      <c r="B804" s="3">
        <v>72.05</v>
      </c>
      <c r="C804" s="3">
        <v>178.76</v>
      </c>
      <c r="D804" s="3">
        <v>16.22</v>
      </c>
      <c r="E804" s="3">
        <v>67.36</v>
      </c>
      <c r="F804" s="3">
        <v>99.504433000000006</v>
      </c>
      <c r="G804" s="3">
        <v>94.752500999999995</v>
      </c>
      <c r="H804" s="3">
        <v>92.765180000000001</v>
      </c>
      <c r="I804" s="17">
        <f t="shared" si="200"/>
        <v>1.2977099236641216E-2</v>
      </c>
      <c r="J804" s="17">
        <f t="shared" si="201"/>
        <v>-6.3439525582679344E-3</v>
      </c>
      <c r="K804" s="17">
        <f t="shared" si="202"/>
        <v>-7.164676478756014E-3</v>
      </c>
      <c r="L804" s="17">
        <f t="shared" si="203"/>
        <v>5.5796652200867866E-3</v>
      </c>
      <c r="M804" s="17">
        <f t="shared" si="204"/>
        <v>-7.6605774896876264E-3</v>
      </c>
      <c r="N804" s="17">
        <f t="shared" si="205"/>
        <v>5.9846037023376887E-3</v>
      </c>
      <c r="O804" s="17">
        <f t="shared" si="206"/>
        <v>3.4322300978071353E-3</v>
      </c>
      <c r="P804" s="17">
        <f t="shared" si="207"/>
        <v>1.5480005624455449E-2</v>
      </c>
      <c r="Q804" s="22">
        <f t="shared" si="208"/>
        <v>1.2582625366256482E-2</v>
      </c>
      <c r="R804" s="22">
        <f t="shared" si="209"/>
        <v>-6.7746772723450976E-3</v>
      </c>
      <c r="S804" s="22">
        <f t="shared" si="210"/>
        <v>-7.5766358655934606E-3</v>
      </c>
      <c r="T804" s="22">
        <f t="shared" si="211"/>
        <v>5.4482137108538683E-3</v>
      </c>
      <c r="U804" s="22">
        <f t="shared" si="212"/>
        <v>-8.3538054366413886E-3</v>
      </c>
      <c r="V804" s="22">
        <f t="shared" si="213"/>
        <v>6.2192075118408692E-3</v>
      </c>
      <c r="W804" s="22">
        <f t="shared" si="214"/>
        <v>3.6864786518978382E-3</v>
      </c>
      <c r="X804" s="22">
        <f t="shared" si="215"/>
        <v>1.5795950009061789E-2</v>
      </c>
    </row>
    <row r="805" spans="1:24" x14ac:dyDescent="0.35">
      <c r="A805" s="3">
        <v>13.38</v>
      </c>
      <c r="B805" s="3">
        <v>71.930000000000007</v>
      </c>
      <c r="C805" s="3">
        <v>176.09</v>
      </c>
      <c r="D805" s="3">
        <v>15.98</v>
      </c>
      <c r="E805" s="3">
        <v>67.59</v>
      </c>
      <c r="F805" s="3">
        <v>99.497393000000002</v>
      </c>
      <c r="G805" s="3">
        <v>95.124487999999999</v>
      </c>
      <c r="H805" s="3">
        <v>92.642686999999995</v>
      </c>
      <c r="I805" s="17">
        <f t="shared" si="200"/>
        <v>8.2893745290129016E-3</v>
      </c>
      <c r="J805" s="17">
        <f t="shared" si="201"/>
        <v>-1.6655100624564934E-3</v>
      </c>
      <c r="K805" s="17">
        <f t="shared" si="202"/>
        <v>-1.4936227343924746E-2</v>
      </c>
      <c r="L805" s="17">
        <f t="shared" si="203"/>
        <v>-1.4796547472256378E-2</v>
      </c>
      <c r="M805" s="17">
        <f t="shared" si="204"/>
        <v>3.4144893111639546E-3</v>
      </c>
      <c r="N805" s="17">
        <f t="shared" si="205"/>
        <v>-7.0750616708739874E-5</v>
      </c>
      <c r="O805" s="17">
        <f t="shared" si="206"/>
        <v>3.9258805421928051E-3</v>
      </c>
      <c r="P805" s="17">
        <f t="shared" si="207"/>
        <v>-1.3204631306704276E-3</v>
      </c>
      <c r="Q805" s="22">
        <f t="shared" si="208"/>
        <v>7.8949006586281675E-3</v>
      </c>
      <c r="R805" s="22">
        <f t="shared" si="209"/>
        <v>-2.096234776533657E-3</v>
      </c>
      <c r="S805" s="22">
        <f t="shared" si="210"/>
        <v>-1.5348186730762194E-2</v>
      </c>
      <c r="T805" s="22">
        <f t="shared" si="211"/>
        <v>-1.4927998981489296E-2</v>
      </c>
      <c r="U805" s="22">
        <f t="shared" si="212"/>
        <v>2.7212613642101919E-3</v>
      </c>
      <c r="V805" s="22">
        <f t="shared" si="213"/>
        <v>1.638531927944404E-4</v>
      </c>
      <c r="W805" s="22">
        <f t="shared" si="214"/>
        <v>4.1801290962835084E-3</v>
      </c>
      <c r="X805" s="22">
        <f t="shared" si="215"/>
        <v>-1.0045187460640888E-3</v>
      </c>
    </row>
    <row r="806" spans="1:24" x14ac:dyDescent="0.35">
      <c r="A806" s="3">
        <v>13.32</v>
      </c>
      <c r="B806" s="3">
        <v>71.86</v>
      </c>
      <c r="C806" s="3">
        <v>172.03</v>
      </c>
      <c r="D806" s="3">
        <v>16.07</v>
      </c>
      <c r="E806" s="3">
        <v>67.22</v>
      </c>
      <c r="F806" s="3">
        <v>99.725115000000002</v>
      </c>
      <c r="G806" s="3">
        <v>94.997003000000007</v>
      </c>
      <c r="H806" s="3">
        <v>92.538444999999996</v>
      </c>
      <c r="I806" s="17">
        <f t="shared" si="200"/>
        <v>-4.4843049327354632E-3</v>
      </c>
      <c r="J806" s="17">
        <f t="shared" si="201"/>
        <v>-9.7316835812605838E-4</v>
      </c>
      <c r="K806" s="17">
        <f t="shared" si="202"/>
        <v>-2.3056391617922667E-2</v>
      </c>
      <c r="L806" s="17">
        <f t="shared" si="203"/>
        <v>5.6320400500625692E-3</v>
      </c>
      <c r="M806" s="17">
        <f t="shared" si="204"/>
        <v>-5.4741825713863664E-3</v>
      </c>
      <c r="N806" s="17">
        <f t="shared" si="205"/>
        <v>2.2887232834331648E-3</v>
      </c>
      <c r="O806" s="17">
        <f t="shared" si="206"/>
        <v>-1.3401911818962217E-3</v>
      </c>
      <c r="P806" s="17">
        <f t="shared" si="207"/>
        <v>-1.1252048421263869E-3</v>
      </c>
      <c r="Q806" s="22">
        <f t="shared" si="208"/>
        <v>-4.8787788031201965E-3</v>
      </c>
      <c r="R806" s="22">
        <f t="shared" si="209"/>
        <v>-1.4038930722032219E-3</v>
      </c>
      <c r="S806" s="22">
        <f t="shared" si="210"/>
        <v>-2.3468351004760114E-2</v>
      </c>
      <c r="T806" s="22">
        <f t="shared" si="211"/>
        <v>5.5005885408296509E-3</v>
      </c>
      <c r="U806" s="22">
        <f t="shared" si="212"/>
        <v>-6.1674105183401285E-3</v>
      </c>
      <c r="V806" s="22">
        <f t="shared" si="213"/>
        <v>2.5233270929363449E-3</v>
      </c>
      <c r="W806" s="22">
        <f t="shared" si="214"/>
        <v>-1.0859426278055188E-3</v>
      </c>
      <c r="X806" s="22">
        <f t="shared" si="215"/>
        <v>-8.0926045752004812E-4</v>
      </c>
    </row>
    <row r="807" spans="1:24" x14ac:dyDescent="0.35">
      <c r="A807" s="3">
        <v>13.63</v>
      </c>
      <c r="B807" s="3">
        <v>71.989999999999995</v>
      </c>
      <c r="C807" s="3">
        <v>173.79</v>
      </c>
      <c r="D807" s="3">
        <v>15.94</v>
      </c>
      <c r="E807" s="3">
        <v>67.33</v>
      </c>
      <c r="F807" s="3">
        <v>99.384966000000006</v>
      </c>
      <c r="G807" s="3">
        <v>94.970241000000001</v>
      </c>
      <c r="H807" s="3">
        <v>92.181276999999994</v>
      </c>
      <c r="I807" s="17">
        <f t="shared" si="200"/>
        <v>2.3273273273273311E-2</v>
      </c>
      <c r="J807" s="17">
        <f t="shared" si="201"/>
        <v>1.8090731978847128E-3</v>
      </c>
      <c r="K807" s="17">
        <f t="shared" si="202"/>
        <v>1.023077370226118E-2</v>
      </c>
      <c r="L807" s="17">
        <f t="shared" si="203"/>
        <v>-8.0896079651525069E-3</v>
      </c>
      <c r="M807" s="17">
        <f t="shared" si="204"/>
        <v>1.6364177328176055E-3</v>
      </c>
      <c r="N807" s="17">
        <f t="shared" si="205"/>
        <v>-3.4108659588910645E-3</v>
      </c>
      <c r="O807" s="17">
        <f t="shared" si="206"/>
        <v>-2.8171415049804314E-4</v>
      </c>
      <c r="P807" s="17">
        <f t="shared" si="207"/>
        <v>-3.859671512742639E-3</v>
      </c>
      <c r="Q807" s="22">
        <f t="shared" si="208"/>
        <v>2.2878799402888578E-2</v>
      </c>
      <c r="R807" s="22">
        <f t="shared" si="209"/>
        <v>1.3783484838075493E-3</v>
      </c>
      <c r="S807" s="22">
        <f t="shared" si="210"/>
        <v>9.8188143154237326E-3</v>
      </c>
      <c r="T807" s="22">
        <f t="shared" si="211"/>
        <v>-8.2210594743854244E-3</v>
      </c>
      <c r="U807" s="22">
        <f t="shared" si="212"/>
        <v>9.4318978586384295E-4</v>
      </c>
      <c r="V807" s="22">
        <f t="shared" si="213"/>
        <v>-3.1762621493878845E-3</v>
      </c>
      <c r="W807" s="22">
        <f t="shared" si="214"/>
        <v>-2.7465596407340136E-5</v>
      </c>
      <c r="X807" s="22">
        <f t="shared" si="215"/>
        <v>-3.5437271281363002E-3</v>
      </c>
    </row>
    <row r="808" spans="1:24" x14ac:dyDescent="0.35">
      <c r="A808" s="3">
        <v>13.53</v>
      </c>
      <c r="B808" s="3">
        <v>71.92</v>
      </c>
      <c r="C808" s="3">
        <v>170.22</v>
      </c>
      <c r="D808" s="3">
        <v>16.100000000000001</v>
      </c>
      <c r="E808" s="3">
        <v>68.27</v>
      </c>
      <c r="F808" s="3">
        <v>99.531165999999999</v>
      </c>
      <c r="G808" s="3">
        <v>94.943544000000003</v>
      </c>
      <c r="H808" s="3">
        <v>92.330797000000004</v>
      </c>
      <c r="I808" s="17">
        <f t="shared" si="200"/>
        <v>-7.3367571533383283E-3</v>
      </c>
      <c r="J808" s="17">
        <f t="shared" si="201"/>
        <v>-9.7235727184321686E-4</v>
      </c>
      <c r="K808" s="17">
        <f t="shared" si="202"/>
        <v>-2.0542033488693212E-2</v>
      </c>
      <c r="L808" s="17">
        <f t="shared" si="203"/>
        <v>1.0037641154328853E-2</v>
      </c>
      <c r="M808" s="17">
        <f t="shared" si="204"/>
        <v>1.3961087182533756E-2</v>
      </c>
      <c r="N808" s="17">
        <f t="shared" si="205"/>
        <v>1.4710474419238945E-3</v>
      </c>
      <c r="O808" s="17">
        <f t="shared" si="206"/>
        <v>-2.8110911080028364E-4</v>
      </c>
      <c r="P808" s="17">
        <f t="shared" si="207"/>
        <v>1.6220213568966901E-3</v>
      </c>
      <c r="Q808" s="22">
        <f t="shared" si="208"/>
        <v>-7.7312310237230616E-3</v>
      </c>
      <c r="R808" s="22">
        <f t="shared" si="209"/>
        <v>-1.4030819859203803E-3</v>
      </c>
      <c r="S808" s="22">
        <f t="shared" si="210"/>
        <v>-2.095399287553066E-2</v>
      </c>
      <c r="T808" s="22">
        <f t="shared" si="211"/>
        <v>9.906189645095936E-3</v>
      </c>
      <c r="U808" s="22">
        <f t="shared" si="212"/>
        <v>1.3267859235579993E-2</v>
      </c>
      <c r="V808" s="22">
        <f t="shared" si="213"/>
        <v>1.7056512514270748E-3</v>
      </c>
      <c r="W808" s="22">
        <f t="shared" si="214"/>
        <v>-2.686055670958064E-5</v>
      </c>
      <c r="X808" s="22">
        <f t="shared" si="215"/>
        <v>1.9379657415030289E-3</v>
      </c>
    </row>
    <row r="809" spans="1:24" x14ac:dyDescent="0.35">
      <c r="A809" s="3">
        <v>13.55</v>
      </c>
      <c r="B809" s="3">
        <v>70.89</v>
      </c>
      <c r="C809" s="3">
        <v>175.15</v>
      </c>
      <c r="D809" s="3">
        <v>16.27</v>
      </c>
      <c r="E809" s="3">
        <v>69.989999999999995</v>
      </c>
      <c r="F809" s="3">
        <v>99.555950999999993</v>
      </c>
      <c r="G809" s="3">
        <v>94.916912999999994</v>
      </c>
      <c r="H809" s="3">
        <v>92.670998999999995</v>
      </c>
      <c r="I809" s="17">
        <f t="shared" si="200"/>
        <v>1.4781966001479194E-3</v>
      </c>
      <c r="J809" s="17">
        <f t="shared" si="201"/>
        <v>-1.4321468298109026E-2</v>
      </c>
      <c r="K809" s="17">
        <f t="shared" si="202"/>
        <v>2.896251909293859E-2</v>
      </c>
      <c r="L809" s="17">
        <f t="shared" si="203"/>
        <v>1.0559006211180008E-2</v>
      </c>
      <c r="M809" s="17">
        <f t="shared" si="204"/>
        <v>2.5194082320199193E-2</v>
      </c>
      <c r="N809" s="17">
        <f t="shared" si="205"/>
        <v>2.4901747860558857E-4</v>
      </c>
      <c r="O809" s="17">
        <f t="shared" si="206"/>
        <v>-2.8049300540128303E-4</v>
      </c>
      <c r="P809" s="17">
        <f t="shared" si="207"/>
        <v>3.6845994083641535E-3</v>
      </c>
      <c r="Q809" s="22">
        <f t="shared" si="208"/>
        <v>1.0837227297631861E-3</v>
      </c>
      <c r="R809" s="22">
        <f t="shared" si="209"/>
        <v>-1.475219301218619E-2</v>
      </c>
      <c r="S809" s="22">
        <f t="shared" si="210"/>
        <v>2.8550559706101142E-2</v>
      </c>
      <c r="T809" s="22">
        <f t="shared" si="211"/>
        <v>1.0427554701947091E-2</v>
      </c>
      <c r="U809" s="22">
        <f t="shared" si="212"/>
        <v>2.450085437324543E-2</v>
      </c>
      <c r="V809" s="22">
        <f t="shared" si="213"/>
        <v>4.8362128810876888E-4</v>
      </c>
      <c r="W809" s="22">
        <f t="shared" si="214"/>
        <v>-2.6244451310580028E-5</v>
      </c>
      <c r="X809" s="22">
        <f t="shared" si="215"/>
        <v>4.0005437929704919E-3</v>
      </c>
    </row>
    <row r="810" spans="1:24" x14ac:dyDescent="0.35">
      <c r="A810" s="3">
        <v>14.04</v>
      </c>
      <c r="B810" s="3">
        <v>71.62</v>
      </c>
      <c r="C810" s="3">
        <v>173.26</v>
      </c>
      <c r="D810" s="3">
        <v>16.2</v>
      </c>
      <c r="E810" s="3">
        <v>72.09</v>
      </c>
      <c r="F810" s="3">
        <v>99.857449000000003</v>
      </c>
      <c r="G810" s="3">
        <v>95.161309000000003</v>
      </c>
      <c r="H810" s="3">
        <v>92.446062999999995</v>
      </c>
      <c r="I810" s="17">
        <f t="shared" si="200"/>
        <v>3.6162361623616121E-2</v>
      </c>
      <c r="J810" s="17">
        <f t="shared" si="201"/>
        <v>1.0297644237551192E-2</v>
      </c>
      <c r="K810" s="17">
        <f t="shared" si="202"/>
        <v>-1.0790750785041476E-2</v>
      </c>
      <c r="L810" s="17">
        <f t="shared" si="203"/>
        <v>-4.3023970497848979E-3</v>
      </c>
      <c r="M810" s="17">
        <f t="shared" si="204"/>
        <v>3.0004286326618213E-2</v>
      </c>
      <c r="N810" s="17">
        <f t="shared" si="205"/>
        <v>3.0284277029306804E-3</v>
      </c>
      <c r="O810" s="17">
        <f t="shared" si="206"/>
        <v>2.5748414299989818E-3</v>
      </c>
      <c r="P810" s="17">
        <f t="shared" si="207"/>
        <v>-2.4272534280114924E-3</v>
      </c>
      <c r="Q810" s="22">
        <f t="shared" si="208"/>
        <v>3.5767887753231385E-2</v>
      </c>
      <c r="R810" s="22">
        <f t="shared" si="209"/>
        <v>9.8669195234740281E-3</v>
      </c>
      <c r="S810" s="22">
        <f t="shared" si="210"/>
        <v>-1.1202710171878924E-2</v>
      </c>
      <c r="T810" s="22">
        <f t="shared" si="211"/>
        <v>-4.4338485590178162E-3</v>
      </c>
      <c r="U810" s="22">
        <f t="shared" si="212"/>
        <v>2.931105837966445E-2</v>
      </c>
      <c r="V810" s="22">
        <f t="shared" si="213"/>
        <v>3.2630315124338605E-3</v>
      </c>
      <c r="W810" s="22">
        <f t="shared" si="214"/>
        <v>2.8290899840896847E-3</v>
      </c>
      <c r="X810" s="22">
        <f t="shared" si="215"/>
        <v>-2.1113090434051536E-3</v>
      </c>
    </row>
    <row r="811" spans="1:24" x14ac:dyDescent="0.35">
      <c r="A811" s="3">
        <v>14.19</v>
      </c>
      <c r="B811" s="3">
        <v>71.709999999999994</v>
      </c>
      <c r="C811" s="3">
        <v>169.87</v>
      </c>
      <c r="D811" s="3">
        <v>15.77</v>
      </c>
      <c r="E811" s="3">
        <v>74.290000000000006</v>
      </c>
      <c r="F811" s="3">
        <v>99.720372999999995</v>
      </c>
      <c r="G811" s="3">
        <v>94.784737000000007</v>
      </c>
      <c r="H811" s="3">
        <v>92.342771999999997</v>
      </c>
      <c r="I811" s="17">
        <f t="shared" si="200"/>
        <v>1.068376068376071E-2</v>
      </c>
      <c r="J811" s="17">
        <f t="shared" si="201"/>
        <v>1.2566322256351466E-3</v>
      </c>
      <c r="K811" s="17">
        <f t="shared" si="202"/>
        <v>-1.9565970218169148E-2</v>
      </c>
      <c r="L811" s="17">
        <f t="shared" si="203"/>
        <v>-2.6543209876543194E-2</v>
      </c>
      <c r="M811" s="17">
        <f t="shared" si="204"/>
        <v>3.0517408794562391E-2</v>
      </c>
      <c r="N811" s="17">
        <f t="shared" si="205"/>
        <v>-1.3727168215563721E-3</v>
      </c>
      <c r="O811" s="17">
        <f t="shared" si="206"/>
        <v>-3.9571965114518961E-3</v>
      </c>
      <c r="P811" s="17">
        <f t="shared" si="207"/>
        <v>-1.1173109665037731E-3</v>
      </c>
      <c r="Q811" s="22">
        <f t="shared" si="208"/>
        <v>1.0289286813375976E-2</v>
      </c>
      <c r="R811" s="22">
        <f t="shared" si="209"/>
        <v>8.2590751155798311E-4</v>
      </c>
      <c r="S811" s="22">
        <f t="shared" si="210"/>
        <v>-1.9977929605006595E-2</v>
      </c>
      <c r="T811" s="22">
        <f t="shared" si="211"/>
        <v>-2.6674661385776111E-2</v>
      </c>
      <c r="U811" s="22">
        <f t="shared" si="212"/>
        <v>2.9824180847608628E-2</v>
      </c>
      <c r="V811" s="22">
        <f t="shared" si="213"/>
        <v>-1.1381130120531918E-3</v>
      </c>
      <c r="W811" s="22">
        <f t="shared" si="214"/>
        <v>-3.7029479573611932E-3</v>
      </c>
      <c r="X811" s="22">
        <f t="shared" si="215"/>
        <v>-8.0136658189743429E-4</v>
      </c>
    </row>
    <row r="812" spans="1:24" x14ac:dyDescent="0.35">
      <c r="A812" s="3">
        <v>13.94</v>
      </c>
      <c r="B812" s="3">
        <v>73.819999999999993</v>
      </c>
      <c r="C812" s="3">
        <v>170.13</v>
      </c>
      <c r="D812" s="3">
        <v>15.65</v>
      </c>
      <c r="E812" s="3">
        <v>77.3</v>
      </c>
      <c r="F812" s="3">
        <v>99.503186999999997</v>
      </c>
      <c r="G812" s="3">
        <v>94.509788</v>
      </c>
      <c r="H812" s="3">
        <v>91.925512999999995</v>
      </c>
      <c r="I812" s="17">
        <f t="shared" si="200"/>
        <v>-1.7618040873854827E-2</v>
      </c>
      <c r="J812" s="17">
        <f t="shared" si="201"/>
        <v>2.9424069167480124E-2</v>
      </c>
      <c r="K812" s="17">
        <f t="shared" si="202"/>
        <v>1.5305822099251833E-3</v>
      </c>
      <c r="L812" s="17">
        <f t="shared" si="203"/>
        <v>-7.6093849080532162E-3</v>
      </c>
      <c r="M812" s="17">
        <f t="shared" si="204"/>
        <v>4.0516893256158169E-2</v>
      </c>
      <c r="N812" s="17">
        <f t="shared" si="205"/>
        <v>-2.1779501366285315E-3</v>
      </c>
      <c r="O812" s="17">
        <f t="shared" si="206"/>
        <v>-2.9007729377358142E-3</v>
      </c>
      <c r="P812" s="17">
        <f t="shared" si="207"/>
        <v>-4.5185886340947338E-3</v>
      </c>
      <c r="Q812" s="22">
        <f t="shared" si="208"/>
        <v>-1.8012514744239559E-2</v>
      </c>
      <c r="R812" s="22">
        <f t="shared" si="209"/>
        <v>2.8993344453402962E-2</v>
      </c>
      <c r="S812" s="22">
        <f t="shared" si="210"/>
        <v>1.1186228230877363E-3</v>
      </c>
      <c r="T812" s="22">
        <f t="shared" si="211"/>
        <v>-7.7408364172861345E-3</v>
      </c>
      <c r="U812" s="22">
        <f t="shared" si="212"/>
        <v>3.9823665309204406E-2</v>
      </c>
      <c r="V812" s="22">
        <f t="shared" si="213"/>
        <v>-1.9433463271253512E-3</v>
      </c>
      <c r="W812" s="22">
        <f t="shared" si="214"/>
        <v>-2.6465243836451113E-3</v>
      </c>
      <c r="X812" s="22">
        <f t="shared" si="215"/>
        <v>-4.2026442494883954E-3</v>
      </c>
    </row>
    <row r="813" spans="1:24" x14ac:dyDescent="0.35">
      <c r="A813" s="3">
        <v>14.08</v>
      </c>
      <c r="B813" s="3">
        <v>77.45</v>
      </c>
      <c r="C813" s="3">
        <v>174.98</v>
      </c>
      <c r="D813" s="3">
        <v>16.04</v>
      </c>
      <c r="E813" s="3">
        <v>78.25</v>
      </c>
      <c r="F813" s="3">
        <v>99.528098</v>
      </c>
      <c r="G813" s="3">
        <v>94.533473999999998</v>
      </c>
      <c r="H813" s="3">
        <v>92.137017999999998</v>
      </c>
      <c r="I813" s="17">
        <f t="shared" si="200"/>
        <v>1.0043041606886698E-2</v>
      </c>
      <c r="J813" s="17">
        <f t="shared" si="201"/>
        <v>4.9173665673259412E-2</v>
      </c>
      <c r="K813" s="17">
        <f t="shared" si="202"/>
        <v>2.8507611826250483E-2</v>
      </c>
      <c r="L813" s="17">
        <f t="shared" si="203"/>
        <v>2.4920127795527078E-2</v>
      </c>
      <c r="M813" s="17">
        <f t="shared" si="204"/>
        <v>1.2289780077619701E-2</v>
      </c>
      <c r="N813" s="17">
        <f t="shared" si="205"/>
        <v>2.5035379017561535E-4</v>
      </c>
      <c r="O813" s="17">
        <f t="shared" si="206"/>
        <v>2.5061954429522027E-4</v>
      </c>
      <c r="P813" s="17">
        <f t="shared" si="207"/>
        <v>2.3008302384997571E-3</v>
      </c>
      <c r="Q813" s="22">
        <f t="shared" si="208"/>
        <v>9.6485677365019638E-3</v>
      </c>
      <c r="R813" s="22">
        <f t="shared" si="209"/>
        <v>4.8742940959182246E-2</v>
      </c>
      <c r="S813" s="22">
        <f t="shared" si="210"/>
        <v>2.8095652439413036E-2</v>
      </c>
      <c r="T813" s="22">
        <f t="shared" si="211"/>
        <v>2.4788676286294161E-2</v>
      </c>
      <c r="U813" s="22">
        <f t="shared" si="212"/>
        <v>1.1596552130665938E-2</v>
      </c>
      <c r="V813" s="22">
        <f t="shared" si="213"/>
        <v>4.8495759967879561E-4</v>
      </c>
      <c r="W813" s="22">
        <f t="shared" si="214"/>
        <v>5.0486809838592322E-4</v>
      </c>
      <c r="X813" s="22">
        <f t="shared" si="215"/>
        <v>2.6167746231060959E-3</v>
      </c>
    </row>
    <row r="814" spans="1:24" x14ac:dyDescent="0.35">
      <c r="A814" s="3">
        <v>14.23</v>
      </c>
      <c r="B814" s="3">
        <v>76.099999999999994</v>
      </c>
      <c r="C814" s="3">
        <v>175.58</v>
      </c>
      <c r="D814" s="3">
        <v>15.7</v>
      </c>
      <c r="E814" s="3">
        <v>78.95</v>
      </c>
      <c r="F814" s="3">
        <v>99.925166000000004</v>
      </c>
      <c r="G814" s="3">
        <v>94.952640000000002</v>
      </c>
      <c r="H814" s="3">
        <v>92.711083000000002</v>
      </c>
      <c r="I814" s="17">
        <f t="shared" si="200"/>
        <v>1.0653409090909116E-2</v>
      </c>
      <c r="J814" s="17">
        <f t="shared" si="201"/>
        <v>-1.7430600387346784E-2</v>
      </c>
      <c r="K814" s="17">
        <f t="shared" si="202"/>
        <v>3.4289633100927121E-3</v>
      </c>
      <c r="L814" s="17">
        <f t="shared" si="203"/>
        <v>-2.1197007481296749E-2</v>
      </c>
      <c r="M814" s="17">
        <f t="shared" si="204"/>
        <v>8.9456869009585036E-3</v>
      </c>
      <c r="N814" s="17">
        <f t="shared" si="205"/>
        <v>3.9895065612527269E-3</v>
      </c>
      <c r="O814" s="17">
        <f t="shared" si="206"/>
        <v>4.4340484091381655E-3</v>
      </c>
      <c r="P814" s="17">
        <f t="shared" si="207"/>
        <v>6.2305576245153113E-3</v>
      </c>
      <c r="Q814" s="22">
        <f t="shared" si="208"/>
        <v>1.0258935220524382E-2</v>
      </c>
      <c r="R814" s="22">
        <f t="shared" si="209"/>
        <v>-1.7861325101423946E-2</v>
      </c>
      <c r="S814" s="22">
        <f t="shared" si="210"/>
        <v>3.0170039232552651E-3</v>
      </c>
      <c r="T814" s="22">
        <f t="shared" si="211"/>
        <v>-2.1328458990529667E-2</v>
      </c>
      <c r="U814" s="22">
        <f t="shared" si="212"/>
        <v>8.2524589540047405E-3</v>
      </c>
      <c r="V814" s="22">
        <f t="shared" si="213"/>
        <v>4.2241103707559074E-3</v>
      </c>
      <c r="W814" s="22">
        <f t="shared" si="214"/>
        <v>4.6882969632288688E-3</v>
      </c>
      <c r="X814" s="22">
        <f t="shared" si="215"/>
        <v>6.5465020091216497E-3</v>
      </c>
    </row>
    <row r="815" spans="1:24" x14ac:dyDescent="0.35">
      <c r="A815" s="3">
        <v>14.4</v>
      </c>
      <c r="B815" s="3">
        <v>73.98</v>
      </c>
      <c r="C815" s="3">
        <v>172.59</v>
      </c>
      <c r="D815" s="3">
        <v>15.45</v>
      </c>
      <c r="E815" s="3">
        <v>79.08</v>
      </c>
      <c r="F815" s="3">
        <v>99.708222000000006</v>
      </c>
      <c r="G815" s="3">
        <v>94.976260999999994</v>
      </c>
      <c r="H815" s="3">
        <v>92.544520000000006</v>
      </c>
      <c r="I815" s="17">
        <f t="shared" si="200"/>
        <v>1.1946591707659868E-2</v>
      </c>
      <c r="J815" s="17">
        <f t="shared" si="201"/>
        <v>-2.7858081471747575E-2</v>
      </c>
      <c r="K815" s="17">
        <f t="shared" si="202"/>
        <v>-1.7029274404829757E-2</v>
      </c>
      <c r="L815" s="17">
        <f t="shared" si="203"/>
        <v>-1.5923566878980892E-2</v>
      </c>
      <c r="M815" s="17">
        <f t="shared" si="204"/>
        <v>1.6466117796072887E-3</v>
      </c>
      <c r="N815" s="17">
        <f t="shared" si="205"/>
        <v>-2.1710646945535023E-3</v>
      </c>
      <c r="O815" s="17">
        <f t="shared" si="206"/>
        <v>2.4876612172122287E-4</v>
      </c>
      <c r="P815" s="17">
        <f t="shared" si="207"/>
        <v>-1.7965813213507221E-3</v>
      </c>
      <c r="Q815" s="22">
        <f t="shared" si="208"/>
        <v>1.1552117837275134E-2</v>
      </c>
      <c r="R815" s="22">
        <f t="shared" si="209"/>
        <v>-2.8288806185824737E-2</v>
      </c>
      <c r="S815" s="22">
        <f t="shared" si="210"/>
        <v>-1.7441233791667204E-2</v>
      </c>
      <c r="T815" s="22">
        <f t="shared" si="211"/>
        <v>-1.6055018388213809E-2</v>
      </c>
      <c r="U815" s="22">
        <f t="shared" si="212"/>
        <v>9.5338383265352624E-4</v>
      </c>
      <c r="V815" s="22">
        <f t="shared" si="213"/>
        <v>-1.936460885050322E-3</v>
      </c>
      <c r="W815" s="22">
        <f t="shared" si="214"/>
        <v>5.0301467581192593E-4</v>
      </c>
      <c r="X815" s="22">
        <f t="shared" si="215"/>
        <v>-1.4806369367443833E-3</v>
      </c>
    </row>
    <row r="816" spans="1:24" x14ac:dyDescent="0.35">
      <c r="A816" s="3">
        <v>14.45</v>
      </c>
      <c r="B816" s="3">
        <v>77.64</v>
      </c>
      <c r="C816" s="3">
        <v>170.01</v>
      </c>
      <c r="D816" s="3">
        <v>15.37</v>
      </c>
      <c r="E816" s="3">
        <v>78.95</v>
      </c>
      <c r="F816" s="3">
        <v>99.452145000000002</v>
      </c>
      <c r="G816" s="3">
        <v>94.453935000000001</v>
      </c>
      <c r="H816" s="3">
        <v>91.939378000000005</v>
      </c>
      <c r="I816" s="17">
        <f t="shared" si="200"/>
        <v>3.4722222222221483E-3</v>
      </c>
      <c r="J816" s="17">
        <f t="shared" si="201"/>
        <v>4.9472830494728254E-2</v>
      </c>
      <c r="K816" s="17">
        <f t="shared" si="202"/>
        <v>-1.4948722405701446E-2</v>
      </c>
      <c r="L816" s="17">
        <f t="shared" si="203"/>
        <v>-5.177993527508095E-3</v>
      </c>
      <c r="M816" s="17">
        <f t="shared" si="204"/>
        <v>-1.6439049064238171E-3</v>
      </c>
      <c r="N816" s="17">
        <f t="shared" si="205"/>
        <v>-2.5682636282492806E-3</v>
      </c>
      <c r="O816" s="17">
        <f t="shared" si="206"/>
        <v>-5.4995426699308847E-3</v>
      </c>
      <c r="P816" s="17">
        <f t="shared" si="207"/>
        <v>-6.5389285070580156E-3</v>
      </c>
      <c r="Q816" s="22">
        <f t="shared" si="208"/>
        <v>3.077748351837415E-3</v>
      </c>
      <c r="R816" s="22">
        <f t="shared" si="209"/>
        <v>4.9042105780651088E-2</v>
      </c>
      <c r="S816" s="22">
        <f t="shared" si="210"/>
        <v>-1.5360681792538893E-2</v>
      </c>
      <c r="T816" s="22">
        <f t="shared" si="211"/>
        <v>-5.3094450367410133E-3</v>
      </c>
      <c r="U816" s="22">
        <f t="shared" si="212"/>
        <v>-2.3371328533775796E-3</v>
      </c>
      <c r="V816" s="22">
        <f t="shared" si="213"/>
        <v>-2.3336598187461005E-3</v>
      </c>
      <c r="W816" s="22">
        <f t="shared" si="214"/>
        <v>-5.2452941158401814E-3</v>
      </c>
      <c r="X816" s="22">
        <f t="shared" si="215"/>
        <v>-6.2229841224516773E-3</v>
      </c>
    </row>
    <row r="817" spans="1:24" x14ac:dyDescent="0.35">
      <c r="A817" s="3">
        <v>14.66</v>
      </c>
      <c r="B817" s="3">
        <v>79.209999999999994</v>
      </c>
      <c r="C817" s="3">
        <v>177.3</v>
      </c>
      <c r="D817" s="3">
        <v>15.2</v>
      </c>
      <c r="E817" s="3">
        <v>82.42</v>
      </c>
      <c r="F817" s="3">
        <v>99.497426000000004</v>
      </c>
      <c r="G817" s="3">
        <v>94.572855000000004</v>
      </c>
      <c r="H817" s="3">
        <v>91.930633</v>
      </c>
      <c r="I817" s="17">
        <f t="shared" si="200"/>
        <v>1.4532871972318399E-2</v>
      </c>
      <c r="J817" s="17">
        <f t="shared" si="201"/>
        <v>2.022153529108698E-2</v>
      </c>
      <c r="K817" s="17">
        <f t="shared" si="202"/>
        <v>4.2879830598200226E-2</v>
      </c>
      <c r="L817" s="17">
        <f t="shared" si="203"/>
        <v>-1.1060507482107998E-2</v>
      </c>
      <c r="M817" s="17">
        <f t="shared" si="204"/>
        <v>4.3951868271057619E-2</v>
      </c>
      <c r="N817" s="17">
        <f t="shared" si="205"/>
        <v>4.5530440796428059E-4</v>
      </c>
      <c r="O817" s="17">
        <f t="shared" si="206"/>
        <v>1.2590264238329805E-3</v>
      </c>
      <c r="P817" s="17">
        <f t="shared" si="207"/>
        <v>-9.5117023741499154E-5</v>
      </c>
      <c r="Q817" s="22">
        <f t="shared" si="208"/>
        <v>1.4138398101933665E-2</v>
      </c>
      <c r="R817" s="22">
        <f t="shared" si="209"/>
        <v>1.9790810577009817E-2</v>
      </c>
      <c r="S817" s="22">
        <f t="shared" si="210"/>
        <v>4.2467871211362779E-2</v>
      </c>
      <c r="T817" s="22">
        <f t="shared" si="211"/>
        <v>-1.1191958991340916E-2</v>
      </c>
      <c r="U817" s="22">
        <f t="shared" si="212"/>
        <v>4.3258640324103856E-2</v>
      </c>
      <c r="V817" s="22">
        <f t="shared" si="213"/>
        <v>6.8990821746746085E-4</v>
      </c>
      <c r="W817" s="22">
        <f t="shared" si="214"/>
        <v>1.5132749779236837E-3</v>
      </c>
      <c r="X817" s="22">
        <f t="shared" si="215"/>
        <v>2.2082736086483963E-4</v>
      </c>
    </row>
    <row r="818" spans="1:24" x14ac:dyDescent="0.35">
      <c r="A818" s="3">
        <v>14.67</v>
      </c>
      <c r="B818" s="3">
        <v>78.47</v>
      </c>
      <c r="C818" s="3">
        <v>176.37</v>
      </c>
      <c r="D818" s="3">
        <v>15.58</v>
      </c>
      <c r="E818" s="3">
        <v>81.98</v>
      </c>
      <c r="F818" s="3">
        <v>99.722425000000001</v>
      </c>
      <c r="G818" s="3">
        <v>94.744922000000003</v>
      </c>
      <c r="H818" s="3">
        <v>92.266448999999994</v>
      </c>
      <c r="I818" s="17">
        <f t="shared" si="200"/>
        <v>6.8212824010912599E-4</v>
      </c>
      <c r="J818" s="17">
        <f t="shared" si="201"/>
        <v>-9.3422547658123332E-3</v>
      </c>
      <c r="K818" s="17">
        <f t="shared" si="202"/>
        <v>-5.2453468697123903E-3</v>
      </c>
      <c r="L818" s="17">
        <f t="shared" si="203"/>
        <v>2.5000000000000053E-2</v>
      </c>
      <c r="M818" s="17">
        <f t="shared" si="204"/>
        <v>-5.3385100703712413E-3</v>
      </c>
      <c r="N818" s="17">
        <f t="shared" si="205"/>
        <v>2.2613549821881504E-3</v>
      </c>
      <c r="O818" s="17">
        <f t="shared" si="206"/>
        <v>1.8194121346976192E-3</v>
      </c>
      <c r="P818" s="17">
        <f t="shared" si="207"/>
        <v>3.6529281811862875E-3</v>
      </c>
      <c r="Q818" s="22">
        <f t="shared" si="208"/>
        <v>2.8765436972439268E-4</v>
      </c>
      <c r="R818" s="22">
        <f t="shared" si="209"/>
        <v>-9.7729794798894973E-3</v>
      </c>
      <c r="S818" s="22">
        <f t="shared" si="210"/>
        <v>-5.6573062565498369E-3</v>
      </c>
      <c r="T818" s="22">
        <f t="shared" si="211"/>
        <v>2.4868548490767136E-2</v>
      </c>
      <c r="U818" s="22">
        <f t="shared" si="212"/>
        <v>-6.0317380173250034E-3</v>
      </c>
      <c r="V818" s="22">
        <f t="shared" si="213"/>
        <v>2.4959587916913305E-3</v>
      </c>
      <c r="W818" s="22">
        <f t="shared" si="214"/>
        <v>2.0736606887883221E-3</v>
      </c>
      <c r="X818" s="22">
        <f t="shared" si="215"/>
        <v>3.9688725657926263E-3</v>
      </c>
    </row>
    <row r="819" spans="1:24" x14ac:dyDescent="0.35">
      <c r="A819" s="3">
        <v>15.04</v>
      </c>
      <c r="B819" s="3">
        <v>77.28</v>
      </c>
      <c r="C819" s="3">
        <v>176.4</v>
      </c>
      <c r="D819" s="3">
        <v>15.61</v>
      </c>
      <c r="E819" s="3">
        <v>83.09</v>
      </c>
      <c r="F819" s="3">
        <v>99.427971999999997</v>
      </c>
      <c r="G819" s="3">
        <v>94.226658</v>
      </c>
      <c r="H819" s="3">
        <v>91.790346</v>
      </c>
      <c r="I819" s="17">
        <f t="shared" si="200"/>
        <v>2.522154055896382E-2</v>
      </c>
      <c r="J819" s="17">
        <f t="shared" si="201"/>
        <v>-1.5165031222123076E-2</v>
      </c>
      <c r="K819" s="17">
        <f t="shared" si="202"/>
        <v>1.700969552645072E-4</v>
      </c>
      <c r="L819" s="17">
        <f t="shared" si="203"/>
        <v>1.925545571245145E-3</v>
      </c>
      <c r="M819" s="17">
        <f t="shared" si="204"/>
        <v>1.3539887777506702E-2</v>
      </c>
      <c r="N819" s="17">
        <f t="shared" si="205"/>
        <v>-2.9527260292758054E-3</v>
      </c>
      <c r="O819" s="17">
        <f t="shared" si="206"/>
        <v>-5.4700979119493287E-3</v>
      </c>
      <c r="P819" s="17">
        <f t="shared" si="207"/>
        <v>-5.1600880402365426E-3</v>
      </c>
      <c r="Q819" s="22">
        <f t="shared" si="208"/>
        <v>2.4827066688579088E-2</v>
      </c>
      <c r="R819" s="22">
        <f t="shared" si="209"/>
        <v>-1.559575593620024E-2</v>
      </c>
      <c r="S819" s="22">
        <f t="shared" si="210"/>
        <v>-2.4186243157293973E-4</v>
      </c>
      <c r="T819" s="22">
        <f t="shared" si="211"/>
        <v>1.7940940620122267E-3</v>
      </c>
      <c r="U819" s="22">
        <f t="shared" si="212"/>
        <v>1.2846659830552939E-2</v>
      </c>
      <c r="V819" s="22">
        <f t="shared" si="213"/>
        <v>-2.7181222197726253E-3</v>
      </c>
      <c r="W819" s="22">
        <f t="shared" si="214"/>
        <v>-5.2158493578586254E-3</v>
      </c>
      <c r="X819" s="22">
        <f t="shared" si="215"/>
        <v>-4.8441436556302042E-3</v>
      </c>
    </row>
    <row r="820" spans="1:24" x14ac:dyDescent="0.35">
      <c r="A820" s="3">
        <v>14.99</v>
      </c>
      <c r="B820" s="3">
        <v>76.599999999999994</v>
      </c>
      <c r="C820" s="3">
        <v>178.64</v>
      </c>
      <c r="D820" s="3">
        <v>15.51</v>
      </c>
      <c r="E820" s="3">
        <v>82.35</v>
      </c>
      <c r="F820" s="3">
        <v>99.174773999999999</v>
      </c>
      <c r="G820" s="3">
        <v>94.054514999999995</v>
      </c>
      <c r="H820" s="3">
        <v>91.503489999999999</v>
      </c>
      <c r="I820" s="17">
        <f t="shared" si="200"/>
        <v>-3.3244680851063123E-3</v>
      </c>
      <c r="J820" s="17">
        <f t="shared" si="201"/>
        <v>-8.7991718426501924E-3</v>
      </c>
      <c r="K820" s="17">
        <f t="shared" si="202"/>
        <v>1.2698412698412589E-2</v>
      </c>
      <c r="L820" s="17">
        <f t="shared" si="203"/>
        <v>-6.4061499039077289E-3</v>
      </c>
      <c r="M820" s="17">
        <f t="shared" si="204"/>
        <v>-8.9060055361657123E-3</v>
      </c>
      <c r="N820" s="17">
        <f t="shared" si="205"/>
        <v>-2.546546961653785E-3</v>
      </c>
      <c r="O820" s="17">
        <f t="shared" si="206"/>
        <v>-1.8269033801454095E-3</v>
      </c>
      <c r="P820" s="17">
        <f t="shared" si="207"/>
        <v>-3.1251216767392972E-3</v>
      </c>
      <c r="Q820" s="22">
        <f t="shared" si="208"/>
        <v>-3.7189419554910456E-3</v>
      </c>
      <c r="R820" s="22">
        <f t="shared" si="209"/>
        <v>-9.2298965567273565E-3</v>
      </c>
      <c r="S820" s="22">
        <f t="shared" si="210"/>
        <v>1.2286453311575142E-2</v>
      </c>
      <c r="T820" s="22">
        <f t="shared" si="211"/>
        <v>-6.5376014131406472E-3</v>
      </c>
      <c r="U820" s="22">
        <f t="shared" si="212"/>
        <v>-9.5992334831194754E-3</v>
      </c>
      <c r="V820" s="22">
        <f t="shared" si="213"/>
        <v>-2.3119431521506049E-3</v>
      </c>
      <c r="W820" s="22">
        <f t="shared" si="214"/>
        <v>-1.5726548260547066E-3</v>
      </c>
      <c r="X820" s="22">
        <f t="shared" si="215"/>
        <v>-2.8091772921329584E-3</v>
      </c>
    </row>
    <row r="821" spans="1:24" x14ac:dyDescent="0.35">
      <c r="A821" s="3">
        <v>15.15</v>
      </c>
      <c r="B821" s="3">
        <v>73.86</v>
      </c>
      <c r="C821" s="3">
        <v>177.57</v>
      </c>
      <c r="D821" s="3">
        <v>15.37</v>
      </c>
      <c r="E821" s="3">
        <v>81.28</v>
      </c>
      <c r="F821" s="3">
        <v>99.081108</v>
      </c>
      <c r="G821" s="3">
        <v>94.029566000000003</v>
      </c>
      <c r="H821" s="3">
        <v>91.403193000000002</v>
      </c>
      <c r="I821" s="17">
        <f t="shared" si="200"/>
        <v>1.067378252168113E-2</v>
      </c>
      <c r="J821" s="17">
        <f t="shared" si="201"/>
        <v>-3.5770234986945107E-2</v>
      </c>
      <c r="K821" s="17">
        <f t="shared" si="202"/>
        <v>-5.9896999552171591E-3</v>
      </c>
      <c r="L821" s="17">
        <f t="shared" si="203"/>
        <v>-9.026434558349488E-3</v>
      </c>
      <c r="M821" s="17">
        <f t="shared" si="204"/>
        <v>-1.299332119004242E-2</v>
      </c>
      <c r="N821" s="17">
        <f t="shared" si="205"/>
        <v>-9.4445387896723531E-4</v>
      </c>
      <c r="O821" s="17">
        <f t="shared" si="206"/>
        <v>-2.6526105631390838E-4</v>
      </c>
      <c r="P821" s="17">
        <f t="shared" si="207"/>
        <v>-1.096100268962393E-3</v>
      </c>
      <c r="Q821" s="22">
        <f t="shared" si="208"/>
        <v>1.0279308651296396E-2</v>
      </c>
      <c r="R821" s="22">
        <f t="shared" si="209"/>
        <v>-3.6200959701022273E-2</v>
      </c>
      <c r="S821" s="22">
        <f t="shared" si="210"/>
        <v>-6.4016593420546056E-3</v>
      </c>
      <c r="T821" s="22">
        <f t="shared" si="211"/>
        <v>-9.1578860675824054E-3</v>
      </c>
      <c r="U821" s="22">
        <f t="shared" si="212"/>
        <v>-1.3686549136996183E-2</v>
      </c>
      <c r="V821" s="22">
        <f t="shared" si="213"/>
        <v>-7.0985006946405499E-4</v>
      </c>
      <c r="W821" s="22">
        <f t="shared" si="214"/>
        <v>-1.1012502223205374E-5</v>
      </c>
      <c r="X821" s="22">
        <f t="shared" si="215"/>
        <v>-7.8015588435605414E-4</v>
      </c>
    </row>
    <row r="822" spans="1:24" x14ac:dyDescent="0.35">
      <c r="A822" s="3">
        <v>14.76</v>
      </c>
      <c r="B822" s="3">
        <v>71.86</v>
      </c>
      <c r="C822" s="3">
        <v>181.86</v>
      </c>
      <c r="D822" s="3">
        <v>15.51</v>
      </c>
      <c r="E822" s="3">
        <v>79.16</v>
      </c>
      <c r="F822" s="3">
        <v>99.038505999999998</v>
      </c>
      <c r="G822" s="3">
        <v>94.101553999999993</v>
      </c>
      <c r="H822" s="3">
        <v>91.473315999999997</v>
      </c>
      <c r="I822" s="17">
        <f t="shared" si="200"/>
        <v>-2.5742574257425779E-2</v>
      </c>
      <c r="J822" s="17">
        <f t="shared" si="201"/>
        <v>-2.7078256160303276E-2</v>
      </c>
      <c r="K822" s="17">
        <f t="shared" si="202"/>
        <v>2.4159486399729799E-2</v>
      </c>
      <c r="L822" s="17">
        <f t="shared" si="203"/>
        <v>9.1086532205595684E-3</v>
      </c>
      <c r="M822" s="17">
        <f t="shared" si="204"/>
        <v>-2.6082677165354385E-2</v>
      </c>
      <c r="N822" s="17">
        <f t="shared" si="205"/>
        <v>-4.299709688349695E-4</v>
      </c>
      <c r="O822" s="17">
        <f t="shared" si="206"/>
        <v>7.6558898506444656E-4</v>
      </c>
      <c r="P822" s="17">
        <f t="shared" si="207"/>
        <v>7.6718326459334165E-4</v>
      </c>
      <c r="Q822" s="22">
        <f t="shared" si="208"/>
        <v>-2.6137048127810512E-2</v>
      </c>
      <c r="R822" s="22">
        <f t="shared" si="209"/>
        <v>-2.7508980874380438E-2</v>
      </c>
      <c r="S822" s="22">
        <f t="shared" si="210"/>
        <v>2.3747527012892351E-2</v>
      </c>
      <c r="T822" s="22">
        <f t="shared" si="211"/>
        <v>8.977201711326651E-3</v>
      </c>
      <c r="U822" s="22">
        <f t="shared" si="212"/>
        <v>-2.6775905112308148E-2</v>
      </c>
      <c r="V822" s="22">
        <f t="shared" si="213"/>
        <v>-1.9536715933178922E-4</v>
      </c>
      <c r="W822" s="22">
        <f t="shared" si="214"/>
        <v>1.0198375391551496E-3</v>
      </c>
      <c r="X822" s="22">
        <f t="shared" si="215"/>
        <v>1.0831276491996805E-3</v>
      </c>
    </row>
    <row r="823" spans="1:24" x14ac:dyDescent="0.35">
      <c r="A823" s="3">
        <v>14.56</v>
      </c>
      <c r="B823" s="3">
        <v>73.430000000000007</v>
      </c>
      <c r="C823" s="3">
        <v>181.87</v>
      </c>
      <c r="D823" s="3">
        <v>15.39</v>
      </c>
      <c r="E823" s="3">
        <v>79.27</v>
      </c>
      <c r="F823" s="3">
        <v>98.787954999999997</v>
      </c>
      <c r="G823" s="3">
        <v>93.687212000000002</v>
      </c>
      <c r="H823" s="3">
        <v>90.943449000000001</v>
      </c>
      <c r="I823" s="17">
        <f t="shared" si="200"/>
        <v>-1.3550135501354966E-2</v>
      </c>
      <c r="J823" s="17">
        <f t="shared" si="201"/>
        <v>2.1848037851377781E-2</v>
      </c>
      <c r="K823" s="17">
        <f t="shared" si="202"/>
        <v>5.4987352908780955E-5</v>
      </c>
      <c r="L823" s="17">
        <f t="shared" si="203"/>
        <v>-7.7369439071566229E-3</v>
      </c>
      <c r="M823" s="17">
        <f t="shared" si="204"/>
        <v>1.3895907023749297E-3</v>
      </c>
      <c r="N823" s="17">
        <f t="shared" si="205"/>
        <v>-2.5298342040822137E-3</v>
      </c>
      <c r="O823" s="17">
        <f t="shared" si="206"/>
        <v>-4.4031366368295121E-3</v>
      </c>
      <c r="P823" s="17">
        <f t="shared" si="207"/>
        <v>-5.7925854573807715E-3</v>
      </c>
      <c r="Q823" s="22">
        <f t="shared" si="208"/>
        <v>-1.39446093717397E-2</v>
      </c>
      <c r="R823" s="22">
        <f t="shared" si="209"/>
        <v>2.1417313137300619E-2</v>
      </c>
      <c r="S823" s="22">
        <f t="shared" si="210"/>
        <v>-3.5697203392866597E-4</v>
      </c>
      <c r="T823" s="22">
        <f t="shared" si="211"/>
        <v>-7.8683954163895412E-3</v>
      </c>
      <c r="U823" s="22">
        <f t="shared" si="212"/>
        <v>6.963627554211672E-4</v>
      </c>
      <c r="V823" s="22">
        <f t="shared" si="213"/>
        <v>-2.2952303945790336E-3</v>
      </c>
      <c r="W823" s="22">
        <f t="shared" si="214"/>
        <v>-4.1488880827388087E-3</v>
      </c>
      <c r="X823" s="22">
        <f t="shared" si="215"/>
        <v>-5.4766410727744332E-3</v>
      </c>
    </row>
    <row r="824" spans="1:24" x14ac:dyDescent="0.35">
      <c r="A824" s="3">
        <v>14.54</v>
      </c>
      <c r="B824" s="3">
        <v>72.27</v>
      </c>
      <c r="C824" s="3">
        <v>178.46</v>
      </c>
      <c r="D824" s="3">
        <v>15.62</v>
      </c>
      <c r="E824" s="3">
        <v>79.180000000000007</v>
      </c>
      <c r="F824" s="3">
        <v>98.460266000000004</v>
      </c>
      <c r="G824" s="3">
        <v>93.565848000000003</v>
      </c>
      <c r="H824" s="3">
        <v>90.600688000000005</v>
      </c>
      <c r="I824" s="17">
        <f t="shared" si="200"/>
        <v>-1.3736263736264663E-3</v>
      </c>
      <c r="J824" s="17">
        <f t="shared" si="201"/>
        <v>-1.5797358028054074E-2</v>
      </c>
      <c r="K824" s="17">
        <f t="shared" si="202"/>
        <v>-1.8749656347940818E-2</v>
      </c>
      <c r="L824" s="17">
        <f t="shared" si="203"/>
        <v>1.4944769330734155E-2</v>
      </c>
      <c r="M824" s="17">
        <f t="shared" si="204"/>
        <v>-1.1353601614733091E-3</v>
      </c>
      <c r="N824" s="17">
        <f t="shared" si="205"/>
        <v>-3.3170946802167567E-3</v>
      </c>
      <c r="O824" s="17">
        <f t="shared" si="206"/>
        <v>-1.2954169241368801E-3</v>
      </c>
      <c r="P824" s="17">
        <f t="shared" si="207"/>
        <v>-3.7689465681029523E-3</v>
      </c>
      <c r="Q824" s="22">
        <f t="shared" si="208"/>
        <v>-1.7681002440111996E-3</v>
      </c>
      <c r="R824" s="22">
        <f t="shared" si="209"/>
        <v>-1.6228082742131236E-2</v>
      </c>
      <c r="S824" s="22">
        <f t="shared" si="210"/>
        <v>-1.9161615734778266E-2</v>
      </c>
      <c r="T824" s="22">
        <f t="shared" si="211"/>
        <v>1.4813317821501238E-2</v>
      </c>
      <c r="U824" s="22">
        <f t="shared" si="212"/>
        <v>-1.8285881084270715E-3</v>
      </c>
      <c r="V824" s="22">
        <f t="shared" si="213"/>
        <v>-3.0824908707135766E-3</v>
      </c>
      <c r="W824" s="22">
        <f t="shared" si="214"/>
        <v>-1.0411683700461772E-3</v>
      </c>
      <c r="X824" s="22">
        <f t="shared" si="215"/>
        <v>-3.4530021834966135E-3</v>
      </c>
    </row>
    <row r="825" spans="1:24" x14ac:dyDescent="0.35">
      <c r="A825" s="3">
        <v>14.38</v>
      </c>
      <c r="B825" s="3">
        <v>70.53</v>
      </c>
      <c r="C825" s="3">
        <v>173.91</v>
      </c>
      <c r="D825" s="3">
        <v>15.51</v>
      </c>
      <c r="E825" s="3">
        <v>75.83</v>
      </c>
      <c r="F825" s="3">
        <v>98.760400000000004</v>
      </c>
      <c r="G825" s="3">
        <v>93.251761999999999</v>
      </c>
      <c r="H825" s="3">
        <v>90.868105</v>
      </c>
      <c r="I825" s="17">
        <f t="shared" si="200"/>
        <v>-1.1004126547455185E-2</v>
      </c>
      <c r="J825" s="17">
        <f t="shared" si="201"/>
        <v>-2.4076380240763733E-2</v>
      </c>
      <c r="K825" s="17">
        <f t="shared" si="202"/>
        <v>-2.5495909447495298E-2</v>
      </c>
      <c r="L825" s="17">
        <f t="shared" si="203"/>
        <v>-7.0422535211267243E-3</v>
      </c>
      <c r="M825" s="17">
        <f t="shared" si="204"/>
        <v>-4.2308663803991009E-2</v>
      </c>
      <c r="N825" s="17">
        <f t="shared" si="205"/>
        <v>3.0482753316957308E-3</v>
      </c>
      <c r="O825" s="17">
        <f t="shared" si="206"/>
        <v>-3.3568444759887518E-3</v>
      </c>
      <c r="P825" s="17">
        <f t="shared" si="207"/>
        <v>2.9516001026393384E-3</v>
      </c>
      <c r="Q825" s="22">
        <f t="shared" si="208"/>
        <v>-1.1398600417839919E-2</v>
      </c>
      <c r="R825" s="22">
        <f t="shared" si="209"/>
        <v>-2.4507104954840896E-2</v>
      </c>
      <c r="S825" s="22">
        <f t="shared" si="210"/>
        <v>-2.5907868834332746E-2</v>
      </c>
      <c r="T825" s="22">
        <f t="shared" si="211"/>
        <v>-7.1737050303596426E-3</v>
      </c>
      <c r="U825" s="22">
        <f t="shared" si="212"/>
        <v>-4.3001891750944772E-2</v>
      </c>
      <c r="V825" s="22">
        <f t="shared" si="213"/>
        <v>3.2828791411989109E-3</v>
      </c>
      <c r="W825" s="22">
        <f t="shared" si="214"/>
        <v>-3.1025959218980489E-3</v>
      </c>
      <c r="X825" s="22">
        <f t="shared" si="215"/>
        <v>3.2675444872456772E-3</v>
      </c>
    </row>
    <row r="826" spans="1:24" x14ac:dyDescent="0.35">
      <c r="A826" s="3">
        <v>14.15</v>
      </c>
      <c r="B826" s="3">
        <v>69.08</v>
      </c>
      <c r="C826" s="3">
        <v>173.38</v>
      </c>
      <c r="D826" s="3">
        <v>15.2</v>
      </c>
      <c r="E826" s="3">
        <v>75.680000000000007</v>
      </c>
      <c r="F826" s="3">
        <v>98.903841999999997</v>
      </c>
      <c r="G826" s="3">
        <v>92.509007999999994</v>
      </c>
      <c r="H826" s="3">
        <v>89.861401999999998</v>
      </c>
      <c r="I826" s="17">
        <f t="shared" si="200"/>
        <v>-1.599443671766345E-2</v>
      </c>
      <c r="J826" s="17">
        <f t="shared" si="201"/>
        <v>-2.0558627534382572E-2</v>
      </c>
      <c r="K826" s="17">
        <f t="shared" si="202"/>
        <v>-3.0475533321833196E-3</v>
      </c>
      <c r="L826" s="17">
        <f t="shared" si="203"/>
        <v>-1.9987105093488104E-2</v>
      </c>
      <c r="M826" s="17">
        <f t="shared" si="204"/>
        <v>-1.9781089278648489E-3</v>
      </c>
      <c r="N826" s="17">
        <f t="shared" si="205"/>
        <v>1.4524242510155201E-3</v>
      </c>
      <c r="O826" s="17">
        <f t="shared" si="206"/>
        <v>-7.9650398455742323E-3</v>
      </c>
      <c r="P826" s="17">
        <f t="shared" si="207"/>
        <v>-1.1078727789030064E-2</v>
      </c>
      <c r="Q826" s="22">
        <f t="shared" si="208"/>
        <v>-1.6388910588048183E-2</v>
      </c>
      <c r="R826" s="22">
        <f t="shared" si="209"/>
        <v>-2.0989352248459735E-2</v>
      </c>
      <c r="S826" s="22">
        <f t="shared" si="210"/>
        <v>-3.4595127190207666E-3</v>
      </c>
      <c r="T826" s="22">
        <f t="shared" si="211"/>
        <v>-2.0118556602721022E-2</v>
      </c>
      <c r="U826" s="22">
        <f t="shared" si="212"/>
        <v>-2.6713368748186115E-3</v>
      </c>
      <c r="V826" s="22">
        <f t="shared" si="213"/>
        <v>1.6870280605187004E-3</v>
      </c>
      <c r="W826" s="22">
        <f t="shared" si="214"/>
        <v>-7.710791291483529E-3</v>
      </c>
      <c r="X826" s="22">
        <f t="shared" si="215"/>
        <v>-1.0762783404423725E-2</v>
      </c>
    </row>
    <row r="827" spans="1:24" x14ac:dyDescent="0.35">
      <c r="A827" s="3">
        <v>14.35</v>
      </c>
      <c r="B827" s="3">
        <v>69.260000000000005</v>
      </c>
      <c r="C827" s="3">
        <v>174.81</v>
      </c>
      <c r="D827" s="3">
        <v>15.3</v>
      </c>
      <c r="E827" s="3">
        <v>76.16</v>
      </c>
      <c r="F827" s="3">
        <v>97.579373000000004</v>
      </c>
      <c r="G827" s="3">
        <v>91.965699000000001</v>
      </c>
      <c r="H827" s="3">
        <v>88.918610000000001</v>
      </c>
      <c r="I827" s="17">
        <f t="shared" si="200"/>
        <v>1.4134275618374508E-2</v>
      </c>
      <c r="J827" s="17">
        <f t="shared" si="201"/>
        <v>2.6056745801969722E-3</v>
      </c>
      <c r="K827" s="17">
        <f t="shared" si="202"/>
        <v>8.2477794439958872E-3</v>
      </c>
      <c r="L827" s="17">
        <f t="shared" si="203"/>
        <v>6.5789473684211468E-3</v>
      </c>
      <c r="M827" s="17">
        <f t="shared" si="204"/>
        <v>6.3424947145876024E-3</v>
      </c>
      <c r="N827" s="17">
        <f t="shared" si="205"/>
        <v>-1.3391481799058863E-2</v>
      </c>
      <c r="O827" s="17">
        <f t="shared" si="206"/>
        <v>-5.8730388720630716E-3</v>
      </c>
      <c r="P827" s="17">
        <f t="shared" si="207"/>
        <v>-1.0491623533761438E-2</v>
      </c>
      <c r="Q827" s="22">
        <f t="shared" si="208"/>
        <v>1.3739801747989774E-2</v>
      </c>
      <c r="R827" s="22">
        <f t="shared" si="209"/>
        <v>2.1749498661198085E-3</v>
      </c>
      <c r="S827" s="22">
        <f t="shared" si="210"/>
        <v>7.8358200571584397E-3</v>
      </c>
      <c r="T827" s="22">
        <f t="shared" si="211"/>
        <v>6.4474958591882285E-3</v>
      </c>
      <c r="U827" s="22">
        <f t="shared" si="212"/>
        <v>5.6492667676338402E-3</v>
      </c>
      <c r="V827" s="22">
        <f t="shared" si="213"/>
        <v>-1.3156877989555683E-2</v>
      </c>
      <c r="W827" s="22">
        <f t="shared" si="214"/>
        <v>-5.6187903179723683E-3</v>
      </c>
      <c r="X827" s="22">
        <f t="shared" si="215"/>
        <v>-1.01756791491551E-2</v>
      </c>
    </row>
    <row r="828" spans="1:24" x14ac:dyDescent="0.35">
      <c r="A828" s="3">
        <v>14.22</v>
      </c>
      <c r="B828" s="3">
        <v>68.62</v>
      </c>
      <c r="C828" s="3">
        <v>175.55</v>
      </c>
      <c r="D828" s="3">
        <v>15.08</v>
      </c>
      <c r="E828" s="3">
        <v>73.45</v>
      </c>
      <c r="F828" s="3">
        <v>98.069474</v>
      </c>
      <c r="G828" s="3">
        <v>92.606886000000003</v>
      </c>
      <c r="H828" s="3">
        <v>89.716076000000001</v>
      </c>
      <c r="I828" s="17">
        <f t="shared" si="200"/>
        <v>-9.0592334494772834E-3</v>
      </c>
      <c r="J828" s="17">
        <f t="shared" si="201"/>
        <v>-9.2405428818943189E-3</v>
      </c>
      <c r="K828" s="17">
        <f t="shared" si="202"/>
        <v>4.2331674389337517E-3</v>
      </c>
      <c r="L828" s="17">
        <f t="shared" si="203"/>
        <v>-1.4379084967320302E-2</v>
      </c>
      <c r="M828" s="17">
        <f t="shared" si="204"/>
        <v>-3.5582983193277233E-2</v>
      </c>
      <c r="N828" s="17">
        <f t="shared" si="205"/>
        <v>5.022588124233957E-3</v>
      </c>
      <c r="O828" s="17">
        <f t="shared" si="206"/>
        <v>6.972023341006761E-3</v>
      </c>
      <c r="P828" s="17">
        <f t="shared" si="207"/>
        <v>8.9684937720011584E-3</v>
      </c>
      <c r="Q828" s="22">
        <f t="shared" si="208"/>
        <v>-9.4537073198620175E-3</v>
      </c>
      <c r="R828" s="22">
        <f t="shared" si="209"/>
        <v>-9.671267595971483E-3</v>
      </c>
      <c r="S828" s="22">
        <f t="shared" si="210"/>
        <v>3.8212080520963047E-3</v>
      </c>
      <c r="T828" s="22">
        <f t="shared" si="211"/>
        <v>-1.451053647655322E-2</v>
      </c>
      <c r="U828" s="22">
        <f t="shared" si="212"/>
        <v>-3.6276211140230996E-2</v>
      </c>
      <c r="V828" s="22">
        <f t="shared" si="213"/>
        <v>5.2571919337371376E-3</v>
      </c>
      <c r="W828" s="22">
        <f t="shared" si="214"/>
        <v>7.2262718950974643E-3</v>
      </c>
      <c r="X828" s="22">
        <f t="shared" si="215"/>
        <v>9.2844381566074968E-3</v>
      </c>
    </row>
    <row r="829" spans="1:24" x14ac:dyDescent="0.35">
      <c r="A829" s="3">
        <v>14.02</v>
      </c>
      <c r="B829" s="3">
        <v>66.760000000000005</v>
      </c>
      <c r="C829" s="3">
        <v>173.24</v>
      </c>
      <c r="D829" s="3">
        <v>15.03</v>
      </c>
      <c r="E829" s="3">
        <v>74.41</v>
      </c>
      <c r="F829" s="3">
        <v>97.477625000000003</v>
      </c>
      <c r="G829" s="3">
        <v>91.826385000000002</v>
      </c>
      <c r="H829" s="3">
        <v>88.730040000000002</v>
      </c>
      <c r="I829" s="17">
        <f t="shared" si="200"/>
        <v>-1.406469760900148E-2</v>
      </c>
      <c r="J829" s="17">
        <f t="shared" si="201"/>
        <v>-2.7105800058292034E-2</v>
      </c>
      <c r="K829" s="17">
        <f t="shared" si="202"/>
        <v>-1.3158644260894345E-2</v>
      </c>
      <c r="L829" s="17">
        <f t="shared" si="203"/>
        <v>-3.3156498673740523E-3</v>
      </c>
      <c r="M829" s="17">
        <f t="shared" si="204"/>
        <v>1.3070115724982897E-2</v>
      </c>
      <c r="N829" s="17">
        <f t="shared" si="205"/>
        <v>-6.0349971898492729E-3</v>
      </c>
      <c r="O829" s="17">
        <f t="shared" si="206"/>
        <v>-8.4281097628096571E-3</v>
      </c>
      <c r="P829" s="17">
        <f t="shared" si="207"/>
        <v>-1.0990627811229713E-2</v>
      </c>
      <c r="Q829" s="22">
        <f t="shared" si="208"/>
        <v>-1.4459171479386215E-2</v>
      </c>
      <c r="R829" s="22">
        <f t="shared" si="209"/>
        <v>-2.7536524772369196E-2</v>
      </c>
      <c r="S829" s="22">
        <f t="shared" si="210"/>
        <v>-1.3570603647731792E-2</v>
      </c>
      <c r="T829" s="22">
        <f t="shared" si="211"/>
        <v>-3.4471013766069706E-3</v>
      </c>
      <c r="U829" s="22">
        <f t="shared" si="212"/>
        <v>1.2376887778029134E-2</v>
      </c>
      <c r="V829" s="22">
        <f t="shared" si="213"/>
        <v>-5.8003933803460923E-3</v>
      </c>
      <c r="W829" s="22">
        <f t="shared" si="214"/>
        <v>-8.1738612087189546E-3</v>
      </c>
      <c r="X829" s="22">
        <f t="shared" si="215"/>
        <v>-1.0674683426623375E-2</v>
      </c>
    </row>
    <row r="830" spans="1:24" x14ac:dyDescent="0.35">
      <c r="A830" s="3">
        <v>14.34</v>
      </c>
      <c r="B830" s="3">
        <v>67.8</v>
      </c>
      <c r="C830" s="3">
        <v>170.1</v>
      </c>
      <c r="D830" s="3">
        <v>15.07</v>
      </c>
      <c r="E830" s="3">
        <v>75.040000000000006</v>
      </c>
      <c r="F830" s="3">
        <v>97.120386999999994</v>
      </c>
      <c r="G830" s="3">
        <v>91.475506999999993</v>
      </c>
      <c r="H830" s="3">
        <v>88.050678000000005</v>
      </c>
      <c r="I830" s="17">
        <f t="shared" si="200"/>
        <v>2.2824536376604872E-2</v>
      </c>
      <c r="J830" s="17">
        <f t="shared" si="201"/>
        <v>1.5578190533253326E-2</v>
      </c>
      <c r="K830" s="17">
        <f t="shared" si="202"/>
        <v>-1.8125144308473878E-2</v>
      </c>
      <c r="L830" s="17">
        <f t="shared" si="203"/>
        <v>2.6613439787093098E-3</v>
      </c>
      <c r="M830" s="17">
        <f t="shared" si="204"/>
        <v>8.466603951081975E-3</v>
      </c>
      <c r="N830" s="17">
        <f t="shared" si="205"/>
        <v>-3.6648205165032434E-3</v>
      </c>
      <c r="O830" s="17">
        <f t="shared" si="206"/>
        <v>-3.8211021810344455E-3</v>
      </c>
      <c r="P830" s="17">
        <f t="shared" si="207"/>
        <v>-7.6565050573627327E-3</v>
      </c>
      <c r="Q830" s="22">
        <f t="shared" si="208"/>
        <v>2.2430062506220139E-2</v>
      </c>
      <c r="R830" s="22">
        <f t="shared" si="209"/>
        <v>1.5147465819176162E-2</v>
      </c>
      <c r="S830" s="22">
        <f t="shared" si="210"/>
        <v>-1.8537103695311325E-2</v>
      </c>
      <c r="T830" s="22">
        <f t="shared" si="211"/>
        <v>2.5298924694763915E-3</v>
      </c>
      <c r="U830" s="22">
        <f t="shared" si="212"/>
        <v>7.7733760041282128E-3</v>
      </c>
      <c r="V830" s="22">
        <f t="shared" si="213"/>
        <v>-3.4302167070000633E-3</v>
      </c>
      <c r="W830" s="22">
        <f t="shared" si="214"/>
        <v>-3.5668536269437426E-3</v>
      </c>
      <c r="X830" s="22">
        <f t="shared" si="215"/>
        <v>-7.3405606727563943E-3</v>
      </c>
    </row>
    <row r="831" spans="1:24" x14ac:dyDescent="0.35">
      <c r="A831" s="3">
        <v>13.92</v>
      </c>
      <c r="B831" s="3">
        <v>66.16</v>
      </c>
      <c r="C831" s="3">
        <v>171.46</v>
      </c>
      <c r="D831" s="3">
        <v>15.3</v>
      </c>
      <c r="E831" s="3">
        <v>75.36</v>
      </c>
      <c r="F831" s="3">
        <v>97.299808999999996</v>
      </c>
      <c r="G831" s="3">
        <v>91.734736999999996</v>
      </c>
      <c r="H831" s="3">
        <v>88.542485999999997</v>
      </c>
      <c r="I831" s="17">
        <f t="shared" si="200"/>
        <v>-2.928870292887029E-2</v>
      </c>
      <c r="J831" s="17">
        <f t="shared" si="201"/>
        <v>-2.4188790560471986E-2</v>
      </c>
      <c r="K831" s="17">
        <f t="shared" si="202"/>
        <v>7.9952968841858537E-3</v>
      </c>
      <c r="L831" s="17">
        <f t="shared" si="203"/>
        <v>1.526211015262113E-2</v>
      </c>
      <c r="M831" s="17">
        <f t="shared" si="204"/>
        <v>4.2643923240937255E-3</v>
      </c>
      <c r="N831" s="17">
        <f t="shared" si="205"/>
        <v>1.8474185033879903E-3</v>
      </c>
      <c r="O831" s="17">
        <f t="shared" si="206"/>
        <v>2.833873333984389E-3</v>
      </c>
      <c r="P831" s="17">
        <f t="shared" si="207"/>
        <v>5.5855106533079938E-3</v>
      </c>
      <c r="Q831" s="22">
        <f t="shared" si="208"/>
        <v>-2.9683176799255022E-2</v>
      </c>
      <c r="R831" s="22">
        <f t="shared" si="209"/>
        <v>-2.4619515274549149E-2</v>
      </c>
      <c r="S831" s="22">
        <f t="shared" si="210"/>
        <v>7.5833374973484071E-3</v>
      </c>
      <c r="T831" s="22">
        <f t="shared" si="211"/>
        <v>1.5130658643388212E-2</v>
      </c>
      <c r="U831" s="22">
        <f t="shared" si="212"/>
        <v>3.5711643771399629E-3</v>
      </c>
      <c r="V831" s="22">
        <f t="shared" si="213"/>
        <v>2.0820223128911707E-3</v>
      </c>
      <c r="W831" s="22">
        <f t="shared" si="214"/>
        <v>3.0881218880750919E-3</v>
      </c>
      <c r="X831" s="22">
        <f t="shared" si="215"/>
        <v>5.9014550379143322E-3</v>
      </c>
    </row>
    <row r="832" spans="1:24" x14ac:dyDescent="0.35">
      <c r="A832" s="3">
        <v>13.75</v>
      </c>
      <c r="B832" s="3">
        <v>66.930000000000007</v>
      </c>
      <c r="C832" s="3">
        <v>174.57</v>
      </c>
      <c r="D832" s="3">
        <v>15.11</v>
      </c>
      <c r="E832" s="3">
        <v>74.209999999999994</v>
      </c>
      <c r="F832" s="3">
        <v>97.264013000000006</v>
      </c>
      <c r="G832" s="3">
        <v>91.715180000000004</v>
      </c>
      <c r="H832" s="3">
        <v>88.614144999999994</v>
      </c>
      <c r="I832" s="17">
        <f t="shared" si="200"/>
        <v>-1.2212643678160915E-2</v>
      </c>
      <c r="J832" s="17">
        <f t="shared" si="201"/>
        <v>1.1638452237001365E-2</v>
      </c>
      <c r="K832" s="17">
        <f t="shared" si="202"/>
        <v>1.8138341304094162E-2</v>
      </c>
      <c r="L832" s="17">
        <f t="shared" si="203"/>
        <v>-1.2418300653594854E-2</v>
      </c>
      <c r="M832" s="17">
        <f t="shared" si="204"/>
        <v>-1.5260084925690098E-2</v>
      </c>
      <c r="N832" s="17">
        <f t="shared" si="205"/>
        <v>-3.6789383625604667E-4</v>
      </c>
      <c r="O832" s="17">
        <f t="shared" si="206"/>
        <v>-2.1319077853781639E-4</v>
      </c>
      <c r="P832" s="17">
        <f t="shared" si="207"/>
        <v>8.0931768733031521E-4</v>
      </c>
      <c r="Q832" s="22">
        <f t="shared" si="208"/>
        <v>-1.2607117548545649E-2</v>
      </c>
      <c r="R832" s="22">
        <f t="shared" si="209"/>
        <v>1.1207727522924201E-2</v>
      </c>
      <c r="S832" s="22">
        <f t="shared" si="210"/>
        <v>1.7726381917256714E-2</v>
      </c>
      <c r="T832" s="22">
        <f t="shared" si="211"/>
        <v>-1.2549752162827771E-2</v>
      </c>
      <c r="U832" s="22">
        <f t="shared" si="212"/>
        <v>-1.5953312872643861E-2</v>
      </c>
      <c r="V832" s="22">
        <f t="shared" si="213"/>
        <v>-1.3329002675286638E-4</v>
      </c>
      <c r="W832" s="22">
        <f t="shared" si="214"/>
        <v>4.1057775552886611E-5</v>
      </c>
      <c r="X832" s="22">
        <f t="shared" si="215"/>
        <v>1.125262071936654E-3</v>
      </c>
    </row>
    <row r="833" spans="1:24" x14ac:dyDescent="0.35">
      <c r="A833" s="3">
        <v>13.68</v>
      </c>
      <c r="B833" s="3">
        <v>69.08</v>
      </c>
      <c r="C833" s="3">
        <v>173.36</v>
      </c>
      <c r="D833" s="3">
        <v>15.61</v>
      </c>
      <c r="E833" s="3">
        <v>73.69</v>
      </c>
      <c r="F833" s="3">
        <v>97.214035999999993</v>
      </c>
      <c r="G833" s="3">
        <v>91.974638999999996</v>
      </c>
      <c r="H833" s="3">
        <v>88.520813000000004</v>
      </c>
      <c r="I833" s="17">
        <f t="shared" si="200"/>
        <v>-5.0909090909091112E-3</v>
      </c>
      <c r="J833" s="17">
        <f t="shared" si="201"/>
        <v>3.2123113700881389E-2</v>
      </c>
      <c r="K833" s="17">
        <f t="shared" si="202"/>
        <v>-6.9313169502204248E-3</v>
      </c>
      <c r="L833" s="17">
        <f t="shared" si="203"/>
        <v>3.3090668431502317E-2</v>
      </c>
      <c r="M833" s="17">
        <f t="shared" si="204"/>
        <v>-7.0071418946233135E-3</v>
      </c>
      <c r="N833" s="17">
        <f t="shared" si="205"/>
        <v>-5.1382827480100576E-4</v>
      </c>
      <c r="O833" s="17">
        <f t="shared" si="206"/>
        <v>2.8289646272295658E-3</v>
      </c>
      <c r="P833" s="17">
        <f t="shared" si="207"/>
        <v>-1.0532404279247917E-3</v>
      </c>
      <c r="Q833" s="22">
        <f t="shared" si="208"/>
        <v>-5.4853829612938445E-3</v>
      </c>
      <c r="R833" s="22">
        <f t="shared" si="209"/>
        <v>3.1692388986804224E-2</v>
      </c>
      <c r="S833" s="22">
        <f t="shared" si="210"/>
        <v>-7.3432763370578713E-3</v>
      </c>
      <c r="T833" s="22">
        <f t="shared" si="211"/>
        <v>3.2959216922269399E-2</v>
      </c>
      <c r="U833" s="22">
        <f t="shared" si="212"/>
        <v>-7.7003698415770757E-3</v>
      </c>
      <c r="V833" s="22">
        <f t="shared" si="213"/>
        <v>-2.7922446529782545E-4</v>
      </c>
      <c r="W833" s="22">
        <f t="shared" si="214"/>
        <v>3.0832131813202687E-3</v>
      </c>
      <c r="X833" s="22">
        <f t="shared" si="215"/>
        <v>-7.3729604331845291E-4</v>
      </c>
    </row>
    <row r="834" spans="1:24" x14ac:dyDescent="0.35">
      <c r="A834" s="3">
        <v>14.04</v>
      </c>
      <c r="B834" s="3">
        <v>70.989999999999995</v>
      </c>
      <c r="C834" s="3">
        <v>181.08</v>
      </c>
      <c r="D834" s="3">
        <v>15.83</v>
      </c>
      <c r="E834" s="3">
        <v>74.23</v>
      </c>
      <c r="F834" s="3">
        <v>97.661077000000006</v>
      </c>
      <c r="G834" s="3">
        <v>92.565657999999999</v>
      </c>
      <c r="H834" s="3">
        <v>89.369793000000001</v>
      </c>
      <c r="I834" s="17">
        <f t="shared" si="200"/>
        <v>2.6315789473684171E-2</v>
      </c>
      <c r="J834" s="17">
        <f t="shared" si="201"/>
        <v>2.7649102489866774E-2</v>
      </c>
      <c r="K834" s="17">
        <f t="shared" si="202"/>
        <v>4.453161052145823E-2</v>
      </c>
      <c r="L834" s="17">
        <f t="shared" si="203"/>
        <v>1.4093529788597094E-2</v>
      </c>
      <c r="M834" s="17">
        <f t="shared" si="204"/>
        <v>7.3279956574841395E-3</v>
      </c>
      <c r="N834" s="17">
        <f t="shared" si="205"/>
        <v>4.5985232009091047E-3</v>
      </c>
      <c r="O834" s="17">
        <f t="shared" si="206"/>
        <v>6.4258909458726208E-3</v>
      </c>
      <c r="P834" s="17">
        <f t="shared" si="207"/>
        <v>9.5907388469195082E-3</v>
      </c>
      <c r="Q834" s="22">
        <f t="shared" si="208"/>
        <v>2.5921315603299439E-2</v>
      </c>
      <c r="R834" s="22">
        <f t="shared" si="209"/>
        <v>2.7218377775789612E-2</v>
      </c>
      <c r="S834" s="22">
        <f t="shared" si="210"/>
        <v>4.4119651134620783E-2</v>
      </c>
      <c r="T834" s="22">
        <f t="shared" si="211"/>
        <v>1.3962078279364177E-2</v>
      </c>
      <c r="U834" s="22">
        <f t="shared" si="212"/>
        <v>6.6347677105303773E-3</v>
      </c>
      <c r="V834" s="22">
        <f t="shared" si="213"/>
        <v>4.8331270104122852E-3</v>
      </c>
      <c r="W834" s="22">
        <f t="shared" si="214"/>
        <v>6.6801394999633241E-3</v>
      </c>
      <c r="X834" s="22">
        <f t="shared" si="215"/>
        <v>9.9066832315258466E-3</v>
      </c>
    </row>
    <row r="835" spans="1:24" x14ac:dyDescent="0.35">
      <c r="A835" s="3">
        <v>14.04</v>
      </c>
      <c r="B835" s="3">
        <v>69.290000000000006</v>
      </c>
      <c r="C835" s="3">
        <v>178</v>
      </c>
      <c r="D835" s="3">
        <v>15.85</v>
      </c>
      <c r="E835" s="3">
        <v>77.099999999999994</v>
      </c>
      <c r="F835" s="3">
        <v>97.648992000000007</v>
      </c>
      <c r="G835" s="3">
        <v>92.259454000000005</v>
      </c>
      <c r="H835" s="3">
        <v>89.275109999999998</v>
      </c>
      <c r="I835" s="17">
        <f t="shared" si="200"/>
        <v>0</v>
      </c>
      <c r="J835" s="17">
        <f t="shared" si="201"/>
        <v>-2.3947034793632749E-2</v>
      </c>
      <c r="K835" s="17">
        <f t="shared" si="202"/>
        <v>-1.7009056770488251E-2</v>
      </c>
      <c r="L835" s="17">
        <f t="shared" si="203"/>
        <v>1.2634238787112807E-3</v>
      </c>
      <c r="M835" s="17">
        <f t="shared" si="204"/>
        <v>3.8663613094436076E-2</v>
      </c>
      <c r="N835" s="17">
        <f t="shared" si="205"/>
        <v>-1.2374428350814739E-4</v>
      </c>
      <c r="O835" s="17">
        <f t="shared" si="206"/>
        <v>-3.3079654659830099E-3</v>
      </c>
      <c r="P835" s="17">
        <f t="shared" si="207"/>
        <v>-1.0594519336080751E-3</v>
      </c>
      <c r="Q835" s="22">
        <f t="shared" si="208"/>
        <v>-3.9447387038473331E-4</v>
      </c>
      <c r="R835" s="22">
        <f t="shared" si="209"/>
        <v>-2.4377759507709911E-2</v>
      </c>
      <c r="S835" s="22">
        <f t="shared" si="210"/>
        <v>-1.7421016157325699E-2</v>
      </c>
      <c r="T835" s="22">
        <f t="shared" si="211"/>
        <v>1.1319723694783624E-3</v>
      </c>
      <c r="U835" s="22">
        <f t="shared" si="212"/>
        <v>3.7970385147482313E-2</v>
      </c>
      <c r="V835" s="22">
        <f t="shared" si="213"/>
        <v>1.1085952599503289E-4</v>
      </c>
      <c r="W835" s="22">
        <f t="shared" si="214"/>
        <v>-3.053716911892307E-3</v>
      </c>
      <c r="X835" s="22">
        <f t="shared" si="215"/>
        <v>-7.4350754900173624E-4</v>
      </c>
    </row>
    <row r="836" spans="1:24" x14ac:dyDescent="0.35">
      <c r="A836" s="3">
        <v>13.79</v>
      </c>
      <c r="B836" s="3">
        <v>69.540000000000006</v>
      </c>
      <c r="C836" s="3">
        <v>174.73</v>
      </c>
      <c r="D836" s="3">
        <v>15.65</v>
      </c>
      <c r="E836" s="3">
        <v>74.59</v>
      </c>
      <c r="F836" s="3">
        <v>97.484009999999998</v>
      </c>
      <c r="G836" s="3">
        <v>92.331292000000005</v>
      </c>
      <c r="H836" s="3">
        <v>89.003687999999997</v>
      </c>
      <c r="I836" s="17">
        <f t="shared" ref="I836:I899" si="216">(A836-A835)/A835</f>
        <v>-1.7806267806267807E-2</v>
      </c>
      <c r="J836" s="17">
        <f t="shared" ref="J836:J899" si="217">(B836-B835)/B835</f>
        <v>3.6080242459229322E-3</v>
      </c>
      <c r="K836" s="17">
        <f t="shared" ref="K836:K899" si="218">(C836-C835)/C835</f>
        <v>-1.837078651685399E-2</v>
      </c>
      <c r="L836" s="17">
        <f t="shared" ref="L836:L899" si="219">(D836-D835)/D835</f>
        <v>-1.2618296529968411E-2</v>
      </c>
      <c r="M836" s="17">
        <f t="shared" ref="M836:M899" si="220">(E836-E835)/E835</f>
        <v>-3.25551232166017E-2</v>
      </c>
      <c r="N836" s="17">
        <f t="shared" ref="N836:N899" si="221">(F836-F835)/F835</f>
        <v>-1.6895412499497082E-3</v>
      </c>
      <c r="O836" s="17">
        <f t="shared" ref="O836:O899" si="222">(G836-G835)/G835</f>
        <v>7.786519092124653E-4</v>
      </c>
      <c r="P836" s="17">
        <f t="shared" ref="P836:P899" si="223">(H836-H835)/H835</f>
        <v>-3.0402874888644906E-3</v>
      </c>
      <c r="Q836" s="22">
        <f t="shared" si="208"/>
        <v>-1.8200741676652539E-2</v>
      </c>
      <c r="R836" s="22">
        <f t="shared" si="209"/>
        <v>3.1772995318457686E-3</v>
      </c>
      <c r="S836" s="22">
        <f t="shared" si="210"/>
        <v>-1.8782745903691438E-2</v>
      </c>
      <c r="T836" s="22">
        <f t="shared" si="211"/>
        <v>-1.2749748039201328E-2</v>
      </c>
      <c r="U836" s="22">
        <f t="shared" si="212"/>
        <v>-3.3248351163555463E-2</v>
      </c>
      <c r="V836" s="22">
        <f t="shared" si="213"/>
        <v>-1.4549374404465279E-3</v>
      </c>
      <c r="W836" s="22">
        <f t="shared" si="214"/>
        <v>1.0329004633031682E-3</v>
      </c>
      <c r="X836" s="22">
        <f t="shared" si="215"/>
        <v>-2.7243431042581518E-3</v>
      </c>
    </row>
    <row r="837" spans="1:24" x14ac:dyDescent="0.35">
      <c r="A837" s="3">
        <v>14.1</v>
      </c>
      <c r="B837" s="3">
        <v>70.5</v>
      </c>
      <c r="C837" s="3">
        <v>175.09</v>
      </c>
      <c r="D837" s="3">
        <v>15.74</v>
      </c>
      <c r="E837" s="3">
        <v>74.27</v>
      </c>
      <c r="F837" s="3">
        <v>97.372534000000002</v>
      </c>
      <c r="G837" s="3">
        <v>92.076205999999999</v>
      </c>
      <c r="H837" s="3">
        <v>88.957687000000007</v>
      </c>
      <c r="I837" s="17">
        <f t="shared" si="216"/>
        <v>2.2480058013052976E-2</v>
      </c>
      <c r="J837" s="17">
        <f t="shared" si="217"/>
        <v>1.3805004314063757E-2</v>
      </c>
      <c r="K837" s="17">
        <f t="shared" si="218"/>
        <v>2.0603216391004045E-3</v>
      </c>
      <c r="L837" s="17">
        <f t="shared" si="219"/>
        <v>5.7507987220447188E-3</v>
      </c>
      <c r="M837" s="17">
        <f t="shared" si="220"/>
        <v>-4.2901193189436573E-3</v>
      </c>
      <c r="N837" s="17">
        <f t="shared" si="221"/>
        <v>-1.1435311288486812E-3</v>
      </c>
      <c r="O837" s="17">
        <f t="shared" si="222"/>
        <v>-2.7627253390974499E-3</v>
      </c>
      <c r="P837" s="17">
        <f t="shared" si="223"/>
        <v>-5.1684375146330728E-4</v>
      </c>
      <c r="Q837" s="22">
        <f t="shared" ref="Q837:Q900" si="224">I837-AB$2</f>
        <v>2.2085584142668244E-2</v>
      </c>
      <c r="R837" s="22">
        <f t="shared" ref="R837:R900" si="225">J837-AC$2</f>
        <v>1.3374279599986593E-2</v>
      </c>
      <c r="S837" s="22">
        <f t="shared" ref="S837:S900" si="226">K837-AD$2</f>
        <v>1.6483622522629575E-3</v>
      </c>
      <c r="T837" s="22">
        <f t="shared" ref="T837:T900" si="227">L837-AE$2</f>
        <v>5.6193472128118005E-3</v>
      </c>
      <c r="U837" s="22">
        <f t="shared" ref="U837:U900" si="228">M837-AF$2</f>
        <v>-4.9833472658974195E-3</v>
      </c>
      <c r="V837" s="22">
        <f t="shared" ref="V837:V900" si="229">N837-AG$2</f>
        <v>-9.0892731934550091E-4</v>
      </c>
      <c r="W837" s="22">
        <f t="shared" ref="W837:W900" si="230">O837-AH$2</f>
        <v>-2.508476785006747E-3</v>
      </c>
      <c r="X837" s="22">
        <f t="shared" ref="X837:X900" si="231">P837-AI$2</f>
        <v>-2.0089936685696851E-4</v>
      </c>
    </row>
    <row r="838" spans="1:24" x14ac:dyDescent="0.35">
      <c r="A838" s="3">
        <v>14.14</v>
      </c>
      <c r="B838" s="3">
        <v>68.92</v>
      </c>
      <c r="C838" s="3">
        <v>173.2</v>
      </c>
      <c r="D838" s="3">
        <v>16.18</v>
      </c>
      <c r="E838" s="3">
        <v>73.5</v>
      </c>
      <c r="F838" s="3">
        <v>97.133150000000001</v>
      </c>
      <c r="G838" s="3">
        <v>91.913639000000003</v>
      </c>
      <c r="H838" s="3">
        <v>88.629912000000004</v>
      </c>
      <c r="I838" s="17">
        <f t="shared" si="216"/>
        <v>2.8368794326241792E-3</v>
      </c>
      <c r="J838" s="17">
        <f t="shared" si="217"/>
        <v>-2.2411347517730471E-2</v>
      </c>
      <c r="K838" s="17">
        <f t="shared" si="218"/>
        <v>-1.0794448569307297E-2</v>
      </c>
      <c r="L838" s="17">
        <f t="shared" si="219"/>
        <v>2.7954256670902129E-2</v>
      </c>
      <c r="M838" s="17">
        <f t="shared" si="220"/>
        <v>-1.0367577756833123E-2</v>
      </c>
      <c r="N838" s="17">
        <f t="shared" si="221"/>
        <v>-2.458434531446015E-3</v>
      </c>
      <c r="O838" s="17">
        <f t="shared" si="222"/>
        <v>-1.765570140889555E-3</v>
      </c>
      <c r="P838" s="17">
        <f t="shared" si="223"/>
        <v>-3.6846169347906107E-3</v>
      </c>
      <c r="Q838" s="22">
        <f t="shared" si="224"/>
        <v>2.4424055622394459E-3</v>
      </c>
      <c r="R838" s="22">
        <f t="shared" si="225"/>
        <v>-2.2842072231807634E-2</v>
      </c>
      <c r="S838" s="22">
        <f t="shared" si="226"/>
        <v>-1.1206407956144745E-2</v>
      </c>
      <c r="T838" s="22">
        <f t="shared" si="227"/>
        <v>2.7822805161669212E-2</v>
      </c>
      <c r="U838" s="22">
        <f t="shared" si="228"/>
        <v>-1.1060805703786886E-2</v>
      </c>
      <c r="V838" s="22">
        <f t="shared" si="229"/>
        <v>-2.2238307219428349E-3</v>
      </c>
      <c r="W838" s="22">
        <f t="shared" si="230"/>
        <v>-1.5113215867988521E-3</v>
      </c>
      <c r="X838" s="22">
        <f t="shared" si="231"/>
        <v>-3.3686725501842719E-3</v>
      </c>
    </row>
    <row r="839" spans="1:24" x14ac:dyDescent="0.35">
      <c r="A839" s="3">
        <v>13.82</v>
      </c>
      <c r="B839" s="3">
        <v>70.53</v>
      </c>
      <c r="C839" s="3">
        <v>169.22</v>
      </c>
      <c r="D839" s="3">
        <v>16.55</v>
      </c>
      <c r="E839" s="3">
        <v>73.19</v>
      </c>
      <c r="F839" s="3">
        <v>97.337931999999995</v>
      </c>
      <c r="G839" s="3">
        <v>92.150577999999996</v>
      </c>
      <c r="H839" s="3">
        <v>88.912053999999998</v>
      </c>
      <c r="I839" s="17">
        <f t="shared" si="216"/>
        <v>-2.2630834512022649E-2</v>
      </c>
      <c r="J839" s="17">
        <f t="shared" si="217"/>
        <v>2.3360417875798019E-2</v>
      </c>
      <c r="K839" s="17">
        <f t="shared" si="218"/>
        <v>-2.2979214780600405E-2</v>
      </c>
      <c r="L839" s="17">
        <f t="shared" si="219"/>
        <v>2.2867737948084117E-2</v>
      </c>
      <c r="M839" s="17">
        <f t="shared" si="220"/>
        <v>-4.2176870748299629E-3</v>
      </c>
      <c r="N839" s="17">
        <f t="shared" si="221"/>
        <v>2.1082606710478807E-3</v>
      </c>
      <c r="O839" s="17">
        <f t="shared" si="222"/>
        <v>2.5778437517852216E-3</v>
      </c>
      <c r="P839" s="17">
        <f t="shared" si="223"/>
        <v>3.183372223138315E-3</v>
      </c>
      <c r="Q839" s="22">
        <f t="shared" si="224"/>
        <v>-2.3025308382407381E-2</v>
      </c>
      <c r="R839" s="22">
        <f t="shared" si="225"/>
        <v>2.2929693161720856E-2</v>
      </c>
      <c r="S839" s="22">
        <f t="shared" si="226"/>
        <v>-2.3391174167437852E-2</v>
      </c>
      <c r="T839" s="22">
        <f t="shared" si="227"/>
        <v>2.27362864388512E-2</v>
      </c>
      <c r="U839" s="22">
        <f t="shared" si="228"/>
        <v>-4.9109150217837251E-3</v>
      </c>
      <c r="V839" s="22">
        <f t="shared" si="229"/>
        <v>2.3428644805510608E-3</v>
      </c>
      <c r="W839" s="22">
        <f t="shared" si="230"/>
        <v>2.8320923058759244E-3</v>
      </c>
      <c r="X839" s="22">
        <f t="shared" si="231"/>
        <v>3.4993166077446538E-3</v>
      </c>
    </row>
    <row r="840" spans="1:24" x14ac:dyDescent="0.35">
      <c r="A840" s="3">
        <v>13.57</v>
      </c>
      <c r="B840" s="3">
        <v>71.78</v>
      </c>
      <c r="C840" s="3">
        <v>169.55</v>
      </c>
      <c r="D840" s="3">
        <v>16.309999999999999</v>
      </c>
      <c r="E840" s="3">
        <v>71.760000000000005</v>
      </c>
      <c r="F840" s="3">
        <v>97.516347999999994</v>
      </c>
      <c r="G840" s="3">
        <v>92.175381999999999</v>
      </c>
      <c r="H840" s="3">
        <v>89.171028000000007</v>
      </c>
      <c r="I840" s="17">
        <f t="shared" si="216"/>
        <v>-1.8089725036179449E-2</v>
      </c>
      <c r="J840" s="17">
        <f t="shared" si="217"/>
        <v>1.7722954771019424E-2</v>
      </c>
      <c r="K840" s="17">
        <f t="shared" si="218"/>
        <v>1.9501240988063617E-3</v>
      </c>
      <c r="L840" s="17">
        <f t="shared" si="219"/>
        <v>-1.4501510574018247E-2</v>
      </c>
      <c r="M840" s="17">
        <f t="shared" si="220"/>
        <v>-1.9538188277086935E-2</v>
      </c>
      <c r="N840" s="17">
        <f t="shared" si="221"/>
        <v>1.8329544950677458E-3</v>
      </c>
      <c r="O840" s="17">
        <f t="shared" si="222"/>
        <v>2.6916814347060478E-4</v>
      </c>
      <c r="P840" s="17">
        <f t="shared" si="223"/>
        <v>2.912698428944282E-3</v>
      </c>
      <c r="Q840" s="22">
        <f t="shared" si="224"/>
        <v>-1.8484198906564182E-2</v>
      </c>
      <c r="R840" s="22">
        <f t="shared" si="225"/>
        <v>1.7292230056942262E-2</v>
      </c>
      <c r="S840" s="22">
        <f t="shared" si="226"/>
        <v>1.5381647119689147E-3</v>
      </c>
      <c r="T840" s="22">
        <f t="shared" si="227"/>
        <v>-1.4632962083251164E-2</v>
      </c>
      <c r="U840" s="22">
        <f t="shared" si="228"/>
        <v>-2.0231416224040698E-2</v>
      </c>
      <c r="V840" s="22">
        <f t="shared" si="229"/>
        <v>2.0675583045709259E-3</v>
      </c>
      <c r="W840" s="22">
        <f t="shared" si="230"/>
        <v>5.2341669756130783E-4</v>
      </c>
      <c r="X840" s="22">
        <f t="shared" si="231"/>
        <v>3.2286428135506209E-3</v>
      </c>
    </row>
    <row r="841" spans="1:24" x14ac:dyDescent="0.35">
      <c r="A841" s="3">
        <v>13.31</v>
      </c>
      <c r="B841" s="3">
        <v>72.5</v>
      </c>
      <c r="C841" s="3">
        <v>172.6</v>
      </c>
      <c r="D841" s="3">
        <v>16.059999999999999</v>
      </c>
      <c r="E841" s="3">
        <v>72.05</v>
      </c>
      <c r="F841" s="3">
        <v>98.052728000000002</v>
      </c>
      <c r="G841" s="3">
        <v>92.766848999999993</v>
      </c>
      <c r="H841" s="3">
        <v>90.012333999999996</v>
      </c>
      <c r="I841" s="17">
        <f t="shared" si="216"/>
        <v>-1.9159911569638893E-2</v>
      </c>
      <c r="J841" s="17">
        <f t="shared" si="217"/>
        <v>1.0030649205906923E-2</v>
      </c>
      <c r="K841" s="17">
        <f t="shared" si="218"/>
        <v>1.7988793866116088E-2</v>
      </c>
      <c r="L841" s="17">
        <f t="shared" si="219"/>
        <v>-1.5328019619865114E-2</v>
      </c>
      <c r="M841" s="17">
        <f t="shared" si="220"/>
        <v>4.0412486064658869E-3</v>
      </c>
      <c r="N841" s="17">
        <f t="shared" si="221"/>
        <v>5.5004110695368565E-3</v>
      </c>
      <c r="O841" s="17">
        <f t="shared" si="222"/>
        <v>6.4167566997443467E-3</v>
      </c>
      <c r="P841" s="17">
        <f t="shared" si="223"/>
        <v>9.4347460029280891E-3</v>
      </c>
      <c r="Q841" s="22">
        <f t="shared" si="224"/>
        <v>-1.9554385440023626E-2</v>
      </c>
      <c r="R841" s="22">
        <f t="shared" si="225"/>
        <v>9.5999244918297585E-3</v>
      </c>
      <c r="S841" s="22">
        <f t="shared" si="226"/>
        <v>1.7576834479278641E-2</v>
      </c>
      <c r="T841" s="22">
        <f t="shared" si="227"/>
        <v>-1.5459471129098032E-2</v>
      </c>
      <c r="U841" s="22">
        <f t="shared" si="228"/>
        <v>3.3480206595121243E-3</v>
      </c>
      <c r="V841" s="22">
        <f t="shared" si="229"/>
        <v>5.735014879040037E-3</v>
      </c>
      <c r="W841" s="22">
        <f t="shared" si="230"/>
        <v>6.67100525383505E-3</v>
      </c>
      <c r="X841" s="22">
        <f t="shared" si="231"/>
        <v>9.7506903875344275E-3</v>
      </c>
    </row>
    <row r="842" spans="1:24" x14ac:dyDescent="0.35">
      <c r="A842" s="3">
        <v>13.63</v>
      </c>
      <c r="B842" s="3">
        <v>70.069999999999993</v>
      </c>
      <c r="C842" s="3">
        <v>173.33</v>
      </c>
      <c r="D842" s="3">
        <v>16.45</v>
      </c>
      <c r="E842" s="3">
        <v>73.08</v>
      </c>
      <c r="F842" s="3">
        <v>99.078255999999996</v>
      </c>
      <c r="G842" s="3">
        <v>93.312226999999993</v>
      </c>
      <c r="H842" s="3">
        <v>90.875103999999993</v>
      </c>
      <c r="I842" s="17">
        <f t="shared" si="216"/>
        <v>2.404207362885051E-2</v>
      </c>
      <c r="J842" s="17">
        <f t="shared" si="217"/>
        <v>-3.351724137931044E-2</v>
      </c>
      <c r="K842" s="17">
        <f t="shared" si="218"/>
        <v>4.2294322132098387E-3</v>
      </c>
      <c r="L842" s="17">
        <f t="shared" si="219"/>
        <v>2.4283935242839391E-2</v>
      </c>
      <c r="M842" s="17">
        <f t="shared" si="220"/>
        <v>1.4295628036086068E-2</v>
      </c>
      <c r="N842" s="17">
        <f t="shared" si="221"/>
        <v>1.0458944089755404E-2</v>
      </c>
      <c r="O842" s="17">
        <f t="shared" si="222"/>
        <v>5.8790182686920787E-3</v>
      </c>
      <c r="P842" s="17">
        <f t="shared" si="223"/>
        <v>9.5850197596253611E-3</v>
      </c>
      <c r="Q842" s="22">
        <f t="shared" si="224"/>
        <v>2.3647599758465778E-2</v>
      </c>
      <c r="R842" s="22">
        <f t="shared" si="225"/>
        <v>-3.3947966093387606E-2</v>
      </c>
      <c r="S842" s="22">
        <f t="shared" si="226"/>
        <v>3.8174728263723917E-3</v>
      </c>
      <c r="T842" s="22">
        <f t="shared" si="227"/>
        <v>2.4152483733606473E-2</v>
      </c>
      <c r="U842" s="22">
        <f t="shared" si="228"/>
        <v>1.3602400089132305E-2</v>
      </c>
      <c r="V842" s="22">
        <f t="shared" si="229"/>
        <v>1.0693547899258584E-2</v>
      </c>
      <c r="W842" s="22">
        <f t="shared" si="230"/>
        <v>6.1332668227827821E-3</v>
      </c>
      <c r="X842" s="22">
        <f t="shared" si="231"/>
        <v>9.9009641442316994E-3</v>
      </c>
    </row>
    <row r="843" spans="1:24" x14ac:dyDescent="0.35">
      <c r="A843" s="3">
        <v>13.4</v>
      </c>
      <c r="B843" s="3">
        <v>69.77</v>
      </c>
      <c r="C843" s="3">
        <v>173.07</v>
      </c>
      <c r="D843" s="3">
        <v>16.690000000000001</v>
      </c>
      <c r="E843" s="3">
        <v>73.72</v>
      </c>
      <c r="F843" s="3">
        <v>99.142814999999999</v>
      </c>
      <c r="G843" s="3">
        <v>94.100791000000001</v>
      </c>
      <c r="H843" s="3">
        <v>91.626474000000002</v>
      </c>
      <c r="I843" s="17">
        <f t="shared" si="216"/>
        <v>-1.6874541452677947E-2</v>
      </c>
      <c r="J843" s="17">
        <f t="shared" si="217"/>
        <v>-4.2814328528613839E-3</v>
      </c>
      <c r="K843" s="17">
        <f t="shared" si="218"/>
        <v>-1.5000288467087019E-3</v>
      </c>
      <c r="L843" s="17">
        <f t="shared" si="219"/>
        <v>1.4589665653495563E-2</v>
      </c>
      <c r="M843" s="17">
        <f t="shared" si="220"/>
        <v>8.7575259989053165E-3</v>
      </c>
      <c r="N843" s="17">
        <f t="shared" si="221"/>
        <v>6.5159604747183576E-4</v>
      </c>
      <c r="O843" s="17">
        <f t="shared" si="222"/>
        <v>8.4508110603769872E-3</v>
      </c>
      <c r="P843" s="17">
        <f t="shared" si="223"/>
        <v>8.2681611016369085E-3</v>
      </c>
      <c r="Q843" s="22">
        <f t="shared" si="224"/>
        <v>-1.7269015323062679E-2</v>
      </c>
      <c r="R843" s="22">
        <f t="shared" si="225"/>
        <v>-4.7121575669385471E-3</v>
      </c>
      <c r="S843" s="22">
        <f t="shared" si="226"/>
        <v>-1.9119882335461489E-3</v>
      </c>
      <c r="T843" s="22">
        <f t="shared" si="227"/>
        <v>1.4458214144262646E-2</v>
      </c>
      <c r="U843" s="22">
        <f t="shared" si="228"/>
        <v>8.0642980519515534E-3</v>
      </c>
      <c r="V843" s="22">
        <f t="shared" si="229"/>
        <v>8.8619985697501607E-4</v>
      </c>
      <c r="W843" s="22">
        <f t="shared" si="230"/>
        <v>8.7050596144676896E-3</v>
      </c>
      <c r="X843" s="22">
        <f t="shared" si="231"/>
        <v>8.5841054862432469E-3</v>
      </c>
    </row>
    <row r="844" spans="1:24" x14ac:dyDescent="0.35">
      <c r="A844" s="3">
        <v>13.19</v>
      </c>
      <c r="B844" s="3">
        <v>71.14</v>
      </c>
      <c r="C844" s="3">
        <v>173.27</v>
      </c>
      <c r="D844" s="3">
        <v>16.600000000000001</v>
      </c>
      <c r="E844" s="3">
        <v>72.739999999999995</v>
      </c>
      <c r="F844" s="3">
        <v>99.091385000000002</v>
      </c>
      <c r="G844" s="3">
        <v>94.029252999999997</v>
      </c>
      <c r="H844" s="3">
        <v>91.528304000000006</v>
      </c>
      <c r="I844" s="17">
        <f t="shared" si="216"/>
        <v>-1.5671641791044841E-2</v>
      </c>
      <c r="J844" s="17">
        <f t="shared" si="217"/>
        <v>1.963594668195506E-2</v>
      </c>
      <c r="K844" s="17">
        <f t="shared" si="218"/>
        <v>1.1556017796268392E-3</v>
      </c>
      <c r="L844" s="17">
        <f t="shared" si="219"/>
        <v>-5.3924505692031065E-3</v>
      </c>
      <c r="M844" s="17">
        <f t="shared" si="220"/>
        <v>-1.3293543136191048E-2</v>
      </c>
      <c r="N844" s="17">
        <f t="shared" si="221"/>
        <v>-5.1874661819917376E-4</v>
      </c>
      <c r="O844" s="17">
        <f t="shared" si="222"/>
        <v>-7.6022740340199555E-4</v>
      </c>
      <c r="P844" s="17">
        <f t="shared" si="223"/>
        <v>-1.0714152331126056E-3</v>
      </c>
      <c r="Q844" s="22">
        <f t="shared" si="224"/>
        <v>-1.6066115661429573E-2</v>
      </c>
      <c r="R844" s="22">
        <f t="shared" si="225"/>
        <v>1.9205221967877897E-2</v>
      </c>
      <c r="S844" s="22">
        <f t="shared" si="226"/>
        <v>7.4364239278939225E-4</v>
      </c>
      <c r="T844" s="22">
        <f t="shared" si="227"/>
        <v>-5.5239020784360248E-3</v>
      </c>
      <c r="U844" s="22">
        <f t="shared" si="228"/>
        <v>-1.3986771083144811E-2</v>
      </c>
      <c r="V844" s="22">
        <f t="shared" si="229"/>
        <v>-2.8414280869599345E-4</v>
      </c>
      <c r="W844" s="22">
        <f t="shared" si="230"/>
        <v>-5.0597884931129255E-4</v>
      </c>
      <c r="X844" s="22">
        <f t="shared" si="231"/>
        <v>-7.5547084850626682E-4</v>
      </c>
    </row>
    <row r="845" spans="1:24" x14ac:dyDescent="0.35">
      <c r="A845" s="3">
        <v>13.11</v>
      </c>
      <c r="B845" s="3">
        <v>70.95</v>
      </c>
      <c r="C845" s="3">
        <v>175.11</v>
      </c>
      <c r="D845" s="3">
        <v>16.66</v>
      </c>
      <c r="E845" s="3">
        <v>73.599999999999994</v>
      </c>
      <c r="F845" s="3">
        <v>98.962986999999998</v>
      </c>
      <c r="G845" s="3">
        <v>93.957899999999995</v>
      </c>
      <c r="H845" s="3">
        <v>91.369696000000005</v>
      </c>
      <c r="I845" s="17">
        <f t="shared" si="216"/>
        <v>-6.0652009097801425E-3</v>
      </c>
      <c r="J845" s="17">
        <f t="shared" si="217"/>
        <v>-2.6707899915658943E-3</v>
      </c>
      <c r="K845" s="17">
        <f t="shared" si="218"/>
        <v>1.0619264731344164E-2</v>
      </c>
      <c r="L845" s="17">
        <f t="shared" si="219"/>
        <v>3.6144578313252237E-3</v>
      </c>
      <c r="M845" s="17">
        <f t="shared" si="220"/>
        <v>1.1822930987077254E-2</v>
      </c>
      <c r="N845" s="17">
        <f t="shared" si="221"/>
        <v>-1.2957534098449045E-3</v>
      </c>
      <c r="O845" s="17">
        <f t="shared" si="222"/>
        <v>-7.5883831598664306E-4</v>
      </c>
      <c r="P845" s="17">
        <f t="shared" si="223"/>
        <v>-1.7328847260187511E-3</v>
      </c>
      <c r="Q845" s="22">
        <f t="shared" si="224"/>
        <v>-6.4596747801648757E-3</v>
      </c>
      <c r="R845" s="22">
        <f t="shared" si="225"/>
        <v>-3.101514705643058E-3</v>
      </c>
      <c r="S845" s="22">
        <f t="shared" si="226"/>
        <v>1.0207305344506716E-2</v>
      </c>
      <c r="T845" s="22">
        <f t="shared" si="227"/>
        <v>3.4830063220923054E-3</v>
      </c>
      <c r="U845" s="22">
        <f t="shared" si="228"/>
        <v>1.1129703040123491E-2</v>
      </c>
      <c r="V845" s="22">
        <f t="shared" si="229"/>
        <v>-1.0611496003417242E-3</v>
      </c>
      <c r="W845" s="22">
        <f t="shared" si="230"/>
        <v>-5.0458976189594006E-4</v>
      </c>
      <c r="X845" s="22">
        <f t="shared" si="231"/>
        <v>-1.4169403414124122E-3</v>
      </c>
    </row>
    <row r="846" spans="1:24" x14ac:dyDescent="0.35">
      <c r="A846" s="3">
        <v>13.23</v>
      </c>
      <c r="B846" s="3">
        <v>72.59</v>
      </c>
      <c r="C846" s="3">
        <v>175.25</v>
      </c>
      <c r="D846" s="3">
        <v>17.02</v>
      </c>
      <c r="E846" s="3">
        <v>73.180000000000007</v>
      </c>
      <c r="F846" s="3">
        <v>99.040955999999994</v>
      </c>
      <c r="G846" s="3">
        <v>93.935687999999999</v>
      </c>
      <c r="H846" s="3">
        <v>91.380189000000001</v>
      </c>
      <c r="I846" s="17">
        <f t="shared" si="216"/>
        <v>9.15331807780328E-3</v>
      </c>
      <c r="J846" s="17">
        <f t="shared" si="217"/>
        <v>2.3114869626497541E-2</v>
      </c>
      <c r="K846" s="17">
        <f t="shared" si="218"/>
        <v>7.9949745874014248E-4</v>
      </c>
      <c r="L846" s="17">
        <f t="shared" si="219"/>
        <v>2.160864345738292E-2</v>
      </c>
      <c r="M846" s="17">
        <f t="shared" si="220"/>
        <v>-5.7065217391302657E-3</v>
      </c>
      <c r="N846" s="17">
        <f t="shared" si="221"/>
        <v>7.878602128288222E-4</v>
      </c>
      <c r="O846" s="17">
        <f t="shared" si="222"/>
        <v>-2.3640375104164871E-4</v>
      </c>
      <c r="P846" s="17">
        <f t="shared" si="223"/>
        <v>1.1484113945171444E-4</v>
      </c>
      <c r="Q846" s="22">
        <f t="shared" si="224"/>
        <v>8.7588442074185459E-3</v>
      </c>
      <c r="R846" s="22">
        <f t="shared" si="225"/>
        <v>2.2684144912420379E-2</v>
      </c>
      <c r="S846" s="22">
        <f t="shared" si="226"/>
        <v>3.8753807190269554E-4</v>
      </c>
      <c r="T846" s="22">
        <f t="shared" si="227"/>
        <v>2.1477191948150003E-2</v>
      </c>
      <c r="U846" s="22">
        <f t="shared" si="228"/>
        <v>-6.3997496860840278E-3</v>
      </c>
      <c r="V846" s="22">
        <f t="shared" si="229"/>
        <v>1.0224640223320024E-3</v>
      </c>
      <c r="W846" s="22">
        <f t="shared" si="230"/>
        <v>1.7844803049054298E-5</v>
      </c>
      <c r="X846" s="22">
        <f t="shared" si="231"/>
        <v>4.3078552405805318E-4</v>
      </c>
    </row>
    <row r="847" spans="1:24" x14ac:dyDescent="0.35">
      <c r="A847" s="3">
        <v>13.29</v>
      </c>
      <c r="B847" s="3">
        <v>69.95</v>
      </c>
      <c r="C847" s="3">
        <v>175.73</v>
      </c>
      <c r="D847" s="3">
        <v>16.989999999999998</v>
      </c>
      <c r="E847" s="3">
        <v>70.95</v>
      </c>
      <c r="F847" s="3">
        <v>98.759782999999999</v>
      </c>
      <c r="G847" s="3">
        <v>93.531813999999997</v>
      </c>
      <c r="H847" s="3">
        <v>90.621001000000007</v>
      </c>
      <c r="I847" s="17">
        <f t="shared" si="216"/>
        <v>4.5351473922901524E-3</v>
      </c>
      <c r="J847" s="17">
        <f t="shared" si="217"/>
        <v>-3.6368645818983338E-2</v>
      </c>
      <c r="K847" s="17">
        <f t="shared" si="218"/>
        <v>2.7389443651925235E-3</v>
      </c>
      <c r="L847" s="17">
        <f t="shared" si="219"/>
        <v>-1.7626321974148729E-3</v>
      </c>
      <c r="M847" s="17">
        <f t="shared" si="220"/>
        <v>-3.0472806777808194E-2</v>
      </c>
      <c r="N847" s="17">
        <f t="shared" si="221"/>
        <v>-2.8389568452872717E-3</v>
      </c>
      <c r="O847" s="17">
        <f t="shared" si="222"/>
        <v>-4.2994734865837341E-3</v>
      </c>
      <c r="P847" s="17">
        <f t="shared" si="223"/>
        <v>-8.3080152088544565E-3</v>
      </c>
      <c r="Q847" s="22">
        <f t="shared" si="224"/>
        <v>4.1406735219054192E-3</v>
      </c>
      <c r="R847" s="22">
        <f t="shared" si="225"/>
        <v>-3.6799370533060503E-2</v>
      </c>
      <c r="S847" s="22">
        <f t="shared" si="226"/>
        <v>2.3269849783550765E-3</v>
      </c>
      <c r="T847" s="22">
        <f t="shared" si="227"/>
        <v>-1.8940837066477912E-3</v>
      </c>
      <c r="U847" s="22">
        <f t="shared" si="228"/>
        <v>-3.1166034724761957E-2</v>
      </c>
      <c r="V847" s="22">
        <f t="shared" si="229"/>
        <v>-2.6043530357840916E-3</v>
      </c>
      <c r="W847" s="22">
        <f t="shared" si="230"/>
        <v>-4.0452249324930308E-3</v>
      </c>
      <c r="X847" s="22">
        <f t="shared" si="231"/>
        <v>-7.9920708242481181E-3</v>
      </c>
    </row>
    <row r="848" spans="1:24" x14ac:dyDescent="0.35">
      <c r="A848" s="3">
        <v>13.36</v>
      </c>
      <c r="B848" s="3">
        <v>70.41</v>
      </c>
      <c r="C848" s="3">
        <v>178.23</v>
      </c>
      <c r="D848" s="3">
        <v>16.77</v>
      </c>
      <c r="E848" s="3">
        <v>71.39</v>
      </c>
      <c r="F848" s="3">
        <v>98.594639999999998</v>
      </c>
      <c r="G848" s="3">
        <v>93.414237999999997</v>
      </c>
      <c r="H848" s="3">
        <v>90.944813999999994</v>
      </c>
      <c r="I848" s="17">
        <f t="shared" si="216"/>
        <v>5.2671181339353111E-3</v>
      </c>
      <c r="J848" s="17">
        <f t="shared" si="217"/>
        <v>6.5761258041457287E-3</v>
      </c>
      <c r="K848" s="17">
        <f t="shared" si="218"/>
        <v>1.4226369999430947E-2</v>
      </c>
      <c r="L848" s="17">
        <f t="shared" si="219"/>
        <v>-1.2948793407886927E-2</v>
      </c>
      <c r="M848" s="17">
        <f t="shared" si="220"/>
        <v>6.201550387596867E-3</v>
      </c>
      <c r="N848" s="17">
        <f t="shared" si="221"/>
        <v>-1.6721685182317632E-3</v>
      </c>
      <c r="O848" s="17">
        <f t="shared" si="222"/>
        <v>-1.257069599868978E-3</v>
      </c>
      <c r="P848" s="17">
        <f t="shared" si="223"/>
        <v>3.5732666426845916E-3</v>
      </c>
      <c r="Q848" s="22">
        <f t="shared" si="224"/>
        <v>4.8726442635505778E-3</v>
      </c>
      <c r="R848" s="22">
        <f t="shared" si="225"/>
        <v>6.1454010900685654E-3</v>
      </c>
      <c r="S848" s="22">
        <f t="shared" si="226"/>
        <v>1.3814410612593499E-2</v>
      </c>
      <c r="T848" s="22">
        <f t="shared" si="227"/>
        <v>-1.3080244917119845E-2</v>
      </c>
      <c r="U848" s="22">
        <f t="shared" si="228"/>
        <v>5.5083224406431049E-3</v>
      </c>
      <c r="V848" s="22">
        <f t="shared" si="229"/>
        <v>-1.4375647087285829E-3</v>
      </c>
      <c r="W848" s="22">
        <f t="shared" si="230"/>
        <v>-1.0028210457782749E-3</v>
      </c>
      <c r="X848" s="22">
        <f t="shared" si="231"/>
        <v>3.8892110272909304E-3</v>
      </c>
    </row>
    <row r="849" spans="1:24" x14ac:dyDescent="0.35">
      <c r="A849" s="3">
        <v>13.24</v>
      </c>
      <c r="B849" s="3">
        <v>69.8</v>
      </c>
      <c r="C849" s="3">
        <v>173.96</v>
      </c>
      <c r="D849" s="3">
        <v>16.8</v>
      </c>
      <c r="E849" s="3">
        <v>70.52</v>
      </c>
      <c r="F849" s="3">
        <v>98.582682000000005</v>
      </c>
      <c r="G849" s="3">
        <v>93.391569000000004</v>
      </c>
      <c r="H849" s="3">
        <v>90.728565000000003</v>
      </c>
      <c r="I849" s="17">
        <f t="shared" si="216"/>
        <v>-8.982035928143655E-3</v>
      </c>
      <c r="J849" s="17">
        <f t="shared" si="217"/>
        <v>-8.663542110495661E-3</v>
      </c>
      <c r="K849" s="17">
        <f t="shared" si="218"/>
        <v>-2.3957807327610291E-2</v>
      </c>
      <c r="L849" s="17">
        <f t="shared" si="219"/>
        <v>1.7889087656530196E-3</v>
      </c>
      <c r="M849" s="17">
        <f t="shared" si="220"/>
        <v>-1.2186580753607011E-2</v>
      </c>
      <c r="N849" s="17">
        <f t="shared" si="221"/>
        <v>-1.2128448361891487E-4</v>
      </c>
      <c r="O849" s="17">
        <f t="shared" si="222"/>
        <v>-2.4267178628586993E-4</v>
      </c>
      <c r="P849" s="17">
        <f t="shared" si="223"/>
        <v>-2.3778046321584713E-3</v>
      </c>
      <c r="Q849" s="22">
        <f t="shared" si="224"/>
        <v>-9.3765097985283891E-3</v>
      </c>
      <c r="R849" s="22">
        <f t="shared" si="225"/>
        <v>-9.0942668245728251E-3</v>
      </c>
      <c r="S849" s="22">
        <f t="shared" si="226"/>
        <v>-2.4369766714447738E-2</v>
      </c>
      <c r="T849" s="22">
        <f t="shared" si="227"/>
        <v>1.6574572564201013E-3</v>
      </c>
      <c r="U849" s="22">
        <f t="shared" si="228"/>
        <v>-1.2879808700560774E-2</v>
      </c>
      <c r="V849" s="22">
        <f t="shared" si="229"/>
        <v>1.1331932588426542E-4</v>
      </c>
      <c r="W849" s="22">
        <f t="shared" si="230"/>
        <v>1.1576767804833072E-5</v>
      </c>
      <c r="X849" s="22">
        <f t="shared" si="231"/>
        <v>-2.0618602475521324E-3</v>
      </c>
    </row>
    <row r="850" spans="1:24" x14ac:dyDescent="0.35">
      <c r="A850" s="3">
        <v>13.18</v>
      </c>
      <c r="B850" s="3">
        <v>70.66</v>
      </c>
      <c r="C850" s="3">
        <v>175.31</v>
      </c>
      <c r="D850" s="3">
        <v>16.66</v>
      </c>
      <c r="E850" s="3">
        <v>70.59</v>
      </c>
      <c r="F850" s="3">
        <v>99.260373999999999</v>
      </c>
      <c r="G850" s="3">
        <v>93.605653000000004</v>
      </c>
      <c r="H850" s="3">
        <v>91.535714999999996</v>
      </c>
      <c r="I850" s="17">
        <f t="shared" si="216"/>
        <v>-4.5317220543807024E-3</v>
      </c>
      <c r="J850" s="17">
        <f t="shared" si="217"/>
        <v>1.2320916905444118E-2</v>
      </c>
      <c r="K850" s="17">
        <f t="shared" si="218"/>
        <v>7.7604046907334689E-3</v>
      </c>
      <c r="L850" s="17">
        <f t="shared" si="219"/>
        <v>-8.3333333333333662E-3</v>
      </c>
      <c r="M850" s="17">
        <f t="shared" si="220"/>
        <v>9.9262620533192565E-4</v>
      </c>
      <c r="N850" s="17">
        <f t="shared" si="221"/>
        <v>6.8743514200596944E-3</v>
      </c>
      <c r="O850" s="17">
        <f t="shared" si="222"/>
        <v>2.2923268373400999E-3</v>
      </c>
      <c r="P850" s="17">
        <f t="shared" si="223"/>
        <v>8.8963161712079641E-3</v>
      </c>
      <c r="Q850" s="22">
        <f t="shared" si="224"/>
        <v>-4.9261959247654356E-3</v>
      </c>
      <c r="R850" s="22">
        <f t="shared" si="225"/>
        <v>1.1890192191366954E-2</v>
      </c>
      <c r="S850" s="22">
        <f t="shared" si="226"/>
        <v>7.3484453038960224E-3</v>
      </c>
      <c r="T850" s="22">
        <f t="shared" si="227"/>
        <v>-8.4647848425662836E-3</v>
      </c>
      <c r="U850" s="22">
        <f t="shared" si="228"/>
        <v>2.9939825837816314E-4</v>
      </c>
      <c r="V850" s="22">
        <f t="shared" si="229"/>
        <v>7.1089552295628749E-3</v>
      </c>
      <c r="W850" s="22">
        <f t="shared" si="230"/>
        <v>2.5465753914308028E-3</v>
      </c>
      <c r="X850" s="22">
        <f t="shared" si="231"/>
        <v>9.2122605558143025E-3</v>
      </c>
    </row>
    <row r="851" spans="1:24" x14ac:dyDescent="0.35">
      <c r="A851" s="3">
        <v>13.05</v>
      </c>
      <c r="B851" s="3">
        <v>71.28</v>
      </c>
      <c r="C851" s="3">
        <v>175.25</v>
      </c>
      <c r="D851" s="3">
        <v>16.489999999999998</v>
      </c>
      <c r="E851" s="3">
        <v>70.72</v>
      </c>
      <c r="F851" s="3">
        <v>99.376784999999998</v>
      </c>
      <c r="G851" s="3">
        <v>94.202633000000006</v>
      </c>
      <c r="H851" s="3">
        <v>91.606959000000003</v>
      </c>
      <c r="I851" s="17">
        <f t="shared" si="216"/>
        <v>-9.8634294385431722E-3</v>
      </c>
      <c r="J851" s="17">
        <f t="shared" si="217"/>
        <v>8.774412680441615E-3</v>
      </c>
      <c r="K851" s="17">
        <f t="shared" si="218"/>
        <v>-3.422508698876406E-4</v>
      </c>
      <c r="L851" s="17">
        <f t="shared" si="219"/>
        <v>-1.0204081632653163E-2</v>
      </c>
      <c r="M851" s="17">
        <f t="shared" si="220"/>
        <v>1.8416206261509483E-3</v>
      </c>
      <c r="N851" s="17">
        <f t="shared" si="221"/>
        <v>1.1727842169927687E-3</v>
      </c>
      <c r="O851" s="17">
        <f t="shared" si="222"/>
        <v>6.377606275552632E-3</v>
      </c>
      <c r="P851" s="17">
        <f t="shared" si="223"/>
        <v>7.7831915116418975E-4</v>
      </c>
      <c r="Q851" s="22">
        <f t="shared" si="224"/>
        <v>-1.0257903308927906E-2</v>
      </c>
      <c r="R851" s="22">
        <f t="shared" si="225"/>
        <v>8.3436879663644509E-3</v>
      </c>
      <c r="S851" s="22">
        <f t="shared" si="226"/>
        <v>-7.5421025672508754E-4</v>
      </c>
      <c r="T851" s="22">
        <f t="shared" si="227"/>
        <v>-1.033553314188608E-2</v>
      </c>
      <c r="U851" s="22">
        <f t="shared" si="228"/>
        <v>1.1483926791971857E-3</v>
      </c>
      <c r="V851" s="22">
        <f t="shared" si="229"/>
        <v>1.407388026495949E-3</v>
      </c>
      <c r="W851" s="22">
        <f t="shared" si="230"/>
        <v>6.6318548296433353E-3</v>
      </c>
      <c r="X851" s="22">
        <f t="shared" si="231"/>
        <v>1.0942635357705285E-3</v>
      </c>
    </row>
    <row r="852" spans="1:24" x14ac:dyDescent="0.35">
      <c r="A852" s="3">
        <v>12.91</v>
      </c>
      <c r="B852" s="3">
        <v>70.010000000000005</v>
      </c>
      <c r="C852" s="3">
        <v>174.67</v>
      </c>
      <c r="D852" s="3">
        <v>16.399999999999999</v>
      </c>
      <c r="E852" s="3">
        <v>70.45</v>
      </c>
      <c r="F852" s="3">
        <v>99.095883999999998</v>
      </c>
      <c r="G852" s="3">
        <v>93.751577999999995</v>
      </c>
      <c r="H852" s="3">
        <v>91.268235000000004</v>
      </c>
      <c r="I852" s="17">
        <f t="shared" si="216"/>
        <v>-1.0727969348659046E-2</v>
      </c>
      <c r="J852" s="17">
        <f t="shared" si="217"/>
        <v>-1.7817059483726094E-2</v>
      </c>
      <c r="K852" s="17">
        <f t="shared" si="218"/>
        <v>-3.3095577746077745E-3</v>
      </c>
      <c r="L852" s="17">
        <f t="shared" si="219"/>
        <v>-5.4578532443905316E-3</v>
      </c>
      <c r="M852" s="17">
        <f t="shared" si="220"/>
        <v>-3.8178733031673647E-3</v>
      </c>
      <c r="N852" s="17">
        <f t="shared" si="221"/>
        <v>-2.8266259569576543E-3</v>
      </c>
      <c r="O852" s="17">
        <f t="shared" si="222"/>
        <v>-4.7881358050789391E-3</v>
      </c>
      <c r="P852" s="17">
        <f t="shared" si="223"/>
        <v>-3.697579350931179E-3</v>
      </c>
      <c r="Q852" s="22">
        <f t="shared" si="224"/>
        <v>-1.1122443219043781E-2</v>
      </c>
      <c r="R852" s="22">
        <f t="shared" si="225"/>
        <v>-1.8247784197803256E-2</v>
      </c>
      <c r="S852" s="22">
        <f t="shared" si="226"/>
        <v>-3.7215171614452215E-3</v>
      </c>
      <c r="T852" s="22">
        <f t="shared" si="227"/>
        <v>-5.5893047536234499E-3</v>
      </c>
      <c r="U852" s="22">
        <f t="shared" si="228"/>
        <v>-4.5111012501211269E-3</v>
      </c>
      <c r="V852" s="22">
        <f t="shared" si="229"/>
        <v>-2.5920221474544742E-3</v>
      </c>
      <c r="W852" s="22">
        <f t="shared" si="230"/>
        <v>-4.5338872509882357E-3</v>
      </c>
      <c r="X852" s="22">
        <f t="shared" si="231"/>
        <v>-3.3816349663248401E-3</v>
      </c>
    </row>
    <row r="853" spans="1:24" x14ac:dyDescent="0.35">
      <c r="A853" s="3">
        <v>13</v>
      </c>
      <c r="B853" s="3">
        <v>69.900000000000006</v>
      </c>
      <c r="C853" s="3">
        <v>169.66</v>
      </c>
      <c r="D853" s="3">
        <v>16.420000000000002</v>
      </c>
      <c r="E853" s="3">
        <v>70.12</v>
      </c>
      <c r="F853" s="3">
        <v>98.969086000000004</v>
      </c>
      <c r="G853" s="3">
        <v>93.918519000000003</v>
      </c>
      <c r="H853" s="3">
        <v>91.171683999999999</v>
      </c>
      <c r="I853" s="17">
        <f t="shared" si="216"/>
        <v>6.9713400464755894E-3</v>
      </c>
      <c r="J853" s="17">
        <f t="shared" si="217"/>
        <v>-1.5712041136980348E-3</v>
      </c>
      <c r="K853" s="17">
        <f t="shared" si="218"/>
        <v>-2.8682658727886823E-2</v>
      </c>
      <c r="L853" s="17">
        <f t="shared" si="219"/>
        <v>1.219512195122142E-3</v>
      </c>
      <c r="M853" s="17">
        <f t="shared" si="220"/>
        <v>-4.6841731724627149E-3</v>
      </c>
      <c r="N853" s="17">
        <f t="shared" si="221"/>
        <v>-1.279548603653344E-3</v>
      </c>
      <c r="O853" s="17">
        <f t="shared" si="222"/>
        <v>1.7806740276948561E-3</v>
      </c>
      <c r="P853" s="17">
        <f t="shared" si="223"/>
        <v>-1.0578817482337108E-3</v>
      </c>
      <c r="Q853" s="22">
        <f t="shared" si="224"/>
        <v>6.5768661760908561E-3</v>
      </c>
      <c r="R853" s="22">
        <f t="shared" si="225"/>
        <v>-2.0019288277751983E-3</v>
      </c>
      <c r="S853" s="22">
        <f t="shared" si="226"/>
        <v>-2.9094618114724271E-2</v>
      </c>
      <c r="T853" s="22">
        <f t="shared" si="227"/>
        <v>1.0880606858892237E-3</v>
      </c>
      <c r="U853" s="22">
        <f t="shared" si="228"/>
        <v>-5.3774011194164771E-3</v>
      </c>
      <c r="V853" s="22">
        <f t="shared" si="229"/>
        <v>-1.0449447941501637E-3</v>
      </c>
      <c r="W853" s="22">
        <f t="shared" si="230"/>
        <v>2.0349225817855592E-3</v>
      </c>
      <c r="X853" s="22">
        <f t="shared" si="231"/>
        <v>-7.4193736362737194E-4</v>
      </c>
    </row>
    <row r="854" spans="1:24" x14ac:dyDescent="0.35">
      <c r="A854" s="3">
        <v>12.9</v>
      </c>
      <c r="B854" s="3">
        <v>70.08</v>
      </c>
      <c r="C854" s="3">
        <v>167.47</v>
      </c>
      <c r="D854" s="3">
        <v>16.36</v>
      </c>
      <c r="E854" s="3">
        <v>69.16</v>
      </c>
      <c r="F854" s="3">
        <v>98.918966999999995</v>
      </c>
      <c r="G854" s="3">
        <v>93.848253</v>
      </c>
      <c r="H854" s="3">
        <v>91.315876000000003</v>
      </c>
      <c r="I854" s="17">
        <f t="shared" si="216"/>
        <v>-7.692307692307665E-3</v>
      </c>
      <c r="J854" s="17">
        <f t="shared" si="217"/>
        <v>2.5751072961372333E-3</v>
      </c>
      <c r="K854" s="17">
        <f t="shared" si="218"/>
        <v>-1.2908169279735929E-2</v>
      </c>
      <c r="L854" s="17">
        <f t="shared" si="219"/>
        <v>-3.6540803897687131E-3</v>
      </c>
      <c r="M854" s="17">
        <f t="shared" si="220"/>
        <v>-1.3690815744438218E-2</v>
      </c>
      <c r="N854" s="17">
        <f t="shared" si="221"/>
        <v>-5.0641065837477115E-4</v>
      </c>
      <c r="O854" s="17">
        <f t="shared" si="222"/>
        <v>-7.4815915698163546E-4</v>
      </c>
      <c r="P854" s="17">
        <f t="shared" si="223"/>
        <v>1.5815436731431206E-3</v>
      </c>
      <c r="Q854" s="22">
        <f t="shared" si="224"/>
        <v>-8.0867815626923991E-3</v>
      </c>
      <c r="R854" s="22">
        <f t="shared" si="225"/>
        <v>2.1443825820600696E-3</v>
      </c>
      <c r="S854" s="22">
        <f t="shared" si="226"/>
        <v>-1.3320128666573377E-2</v>
      </c>
      <c r="T854" s="22">
        <f t="shared" si="227"/>
        <v>-3.7855318990016314E-3</v>
      </c>
      <c r="U854" s="22">
        <f t="shared" si="228"/>
        <v>-1.4384043691391981E-2</v>
      </c>
      <c r="V854" s="22">
        <f t="shared" si="229"/>
        <v>-2.7180684887159084E-4</v>
      </c>
      <c r="W854" s="22">
        <f t="shared" si="230"/>
        <v>-4.9391060289093246E-4</v>
      </c>
      <c r="X854" s="22">
        <f t="shared" si="231"/>
        <v>1.8974880577494594E-3</v>
      </c>
    </row>
    <row r="855" spans="1:24" x14ac:dyDescent="0.35">
      <c r="A855" s="3">
        <v>12.66</v>
      </c>
      <c r="B855" s="3">
        <v>70.319999999999993</v>
      </c>
      <c r="C855" s="3">
        <v>165.83</v>
      </c>
      <c r="D855" s="3">
        <v>16.45</v>
      </c>
      <c r="E855" s="3">
        <v>70.03</v>
      </c>
      <c r="F855" s="3">
        <v>99.021482000000006</v>
      </c>
      <c r="G855" s="3">
        <v>93.825515999999993</v>
      </c>
      <c r="H855" s="3">
        <v>91.219370999999995</v>
      </c>
      <c r="I855" s="17">
        <f t="shared" si="216"/>
        <v>-1.8604651162790715E-2</v>
      </c>
      <c r="J855" s="17">
        <f t="shared" si="217"/>
        <v>3.4246575342465023E-3</v>
      </c>
      <c r="K855" s="17">
        <f t="shared" si="218"/>
        <v>-9.7927987102166738E-3</v>
      </c>
      <c r="L855" s="17">
        <f t="shared" si="219"/>
        <v>5.5012224938875221E-3</v>
      </c>
      <c r="M855" s="17">
        <f t="shared" si="220"/>
        <v>1.2579525737420541E-2</v>
      </c>
      <c r="N855" s="17">
        <f t="shared" si="221"/>
        <v>1.0363533214010517E-3</v>
      </c>
      <c r="O855" s="17">
        <f t="shared" si="222"/>
        <v>-2.422740890020238E-4</v>
      </c>
      <c r="P855" s="17">
        <f t="shared" si="223"/>
        <v>-1.0568260879412427E-3</v>
      </c>
      <c r="Q855" s="22">
        <f t="shared" si="224"/>
        <v>-1.8999125033175447E-2</v>
      </c>
      <c r="R855" s="22">
        <f t="shared" si="225"/>
        <v>2.9939328201693386E-3</v>
      </c>
      <c r="S855" s="22">
        <f t="shared" si="226"/>
        <v>-1.0204758097054121E-2</v>
      </c>
      <c r="T855" s="22">
        <f t="shared" si="227"/>
        <v>5.3697709846546038E-3</v>
      </c>
      <c r="U855" s="22">
        <f t="shared" si="228"/>
        <v>1.1886297790466778E-2</v>
      </c>
      <c r="V855" s="22">
        <f t="shared" si="229"/>
        <v>1.270957130904232E-3</v>
      </c>
      <c r="W855" s="22">
        <f t="shared" si="230"/>
        <v>1.1974465088679203E-5</v>
      </c>
      <c r="X855" s="22">
        <f t="shared" si="231"/>
        <v>-7.4088170333490386E-4</v>
      </c>
    </row>
    <row r="856" spans="1:24" x14ac:dyDescent="0.35">
      <c r="A856" s="3">
        <v>12.73</v>
      </c>
      <c r="B856" s="3">
        <v>67.97</v>
      </c>
      <c r="C856" s="3">
        <v>160.21</v>
      </c>
      <c r="D856" s="3">
        <v>16.39</v>
      </c>
      <c r="E856" s="3">
        <v>68.91</v>
      </c>
      <c r="F856" s="3">
        <v>98.947833000000003</v>
      </c>
      <c r="G856" s="3">
        <v>93.616128000000003</v>
      </c>
      <c r="H856" s="3">
        <v>90.931419000000005</v>
      </c>
      <c r="I856" s="17">
        <f t="shared" si="216"/>
        <v>5.5292259083728505E-3</v>
      </c>
      <c r="J856" s="17">
        <f t="shared" si="217"/>
        <v>-3.341865756541517E-2</v>
      </c>
      <c r="K856" s="17">
        <f t="shared" si="218"/>
        <v>-3.3890128444792882E-2</v>
      </c>
      <c r="L856" s="17">
        <f t="shared" si="219"/>
        <v>-3.6474164133737828E-3</v>
      </c>
      <c r="M856" s="17">
        <f t="shared" si="220"/>
        <v>-1.5993145794659495E-2</v>
      </c>
      <c r="N856" s="17">
        <f t="shared" si="221"/>
        <v>-7.4376790280722296E-4</v>
      </c>
      <c r="O856" s="17">
        <f t="shared" si="222"/>
        <v>-2.2316743773622299E-3</v>
      </c>
      <c r="P856" s="17">
        <f t="shared" si="223"/>
        <v>-3.1566979342577358E-3</v>
      </c>
      <c r="Q856" s="22">
        <f t="shared" si="224"/>
        <v>5.1347520379881172E-3</v>
      </c>
      <c r="R856" s="22">
        <f t="shared" si="225"/>
        <v>-3.3849382279492336E-2</v>
      </c>
      <c r="S856" s="22">
        <f t="shared" si="226"/>
        <v>-3.4302087831630329E-2</v>
      </c>
      <c r="T856" s="22">
        <f t="shared" si="227"/>
        <v>-3.7788679226067011E-3</v>
      </c>
      <c r="U856" s="22">
        <f t="shared" si="228"/>
        <v>-1.6686373741613258E-2</v>
      </c>
      <c r="V856" s="22">
        <f t="shared" si="229"/>
        <v>-5.0916409330404265E-4</v>
      </c>
      <c r="W856" s="22">
        <f t="shared" si="230"/>
        <v>-1.977425823271527E-3</v>
      </c>
      <c r="X856" s="22">
        <f t="shared" si="231"/>
        <v>-2.840753549651397E-3</v>
      </c>
    </row>
    <row r="857" spans="1:24" x14ac:dyDescent="0.35">
      <c r="A857" s="3">
        <v>12.72</v>
      </c>
      <c r="B857" s="3">
        <v>66.510000000000005</v>
      </c>
      <c r="C857" s="3">
        <v>164.44</v>
      </c>
      <c r="D857" s="3">
        <v>16.22</v>
      </c>
      <c r="E857" s="3">
        <v>68.47</v>
      </c>
      <c r="F857" s="3">
        <v>98.974125999999998</v>
      </c>
      <c r="G857" s="3">
        <v>93.735191999999998</v>
      </c>
      <c r="H857" s="3">
        <v>91.015118000000001</v>
      </c>
      <c r="I857" s="17">
        <f t="shared" si="216"/>
        <v>-7.8554595443831789E-4</v>
      </c>
      <c r="J857" s="17">
        <f t="shared" si="217"/>
        <v>-2.1480064734441574E-2</v>
      </c>
      <c r="K857" s="17">
        <f t="shared" si="218"/>
        <v>2.6402846264278069E-2</v>
      </c>
      <c r="L857" s="17">
        <f t="shared" si="219"/>
        <v>-1.037217815741316E-2</v>
      </c>
      <c r="M857" s="17">
        <f t="shared" si="220"/>
        <v>-6.3851400377303406E-3</v>
      </c>
      <c r="N857" s="17">
        <f t="shared" si="221"/>
        <v>2.6572588001998448E-4</v>
      </c>
      <c r="O857" s="17">
        <f t="shared" si="222"/>
        <v>1.2718321355909368E-3</v>
      </c>
      <c r="P857" s="17">
        <f t="shared" si="223"/>
        <v>9.2046292602115606E-4</v>
      </c>
      <c r="Q857" s="22">
        <f t="shared" si="224"/>
        <v>-1.1800198248230513E-3</v>
      </c>
      <c r="R857" s="22">
        <f t="shared" si="225"/>
        <v>-2.1910789448518736E-2</v>
      </c>
      <c r="S857" s="22">
        <f t="shared" si="226"/>
        <v>2.5990886877440621E-2</v>
      </c>
      <c r="T857" s="22">
        <f t="shared" si="227"/>
        <v>-1.0503629666646077E-2</v>
      </c>
      <c r="U857" s="22">
        <f t="shared" si="228"/>
        <v>-7.0783679846841028E-3</v>
      </c>
      <c r="V857" s="22">
        <f t="shared" si="229"/>
        <v>5.0032968952316479E-4</v>
      </c>
      <c r="W857" s="22">
        <f t="shared" si="230"/>
        <v>1.5260806896816399E-3</v>
      </c>
      <c r="X857" s="22">
        <f t="shared" si="231"/>
        <v>1.2364073106274948E-3</v>
      </c>
    </row>
    <row r="858" spans="1:24" x14ac:dyDescent="0.35">
      <c r="A858" s="3">
        <v>12.72</v>
      </c>
      <c r="B858" s="3">
        <v>65.959999999999994</v>
      </c>
      <c r="C858" s="3">
        <v>166.92</v>
      </c>
      <c r="D858" s="3">
        <v>16.11</v>
      </c>
      <c r="E858" s="3">
        <v>68.25</v>
      </c>
      <c r="F858" s="3">
        <v>99.000427000000002</v>
      </c>
      <c r="G858" s="3">
        <v>93.759925999999993</v>
      </c>
      <c r="H858" s="3">
        <v>91.039038000000005</v>
      </c>
      <c r="I858" s="17">
        <f t="shared" si="216"/>
        <v>0</v>
      </c>
      <c r="J858" s="17">
        <f t="shared" si="217"/>
        <v>-8.26943316794484E-3</v>
      </c>
      <c r="K858" s="17">
        <f t="shared" si="218"/>
        <v>1.5081488688883421E-2</v>
      </c>
      <c r="L858" s="17">
        <f t="shared" si="219"/>
        <v>-6.7817509247841828E-3</v>
      </c>
      <c r="M858" s="17">
        <f t="shared" si="220"/>
        <v>-3.213086023075783E-3</v>
      </c>
      <c r="N858" s="17">
        <f t="shared" si="221"/>
        <v>2.6573611774054646E-4</v>
      </c>
      <c r="O858" s="17">
        <f t="shared" si="222"/>
        <v>2.6387101228741441E-4</v>
      </c>
      <c r="P858" s="17">
        <f t="shared" si="223"/>
        <v>2.6281348116259033E-4</v>
      </c>
      <c r="Q858" s="22">
        <f t="shared" si="224"/>
        <v>-3.9447387038473331E-4</v>
      </c>
      <c r="R858" s="22">
        <f t="shared" si="225"/>
        <v>-8.7001578820220041E-3</v>
      </c>
      <c r="S858" s="22">
        <f t="shared" si="226"/>
        <v>1.4669529302045974E-2</v>
      </c>
      <c r="T858" s="22">
        <f t="shared" si="227"/>
        <v>-6.9132024340171011E-3</v>
      </c>
      <c r="U858" s="22">
        <f t="shared" si="228"/>
        <v>-3.9063139700295452E-3</v>
      </c>
      <c r="V858" s="22">
        <f t="shared" si="229"/>
        <v>5.0033992724372671E-4</v>
      </c>
      <c r="W858" s="22">
        <f t="shared" si="230"/>
        <v>5.1811956637811741E-4</v>
      </c>
      <c r="X858" s="22">
        <f t="shared" si="231"/>
        <v>5.7875786576892904E-4</v>
      </c>
    </row>
    <row r="859" spans="1:24" x14ac:dyDescent="0.35">
      <c r="A859" s="3">
        <v>12.74</v>
      </c>
      <c r="B859" s="3">
        <v>66.459999999999994</v>
      </c>
      <c r="C859" s="3">
        <v>163.22</v>
      </c>
      <c r="D859" s="3">
        <v>16.16</v>
      </c>
      <c r="E859" s="3">
        <v>67.72</v>
      </c>
      <c r="F859" s="3">
        <v>98.799150999999995</v>
      </c>
      <c r="G859" s="3">
        <v>93.596266999999997</v>
      </c>
      <c r="H859" s="3">
        <v>90.824254999999994</v>
      </c>
      <c r="I859" s="17">
        <f t="shared" si="216"/>
        <v>1.5723270440251237E-3</v>
      </c>
      <c r="J859" s="17">
        <f t="shared" si="217"/>
        <v>7.5803517283201949E-3</v>
      </c>
      <c r="K859" s="17">
        <f t="shared" si="218"/>
        <v>-2.216630721303612E-2</v>
      </c>
      <c r="L859" s="17">
        <f t="shared" si="219"/>
        <v>3.1036623215394609E-3</v>
      </c>
      <c r="M859" s="17">
        <f t="shared" si="220"/>
        <v>-7.765567765567782E-3</v>
      </c>
      <c r="N859" s="17">
        <f t="shared" si="221"/>
        <v>-2.03308214014074E-3</v>
      </c>
      <c r="O859" s="17">
        <f t="shared" si="222"/>
        <v>-1.7455111899298595E-3</v>
      </c>
      <c r="P859" s="17">
        <f t="shared" si="223"/>
        <v>-2.3592406589359092E-3</v>
      </c>
      <c r="Q859" s="22">
        <f t="shared" si="224"/>
        <v>1.1778531736403905E-3</v>
      </c>
      <c r="R859" s="22">
        <f t="shared" si="225"/>
        <v>7.1496270142430316E-3</v>
      </c>
      <c r="S859" s="22">
        <f t="shared" si="226"/>
        <v>-2.2578266599873567E-2</v>
      </c>
      <c r="T859" s="22">
        <f t="shared" si="227"/>
        <v>2.9722108123065426E-3</v>
      </c>
      <c r="U859" s="22">
        <f t="shared" si="228"/>
        <v>-8.4587957125215451E-3</v>
      </c>
      <c r="V859" s="22">
        <f t="shared" si="229"/>
        <v>-1.7984783306375597E-3</v>
      </c>
      <c r="W859" s="22">
        <f t="shared" si="230"/>
        <v>-1.4912626358391566E-3</v>
      </c>
      <c r="X859" s="22">
        <f t="shared" si="231"/>
        <v>-2.0432962743295703E-3</v>
      </c>
    </row>
    <row r="860" spans="1:24" x14ac:dyDescent="0.35">
      <c r="A860" s="3">
        <v>12.75</v>
      </c>
      <c r="B860" s="3">
        <v>65.5</v>
      </c>
      <c r="C860" s="3">
        <v>160.76</v>
      </c>
      <c r="D860" s="3">
        <v>15.94</v>
      </c>
      <c r="E860" s="3">
        <v>68</v>
      </c>
      <c r="F860" s="3">
        <v>98.939220000000006</v>
      </c>
      <c r="G860" s="3">
        <v>93.574054000000004</v>
      </c>
      <c r="H860" s="3">
        <v>90.848220999999995</v>
      </c>
      <c r="I860" s="17">
        <f t="shared" si="216"/>
        <v>7.8492935635791103E-4</v>
      </c>
      <c r="J860" s="17">
        <f t="shared" si="217"/>
        <v>-1.4444778814324313E-2</v>
      </c>
      <c r="K860" s="17">
        <f t="shared" si="218"/>
        <v>-1.5071682391863791E-2</v>
      </c>
      <c r="L860" s="17">
        <f t="shared" si="219"/>
        <v>-1.3613861386138654E-2</v>
      </c>
      <c r="M860" s="17">
        <f t="shared" si="220"/>
        <v>4.1346721795629225E-3</v>
      </c>
      <c r="N860" s="17">
        <f t="shared" si="221"/>
        <v>1.417714611738021E-3</v>
      </c>
      <c r="O860" s="17">
        <f t="shared" si="222"/>
        <v>-2.3732784129086687E-4</v>
      </c>
      <c r="P860" s="17">
        <f t="shared" si="223"/>
        <v>2.6387224425899764E-4</v>
      </c>
      <c r="Q860" s="22">
        <f t="shared" si="224"/>
        <v>3.9045548597317772E-4</v>
      </c>
      <c r="R860" s="22">
        <f t="shared" si="225"/>
        <v>-1.4875503528401477E-2</v>
      </c>
      <c r="S860" s="22">
        <f t="shared" si="226"/>
        <v>-1.5483641778701238E-2</v>
      </c>
      <c r="T860" s="22">
        <f t="shared" si="227"/>
        <v>-1.3745312895371571E-2</v>
      </c>
      <c r="U860" s="22">
        <f t="shared" si="228"/>
        <v>3.4414442326091599E-3</v>
      </c>
      <c r="V860" s="22">
        <f t="shared" si="229"/>
        <v>1.6523184212412013E-3</v>
      </c>
      <c r="W860" s="22">
        <f t="shared" si="230"/>
        <v>1.6920712799836131E-5</v>
      </c>
      <c r="X860" s="22">
        <f t="shared" si="231"/>
        <v>5.7981662886533647E-4</v>
      </c>
    </row>
    <row r="861" spans="1:24" x14ac:dyDescent="0.35">
      <c r="A861" s="3">
        <v>13.01</v>
      </c>
      <c r="B861" s="3">
        <v>65.569999999999993</v>
      </c>
      <c r="C861" s="3">
        <v>155.62</v>
      </c>
      <c r="D861" s="3">
        <v>16.05</v>
      </c>
      <c r="E861" s="3">
        <v>68.12</v>
      </c>
      <c r="F861" s="3">
        <v>98.867035000000001</v>
      </c>
      <c r="G861" s="3">
        <v>93.460937999999999</v>
      </c>
      <c r="H861" s="3">
        <v>90.801197999999999</v>
      </c>
      <c r="I861" s="17">
        <f t="shared" si="216"/>
        <v>2.0392156862745082E-2</v>
      </c>
      <c r="J861" s="17">
        <f t="shared" si="217"/>
        <v>1.0687022900762316E-3</v>
      </c>
      <c r="K861" s="17">
        <f t="shared" si="218"/>
        <v>-3.1973127643692381E-2</v>
      </c>
      <c r="L861" s="17">
        <f t="shared" si="219"/>
        <v>6.9008782936010801E-3</v>
      </c>
      <c r="M861" s="17">
        <f t="shared" si="220"/>
        <v>1.764705882353008E-3</v>
      </c>
      <c r="N861" s="17">
        <f t="shared" si="221"/>
        <v>-7.2958933777732033E-4</v>
      </c>
      <c r="O861" s="17">
        <f t="shared" si="222"/>
        <v>-1.2088393648094491E-3</v>
      </c>
      <c r="P861" s="17">
        <f t="shared" si="223"/>
        <v>-5.1759956862551906E-4</v>
      </c>
      <c r="Q861" s="22">
        <f t="shared" si="224"/>
        <v>1.9997682992360349E-2</v>
      </c>
      <c r="R861" s="22">
        <f t="shared" si="225"/>
        <v>6.3797757599906818E-4</v>
      </c>
      <c r="S861" s="22">
        <f t="shared" si="226"/>
        <v>-3.2385087030529829E-2</v>
      </c>
      <c r="T861" s="22">
        <f t="shared" si="227"/>
        <v>6.7694267843681618E-3</v>
      </c>
      <c r="U861" s="22">
        <f t="shared" si="228"/>
        <v>1.0714779353992454E-3</v>
      </c>
      <c r="V861" s="22">
        <f t="shared" si="229"/>
        <v>-4.9498552827414001E-4</v>
      </c>
      <c r="W861" s="22">
        <f t="shared" si="230"/>
        <v>-9.545908107187461E-4</v>
      </c>
      <c r="X861" s="22">
        <f t="shared" si="231"/>
        <v>-2.0165518401918028E-4</v>
      </c>
    </row>
    <row r="862" spans="1:24" x14ac:dyDescent="0.35">
      <c r="A862" s="3">
        <v>12.77</v>
      </c>
      <c r="B862" s="3">
        <v>63.89</v>
      </c>
      <c r="C862" s="3">
        <v>161.37</v>
      </c>
      <c r="D862" s="3">
        <v>15.72</v>
      </c>
      <c r="E862" s="3">
        <v>67.52</v>
      </c>
      <c r="F862" s="3">
        <v>99.006900000000002</v>
      </c>
      <c r="G862" s="3">
        <v>93.485822999999996</v>
      </c>
      <c r="H862" s="3">
        <v>90.647198000000003</v>
      </c>
      <c r="I862" s="17">
        <f t="shared" si="216"/>
        <v>-1.8447348193697172E-2</v>
      </c>
      <c r="J862" s="17">
        <f t="shared" si="217"/>
        <v>-2.5621473234710885E-2</v>
      </c>
      <c r="K862" s="17">
        <f t="shared" si="218"/>
        <v>3.6948978280426682E-2</v>
      </c>
      <c r="L862" s="17">
        <f t="shared" si="219"/>
        <v>-2.0560747663551406E-2</v>
      </c>
      <c r="M862" s="17">
        <f t="shared" si="220"/>
        <v>-8.8079859072226728E-3</v>
      </c>
      <c r="N862" s="17">
        <f t="shared" si="221"/>
        <v>1.4146778043864707E-3</v>
      </c>
      <c r="O862" s="17">
        <f t="shared" si="222"/>
        <v>2.6626096990378596E-4</v>
      </c>
      <c r="P862" s="17">
        <f t="shared" si="223"/>
        <v>-1.696012865380877E-3</v>
      </c>
      <c r="Q862" s="22">
        <f t="shared" si="224"/>
        <v>-1.8841822064081904E-2</v>
      </c>
      <c r="R862" s="22">
        <f t="shared" si="225"/>
        <v>-2.6052197948788047E-2</v>
      </c>
      <c r="S862" s="22">
        <f t="shared" si="226"/>
        <v>3.6537018893589235E-2</v>
      </c>
      <c r="T862" s="22">
        <f t="shared" si="227"/>
        <v>-2.0692199172784323E-2</v>
      </c>
      <c r="U862" s="22">
        <f t="shared" si="228"/>
        <v>-9.5012138541764359E-3</v>
      </c>
      <c r="V862" s="22">
        <f t="shared" si="229"/>
        <v>1.649281613889651E-3</v>
      </c>
      <c r="W862" s="22">
        <f t="shared" si="230"/>
        <v>5.2050952399448902E-4</v>
      </c>
      <c r="X862" s="22">
        <f t="shared" si="231"/>
        <v>-1.3800684807745382E-3</v>
      </c>
    </row>
    <row r="863" spans="1:24" x14ac:dyDescent="0.35">
      <c r="A863" s="3">
        <v>12.11</v>
      </c>
      <c r="B863" s="3">
        <v>63.82</v>
      </c>
      <c r="C863" s="3">
        <v>143.4</v>
      </c>
      <c r="D863" s="3">
        <v>15.21</v>
      </c>
      <c r="E863" s="3">
        <v>62.55</v>
      </c>
      <c r="F863" s="3">
        <v>98.393154999999993</v>
      </c>
      <c r="G863" s="3">
        <v>92.997674000000004</v>
      </c>
      <c r="H863" s="3">
        <v>90.081469999999996</v>
      </c>
      <c r="I863" s="17">
        <f t="shared" si="216"/>
        <v>-5.1683633516053262E-2</v>
      </c>
      <c r="J863" s="17">
        <f t="shared" si="217"/>
        <v>-1.0956331194240145E-3</v>
      </c>
      <c r="K863" s="17">
        <f t="shared" si="218"/>
        <v>-0.11135898865960214</v>
      </c>
      <c r="L863" s="17">
        <f t="shared" si="219"/>
        <v>-3.2442748091603038E-2</v>
      </c>
      <c r="M863" s="17">
        <f t="shared" si="220"/>
        <v>-7.3607819905213256E-2</v>
      </c>
      <c r="N863" s="17">
        <f t="shared" si="221"/>
        <v>-6.1990123920656909E-3</v>
      </c>
      <c r="O863" s="17">
        <f t="shared" si="222"/>
        <v>-5.2216366539340718E-3</v>
      </c>
      <c r="P863" s="17">
        <f t="shared" si="223"/>
        <v>-6.2409871731502068E-3</v>
      </c>
      <c r="Q863" s="22">
        <f t="shared" si="224"/>
        <v>-5.2078107386437998E-2</v>
      </c>
      <c r="R863" s="22">
        <f t="shared" si="225"/>
        <v>-1.5263578335011779E-3</v>
      </c>
      <c r="S863" s="22">
        <f t="shared" si="226"/>
        <v>-0.11177094804643958</v>
      </c>
      <c r="T863" s="22">
        <f t="shared" si="227"/>
        <v>-3.2574199600835956E-2</v>
      </c>
      <c r="U863" s="22">
        <f t="shared" si="228"/>
        <v>-7.4301047852167013E-2</v>
      </c>
      <c r="V863" s="22">
        <f t="shared" si="229"/>
        <v>-5.9644085825625104E-3</v>
      </c>
      <c r="W863" s="22">
        <f t="shared" si="230"/>
        <v>-4.9673880998433685E-3</v>
      </c>
      <c r="X863" s="22">
        <f t="shared" si="231"/>
        <v>-5.9250427885438684E-3</v>
      </c>
    </row>
    <row r="864" spans="1:24" x14ac:dyDescent="0.35">
      <c r="A864" s="3">
        <v>12.34</v>
      </c>
      <c r="B864" s="3">
        <v>68.53</v>
      </c>
      <c r="C864" s="3">
        <v>149.12</v>
      </c>
      <c r="D864" s="3">
        <v>15.93</v>
      </c>
      <c r="E864" s="3">
        <v>64.349999999999994</v>
      </c>
      <c r="F864" s="3">
        <v>94.197626999999997</v>
      </c>
      <c r="G864" s="3">
        <v>89.011792999999997</v>
      </c>
      <c r="H864" s="3">
        <v>86.246268999999998</v>
      </c>
      <c r="I864" s="17">
        <f t="shared" si="216"/>
        <v>1.8992568125516137E-2</v>
      </c>
      <c r="J864" s="17">
        <f t="shared" si="217"/>
        <v>7.3801316201817624E-2</v>
      </c>
      <c r="K864" s="17">
        <f t="shared" si="218"/>
        <v>3.9888423988842389E-2</v>
      </c>
      <c r="L864" s="17">
        <f t="shared" si="219"/>
        <v>4.7337278106508798E-2</v>
      </c>
      <c r="M864" s="17">
        <f t="shared" si="220"/>
        <v>2.8776978417266143E-2</v>
      </c>
      <c r="N864" s="17">
        <f t="shared" si="221"/>
        <v>-4.2640445872479608E-2</v>
      </c>
      <c r="O864" s="17">
        <f t="shared" si="222"/>
        <v>-4.2860007444917449E-2</v>
      </c>
      <c r="P864" s="17">
        <f t="shared" si="223"/>
        <v>-4.2574804785046223E-2</v>
      </c>
      <c r="Q864" s="22">
        <f t="shared" si="224"/>
        <v>1.8598094255131405E-2</v>
      </c>
      <c r="R864" s="22">
        <f t="shared" si="225"/>
        <v>7.3370591487740458E-2</v>
      </c>
      <c r="S864" s="22">
        <f t="shared" si="226"/>
        <v>3.9476464602004942E-2</v>
      </c>
      <c r="T864" s="22">
        <f t="shared" si="227"/>
        <v>4.7205826597275881E-2</v>
      </c>
      <c r="U864" s="22">
        <f t="shared" si="228"/>
        <v>2.808375047031238E-2</v>
      </c>
      <c r="V864" s="22">
        <f t="shared" si="229"/>
        <v>-4.2405842062976429E-2</v>
      </c>
      <c r="W864" s="22">
        <f t="shared" si="230"/>
        <v>-4.2605758890826746E-2</v>
      </c>
      <c r="X864" s="22">
        <f t="shared" si="231"/>
        <v>-4.2258860400439885E-2</v>
      </c>
    </row>
    <row r="865" spans="1:24" x14ac:dyDescent="0.35">
      <c r="A865" s="3">
        <v>12.43</v>
      </c>
      <c r="B865" s="3">
        <v>70.98</v>
      </c>
      <c r="C865" s="3">
        <v>155</v>
      </c>
      <c r="D865" s="3">
        <v>15.68</v>
      </c>
      <c r="E865" s="3">
        <v>68.53</v>
      </c>
      <c r="F865" s="3">
        <v>94.561425999999997</v>
      </c>
      <c r="G865" s="3">
        <v>89.035799999999995</v>
      </c>
      <c r="H865" s="3">
        <v>86.563749000000001</v>
      </c>
      <c r="I865" s="17">
        <f t="shared" si="216"/>
        <v>7.2933549432738949E-3</v>
      </c>
      <c r="J865" s="17">
        <f t="shared" si="217"/>
        <v>3.5750766087844783E-2</v>
      </c>
      <c r="K865" s="17">
        <f t="shared" si="218"/>
        <v>3.9431330472102975E-2</v>
      </c>
      <c r="L865" s="17">
        <f t="shared" si="219"/>
        <v>-1.5693659761456372E-2</v>
      </c>
      <c r="M865" s="17">
        <f t="shared" si="220"/>
        <v>6.4957264957265073E-2</v>
      </c>
      <c r="N865" s="17">
        <f t="shared" si="221"/>
        <v>3.8620824280424836E-3</v>
      </c>
      <c r="O865" s="17">
        <f t="shared" si="222"/>
        <v>2.6970583549527476E-4</v>
      </c>
      <c r="P865" s="17">
        <f t="shared" si="223"/>
        <v>3.6810867725768324E-3</v>
      </c>
      <c r="Q865" s="22">
        <f t="shared" si="224"/>
        <v>6.8988810728891617E-3</v>
      </c>
      <c r="R865" s="22">
        <f t="shared" si="225"/>
        <v>3.5320041373767617E-2</v>
      </c>
      <c r="S865" s="22">
        <f t="shared" si="226"/>
        <v>3.9019371085265528E-2</v>
      </c>
      <c r="T865" s="22">
        <f t="shared" si="227"/>
        <v>-1.582511127068929E-2</v>
      </c>
      <c r="U865" s="22">
        <f t="shared" si="228"/>
        <v>6.4264037010311317E-2</v>
      </c>
      <c r="V865" s="22">
        <f t="shared" si="229"/>
        <v>4.0966862375456641E-3</v>
      </c>
      <c r="W865" s="22">
        <f t="shared" si="230"/>
        <v>5.2395438958597771E-4</v>
      </c>
      <c r="X865" s="22">
        <f t="shared" si="231"/>
        <v>3.9970311571831708E-3</v>
      </c>
    </row>
    <row r="866" spans="1:24" x14ac:dyDescent="0.35">
      <c r="A866" s="3">
        <v>12.41</v>
      </c>
      <c r="B866" s="3">
        <v>69.56</v>
      </c>
      <c r="C866" s="3">
        <v>149.03</v>
      </c>
      <c r="D866" s="3">
        <v>15.89</v>
      </c>
      <c r="E866" s="3">
        <v>67.290000000000006</v>
      </c>
      <c r="F866" s="3">
        <v>94.750545000000002</v>
      </c>
      <c r="G866" s="3">
        <v>89.666303999999997</v>
      </c>
      <c r="H866" s="3">
        <v>87.047188000000006</v>
      </c>
      <c r="I866" s="17">
        <f t="shared" si="216"/>
        <v>-1.6090104585679463E-3</v>
      </c>
      <c r="J866" s="17">
        <f t="shared" si="217"/>
        <v>-2.0005635390250798E-2</v>
      </c>
      <c r="K866" s="17">
        <f t="shared" si="218"/>
        <v>-3.851612903225806E-2</v>
      </c>
      <c r="L866" s="17">
        <f t="shared" si="219"/>
        <v>1.3392857142857198E-2</v>
      </c>
      <c r="M866" s="17">
        <f t="shared" si="220"/>
        <v>-1.8094265285276447E-2</v>
      </c>
      <c r="N866" s="17">
        <f t="shared" si="221"/>
        <v>1.9999592645737509E-3</v>
      </c>
      <c r="O866" s="17">
        <f t="shared" si="222"/>
        <v>7.0814661068918571E-3</v>
      </c>
      <c r="P866" s="17">
        <f t="shared" si="223"/>
        <v>5.5847742916033376E-3</v>
      </c>
      <c r="Q866" s="22">
        <f t="shared" si="224"/>
        <v>-2.0034843289526796E-3</v>
      </c>
      <c r="R866" s="22">
        <f t="shared" si="225"/>
        <v>-2.043636010432796E-2</v>
      </c>
      <c r="S866" s="22">
        <f t="shared" si="226"/>
        <v>-3.8928088419095508E-2</v>
      </c>
      <c r="T866" s="22">
        <f t="shared" si="227"/>
        <v>1.326140563362428E-2</v>
      </c>
      <c r="U866" s="22">
        <f t="shared" si="228"/>
        <v>-1.878749323223021E-2</v>
      </c>
      <c r="V866" s="22">
        <f t="shared" si="229"/>
        <v>2.234563074076931E-3</v>
      </c>
      <c r="W866" s="22">
        <f t="shared" si="230"/>
        <v>7.3357146609825605E-3</v>
      </c>
      <c r="X866" s="22">
        <f t="shared" si="231"/>
        <v>5.900718676209676E-3</v>
      </c>
    </row>
    <row r="867" spans="1:24" x14ac:dyDescent="0.35">
      <c r="A867" s="3">
        <v>12.1</v>
      </c>
      <c r="B867" s="3">
        <v>67.63</v>
      </c>
      <c r="C867" s="3">
        <v>139.31</v>
      </c>
      <c r="D867" s="3">
        <v>15.86</v>
      </c>
      <c r="E867" s="3">
        <v>63.26</v>
      </c>
      <c r="F867" s="3">
        <v>95.077839999999995</v>
      </c>
      <c r="G867" s="3">
        <v>90.017925000000005</v>
      </c>
      <c r="H867" s="3">
        <v>87.367703000000006</v>
      </c>
      <c r="I867" s="17">
        <f t="shared" si="216"/>
        <v>-2.4979854955680943E-2</v>
      </c>
      <c r="J867" s="17">
        <f t="shared" si="217"/>
        <v>-2.7745830937320397E-2</v>
      </c>
      <c r="K867" s="17">
        <f t="shared" si="218"/>
        <v>-6.5221767429376631E-2</v>
      </c>
      <c r="L867" s="17">
        <f t="shared" si="219"/>
        <v>-1.8879798615482151E-3</v>
      </c>
      <c r="M867" s="17">
        <f t="shared" si="220"/>
        <v>-5.9890028235993577E-2</v>
      </c>
      <c r="N867" s="17">
        <f t="shared" si="221"/>
        <v>3.4542809226056942E-3</v>
      </c>
      <c r="O867" s="17">
        <f t="shared" si="222"/>
        <v>3.921439652514379E-3</v>
      </c>
      <c r="P867" s="17">
        <f t="shared" si="223"/>
        <v>3.6820833316292801E-3</v>
      </c>
      <c r="Q867" s="22">
        <f t="shared" si="224"/>
        <v>-2.5374328826065676E-2</v>
      </c>
      <c r="R867" s="22">
        <f t="shared" si="225"/>
        <v>-2.817655565139756E-2</v>
      </c>
      <c r="S867" s="22">
        <f t="shared" si="226"/>
        <v>-6.5633726816214072E-2</v>
      </c>
      <c r="T867" s="22">
        <f t="shared" si="227"/>
        <v>-2.0194313707811331E-3</v>
      </c>
      <c r="U867" s="22">
        <f t="shared" si="228"/>
        <v>-6.058325618294734E-2</v>
      </c>
      <c r="V867" s="22">
        <f t="shared" si="229"/>
        <v>3.6888847321088743E-3</v>
      </c>
      <c r="W867" s="22">
        <f t="shared" si="230"/>
        <v>4.1756882066050823E-3</v>
      </c>
      <c r="X867" s="22">
        <f t="shared" si="231"/>
        <v>3.9980277162356189E-3</v>
      </c>
    </row>
    <row r="868" spans="1:24" x14ac:dyDescent="0.35">
      <c r="A868" s="3">
        <v>12.18</v>
      </c>
      <c r="B868" s="3">
        <v>70.7</v>
      </c>
      <c r="C868" s="3">
        <v>138.61000000000001</v>
      </c>
      <c r="D868" s="3">
        <v>15.53</v>
      </c>
      <c r="E868" s="3">
        <v>62.28</v>
      </c>
      <c r="F868" s="3">
        <v>93.642899</v>
      </c>
      <c r="G868" s="3">
        <v>88.189638000000002</v>
      </c>
      <c r="H868" s="3">
        <v>84.761716000000007</v>
      </c>
      <c r="I868" s="17">
        <f t="shared" si="216"/>
        <v>6.6115702479338902E-3</v>
      </c>
      <c r="J868" s="17">
        <f t="shared" si="217"/>
        <v>4.5394055892355574E-2</v>
      </c>
      <c r="K868" s="17">
        <f t="shared" si="218"/>
        <v>-5.0247649127843561E-3</v>
      </c>
      <c r="L868" s="17">
        <f t="shared" si="219"/>
        <v>-2.0807061790668352E-2</v>
      </c>
      <c r="M868" s="17">
        <f t="shared" si="220"/>
        <v>-1.5491621877963909E-2</v>
      </c>
      <c r="N868" s="17">
        <f t="shared" si="221"/>
        <v>-1.5092275970930713E-2</v>
      </c>
      <c r="O868" s="17">
        <f t="shared" si="222"/>
        <v>-2.0310254874237581E-2</v>
      </c>
      <c r="P868" s="17">
        <f t="shared" si="223"/>
        <v>-2.9827807193237056E-2</v>
      </c>
      <c r="Q868" s="22">
        <f t="shared" si="224"/>
        <v>6.2170963775491569E-3</v>
      </c>
      <c r="R868" s="22">
        <f t="shared" si="225"/>
        <v>4.4963331178278408E-2</v>
      </c>
      <c r="S868" s="22">
        <f t="shared" si="226"/>
        <v>-5.4367242996218026E-3</v>
      </c>
      <c r="T868" s="22">
        <f t="shared" si="227"/>
        <v>-2.0938513299901269E-2</v>
      </c>
      <c r="U868" s="22">
        <f t="shared" si="228"/>
        <v>-1.618484982491767E-2</v>
      </c>
      <c r="V868" s="22">
        <f t="shared" si="229"/>
        <v>-1.4857672161427533E-2</v>
      </c>
      <c r="W868" s="22">
        <f t="shared" si="230"/>
        <v>-2.0056006320146879E-2</v>
      </c>
      <c r="X868" s="22">
        <f t="shared" si="231"/>
        <v>-2.9511862808630718E-2</v>
      </c>
    </row>
    <row r="869" spans="1:24" x14ac:dyDescent="0.35">
      <c r="A869" s="3">
        <v>11.94</v>
      </c>
      <c r="B869" s="3">
        <v>69.260000000000005</v>
      </c>
      <c r="C869" s="3">
        <v>136.9</v>
      </c>
      <c r="D869" s="3">
        <v>15.7</v>
      </c>
      <c r="E869" s="3">
        <v>61.55</v>
      </c>
      <c r="F869" s="3">
        <v>93.188394000000002</v>
      </c>
      <c r="G869" s="3">
        <v>88.213911999999993</v>
      </c>
      <c r="H869" s="3">
        <v>84.556533000000002</v>
      </c>
      <c r="I869" s="17">
        <f t="shared" si="216"/>
        <v>-1.9704433497536963E-2</v>
      </c>
      <c r="J869" s="17">
        <f t="shared" si="217"/>
        <v>-2.0367751060820335E-2</v>
      </c>
      <c r="K869" s="17">
        <f t="shared" si="218"/>
        <v>-1.2336772238655275E-2</v>
      </c>
      <c r="L869" s="17">
        <f t="shared" si="219"/>
        <v>1.0946555054732771E-2</v>
      </c>
      <c r="M869" s="17">
        <f t="shared" si="220"/>
        <v>-1.1721258831085485E-2</v>
      </c>
      <c r="N869" s="17">
        <f t="shared" si="221"/>
        <v>-4.8535981356151465E-3</v>
      </c>
      <c r="O869" s="17">
        <f t="shared" si="222"/>
        <v>2.7524775643133093E-4</v>
      </c>
      <c r="P869" s="17">
        <f t="shared" si="223"/>
        <v>-2.4207037054323581E-3</v>
      </c>
      <c r="Q869" s="22">
        <f t="shared" si="224"/>
        <v>-2.0098907367921696E-2</v>
      </c>
      <c r="R869" s="22">
        <f t="shared" si="225"/>
        <v>-2.0798475774897497E-2</v>
      </c>
      <c r="S869" s="22">
        <f t="shared" si="226"/>
        <v>-1.2748731625492723E-2</v>
      </c>
      <c r="T869" s="22">
        <f t="shared" si="227"/>
        <v>1.0815103545499853E-2</v>
      </c>
      <c r="U869" s="22">
        <f t="shared" si="228"/>
        <v>-1.2414486778039248E-2</v>
      </c>
      <c r="V869" s="22">
        <f t="shared" si="229"/>
        <v>-4.618994326111966E-3</v>
      </c>
      <c r="W869" s="22">
        <f t="shared" si="230"/>
        <v>5.2949631052203394E-4</v>
      </c>
      <c r="X869" s="22">
        <f t="shared" si="231"/>
        <v>-2.1047593208260193E-3</v>
      </c>
    </row>
    <row r="870" spans="1:24" x14ac:dyDescent="0.35">
      <c r="A870" s="3">
        <v>12.4</v>
      </c>
      <c r="B870" s="3">
        <v>69.45</v>
      </c>
      <c r="C870" s="3">
        <v>136.19</v>
      </c>
      <c r="D870" s="3">
        <v>15.8</v>
      </c>
      <c r="E870" s="3">
        <v>61.41</v>
      </c>
      <c r="F870" s="3">
        <v>92.810530999999997</v>
      </c>
      <c r="G870" s="3">
        <v>87.285561000000001</v>
      </c>
      <c r="H870" s="3">
        <v>84.012330000000006</v>
      </c>
      <c r="I870" s="17">
        <f t="shared" si="216"/>
        <v>3.8525963149078801E-2</v>
      </c>
      <c r="J870" s="17">
        <f t="shared" si="217"/>
        <v>2.7432861680623407E-3</v>
      </c>
      <c r="K870" s="17">
        <f t="shared" si="218"/>
        <v>-5.1862673484295687E-3</v>
      </c>
      <c r="L870" s="17">
        <f t="shared" si="219"/>
        <v>6.3694267515924472E-3</v>
      </c>
      <c r="M870" s="17">
        <f t="shared" si="220"/>
        <v>-2.2745735174654847E-3</v>
      </c>
      <c r="N870" s="17">
        <f t="shared" si="221"/>
        <v>-4.0548289736595843E-3</v>
      </c>
      <c r="O870" s="17">
        <f t="shared" si="222"/>
        <v>-1.0523861587727707E-2</v>
      </c>
      <c r="P870" s="17">
        <f t="shared" si="223"/>
        <v>-6.4359663374561017E-3</v>
      </c>
      <c r="Q870" s="22">
        <f t="shared" si="224"/>
        <v>3.8131489278694065E-2</v>
      </c>
      <c r="R870" s="22">
        <f t="shared" si="225"/>
        <v>2.312561453985177E-3</v>
      </c>
      <c r="S870" s="22">
        <f t="shared" si="226"/>
        <v>-5.5982267352670152E-3</v>
      </c>
      <c r="T870" s="22">
        <f t="shared" si="227"/>
        <v>6.2379752423595289E-3</v>
      </c>
      <c r="U870" s="22">
        <f t="shared" si="228"/>
        <v>-2.9678014644192474E-3</v>
      </c>
      <c r="V870" s="22">
        <f t="shared" si="229"/>
        <v>-3.8202251641564042E-3</v>
      </c>
      <c r="W870" s="22">
        <f t="shared" si="230"/>
        <v>-1.0269613033637005E-2</v>
      </c>
      <c r="X870" s="22">
        <f t="shared" si="231"/>
        <v>-6.1200219528497633E-3</v>
      </c>
    </row>
    <row r="871" spans="1:24" x14ac:dyDescent="0.35">
      <c r="A871" s="3">
        <v>12.19</v>
      </c>
      <c r="B871" s="3">
        <v>67.62</v>
      </c>
      <c r="C871" s="3">
        <v>132.68</v>
      </c>
      <c r="D871" s="3">
        <v>15.55</v>
      </c>
      <c r="E871" s="3">
        <v>61.32</v>
      </c>
      <c r="F871" s="3">
        <v>93.587277999999998</v>
      </c>
      <c r="G871" s="3">
        <v>88.219847999999999</v>
      </c>
      <c r="H871" s="3">
        <v>85.164970999999994</v>
      </c>
      <c r="I871" s="17">
        <f t="shared" si="216"/>
        <v>-1.6935483870967809E-2</v>
      </c>
      <c r="J871" s="17">
        <f t="shared" si="217"/>
        <v>-2.6349892008639283E-2</v>
      </c>
      <c r="K871" s="17">
        <f t="shared" si="218"/>
        <v>-2.5772817387473317E-2</v>
      </c>
      <c r="L871" s="17">
        <f t="shared" si="219"/>
        <v>-1.582278481012658E-2</v>
      </c>
      <c r="M871" s="17">
        <f t="shared" si="220"/>
        <v>-1.4655593551538236E-3</v>
      </c>
      <c r="N871" s="17">
        <f t="shared" si="221"/>
        <v>8.369168796157414E-3</v>
      </c>
      <c r="O871" s="17">
        <f t="shared" si="222"/>
        <v>1.0703797848077045E-2</v>
      </c>
      <c r="P871" s="17">
        <f t="shared" si="223"/>
        <v>1.3719902780936898E-2</v>
      </c>
      <c r="Q871" s="22">
        <f t="shared" si="224"/>
        <v>-1.7329957741352542E-2</v>
      </c>
      <c r="R871" s="22">
        <f t="shared" si="225"/>
        <v>-2.6780616722716446E-2</v>
      </c>
      <c r="S871" s="22">
        <f t="shared" si="226"/>
        <v>-2.6184776774310765E-2</v>
      </c>
      <c r="T871" s="22">
        <f t="shared" si="227"/>
        <v>-1.5954236319359497E-2</v>
      </c>
      <c r="U871" s="22">
        <f t="shared" si="228"/>
        <v>-2.158787302107586E-3</v>
      </c>
      <c r="V871" s="22">
        <f t="shared" si="229"/>
        <v>8.6037726056605937E-3</v>
      </c>
      <c r="W871" s="22">
        <f t="shared" si="230"/>
        <v>1.0958046402167748E-2</v>
      </c>
      <c r="X871" s="22">
        <f t="shared" si="231"/>
        <v>1.4035847165543236E-2</v>
      </c>
    </row>
    <row r="872" spans="1:24" x14ac:dyDescent="0.35">
      <c r="A872" s="3">
        <v>11.89</v>
      </c>
      <c r="B872" s="3">
        <v>67.02</v>
      </c>
      <c r="C872" s="3">
        <v>137.43</v>
      </c>
      <c r="D872" s="3">
        <v>15.66</v>
      </c>
      <c r="E872" s="3">
        <v>60.96</v>
      </c>
      <c r="F872" s="3">
        <v>93.613211000000007</v>
      </c>
      <c r="G872" s="3">
        <v>88.655547999999996</v>
      </c>
      <c r="H872" s="3">
        <v>85.130849999999995</v>
      </c>
      <c r="I872" s="17">
        <f t="shared" si="216"/>
        <v>-2.4610336341263243E-2</v>
      </c>
      <c r="J872" s="17">
        <f t="shared" si="217"/>
        <v>-8.8731144631766998E-3</v>
      </c>
      <c r="K872" s="17">
        <f t="shared" si="218"/>
        <v>3.5800422068133851E-2</v>
      </c>
      <c r="L872" s="17">
        <f t="shared" si="219"/>
        <v>7.0739549839227926E-3</v>
      </c>
      <c r="M872" s="17">
        <f t="shared" si="220"/>
        <v>-5.8708414872798344E-3</v>
      </c>
      <c r="N872" s="17">
        <f t="shared" si="221"/>
        <v>2.7709962886204566E-4</v>
      </c>
      <c r="O872" s="17">
        <f t="shared" si="222"/>
        <v>4.9387978995384021E-3</v>
      </c>
      <c r="P872" s="17">
        <f t="shared" si="223"/>
        <v>-4.0064594162779623E-4</v>
      </c>
      <c r="Q872" s="22">
        <f t="shared" si="224"/>
        <v>-2.5004810211647976E-2</v>
      </c>
      <c r="R872" s="22">
        <f t="shared" si="225"/>
        <v>-9.3038391772538639E-3</v>
      </c>
      <c r="S872" s="22">
        <f t="shared" si="226"/>
        <v>3.5388462681296404E-2</v>
      </c>
      <c r="T872" s="22">
        <f t="shared" si="227"/>
        <v>6.9425034746898743E-3</v>
      </c>
      <c r="U872" s="22">
        <f t="shared" si="228"/>
        <v>-6.5640694342335966E-3</v>
      </c>
      <c r="V872" s="22">
        <f t="shared" si="229"/>
        <v>5.1170343836522592E-4</v>
      </c>
      <c r="W872" s="22">
        <f t="shared" si="230"/>
        <v>5.1930464536291054E-3</v>
      </c>
      <c r="X872" s="22">
        <f t="shared" si="231"/>
        <v>-8.4701557021457457E-5</v>
      </c>
    </row>
    <row r="873" spans="1:24" x14ac:dyDescent="0.35">
      <c r="A873" s="3">
        <v>12.05</v>
      </c>
      <c r="B873" s="3">
        <v>66.52</v>
      </c>
      <c r="C873" s="3">
        <v>140.09</v>
      </c>
      <c r="D873" s="3">
        <v>15.66</v>
      </c>
      <c r="E873" s="3">
        <v>59.98</v>
      </c>
      <c r="F873" s="3">
        <v>93.381372999999996</v>
      </c>
      <c r="G873" s="3">
        <v>88.222965000000002</v>
      </c>
      <c r="H873" s="3">
        <v>84.867847999999995</v>
      </c>
      <c r="I873" s="17">
        <f t="shared" si="216"/>
        <v>1.3456686291000853E-2</v>
      </c>
      <c r="J873" s="17">
        <f t="shared" si="217"/>
        <v>-7.4604595643091619E-3</v>
      </c>
      <c r="K873" s="17">
        <f t="shared" si="218"/>
        <v>1.9355308156879841E-2</v>
      </c>
      <c r="L873" s="17">
        <f t="shared" si="219"/>
        <v>0</v>
      </c>
      <c r="M873" s="17">
        <f t="shared" si="220"/>
        <v>-1.6076115485564368E-2</v>
      </c>
      <c r="N873" s="17">
        <f t="shared" si="221"/>
        <v>-2.4765521609979857E-3</v>
      </c>
      <c r="O873" s="17">
        <f t="shared" si="222"/>
        <v>-4.8793675044453387E-3</v>
      </c>
      <c r="P873" s="17">
        <f t="shared" si="223"/>
        <v>-3.0893853403319736E-3</v>
      </c>
      <c r="Q873" s="22">
        <f t="shared" si="224"/>
        <v>1.3062212420616118E-2</v>
      </c>
      <c r="R873" s="22">
        <f t="shared" si="225"/>
        <v>-7.8911842783863251E-3</v>
      </c>
      <c r="S873" s="22">
        <f t="shared" si="226"/>
        <v>1.8943348770042393E-2</v>
      </c>
      <c r="T873" s="22">
        <f t="shared" si="227"/>
        <v>-1.3145150923291827E-4</v>
      </c>
      <c r="U873" s="22">
        <f t="shared" si="228"/>
        <v>-1.6769343432518131E-2</v>
      </c>
      <c r="V873" s="22">
        <f t="shared" si="229"/>
        <v>-2.2419483514948056E-3</v>
      </c>
      <c r="W873" s="22">
        <f t="shared" si="230"/>
        <v>-4.6251189503546354E-3</v>
      </c>
      <c r="X873" s="22">
        <f t="shared" si="231"/>
        <v>-2.7734409557256348E-3</v>
      </c>
    </row>
    <row r="874" spans="1:24" x14ac:dyDescent="0.35">
      <c r="A874" s="3">
        <v>11.95</v>
      </c>
      <c r="B874" s="3">
        <v>69.63</v>
      </c>
      <c r="C874" s="3">
        <v>144.61000000000001</v>
      </c>
      <c r="D874" s="3">
        <v>15.63</v>
      </c>
      <c r="E874" s="3">
        <v>60.6</v>
      </c>
      <c r="F874" s="3">
        <v>93.738883999999999</v>
      </c>
      <c r="G874" s="3">
        <v>87.929392000000007</v>
      </c>
      <c r="H874" s="3">
        <v>85.580488000000003</v>
      </c>
      <c r="I874" s="17">
        <f t="shared" si="216"/>
        <v>-8.2987551867221097E-3</v>
      </c>
      <c r="J874" s="17">
        <f t="shared" si="217"/>
        <v>4.6752856283824411E-2</v>
      </c>
      <c r="K874" s="17">
        <f t="shared" si="218"/>
        <v>3.2264972517667287E-2</v>
      </c>
      <c r="L874" s="17">
        <f t="shared" si="219"/>
        <v>-1.9157088122604955E-3</v>
      </c>
      <c r="M874" s="17">
        <f t="shared" si="220"/>
        <v>1.0336778926308845E-2</v>
      </c>
      <c r="N874" s="17">
        <f t="shared" si="221"/>
        <v>3.8285044277513716E-3</v>
      </c>
      <c r="O874" s="17">
        <f t="shared" si="222"/>
        <v>-3.3276256357966994E-3</v>
      </c>
      <c r="P874" s="17">
        <f t="shared" si="223"/>
        <v>8.3970551486118455E-3</v>
      </c>
      <c r="Q874" s="22">
        <f t="shared" si="224"/>
        <v>-8.6932290571068438E-3</v>
      </c>
      <c r="R874" s="22">
        <f t="shared" si="225"/>
        <v>4.6322131569747245E-2</v>
      </c>
      <c r="S874" s="22">
        <f t="shared" si="226"/>
        <v>3.1853013130829839E-2</v>
      </c>
      <c r="T874" s="22">
        <f t="shared" si="227"/>
        <v>-2.0471603214934136E-3</v>
      </c>
      <c r="U874" s="22">
        <f t="shared" si="228"/>
        <v>9.6435509793550821E-3</v>
      </c>
      <c r="V874" s="22">
        <f t="shared" si="229"/>
        <v>4.0631082372545521E-3</v>
      </c>
      <c r="W874" s="22">
        <f t="shared" si="230"/>
        <v>-3.0733770817059965E-3</v>
      </c>
      <c r="X874" s="22">
        <f t="shared" si="231"/>
        <v>8.7129995332181839E-3</v>
      </c>
    </row>
    <row r="875" spans="1:24" x14ac:dyDescent="0.35">
      <c r="A875" s="3">
        <v>11.99</v>
      </c>
      <c r="B875" s="3">
        <v>70.569999999999993</v>
      </c>
      <c r="C875" s="3">
        <v>146.59</v>
      </c>
      <c r="D875" s="3">
        <v>15.69</v>
      </c>
      <c r="E875" s="3">
        <v>59.99</v>
      </c>
      <c r="F875" s="3">
        <v>93.764809</v>
      </c>
      <c r="G875" s="3">
        <v>87.953827000000004</v>
      </c>
      <c r="H875" s="3">
        <v>85.603773000000004</v>
      </c>
      <c r="I875" s="17">
        <f t="shared" si="216"/>
        <v>3.3472803347281109E-3</v>
      </c>
      <c r="J875" s="17">
        <f t="shared" si="217"/>
        <v>1.3499928191871288E-2</v>
      </c>
      <c r="K875" s="17">
        <f t="shared" si="218"/>
        <v>1.3691999170181796E-2</v>
      </c>
      <c r="L875" s="17">
        <f t="shared" si="219"/>
        <v>3.838771593090129E-3</v>
      </c>
      <c r="M875" s="17">
        <f t="shared" si="220"/>
        <v>-1.0066006600660057E-2</v>
      </c>
      <c r="N875" s="17">
        <f t="shared" si="221"/>
        <v>2.7656612596327546E-4</v>
      </c>
      <c r="O875" s="17">
        <f t="shared" si="222"/>
        <v>2.7789342612532646E-4</v>
      </c>
      <c r="P875" s="17">
        <f t="shared" si="223"/>
        <v>2.7208304771528447E-4</v>
      </c>
      <c r="Q875" s="22">
        <f t="shared" si="224"/>
        <v>2.9528064643433776E-3</v>
      </c>
      <c r="R875" s="22">
        <f t="shared" si="225"/>
        <v>1.3069203477794123E-2</v>
      </c>
      <c r="S875" s="22">
        <f t="shared" si="226"/>
        <v>1.3280039783344348E-2</v>
      </c>
      <c r="T875" s="22">
        <f t="shared" si="227"/>
        <v>3.7073200838572107E-3</v>
      </c>
      <c r="U875" s="22">
        <f t="shared" si="228"/>
        <v>-1.075923454761382E-2</v>
      </c>
      <c r="V875" s="22">
        <f t="shared" si="229"/>
        <v>5.1116993546645572E-4</v>
      </c>
      <c r="W875" s="22">
        <f t="shared" si="230"/>
        <v>5.3214198021602952E-4</v>
      </c>
      <c r="X875" s="22">
        <f t="shared" si="231"/>
        <v>5.8802743232162324E-4</v>
      </c>
    </row>
    <row r="876" spans="1:24" x14ac:dyDescent="0.35">
      <c r="A876" s="3">
        <v>11.76</v>
      </c>
      <c r="B876" s="3">
        <v>70.430000000000007</v>
      </c>
      <c r="C876" s="3">
        <v>146.91999999999999</v>
      </c>
      <c r="D876" s="3">
        <v>15.45</v>
      </c>
      <c r="E876" s="3">
        <v>59.57</v>
      </c>
      <c r="F876" s="3">
        <v>93.916370000000001</v>
      </c>
      <c r="G876" s="3">
        <v>89.030338</v>
      </c>
      <c r="H876" s="3">
        <v>86.195324999999997</v>
      </c>
      <c r="I876" s="17">
        <f t="shared" si="216"/>
        <v>-1.9182652210175181E-2</v>
      </c>
      <c r="J876" s="17">
        <f t="shared" si="217"/>
        <v>-1.9838458268384069E-3</v>
      </c>
      <c r="K876" s="17">
        <f t="shared" si="218"/>
        <v>2.2511767514836216E-3</v>
      </c>
      <c r="L876" s="17">
        <f t="shared" si="219"/>
        <v>-1.5296367112810721E-2</v>
      </c>
      <c r="M876" s="17">
        <f t="shared" si="220"/>
        <v>-7.0011668611435519E-3</v>
      </c>
      <c r="N876" s="17">
        <f t="shared" si="221"/>
        <v>1.6163953365489279E-3</v>
      </c>
      <c r="O876" s="17">
        <f t="shared" si="222"/>
        <v>1.2239501528455338E-2</v>
      </c>
      <c r="P876" s="17">
        <f t="shared" si="223"/>
        <v>6.9103496174168976E-3</v>
      </c>
      <c r="Q876" s="22">
        <f t="shared" si="224"/>
        <v>-1.9577126080559913E-2</v>
      </c>
      <c r="R876" s="22">
        <f t="shared" si="225"/>
        <v>-2.4145705409155706E-3</v>
      </c>
      <c r="S876" s="22">
        <f t="shared" si="226"/>
        <v>1.8392173646461746E-3</v>
      </c>
      <c r="T876" s="22">
        <f t="shared" si="227"/>
        <v>-1.5427818622043638E-2</v>
      </c>
      <c r="U876" s="22">
        <f t="shared" si="228"/>
        <v>-7.6943948080973141E-3</v>
      </c>
      <c r="V876" s="22">
        <f t="shared" si="229"/>
        <v>1.8509991460521082E-3</v>
      </c>
      <c r="W876" s="22">
        <f t="shared" si="230"/>
        <v>1.2493750082546041E-2</v>
      </c>
      <c r="X876" s="22">
        <f t="shared" si="231"/>
        <v>7.226294002023236E-3</v>
      </c>
    </row>
    <row r="877" spans="1:24" x14ac:dyDescent="0.35">
      <c r="A877" s="3">
        <v>11.44</v>
      </c>
      <c r="B877" s="3">
        <v>68.099999999999994</v>
      </c>
      <c r="C877" s="3">
        <v>151.81</v>
      </c>
      <c r="D877" s="3">
        <v>15.29</v>
      </c>
      <c r="E877" s="3">
        <v>62.41</v>
      </c>
      <c r="F877" s="3">
        <v>94.311937999999998</v>
      </c>
      <c r="G877" s="3">
        <v>89.192443999999995</v>
      </c>
      <c r="H877" s="3">
        <v>86.335061999999994</v>
      </c>
      <c r="I877" s="17">
        <f t="shared" si="216"/>
        <v>-2.721088435374152E-2</v>
      </c>
      <c r="J877" s="17">
        <f t="shared" si="217"/>
        <v>-3.3082493255715072E-2</v>
      </c>
      <c r="K877" s="17">
        <f t="shared" si="218"/>
        <v>3.3283419548053465E-2</v>
      </c>
      <c r="L877" s="17">
        <f t="shared" si="219"/>
        <v>-1.035598705501619E-2</v>
      </c>
      <c r="M877" s="17">
        <f t="shared" si="220"/>
        <v>4.7675004196743268E-2</v>
      </c>
      <c r="N877" s="17">
        <f t="shared" si="221"/>
        <v>4.2119174750897765E-3</v>
      </c>
      <c r="O877" s="17">
        <f t="shared" si="222"/>
        <v>1.8207950642621879E-3</v>
      </c>
      <c r="P877" s="17">
        <f t="shared" si="223"/>
        <v>1.6211668092207632E-3</v>
      </c>
      <c r="Q877" s="22">
        <f t="shared" si="224"/>
        <v>-2.7605358224126252E-2</v>
      </c>
      <c r="R877" s="22">
        <f t="shared" si="225"/>
        <v>-3.3513217969792237E-2</v>
      </c>
      <c r="S877" s="22">
        <f t="shared" si="226"/>
        <v>3.2871460161216018E-2</v>
      </c>
      <c r="T877" s="22">
        <f t="shared" si="227"/>
        <v>-1.0487438564249107E-2</v>
      </c>
      <c r="U877" s="22">
        <f t="shared" si="228"/>
        <v>4.6981776249789504E-2</v>
      </c>
      <c r="V877" s="22">
        <f t="shared" si="229"/>
        <v>4.446521284592957E-3</v>
      </c>
      <c r="W877" s="22">
        <f t="shared" si="230"/>
        <v>2.075043618352891E-3</v>
      </c>
      <c r="X877" s="22">
        <f t="shared" si="231"/>
        <v>1.937111193827102E-3</v>
      </c>
    </row>
    <row r="878" spans="1:24" x14ac:dyDescent="0.35">
      <c r="A878" s="3">
        <v>11.48</v>
      </c>
      <c r="B878" s="3">
        <v>65.84</v>
      </c>
      <c r="C878" s="3">
        <v>150.04</v>
      </c>
      <c r="D878" s="3">
        <v>15.16</v>
      </c>
      <c r="E878" s="3">
        <v>62.93</v>
      </c>
      <c r="F878" s="3">
        <v>94.597448999999997</v>
      </c>
      <c r="G878" s="3">
        <v>89.354760999999996</v>
      </c>
      <c r="H878" s="3">
        <v>86.767639000000003</v>
      </c>
      <c r="I878" s="17">
        <f t="shared" si="216"/>
        <v>3.4965034965035776E-3</v>
      </c>
      <c r="J878" s="17">
        <f t="shared" si="217"/>
        <v>-3.318649045521279E-2</v>
      </c>
      <c r="K878" s="17">
        <f t="shared" si="218"/>
        <v>-1.165931098083137E-2</v>
      </c>
      <c r="L878" s="17">
        <f t="shared" si="219"/>
        <v>-8.5022890778285818E-3</v>
      </c>
      <c r="M878" s="17">
        <f t="shared" si="220"/>
        <v>8.3319980772312632E-3</v>
      </c>
      <c r="N878" s="17">
        <f t="shared" si="221"/>
        <v>3.0273049844442772E-3</v>
      </c>
      <c r="O878" s="17">
        <f t="shared" si="222"/>
        <v>1.8198514663417184E-3</v>
      </c>
      <c r="P878" s="17">
        <f t="shared" si="223"/>
        <v>5.0104440765909117E-3</v>
      </c>
      <c r="Q878" s="22">
        <f t="shared" si="224"/>
        <v>3.1020296261188443E-3</v>
      </c>
      <c r="R878" s="22">
        <f t="shared" si="225"/>
        <v>-3.3617215169289956E-2</v>
      </c>
      <c r="S878" s="22">
        <f t="shared" si="226"/>
        <v>-1.2071270367668818E-2</v>
      </c>
      <c r="T878" s="22">
        <f t="shared" si="227"/>
        <v>-8.6337405870614992E-3</v>
      </c>
      <c r="U878" s="22">
        <f t="shared" si="228"/>
        <v>7.638770130277501E-3</v>
      </c>
      <c r="V878" s="22">
        <f t="shared" si="229"/>
        <v>3.2619087939474573E-3</v>
      </c>
      <c r="W878" s="22">
        <f t="shared" si="230"/>
        <v>2.0741000204324215E-3</v>
      </c>
      <c r="X878" s="22">
        <f t="shared" si="231"/>
        <v>5.3263884611972501E-3</v>
      </c>
    </row>
    <row r="879" spans="1:24" x14ac:dyDescent="0.35">
      <c r="A879" s="3">
        <v>11.55</v>
      </c>
      <c r="B879" s="3">
        <v>64.67</v>
      </c>
      <c r="C879" s="3">
        <v>152.16</v>
      </c>
      <c r="D879" s="3">
        <v>15.28</v>
      </c>
      <c r="E879" s="3">
        <v>62.76</v>
      </c>
      <c r="F879" s="3">
        <v>94.363515000000007</v>
      </c>
      <c r="G879" s="3">
        <v>89.748487999999995</v>
      </c>
      <c r="H879" s="3">
        <v>86.673627999999994</v>
      </c>
      <c r="I879" s="17">
        <f t="shared" si="216"/>
        <v>6.0975609756097806E-3</v>
      </c>
      <c r="J879" s="17">
        <f t="shared" si="217"/>
        <v>-1.7770352369380342E-2</v>
      </c>
      <c r="K879" s="17">
        <f t="shared" si="218"/>
        <v>1.4129565449213575E-2</v>
      </c>
      <c r="L879" s="17">
        <f t="shared" si="219"/>
        <v>7.9155672823218483E-3</v>
      </c>
      <c r="M879" s="17">
        <f t="shared" si="220"/>
        <v>-2.7014142698236405E-3</v>
      </c>
      <c r="N879" s="17">
        <f t="shared" si="221"/>
        <v>-2.4729419500518538E-3</v>
      </c>
      <c r="O879" s="17">
        <f t="shared" si="222"/>
        <v>4.4063348790110736E-3</v>
      </c>
      <c r="P879" s="17">
        <f t="shared" si="223"/>
        <v>-1.0834799826696787E-3</v>
      </c>
      <c r="Q879" s="22">
        <f t="shared" si="224"/>
        <v>5.7030871052250473E-3</v>
      </c>
      <c r="R879" s="22">
        <f t="shared" si="225"/>
        <v>-1.8201077083457504E-2</v>
      </c>
      <c r="S879" s="22">
        <f t="shared" si="226"/>
        <v>1.3717606062376127E-2</v>
      </c>
      <c r="T879" s="22">
        <f t="shared" si="227"/>
        <v>7.78411577308893E-3</v>
      </c>
      <c r="U879" s="22">
        <f t="shared" si="228"/>
        <v>-3.3946422167774031E-3</v>
      </c>
      <c r="V879" s="22">
        <f t="shared" si="229"/>
        <v>-2.2383381405486737E-3</v>
      </c>
      <c r="W879" s="22">
        <f t="shared" si="230"/>
        <v>4.6605834331017769E-3</v>
      </c>
      <c r="X879" s="22">
        <f t="shared" si="231"/>
        <v>-7.6753559806333992E-4</v>
      </c>
    </row>
    <row r="880" spans="1:24" x14ac:dyDescent="0.35">
      <c r="A880" s="3">
        <v>11.62</v>
      </c>
      <c r="B880" s="3">
        <v>65.48</v>
      </c>
      <c r="C880" s="3">
        <v>149.28</v>
      </c>
      <c r="D880" s="3">
        <v>15.49</v>
      </c>
      <c r="E880" s="3">
        <v>62.4</v>
      </c>
      <c r="F880" s="3">
        <v>94.760327000000004</v>
      </c>
      <c r="G880" s="3">
        <v>89.865243000000007</v>
      </c>
      <c r="H880" s="3">
        <v>86.931437000000003</v>
      </c>
      <c r="I880" s="17">
        <f t="shared" si="216"/>
        <v>6.0606060606059314E-3</v>
      </c>
      <c r="J880" s="17">
        <f t="shared" si="217"/>
        <v>1.252512757074381E-2</v>
      </c>
      <c r="K880" s="17">
        <f t="shared" si="218"/>
        <v>-1.892744479495265E-2</v>
      </c>
      <c r="L880" s="17">
        <f t="shared" si="219"/>
        <v>1.3743455497382255E-2</v>
      </c>
      <c r="M880" s="17">
        <f t="shared" si="220"/>
        <v>-5.7361376673040068E-3</v>
      </c>
      <c r="N880" s="17">
        <f t="shared" si="221"/>
        <v>4.2051422098890344E-3</v>
      </c>
      <c r="O880" s="17">
        <f t="shared" si="222"/>
        <v>1.300913281124156E-3</v>
      </c>
      <c r="P880" s="17">
        <f t="shared" si="223"/>
        <v>2.9744803113584775E-3</v>
      </c>
      <c r="Q880" s="22">
        <f t="shared" si="224"/>
        <v>5.6661321902211981E-3</v>
      </c>
      <c r="R880" s="22">
        <f t="shared" si="225"/>
        <v>1.2094402856666646E-2</v>
      </c>
      <c r="S880" s="22">
        <f t="shared" si="226"/>
        <v>-1.9339404181790098E-2</v>
      </c>
      <c r="T880" s="22">
        <f t="shared" si="227"/>
        <v>1.3612003988149338E-2</v>
      </c>
      <c r="U880" s="22">
        <f t="shared" si="228"/>
        <v>-6.429365614257769E-3</v>
      </c>
      <c r="V880" s="22">
        <f t="shared" si="229"/>
        <v>4.4397460193922149E-3</v>
      </c>
      <c r="W880" s="22">
        <f t="shared" si="230"/>
        <v>1.5551618352148589E-3</v>
      </c>
      <c r="X880" s="22">
        <f t="shared" si="231"/>
        <v>3.2904246959648163E-3</v>
      </c>
    </row>
    <row r="881" spans="1:24" x14ac:dyDescent="0.35">
      <c r="A881" s="3">
        <v>11.73</v>
      </c>
      <c r="B881" s="3">
        <v>65.2</v>
      </c>
      <c r="C881" s="3">
        <v>142.78</v>
      </c>
      <c r="D881" s="3">
        <v>15.47</v>
      </c>
      <c r="E881" s="3">
        <v>63.62</v>
      </c>
      <c r="F881" s="3">
        <v>94.392858000000004</v>
      </c>
      <c r="G881" s="3">
        <v>89.706197000000003</v>
      </c>
      <c r="H881" s="3">
        <v>86.241990000000001</v>
      </c>
      <c r="I881" s="17">
        <f t="shared" si="216"/>
        <v>9.4664371772806549E-3</v>
      </c>
      <c r="J881" s="17">
        <f t="shared" si="217"/>
        <v>-4.276114844227262E-3</v>
      </c>
      <c r="K881" s="17">
        <f t="shared" si="218"/>
        <v>-4.3542336548767414E-2</v>
      </c>
      <c r="L881" s="17">
        <f t="shared" si="219"/>
        <v>-1.2911555842478742E-3</v>
      </c>
      <c r="M881" s="17">
        <f t="shared" si="220"/>
        <v>1.9551282051282034E-2</v>
      </c>
      <c r="N881" s="17">
        <f t="shared" si="221"/>
        <v>-3.8778781335357762E-3</v>
      </c>
      <c r="O881" s="17">
        <f t="shared" si="222"/>
        <v>-1.7698277408541984E-3</v>
      </c>
      <c r="P881" s="17">
        <f t="shared" si="223"/>
        <v>-7.9309283705962571E-3</v>
      </c>
      <c r="Q881" s="22">
        <f t="shared" si="224"/>
        <v>9.0719633068959207E-3</v>
      </c>
      <c r="R881" s="22">
        <f t="shared" si="225"/>
        <v>-4.7068395583044252E-3</v>
      </c>
      <c r="S881" s="22">
        <f t="shared" si="226"/>
        <v>-4.3954295935604862E-2</v>
      </c>
      <c r="T881" s="22">
        <f t="shared" si="227"/>
        <v>-1.4226070934807925E-3</v>
      </c>
      <c r="U881" s="22">
        <f t="shared" si="228"/>
        <v>1.8858054104328271E-2</v>
      </c>
      <c r="V881" s="22">
        <f t="shared" si="229"/>
        <v>-3.6432743240325961E-3</v>
      </c>
      <c r="W881" s="22">
        <f t="shared" si="230"/>
        <v>-1.5155791867634953E-3</v>
      </c>
      <c r="X881" s="22">
        <f t="shared" si="231"/>
        <v>-7.6149839859899187E-3</v>
      </c>
    </row>
    <row r="882" spans="1:24" x14ac:dyDescent="0.35">
      <c r="A882" s="3">
        <v>11.71</v>
      </c>
      <c r="B882" s="3">
        <v>64.61</v>
      </c>
      <c r="C882" s="3">
        <v>142.56</v>
      </c>
      <c r="D882" s="3">
        <v>15.57</v>
      </c>
      <c r="E882" s="3">
        <v>63.6</v>
      </c>
      <c r="F882" s="3">
        <v>94.974474000000001</v>
      </c>
      <c r="G882" s="3">
        <v>90.054260999999997</v>
      </c>
      <c r="H882" s="3">
        <v>86.965543999999994</v>
      </c>
      <c r="I882" s="17">
        <f t="shared" si="216"/>
        <v>-1.705029838022129E-3</v>
      </c>
      <c r="J882" s="17">
        <f t="shared" si="217"/>
        <v>-9.0490797546012788E-3</v>
      </c>
      <c r="K882" s="17">
        <f t="shared" si="218"/>
        <v>-1.5408320493066176E-3</v>
      </c>
      <c r="L882" s="17">
        <f t="shared" si="219"/>
        <v>6.4641241111829117E-3</v>
      </c>
      <c r="M882" s="17">
        <f t="shared" si="220"/>
        <v>-3.1436655139886863E-4</v>
      </c>
      <c r="N882" s="17">
        <f t="shared" si="221"/>
        <v>6.1616526114719062E-3</v>
      </c>
      <c r="O882" s="17">
        <f t="shared" si="222"/>
        <v>3.8800440955042794E-3</v>
      </c>
      <c r="P882" s="17">
        <f t="shared" si="223"/>
        <v>8.3898110421616306E-3</v>
      </c>
      <c r="Q882" s="22">
        <f t="shared" si="224"/>
        <v>-2.0995037084068622E-3</v>
      </c>
      <c r="R882" s="22">
        <f t="shared" si="225"/>
        <v>-9.4798044686784429E-3</v>
      </c>
      <c r="S882" s="22">
        <f t="shared" si="226"/>
        <v>-1.9527914361440646E-3</v>
      </c>
      <c r="T882" s="22">
        <f t="shared" si="227"/>
        <v>6.3326726019499935E-3</v>
      </c>
      <c r="U882" s="22">
        <f t="shared" si="228"/>
        <v>-1.0075944983526312E-3</v>
      </c>
      <c r="V882" s="22">
        <f t="shared" si="229"/>
        <v>6.3962564209750867E-3</v>
      </c>
      <c r="W882" s="22">
        <f t="shared" si="230"/>
        <v>4.1342926495949823E-3</v>
      </c>
      <c r="X882" s="22">
        <f t="shared" si="231"/>
        <v>8.705755426767969E-3</v>
      </c>
    </row>
    <row r="883" spans="1:24" x14ac:dyDescent="0.35">
      <c r="A883" s="3">
        <v>11.58</v>
      </c>
      <c r="B883" s="3">
        <v>66.819999999999993</v>
      </c>
      <c r="C883" s="3">
        <v>146.51</v>
      </c>
      <c r="D883" s="3">
        <v>15.73</v>
      </c>
      <c r="E883" s="3">
        <v>65</v>
      </c>
      <c r="F883" s="3">
        <v>95.186199000000002</v>
      </c>
      <c r="G883" s="3">
        <v>90.264049999999997</v>
      </c>
      <c r="H883" s="3">
        <v>87.282760999999994</v>
      </c>
      <c r="I883" s="17">
        <f t="shared" si="216"/>
        <v>-1.1101622544833541E-2</v>
      </c>
      <c r="J883" s="17">
        <f t="shared" si="217"/>
        <v>3.4205231388329885E-2</v>
      </c>
      <c r="K883" s="17">
        <f t="shared" si="218"/>
        <v>2.770763187429846E-2</v>
      </c>
      <c r="L883" s="17">
        <f t="shared" si="219"/>
        <v>1.0276172125883118E-2</v>
      </c>
      <c r="M883" s="17">
        <f t="shared" si="220"/>
        <v>2.2012578616352179E-2</v>
      </c>
      <c r="N883" s="17">
        <f t="shared" si="221"/>
        <v>2.229283207191032E-3</v>
      </c>
      <c r="O883" s="17">
        <f t="shared" si="222"/>
        <v>2.3295843824647083E-3</v>
      </c>
      <c r="P883" s="17">
        <f t="shared" si="223"/>
        <v>3.6476170378466149E-3</v>
      </c>
      <c r="Q883" s="22">
        <f t="shared" si="224"/>
        <v>-1.1496096415218275E-2</v>
      </c>
      <c r="R883" s="22">
        <f t="shared" si="225"/>
        <v>3.3774506674252719E-2</v>
      </c>
      <c r="S883" s="22">
        <f t="shared" si="226"/>
        <v>2.7295672487461013E-2</v>
      </c>
      <c r="T883" s="22">
        <f t="shared" si="227"/>
        <v>1.0144720616650201E-2</v>
      </c>
      <c r="U883" s="22">
        <f t="shared" si="228"/>
        <v>2.1319350669398416E-2</v>
      </c>
      <c r="V883" s="22">
        <f t="shared" si="229"/>
        <v>2.4638870166942121E-3</v>
      </c>
      <c r="W883" s="22">
        <f t="shared" si="230"/>
        <v>2.5838329365554112E-3</v>
      </c>
      <c r="X883" s="22">
        <f t="shared" si="231"/>
        <v>3.9635614224529537E-3</v>
      </c>
    </row>
    <row r="884" spans="1:24" x14ac:dyDescent="0.35">
      <c r="A884" s="3">
        <v>11.19</v>
      </c>
      <c r="B884" s="3">
        <v>63.32</v>
      </c>
      <c r="C884" s="3">
        <v>146.41999999999999</v>
      </c>
      <c r="D884" s="3">
        <v>15.48</v>
      </c>
      <c r="E884" s="3">
        <v>63.46</v>
      </c>
      <c r="F884" s="3">
        <v>94.618134999999995</v>
      </c>
      <c r="G884" s="3">
        <v>89.778655000000001</v>
      </c>
      <c r="H884" s="3">
        <v>86.544436000000005</v>
      </c>
      <c r="I884" s="17">
        <f t="shared" si="216"/>
        <v>-3.3678756476683988E-2</v>
      </c>
      <c r="J884" s="17">
        <f t="shared" si="217"/>
        <v>-5.2379527087698191E-2</v>
      </c>
      <c r="K884" s="17">
        <f t="shared" si="218"/>
        <v>-6.1429253975840161E-4</v>
      </c>
      <c r="L884" s="17">
        <f t="shared" si="219"/>
        <v>-1.5893197711379529E-2</v>
      </c>
      <c r="M884" s="17">
        <f t="shared" si="220"/>
        <v>-2.3692307692307679E-2</v>
      </c>
      <c r="N884" s="17">
        <f t="shared" si="221"/>
        <v>-5.9679239844423956E-3</v>
      </c>
      <c r="O884" s="17">
        <f t="shared" si="222"/>
        <v>-5.3775007879659394E-3</v>
      </c>
      <c r="P884" s="17">
        <f t="shared" si="223"/>
        <v>-8.4590014287012419E-3</v>
      </c>
      <c r="Q884" s="22">
        <f t="shared" si="224"/>
        <v>-3.4073230347068724E-2</v>
      </c>
      <c r="R884" s="22">
        <f t="shared" si="225"/>
        <v>-5.2810251801775357E-2</v>
      </c>
      <c r="S884" s="22">
        <f t="shared" si="226"/>
        <v>-1.0262519265958486E-3</v>
      </c>
      <c r="T884" s="22">
        <f t="shared" si="227"/>
        <v>-1.6024649220612447E-2</v>
      </c>
      <c r="U884" s="22">
        <f t="shared" si="228"/>
        <v>-2.4385535639261442E-2</v>
      </c>
      <c r="V884" s="22">
        <f t="shared" si="229"/>
        <v>-5.7333201749392151E-3</v>
      </c>
      <c r="W884" s="22">
        <f t="shared" si="230"/>
        <v>-5.123252233875236E-3</v>
      </c>
      <c r="X884" s="22">
        <f t="shared" si="231"/>
        <v>-8.1430570440949035E-3</v>
      </c>
    </row>
    <row r="885" spans="1:24" x14ac:dyDescent="0.35">
      <c r="A885" s="3">
        <v>11.14</v>
      </c>
      <c r="B885" s="3">
        <v>63.48</v>
      </c>
      <c r="C885" s="3">
        <v>147.31</v>
      </c>
      <c r="D885" s="3">
        <v>15.88</v>
      </c>
      <c r="E885" s="3">
        <v>64.209999999999994</v>
      </c>
      <c r="F885" s="3">
        <v>94.643953999999994</v>
      </c>
      <c r="G885" s="3">
        <v>89.664552999999998</v>
      </c>
      <c r="H885" s="3">
        <v>86.742648000000003</v>
      </c>
      <c r="I885" s="17">
        <f t="shared" si="216"/>
        <v>-4.4682752457550438E-3</v>
      </c>
      <c r="J885" s="17">
        <f t="shared" si="217"/>
        <v>2.5268477574225613E-3</v>
      </c>
      <c r="K885" s="17">
        <f t="shared" si="218"/>
        <v>6.0784045895370502E-3</v>
      </c>
      <c r="L885" s="17">
        <f t="shared" si="219"/>
        <v>2.583979328165377E-2</v>
      </c>
      <c r="M885" s="17">
        <f t="shared" si="220"/>
        <v>1.1818468326504773E-2</v>
      </c>
      <c r="N885" s="17">
        <f t="shared" si="221"/>
        <v>2.728758075816912E-4</v>
      </c>
      <c r="O885" s="17">
        <f t="shared" si="222"/>
        <v>-1.2709257005465563E-3</v>
      </c>
      <c r="P885" s="17">
        <f t="shared" si="223"/>
        <v>2.2902916601131706E-3</v>
      </c>
      <c r="Q885" s="22">
        <f t="shared" si="224"/>
        <v>-4.862749116139777E-3</v>
      </c>
      <c r="R885" s="22">
        <f t="shared" si="225"/>
        <v>2.0961230433453977E-3</v>
      </c>
      <c r="S885" s="22">
        <f t="shared" si="226"/>
        <v>5.6664452026996036E-3</v>
      </c>
      <c r="T885" s="22">
        <f t="shared" si="227"/>
        <v>2.5708341772420852E-2</v>
      </c>
      <c r="U885" s="22">
        <f t="shared" si="228"/>
        <v>1.112524037955101E-2</v>
      </c>
      <c r="V885" s="22">
        <f t="shared" si="229"/>
        <v>5.0747961708487151E-4</v>
      </c>
      <c r="W885" s="22">
        <f t="shared" si="230"/>
        <v>-1.0166771464558532E-3</v>
      </c>
      <c r="X885" s="22">
        <f t="shared" si="231"/>
        <v>2.6062360447195094E-3</v>
      </c>
    </row>
    <row r="886" spans="1:24" x14ac:dyDescent="0.35">
      <c r="A886" s="3">
        <v>11.13</v>
      </c>
      <c r="B886" s="3">
        <v>63.28</v>
      </c>
      <c r="C886" s="3">
        <v>147.56</v>
      </c>
      <c r="D886" s="3">
        <v>15.94</v>
      </c>
      <c r="E886" s="3">
        <v>63.07</v>
      </c>
      <c r="F886" s="3">
        <v>94.980176</v>
      </c>
      <c r="G886" s="3">
        <v>89.967617000000004</v>
      </c>
      <c r="H886" s="3">
        <v>86.929338000000001</v>
      </c>
      <c r="I886" s="17">
        <f t="shared" si="216"/>
        <v>-8.9766606822260203E-4</v>
      </c>
      <c r="J886" s="17">
        <f t="shared" si="217"/>
        <v>-3.150598613736543E-3</v>
      </c>
      <c r="K886" s="17">
        <f t="shared" si="218"/>
        <v>1.6971013508926753E-3</v>
      </c>
      <c r="L886" s="17">
        <f t="shared" si="219"/>
        <v>3.7783375314860653E-3</v>
      </c>
      <c r="M886" s="17">
        <f t="shared" si="220"/>
        <v>-1.7754243887244878E-2</v>
      </c>
      <c r="N886" s="17">
        <f t="shared" si="221"/>
        <v>3.5524931682377353E-3</v>
      </c>
      <c r="O886" s="17">
        <f t="shared" si="222"/>
        <v>3.379975585223809E-3</v>
      </c>
      <c r="P886" s="17">
        <f t="shared" si="223"/>
        <v>2.1522285093256398E-3</v>
      </c>
      <c r="Q886" s="22">
        <f t="shared" si="224"/>
        <v>-1.2921399386073354E-3</v>
      </c>
      <c r="R886" s="22">
        <f t="shared" si="225"/>
        <v>-3.5813233278137067E-3</v>
      </c>
      <c r="S886" s="22">
        <f t="shared" si="226"/>
        <v>1.2851419640552283E-3</v>
      </c>
      <c r="T886" s="22">
        <f t="shared" si="227"/>
        <v>3.646886022253147E-3</v>
      </c>
      <c r="U886" s="22">
        <f t="shared" si="228"/>
        <v>-1.8447471834198641E-2</v>
      </c>
      <c r="V886" s="22">
        <f t="shared" si="229"/>
        <v>3.7870969777409154E-3</v>
      </c>
      <c r="W886" s="22">
        <f t="shared" si="230"/>
        <v>3.6342241393145119E-3</v>
      </c>
      <c r="X886" s="22">
        <f t="shared" si="231"/>
        <v>2.4681728939319786E-3</v>
      </c>
    </row>
    <row r="887" spans="1:24" x14ac:dyDescent="0.35">
      <c r="A887" s="3">
        <v>11.11</v>
      </c>
      <c r="B887" s="3">
        <v>62.88</v>
      </c>
      <c r="C887" s="3">
        <v>148.22</v>
      </c>
      <c r="D887" s="3">
        <v>15.74</v>
      </c>
      <c r="E887" s="3">
        <v>61.82</v>
      </c>
      <c r="F887" s="3">
        <v>94.968918000000002</v>
      </c>
      <c r="G887" s="3">
        <v>89.761415999999997</v>
      </c>
      <c r="H887" s="3">
        <v>86.894186000000005</v>
      </c>
      <c r="I887" s="17">
        <f t="shared" si="216"/>
        <v>-1.7969451931717294E-3</v>
      </c>
      <c r="J887" s="17">
        <f t="shared" si="217"/>
        <v>-6.3211125158027584E-3</v>
      </c>
      <c r="K887" s="17">
        <f t="shared" si="218"/>
        <v>4.47275684467333E-3</v>
      </c>
      <c r="L887" s="17">
        <f t="shared" si="219"/>
        <v>-1.2547051442910871E-2</v>
      </c>
      <c r="M887" s="17">
        <f t="shared" si="220"/>
        <v>-1.9819248454098621E-2</v>
      </c>
      <c r="N887" s="17">
        <f t="shared" si="221"/>
        <v>-1.1852999724908903E-4</v>
      </c>
      <c r="O887" s="17">
        <f t="shared" si="222"/>
        <v>-2.2919468901794649E-3</v>
      </c>
      <c r="P887" s="17">
        <f t="shared" si="223"/>
        <v>-4.0437441269823679E-4</v>
      </c>
      <c r="Q887" s="22">
        <f t="shared" si="224"/>
        <v>-2.1914190635564626E-3</v>
      </c>
      <c r="R887" s="22">
        <f t="shared" si="225"/>
        <v>-6.7518372298799216E-3</v>
      </c>
      <c r="S887" s="22">
        <f t="shared" si="226"/>
        <v>4.0607974578358835E-3</v>
      </c>
      <c r="T887" s="22">
        <f t="shared" si="227"/>
        <v>-1.2678502952143789E-2</v>
      </c>
      <c r="U887" s="22">
        <f t="shared" si="228"/>
        <v>-2.0512476401052384E-2</v>
      </c>
      <c r="V887" s="22">
        <f t="shared" si="229"/>
        <v>1.1607381225409126E-4</v>
      </c>
      <c r="W887" s="22">
        <f t="shared" si="230"/>
        <v>-2.037698336088762E-3</v>
      </c>
      <c r="X887" s="22">
        <f t="shared" si="231"/>
        <v>-8.8430028091898022E-5</v>
      </c>
    </row>
    <row r="888" spans="1:24" x14ac:dyDescent="0.35">
      <c r="A888" s="3">
        <v>11.32</v>
      </c>
      <c r="B888" s="3">
        <v>63.51</v>
      </c>
      <c r="C888" s="3">
        <v>147.35</v>
      </c>
      <c r="D888" s="3">
        <v>15.84</v>
      </c>
      <c r="E888" s="3">
        <v>61.99</v>
      </c>
      <c r="F888" s="3">
        <v>94.883836000000002</v>
      </c>
      <c r="G888" s="3">
        <v>89.969838999999993</v>
      </c>
      <c r="H888" s="3">
        <v>86.800787</v>
      </c>
      <c r="I888" s="17">
        <f t="shared" si="216"/>
        <v>1.8901890189018979E-2</v>
      </c>
      <c r="J888" s="17">
        <f t="shared" si="217"/>
        <v>1.0019083969465575E-2</v>
      </c>
      <c r="K888" s="17">
        <f t="shared" si="218"/>
        <v>-5.8696532181892087E-3</v>
      </c>
      <c r="L888" s="17">
        <f t="shared" si="219"/>
        <v>6.353240152477741E-3</v>
      </c>
      <c r="M888" s="17">
        <f t="shared" si="220"/>
        <v>2.7499191200259093E-3</v>
      </c>
      <c r="N888" s="17">
        <f t="shared" si="221"/>
        <v>-8.9589311736709351E-4</v>
      </c>
      <c r="O888" s="17">
        <f t="shared" si="222"/>
        <v>2.3219664894769069E-3</v>
      </c>
      <c r="P888" s="17">
        <f t="shared" si="223"/>
        <v>-1.0748590245152317E-3</v>
      </c>
      <c r="Q888" s="22">
        <f t="shared" si="224"/>
        <v>1.8507416318634246E-2</v>
      </c>
      <c r="R888" s="22">
        <f t="shared" si="225"/>
        <v>9.5883592553884112E-3</v>
      </c>
      <c r="S888" s="22">
        <f t="shared" si="226"/>
        <v>-6.2816126050266553E-3</v>
      </c>
      <c r="T888" s="22">
        <f t="shared" si="227"/>
        <v>6.2217886432448227E-3</v>
      </c>
      <c r="U888" s="22">
        <f t="shared" si="228"/>
        <v>2.0566911730721467E-3</v>
      </c>
      <c r="V888" s="22">
        <f t="shared" si="229"/>
        <v>-6.612893078639132E-4</v>
      </c>
      <c r="W888" s="22">
        <f t="shared" si="230"/>
        <v>2.5762150435676098E-3</v>
      </c>
      <c r="X888" s="22">
        <f t="shared" si="231"/>
        <v>-7.5891463990889287E-4</v>
      </c>
    </row>
    <row r="889" spans="1:24" x14ac:dyDescent="0.35">
      <c r="A889" s="3">
        <v>11.19</v>
      </c>
      <c r="B889" s="3">
        <v>63.92</v>
      </c>
      <c r="C889" s="3">
        <v>147.02000000000001</v>
      </c>
      <c r="D889" s="3">
        <v>16.170000000000002</v>
      </c>
      <c r="E889" s="3">
        <v>61.36</v>
      </c>
      <c r="F889" s="3">
        <v>94.946567999999999</v>
      </c>
      <c r="G889" s="3">
        <v>89.994033000000002</v>
      </c>
      <c r="H889" s="3">
        <v>86.940787</v>
      </c>
      <c r="I889" s="17">
        <f t="shared" si="216"/>
        <v>-1.1484098939929398E-2</v>
      </c>
      <c r="J889" s="17">
        <f t="shared" si="217"/>
        <v>6.4556762714533724E-3</v>
      </c>
      <c r="K889" s="17">
        <f t="shared" si="218"/>
        <v>-2.2395656599931055E-3</v>
      </c>
      <c r="L889" s="17">
        <f t="shared" si="219"/>
        <v>2.083333333333345E-2</v>
      </c>
      <c r="M889" s="17">
        <f t="shared" si="220"/>
        <v>-1.0162929504758873E-2</v>
      </c>
      <c r="N889" s="17">
        <f t="shared" si="221"/>
        <v>6.6114527663064658E-4</v>
      </c>
      <c r="O889" s="17">
        <f t="shared" si="222"/>
        <v>2.689123407235228E-4</v>
      </c>
      <c r="P889" s="17">
        <f t="shared" si="223"/>
        <v>1.6128886020353775E-3</v>
      </c>
      <c r="Q889" s="22">
        <f t="shared" si="224"/>
        <v>-1.1878572810314132E-2</v>
      </c>
      <c r="R889" s="22">
        <f t="shared" si="225"/>
        <v>6.0249515573762092E-3</v>
      </c>
      <c r="S889" s="22">
        <f t="shared" si="226"/>
        <v>-2.6515250468305525E-3</v>
      </c>
      <c r="T889" s="22">
        <f t="shared" si="227"/>
        <v>2.0701881824100533E-2</v>
      </c>
      <c r="U889" s="22">
        <f t="shared" si="228"/>
        <v>-1.0856157451712636E-2</v>
      </c>
      <c r="V889" s="22">
        <f t="shared" si="229"/>
        <v>8.957490861338269E-4</v>
      </c>
      <c r="W889" s="22">
        <f t="shared" si="230"/>
        <v>5.2316089481422581E-4</v>
      </c>
      <c r="X889" s="22">
        <f t="shared" si="231"/>
        <v>1.9288329866417164E-3</v>
      </c>
    </row>
    <row r="890" spans="1:24" x14ac:dyDescent="0.35">
      <c r="A890" s="3">
        <v>11.92</v>
      </c>
      <c r="B890" s="3">
        <v>64.17</v>
      </c>
      <c r="C890" s="3">
        <v>149.79</v>
      </c>
      <c r="D890" s="3">
        <v>16.32</v>
      </c>
      <c r="E890" s="3">
        <v>61.8</v>
      </c>
      <c r="F890" s="3">
        <v>95.305289000000002</v>
      </c>
      <c r="G890" s="3">
        <v>89.926123000000004</v>
      </c>
      <c r="H890" s="3">
        <v>87.080976000000007</v>
      </c>
      <c r="I890" s="17">
        <f t="shared" si="216"/>
        <v>6.5236818588025061E-2</v>
      </c>
      <c r="J890" s="17">
        <f t="shared" si="217"/>
        <v>3.9111389236545684E-3</v>
      </c>
      <c r="K890" s="17">
        <f t="shared" si="218"/>
        <v>1.88409740171404E-2</v>
      </c>
      <c r="L890" s="17">
        <f t="shared" si="219"/>
        <v>9.2764378478663312E-3</v>
      </c>
      <c r="M890" s="17">
        <f t="shared" si="220"/>
        <v>7.1707953063884899E-3</v>
      </c>
      <c r="N890" s="17">
        <f t="shared" si="221"/>
        <v>3.7781355088053604E-3</v>
      </c>
      <c r="O890" s="17">
        <f t="shared" si="222"/>
        <v>-7.5460558590587546E-4</v>
      </c>
      <c r="P890" s="17">
        <f t="shared" si="223"/>
        <v>1.6124652747853152E-3</v>
      </c>
      <c r="Q890" s="22">
        <f t="shared" si="224"/>
        <v>6.4842344717640332E-2</v>
      </c>
      <c r="R890" s="22">
        <f t="shared" si="225"/>
        <v>3.4804142095774047E-3</v>
      </c>
      <c r="S890" s="22">
        <f t="shared" si="226"/>
        <v>1.8429014630302953E-2</v>
      </c>
      <c r="T890" s="22">
        <f t="shared" si="227"/>
        <v>9.1449863386334138E-3</v>
      </c>
      <c r="U890" s="22">
        <f t="shared" si="228"/>
        <v>6.4775673594347277E-3</v>
      </c>
      <c r="V890" s="22">
        <f t="shared" si="229"/>
        <v>4.0127393183085405E-3</v>
      </c>
      <c r="W890" s="22">
        <f t="shared" si="230"/>
        <v>-5.0035703181517245E-4</v>
      </c>
      <c r="X890" s="22">
        <f t="shared" si="231"/>
        <v>1.928409659391654E-3</v>
      </c>
    </row>
    <row r="891" spans="1:24" x14ac:dyDescent="0.35">
      <c r="A891" s="3">
        <v>12.18</v>
      </c>
      <c r="B891" s="3">
        <v>64.05</v>
      </c>
      <c r="C891" s="3">
        <v>149.06</v>
      </c>
      <c r="D891" s="3">
        <v>16.510000000000002</v>
      </c>
      <c r="E891" s="3">
        <v>62.25</v>
      </c>
      <c r="F891" s="3">
        <v>95.530591999999999</v>
      </c>
      <c r="G891" s="3">
        <v>90.460234</v>
      </c>
      <c r="H891" s="3">
        <v>87.385204000000002</v>
      </c>
      <c r="I891" s="17">
        <f t="shared" si="216"/>
        <v>2.1812080536912734E-2</v>
      </c>
      <c r="J891" s="17">
        <f t="shared" si="217"/>
        <v>-1.8700327255727683E-3</v>
      </c>
      <c r="K891" s="17">
        <f t="shared" si="218"/>
        <v>-4.873489552039454E-3</v>
      </c>
      <c r="L891" s="17">
        <f t="shared" si="219"/>
        <v>1.1642156862745176E-2</v>
      </c>
      <c r="M891" s="17">
        <f t="shared" si="220"/>
        <v>7.2815533980582986E-3</v>
      </c>
      <c r="N891" s="17">
        <f t="shared" si="221"/>
        <v>2.3640136068418687E-3</v>
      </c>
      <c r="O891" s="17">
        <f t="shared" si="222"/>
        <v>5.9394420907036742E-3</v>
      </c>
      <c r="P891" s="17">
        <f t="shared" si="223"/>
        <v>3.4936218445690689E-3</v>
      </c>
      <c r="Q891" s="22">
        <f t="shared" si="224"/>
        <v>2.1417606666528002E-2</v>
      </c>
      <c r="R891" s="22">
        <f t="shared" si="225"/>
        <v>-2.300757439649932E-3</v>
      </c>
      <c r="S891" s="22">
        <f t="shared" si="226"/>
        <v>-5.2854489388769006E-3</v>
      </c>
      <c r="T891" s="22">
        <f t="shared" si="227"/>
        <v>1.1510705353512259E-2</v>
      </c>
      <c r="U891" s="22">
        <f t="shared" si="228"/>
        <v>6.5883254511045364E-3</v>
      </c>
      <c r="V891" s="22">
        <f t="shared" si="229"/>
        <v>2.5986174163450488E-3</v>
      </c>
      <c r="W891" s="22">
        <f t="shared" si="230"/>
        <v>6.1936906447943776E-3</v>
      </c>
      <c r="X891" s="22">
        <f t="shared" si="231"/>
        <v>3.8095662291754077E-3</v>
      </c>
    </row>
    <row r="892" spans="1:24" x14ac:dyDescent="0.35">
      <c r="A892" s="3">
        <v>12.16</v>
      </c>
      <c r="B892" s="3">
        <v>64.95</v>
      </c>
      <c r="C892" s="3">
        <v>149.52000000000001</v>
      </c>
      <c r="D892" s="3">
        <v>16.239999999999998</v>
      </c>
      <c r="E892" s="3">
        <v>63.52</v>
      </c>
      <c r="F892" s="3">
        <v>96.039828</v>
      </c>
      <c r="G892" s="3">
        <v>91.088543999999999</v>
      </c>
      <c r="H892" s="3">
        <v>88.235174999999998</v>
      </c>
      <c r="I892" s="17">
        <f t="shared" si="216"/>
        <v>-1.6420361247947105E-3</v>
      </c>
      <c r="J892" s="17">
        <f t="shared" si="217"/>
        <v>1.405152224824365E-2</v>
      </c>
      <c r="K892" s="17">
        <f t="shared" si="218"/>
        <v>3.0860056353146917E-3</v>
      </c>
      <c r="L892" s="17">
        <f t="shared" si="219"/>
        <v>-1.6353725015142526E-2</v>
      </c>
      <c r="M892" s="17">
        <f t="shared" si="220"/>
        <v>2.0401606425702861E-2</v>
      </c>
      <c r="N892" s="17">
        <f t="shared" si="221"/>
        <v>5.3306065558559644E-3</v>
      </c>
      <c r="O892" s="17">
        <f t="shared" si="222"/>
        <v>6.9457038990193088E-3</v>
      </c>
      <c r="P892" s="17">
        <f t="shared" si="223"/>
        <v>9.7267152915268863E-3</v>
      </c>
      <c r="Q892" s="22">
        <f t="shared" si="224"/>
        <v>-2.0365099951794438E-3</v>
      </c>
      <c r="R892" s="22">
        <f t="shared" si="225"/>
        <v>1.3620797534166486E-2</v>
      </c>
      <c r="S892" s="22">
        <f t="shared" si="226"/>
        <v>2.6740462484772447E-3</v>
      </c>
      <c r="T892" s="22">
        <f t="shared" si="227"/>
        <v>-1.6485176524375443E-2</v>
      </c>
      <c r="U892" s="22">
        <f t="shared" si="228"/>
        <v>1.9708378478749098E-2</v>
      </c>
      <c r="V892" s="22">
        <f t="shared" si="229"/>
        <v>5.565210365359145E-3</v>
      </c>
      <c r="W892" s="22">
        <f t="shared" si="230"/>
        <v>7.1999524531100121E-3</v>
      </c>
      <c r="X892" s="22">
        <f t="shared" si="231"/>
        <v>1.0042659676133225E-2</v>
      </c>
    </row>
    <row r="893" spans="1:24" x14ac:dyDescent="0.35">
      <c r="A893" s="3">
        <v>11.93</v>
      </c>
      <c r="B893" s="3">
        <v>64.89</v>
      </c>
      <c r="C893" s="3">
        <v>147.87</v>
      </c>
      <c r="D893" s="3">
        <v>16.100000000000001</v>
      </c>
      <c r="E893" s="3">
        <v>61.78</v>
      </c>
      <c r="F893" s="3">
        <v>96.139913000000007</v>
      </c>
      <c r="G893" s="3">
        <v>91.019272000000001</v>
      </c>
      <c r="H893" s="3">
        <v>87.961955000000003</v>
      </c>
      <c r="I893" s="17">
        <f t="shared" si="216"/>
        <v>-1.8914473684210561E-2</v>
      </c>
      <c r="J893" s="17">
        <f t="shared" si="217"/>
        <v>-9.2378752886839528E-4</v>
      </c>
      <c r="K893" s="17">
        <f t="shared" si="218"/>
        <v>-1.1035313001605174E-2</v>
      </c>
      <c r="L893" s="17">
        <f t="shared" si="219"/>
        <v>-8.6206896551722315E-3</v>
      </c>
      <c r="M893" s="17">
        <f t="shared" si="220"/>
        <v>-2.7392947103274588E-2</v>
      </c>
      <c r="N893" s="17">
        <f t="shared" si="221"/>
        <v>1.0421197339088018E-3</v>
      </c>
      <c r="O893" s="17">
        <f t="shared" si="222"/>
        <v>-7.6049080332207309E-4</v>
      </c>
      <c r="P893" s="17">
        <f t="shared" si="223"/>
        <v>-3.0964975136049191E-3</v>
      </c>
      <c r="Q893" s="22">
        <f t="shared" si="224"/>
        <v>-1.9308947554595293E-2</v>
      </c>
      <c r="R893" s="22">
        <f t="shared" si="225"/>
        <v>-1.3545122429455588E-3</v>
      </c>
      <c r="S893" s="22">
        <f t="shared" si="226"/>
        <v>-1.1447272388442621E-2</v>
      </c>
      <c r="T893" s="22">
        <f t="shared" si="227"/>
        <v>-8.752141164405149E-3</v>
      </c>
      <c r="U893" s="22">
        <f t="shared" si="228"/>
        <v>-2.8086175050228351E-2</v>
      </c>
      <c r="V893" s="22">
        <f t="shared" si="229"/>
        <v>1.2767235434119821E-3</v>
      </c>
      <c r="W893" s="22">
        <f t="shared" si="230"/>
        <v>-5.0624224923137009E-4</v>
      </c>
      <c r="X893" s="22">
        <f t="shared" si="231"/>
        <v>-2.7805531289985803E-3</v>
      </c>
    </row>
    <row r="894" spans="1:24" x14ac:dyDescent="0.35">
      <c r="A894" s="3">
        <v>12.1</v>
      </c>
      <c r="B894" s="3">
        <v>64.92</v>
      </c>
      <c r="C894" s="3">
        <v>148.46</v>
      </c>
      <c r="D894" s="3">
        <v>16.190000000000001</v>
      </c>
      <c r="E894" s="3">
        <v>61.62</v>
      </c>
      <c r="F894" s="3">
        <v>96.314768999999998</v>
      </c>
      <c r="G894" s="3">
        <v>91.276606999999998</v>
      </c>
      <c r="H894" s="3">
        <v>88.222178999999997</v>
      </c>
      <c r="I894" s="17">
        <f t="shared" si="216"/>
        <v>1.4249790444258167E-2</v>
      </c>
      <c r="J894" s="17">
        <f t="shared" si="217"/>
        <v>4.6232085067038277E-4</v>
      </c>
      <c r="K894" s="17">
        <f t="shared" si="218"/>
        <v>3.9899912084939704E-3</v>
      </c>
      <c r="L894" s="17">
        <f t="shared" si="219"/>
        <v>5.590062111801233E-3</v>
      </c>
      <c r="M894" s="17">
        <f t="shared" si="220"/>
        <v>-2.5898348980253109E-3</v>
      </c>
      <c r="N894" s="17">
        <f t="shared" si="221"/>
        <v>1.8187659479158382E-3</v>
      </c>
      <c r="O894" s="17">
        <f t="shared" si="222"/>
        <v>2.8272583854548699E-3</v>
      </c>
      <c r="P894" s="17">
        <f t="shared" si="223"/>
        <v>2.9583698998049074E-3</v>
      </c>
      <c r="Q894" s="22">
        <f t="shared" si="224"/>
        <v>1.3855316573873433E-2</v>
      </c>
      <c r="R894" s="22">
        <f t="shared" si="225"/>
        <v>3.1596136593219266E-5</v>
      </c>
      <c r="S894" s="22">
        <f t="shared" si="226"/>
        <v>3.5780318216565234E-3</v>
      </c>
      <c r="T894" s="22">
        <f t="shared" si="227"/>
        <v>5.4586106025683147E-3</v>
      </c>
      <c r="U894" s="22">
        <f t="shared" si="228"/>
        <v>-3.2830628449790735E-3</v>
      </c>
      <c r="V894" s="22">
        <f t="shared" si="229"/>
        <v>2.0533697574190183E-3</v>
      </c>
      <c r="W894" s="22">
        <f t="shared" si="230"/>
        <v>3.0815069395455728E-3</v>
      </c>
      <c r="X894" s="22">
        <f t="shared" si="231"/>
        <v>3.2743142844112462E-3</v>
      </c>
    </row>
    <row r="895" spans="1:24" x14ac:dyDescent="0.35">
      <c r="A895" s="3">
        <v>11.52</v>
      </c>
      <c r="B895" s="3">
        <v>64.510000000000005</v>
      </c>
      <c r="C895" s="3">
        <v>147.24</v>
      </c>
      <c r="D895" s="3">
        <v>15.98</v>
      </c>
      <c r="E895" s="3">
        <v>61.63</v>
      </c>
      <c r="F895" s="3">
        <v>96.414929000000001</v>
      </c>
      <c r="G895" s="3">
        <v>91.487724</v>
      </c>
      <c r="H895" s="3">
        <v>88.542796999999993</v>
      </c>
      <c r="I895" s="17">
        <f t="shared" si="216"/>
        <v>-4.7933884297520671E-2</v>
      </c>
      <c r="J895" s="17">
        <f t="shared" si="217"/>
        <v>-6.3154651879235458E-3</v>
      </c>
      <c r="K895" s="17">
        <f t="shared" si="218"/>
        <v>-8.2177017378418354E-3</v>
      </c>
      <c r="L895" s="17">
        <f t="shared" si="219"/>
        <v>-1.2970969734404005E-2</v>
      </c>
      <c r="M895" s="17">
        <f t="shared" si="220"/>
        <v>1.6228497241163771E-4</v>
      </c>
      <c r="N895" s="17">
        <f t="shared" si="221"/>
        <v>1.039923586381674E-3</v>
      </c>
      <c r="O895" s="17">
        <f t="shared" si="222"/>
        <v>2.3129365446285877E-3</v>
      </c>
      <c r="P895" s="17">
        <f t="shared" si="223"/>
        <v>3.6342108484987215E-3</v>
      </c>
      <c r="Q895" s="22">
        <f t="shared" si="224"/>
        <v>-4.8328358167905407E-2</v>
      </c>
      <c r="R895" s="22">
        <f t="shared" si="225"/>
        <v>-6.746189902000709E-3</v>
      </c>
      <c r="S895" s="22">
        <f t="shared" si="226"/>
        <v>-8.6296611246792828E-3</v>
      </c>
      <c r="T895" s="22">
        <f t="shared" si="227"/>
        <v>-1.3102421243636923E-2</v>
      </c>
      <c r="U895" s="22">
        <f t="shared" si="228"/>
        <v>-5.309429745421248E-4</v>
      </c>
      <c r="V895" s="22">
        <f t="shared" si="229"/>
        <v>1.2745273958848543E-3</v>
      </c>
      <c r="W895" s="22">
        <f t="shared" si="230"/>
        <v>2.5671850987192906E-3</v>
      </c>
      <c r="X895" s="22">
        <f t="shared" si="231"/>
        <v>3.9501552331050599E-3</v>
      </c>
    </row>
    <row r="896" spans="1:24" x14ac:dyDescent="0.35">
      <c r="A896" s="3">
        <v>11.37</v>
      </c>
      <c r="B896" s="3">
        <v>63.4</v>
      </c>
      <c r="C896" s="3">
        <v>147.36000000000001</v>
      </c>
      <c r="D896" s="3">
        <v>15.63</v>
      </c>
      <c r="E896" s="3">
        <v>60.57</v>
      </c>
      <c r="F896" s="3">
        <v>96.155379999999994</v>
      </c>
      <c r="G896" s="3">
        <v>91.279180999999994</v>
      </c>
      <c r="H896" s="3">
        <v>88.315054000000003</v>
      </c>
      <c r="I896" s="17">
        <f t="shared" si="216"/>
        <v>-1.3020833333333365E-2</v>
      </c>
      <c r="J896" s="17">
        <f t="shared" si="217"/>
        <v>-1.7206634630289978E-2</v>
      </c>
      <c r="K896" s="17">
        <f t="shared" si="218"/>
        <v>8.1499592502040576E-4</v>
      </c>
      <c r="L896" s="17">
        <f t="shared" si="219"/>
        <v>-2.190237797246556E-2</v>
      </c>
      <c r="M896" s="17">
        <f t="shared" si="220"/>
        <v>-1.7199415868895056E-2</v>
      </c>
      <c r="N896" s="17">
        <f t="shared" si="221"/>
        <v>-2.6920001154593694E-3</v>
      </c>
      <c r="O896" s="17">
        <f t="shared" si="222"/>
        <v>-2.2794642918431978E-3</v>
      </c>
      <c r="P896" s="17">
        <f t="shared" si="223"/>
        <v>-2.5721233992640827E-3</v>
      </c>
      <c r="Q896" s="22">
        <f t="shared" si="224"/>
        <v>-1.3415307203718099E-2</v>
      </c>
      <c r="R896" s="22">
        <f t="shared" si="225"/>
        <v>-1.7637359344367141E-2</v>
      </c>
      <c r="S896" s="22">
        <f t="shared" si="226"/>
        <v>4.0303653818295882E-4</v>
      </c>
      <c r="T896" s="22">
        <f t="shared" si="227"/>
        <v>-2.2033829481698478E-2</v>
      </c>
      <c r="U896" s="22">
        <f t="shared" si="228"/>
        <v>-1.7892643815848819E-2</v>
      </c>
      <c r="V896" s="22">
        <f t="shared" si="229"/>
        <v>-2.4573963059561893E-3</v>
      </c>
      <c r="W896" s="22">
        <f t="shared" si="230"/>
        <v>-2.0252157377524949E-3</v>
      </c>
      <c r="X896" s="22">
        <f t="shared" si="231"/>
        <v>-2.2561790146577439E-3</v>
      </c>
    </row>
    <row r="897" spans="1:24" x14ac:dyDescent="0.35">
      <c r="A897" s="3">
        <v>11.21</v>
      </c>
      <c r="B897" s="3">
        <v>65.069999999999993</v>
      </c>
      <c r="C897" s="3">
        <v>149.81</v>
      </c>
      <c r="D897" s="3">
        <v>15.93</v>
      </c>
      <c r="E897" s="3">
        <v>62.34</v>
      </c>
      <c r="F897" s="3">
        <v>95.330247</v>
      </c>
      <c r="G897" s="3">
        <v>90.653484000000006</v>
      </c>
      <c r="H897" s="3">
        <v>87.104411999999996</v>
      </c>
      <c r="I897" s="17">
        <f t="shared" si="216"/>
        <v>-1.4072119613016567E-2</v>
      </c>
      <c r="J897" s="17">
        <f t="shared" si="217"/>
        <v>2.6340694006309062E-2</v>
      </c>
      <c r="K897" s="17">
        <f t="shared" si="218"/>
        <v>1.6625950054288737E-2</v>
      </c>
      <c r="L897" s="17">
        <f t="shared" si="219"/>
        <v>1.9193857965450988E-2</v>
      </c>
      <c r="M897" s="17">
        <f t="shared" si="220"/>
        <v>2.9222387320455723E-2</v>
      </c>
      <c r="N897" s="17">
        <f t="shared" si="221"/>
        <v>-8.5812463119587686E-3</v>
      </c>
      <c r="O897" s="17">
        <f t="shared" si="222"/>
        <v>-6.854761328325111E-3</v>
      </c>
      <c r="P897" s="17">
        <f t="shared" si="223"/>
        <v>-1.3708217853776176E-2</v>
      </c>
      <c r="Q897" s="22">
        <f t="shared" si="224"/>
        <v>-1.4466593483401301E-2</v>
      </c>
      <c r="R897" s="22">
        <f t="shared" si="225"/>
        <v>2.59099692922319E-2</v>
      </c>
      <c r="S897" s="22">
        <f t="shared" si="226"/>
        <v>1.621399066745129E-2</v>
      </c>
      <c r="T897" s="22">
        <f t="shared" si="227"/>
        <v>1.9062406456218071E-2</v>
      </c>
      <c r="U897" s="22">
        <f t="shared" si="228"/>
        <v>2.852915937350196E-2</v>
      </c>
      <c r="V897" s="22">
        <f t="shared" si="229"/>
        <v>-8.3466425024555889E-3</v>
      </c>
      <c r="W897" s="22">
        <f t="shared" si="230"/>
        <v>-6.6005127742344077E-3</v>
      </c>
      <c r="X897" s="22">
        <f t="shared" si="231"/>
        <v>-1.3392273469169838E-2</v>
      </c>
    </row>
    <row r="898" spans="1:24" x14ac:dyDescent="0.35">
      <c r="A898" s="3">
        <v>11.55</v>
      </c>
      <c r="B898" s="3">
        <v>64.959999999999994</v>
      </c>
      <c r="C898" s="3">
        <v>150.49</v>
      </c>
      <c r="D898" s="3">
        <v>15.78</v>
      </c>
      <c r="E898" s="3">
        <v>62.01</v>
      </c>
      <c r="F898" s="3">
        <v>95.429670000000002</v>
      </c>
      <c r="G898" s="3">
        <v>90.263205999999997</v>
      </c>
      <c r="H898" s="3">
        <v>87.069646000000006</v>
      </c>
      <c r="I898" s="17">
        <f t="shared" si="216"/>
        <v>3.0330062444246193E-2</v>
      </c>
      <c r="J898" s="17">
        <f t="shared" si="217"/>
        <v>-1.6904871676655824E-3</v>
      </c>
      <c r="K898" s="17">
        <f t="shared" si="218"/>
        <v>4.5390828382618435E-3</v>
      </c>
      <c r="L898" s="17">
        <f t="shared" si="219"/>
        <v>-9.4161958568738449E-3</v>
      </c>
      <c r="M898" s="17">
        <f t="shared" si="220"/>
        <v>-5.2935514918191432E-3</v>
      </c>
      <c r="N898" s="17">
        <f t="shared" si="221"/>
        <v>1.0429323654222945E-3</v>
      </c>
      <c r="O898" s="17">
        <f t="shared" si="222"/>
        <v>-4.3051627227036213E-3</v>
      </c>
      <c r="P898" s="17">
        <f t="shared" si="223"/>
        <v>-3.9913018412879623E-4</v>
      </c>
      <c r="Q898" s="22">
        <f t="shared" si="224"/>
        <v>2.9935588573861461E-2</v>
      </c>
      <c r="R898" s="22">
        <f t="shared" si="225"/>
        <v>-2.1212118817427461E-3</v>
      </c>
      <c r="S898" s="22">
        <f t="shared" si="226"/>
        <v>4.1271234514243969E-3</v>
      </c>
      <c r="T898" s="22">
        <f t="shared" si="227"/>
        <v>-9.5476473661067623E-3</v>
      </c>
      <c r="U898" s="22">
        <f t="shared" si="228"/>
        <v>-5.9867794387729054E-3</v>
      </c>
      <c r="V898" s="22">
        <f t="shared" si="229"/>
        <v>1.2775361749254748E-3</v>
      </c>
      <c r="W898" s="22">
        <f t="shared" si="230"/>
        <v>-4.050914168612918E-3</v>
      </c>
      <c r="X898" s="22">
        <f t="shared" si="231"/>
        <v>-8.318579952245746E-5</v>
      </c>
    </row>
    <row r="899" spans="1:24" x14ac:dyDescent="0.35">
      <c r="A899" s="3">
        <v>11.79</v>
      </c>
      <c r="B899" s="3">
        <v>65.03</v>
      </c>
      <c r="C899" s="3">
        <v>149.21</v>
      </c>
      <c r="D899" s="3">
        <v>15.75</v>
      </c>
      <c r="E899" s="3">
        <v>61.26</v>
      </c>
      <c r="F899" s="3">
        <v>95.418734000000001</v>
      </c>
      <c r="G899" s="3">
        <v>90.287502000000003</v>
      </c>
      <c r="H899" s="3">
        <v>86.918897000000001</v>
      </c>
      <c r="I899" s="17">
        <f t="shared" si="216"/>
        <v>2.0779220779220644E-2</v>
      </c>
      <c r="J899" s="17">
        <f t="shared" si="217"/>
        <v>1.0775862068966656E-3</v>
      </c>
      <c r="K899" s="17">
        <f t="shared" si="218"/>
        <v>-8.505548541431332E-3</v>
      </c>
      <c r="L899" s="17">
        <f t="shared" si="219"/>
        <v>-1.901140684410606E-3</v>
      </c>
      <c r="M899" s="17">
        <f t="shared" si="220"/>
        <v>-1.2094823415578134E-2</v>
      </c>
      <c r="N899" s="17">
        <f t="shared" si="221"/>
        <v>-1.1459748315173829E-4</v>
      </c>
      <c r="O899" s="17">
        <f t="shared" si="222"/>
        <v>2.6916836966777759E-4</v>
      </c>
      <c r="P899" s="17">
        <f t="shared" si="223"/>
        <v>-1.7313611221068325E-3</v>
      </c>
      <c r="Q899" s="22">
        <f t="shared" si="224"/>
        <v>2.0384746908835912E-2</v>
      </c>
      <c r="R899" s="22">
        <f t="shared" si="225"/>
        <v>6.468614928195021E-4</v>
      </c>
      <c r="S899" s="22">
        <f t="shared" si="226"/>
        <v>-8.9175079282687794E-3</v>
      </c>
      <c r="T899" s="22">
        <f t="shared" si="227"/>
        <v>-2.0325921936435241E-3</v>
      </c>
      <c r="U899" s="22">
        <f t="shared" si="228"/>
        <v>-1.2788051362531897E-2</v>
      </c>
      <c r="V899" s="22">
        <f t="shared" si="229"/>
        <v>1.2000632635144199E-4</v>
      </c>
      <c r="W899" s="22">
        <f t="shared" si="230"/>
        <v>5.2341692375848059E-4</v>
      </c>
      <c r="X899" s="22">
        <f t="shared" si="231"/>
        <v>-1.4154167375004937E-3</v>
      </c>
    </row>
    <row r="900" spans="1:24" x14ac:dyDescent="0.35">
      <c r="A900" s="3">
        <v>11.38</v>
      </c>
      <c r="B900" s="3">
        <v>65.400000000000006</v>
      </c>
      <c r="C900" s="3">
        <v>144.85</v>
      </c>
      <c r="D900" s="3">
        <v>15.75</v>
      </c>
      <c r="E900" s="3">
        <v>58.26</v>
      </c>
      <c r="F900" s="3">
        <v>95.371128999999996</v>
      </c>
      <c r="G900" s="3">
        <v>90.128465000000006</v>
      </c>
      <c r="H900" s="3">
        <v>86.884397000000007</v>
      </c>
      <c r="I900" s="17">
        <f t="shared" ref="I900:I963" si="232">(A900-A899)/A899</f>
        <v>-3.4775233248515558E-2</v>
      </c>
      <c r="J900" s="17">
        <f t="shared" ref="J900:J963" si="233">(B900-B899)/B899</f>
        <v>5.6896816853760504E-3</v>
      </c>
      <c r="K900" s="17">
        <f t="shared" ref="K900:K963" si="234">(C900-C899)/C899</f>
        <v>-2.9220561624556086E-2</v>
      </c>
      <c r="L900" s="17">
        <f t="shared" ref="L900:L963" si="235">(D900-D899)/D899</f>
        <v>0</v>
      </c>
      <c r="M900" s="17">
        <f t="shared" ref="M900:M963" si="236">(E900-E899)/E899</f>
        <v>-4.8971596474045052E-2</v>
      </c>
      <c r="N900" s="17">
        <f t="shared" ref="N900:N963" si="237">(F900-F899)/F899</f>
        <v>-4.9890622107818302E-4</v>
      </c>
      <c r="O900" s="17">
        <f t="shared" ref="O900:O963" si="238">(G900-G899)/G899</f>
        <v>-1.7614508816513482E-3</v>
      </c>
      <c r="P900" s="17">
        <f t="shared" ref="P900:P963" si="239">(H900-H899)/H899</f>
        <v>-3.9692174188536011E-4</v>
      </c>
      <c r="Q900" s="22">
        <f t="shared" si="224"/>
        <v>-3.5169707118900294E-2</v>
      </c>
      <c r="R900" s="22">
        <f t="shared" si="225"/>
        <v>5.2589569712988872E-3</v>
      </c>
      <c r="S900" s="22">
        <f t="shared" si="226"/>
        <v>-2.9632521011393534E-2</v>
      </c>
      <c r="T900" s="22">
        <f t="shared" si="227"/>
        <v>-1.3145150923291827E-4</v>
      </c>
      <c r="U900" s="22">
        <f t="shared" si="228"/>
        <v>-4.9664824420998815E-2</v>
      </c>
      <c r="V900" s="22">
        <f t="shared" si="229"/>
        <v>-2.6430241157500271E-4</v>
      </c>
      <c r="W900" s="22">
        <f t="shared" si="230"/>
        <v>-1.5072023275606453E-3</v>
      </c>
      <c r="X900" s="22">
        <f t="shared" si="231"/>
        <v>-8.0977357279021344E-5</v>
      </c>
    </row>
    <row r="901" spans="1:24" x14ac:dyDescent="0.35">
      <c r="A901" s="3">
        <v>11.7</v>
      </c>
      <c r="B901" s="3">
        <v>69.16</v>
      </c>
      <c r="C901" s="3">
        <v>143.30000000000001</v>
      </c>
      <c r="D901" s="3">
        <v>15.82</v>
      </c>
      <c r="E901" s="3">
        <v>55.39</v>
      </c>
      <c r="F901" s="3">
        <v>95.632412000000002</v>
      </c>
      <c r="G901" s="3">
        <v>90.338907000000006</v>
      </c>
      <c r="H901" s="3">
        <v>87.070673999999997</v>
      </c>
      <c r="I901" s="17">
        <f t="shared" si="232"/>
        <v>2.8119507908611466E-2</v>
      </c>
      <c r="J901" s="17">
        <f t="shared" si="233"/>
        <v>5.7492354740061015E-2</v>
      </c>
      <c r="K901" s="17">
        <f t="shared" si="234"/>
        <v>-1.0700724887814863E-2</v>
      </c>
      <c r="L901" s="17">
        <f t="shared" si="235"/>
        <v>4.4444444444444627E-3</v>
      </c>
      <c r="M901" s="17">
        <f t="shared" si="236"/>
        <v>-4.9261929282526561E-2</v>
      </c>
      <c r="N901" s="17">
        <f t="shared" si="237"/>
        <v>2.7396446150910717E-3</v>
      </c>
      <c r="O901" s="17">
        <f t="shared" si="238"/>
        <v>2.334911617545028E-3</v>
      </c>
      <c r="P901" s="17">
        <f t="shared" si="239"/>
        <v>2.1439637775237112E-3</v>
      </c>
      <c r="Q901" s="22">
        <f t="shared" ref="Q901:Q964" si="240">I901-AB$2</f>
        <v>2.7725034038226733E-2</v>
      </c>
      <c r="R901" s="22">
        <f t="shared" ref="R901:R964" si="241">J901-AC$2</f>
        <v>5.7061630025983849E-2</v>
      </c>
      <c r="S901" s="22">
        <f t="shared" ref="S901:S964" si="242">K901-AD$2</f>
        <v>-1.1112684274652311E-2</v>
      </c>
      <c r="T901" s="22">
        <f t="shared" ref="T901:T964" si="243">L901-AE$2</f>
        <v>4.3129929352115444E-3</v>
      </c>
      <c r="U901" s="22">
        <f t="shared" ref="U901:U964" si="244">M901-AF$2</f>
        <v>-4.9955157229480324E-2</v>
      </c>
      <c r="V901" s="22">
        <f t="shared" ref="V901:V964" si="245">N901-AG$2</f>
        <v>2.9742484245942518E-3</v>
      </c>
      <c r="W901" s="22">
        <f t="shared" ref="W901:W964" si="246">O901-AH$2</f>
        <v>2.5891601716357309E-3</v>
      </c>
      <c r="X901" s="22">
        <f t="shared" ref="X901:X964" si="247">P901-AI$2</f>
        <v>2.4599081621300501E-3</v>
      </c>
    </row>
    <row r="902" spans="1:24" x14ac:dyDescent="0.35">
      <c r="A902" s="3">
        <v>11.88</v>
      </c>
      <c r="B902" s="3">
        <v>67.58</v>
      </c>
      <c r="C902" s="3">
        <v>142.33000000000001</v>
      </c>
      <c r="D902" s="3">
        <v>15.63</v>
      </c>
      <c r="E902" s="3">
        <v>55.31</v>
      </c>
      <c r="F902" s="3">
        <v>95.879028000000005</v>
      </c>
      <c r="G902" s="3">
        <v>90.500836000000007</v>
      </c>
      <c r="H902" s="3">
        <v>87.326515999999998</v>
      </c>
      <c r="I902" s="17">
        <f t="shared" si="232"/>
        <v>1.5384615384615514E-2</v>
      </c>
      <c r="J902" s="17">
        <f t="shared" si="233"/>
        <v>-2.2845575477154403E-2</v>
      </c>
      <c r="K902" s="17">
        <f t="shared" si="234"/>
        <v>-6.7690160502442342E-3</v>
      </c>
      <c r="L902" s="17">
        <f t="shared" si="235"/>
        <v>-1.2010113780025252E-2</v>
      </c>
      <c r="M902" s="17">
        <f t="shared" si="236"/>
        <v>-1.4443040259974416E-3</v>
      </c>
      <c r="N902" s="17">
        <f t="shared" si="237"/>
        <v>2.5787909647202356E-3</v>
      </c>
      <c r="O902" s="17">
        <f t="shared" si="238"/>
        <v>1.7924613588694476E-3</v>
      </c>
      <c r="P902" s="17">
        <f t="shared" si="239"/>
        <v>2.9383257099859046E-3</v>
      </c>
      <c r="Q902" s="22">
        <f t="shared" si="240"/>
        <v>1.499014151423078E-2</v>
      </c>
      <c r="R902" s="22">
        <f t="shared" si="241"/>
        <v>-2.3276300191231565E-2</v>
      </c>
      <c r="S902" s="22">
        <f t="shared" si="242"/>
        <v>-7.1809754370816808E-3</v>
      </c>
      <c r="T902" s="22">
        <f t="shared" si="243"/>
        <v>-1.2141565289258169E-2</v>
      </c>
      <c r="U902" s="22">
        <f t="shared" si="244"/>
        <v>-2.1375319729512042E-3</v>
      </c>
      <c r="V902" s="22">
        <f t="shared" si="245"/>
        <v>2.8133947742234157E-3</v>
      </c>
      <c r="W902" s="22">
        <f t="shared" si="246"/>
        <v>2.0467099129601505E-3</v>
      </c>
      <c r="X902" s="22">
        <f t="shared" si="247"/>
        <v>3.2542700945922434E-3</v>
      </c>
    </row>
    <row r="903" spans="1:24" x14ac:dyDescent="0.35">
      <c r="A903" s="3">
        <v>11.92</v>
      </c>
      <c r="B903" s="3">
        <v>68.34</v>
      </c>
      <c r="C903" s="3">
        <v>139.86000000000001</v>
      </c>
      <c r="D903" s="3">
        <v>15.57</v>
      </c>
      <c r="E903" s="3">
        <v>54.39</v>
      </c>
      <c r="F903" s="3">
        <v>96.200023000000002</v>
      </c>
      <c r="G903" s="3">
        <v>90.939413999999999</v>
      </c>
      <c r="H903" s="3">
        <v>87.875821000000002</v>
      </c>
      <c r="I903" s="17">
        <f t="shared" si="232"/>
        <v>3.3670033670032949E-3</v>
      </c>
      <c r="J903" s="17">
        <f t="shared" si="233"/>
        <v>1.1245930748742307E-2</v>
      </c>
      <c r="K903" s="17">
        <f t="shared" si="234"/>
        <v>-1.735403639429494E-2</v>
      </c>
      <c r="L903" s="17">
        <f t="shared" si="235"/>
        <v>-3.8387715930902427E-3</v>
      </c>
      <c r="M903" s="17">
        <f t="shared" si="236"/>
        <v>-1.6633520159103268E-2</v>
      </c>
      <c r="N903" s="17">
        <f t="shared" si="237"/>
        <v>3.3479167102110833E-3</v>
      </c>
      <c r="O903" s="17">
        <f t="shared" si="238"/>
        <v>4.8461209794790462E-3</v>
      </c>
      <c r="P903" s="17">
        <f t="shared" si="239"/>
        <v>6.2902429314826199E-3</v>
      </c>
      <c r="Q903" s="22">
        <f t="shared" si="240"/>
        <v>2.9725294966185616E-3</v>
      </c>
      <c r="R903" s="22">
        <f t="shared" si="241"/>
        <v>1.0815206034665143E-2</v>
      </c>
      <c r="S903" s="22">
        <f t="shared" si="242"/>
        <v>-1.7765995781132388E-2</v>
      </c>
      <c r="T903" s="22">
        <f t="shared" si="243"/>
        <v>-3.9702231023231605E-3</v>
      </c>
      <c r="U903" s="22">
        <f t="shared" si="244"/>
        <v>-1.7326748106057031E-2</v>
      </c>
      <c r="V903" s="22">
        <f t="shared" si="245"/>
        <v>3.5825205197142634E-3</v>
      </c>
      <c r="W903" s="22">
        <f t="shared" si="246"/>
        <v>5.1003695335697496E-3</v>
      </c>
      <c r="X903" s="22">
        <f t="shared" si="247"/>
        <v>6.6061873160889583E-3</v>
      </c>
    </row>
    <row r="904" spans="1:24" x14ac:dyDescent="0.35">
      <c r="A904" s="3">
        <v>11.79</v>
      </c>
      <c r="B904" s="3">
        <v>64.75</v>
      </c>
      <c r="C904" s="3">
        <v>140.1</v>
      </c>
      <c r="D904" s="3">
        <v>15.49</v>
      </c>
      <c r="E904" s="3">
        <v>55.12</v>
      </c>
      <c r="F904" s="3">
        <v>96.373647000000005</v>
      </c>
      <c r="G904" s="3">
        <v>91.148472999999996</v>
      </c>
      <c r="H904" s="3">
        <v>88.075413999999995</v>
      </c>
      <c r="I904" s="17">
        <f t="shared" si="232"/>
        <v>-1.0906040268456442E-2</v>
      </c>
      <c r="J904" s="17">
        <f t="shared" si="233"/>
        <v>-5.2531460345332209E-2</v>
      </c>
      <c r="K904" s="17">
        <f t="shared" si="234"/>
        <v>1.7160017160015777E-3</v>
      </c>
      <c r="L904" s="17">
        <f t="shared" si="235"/>
        <v>-5.1380860629415591E-3</v>
      </c>
      <c r="M904" s="17">
        <f t="shared" si="236"/>
        <v>1.3421584850156222E-2</v>
      </c>
      <c r="N904" s="17">
        <f t="shared" si="237"/>
        <v>1.8048228533168206E-3</v>
      </c>
      <c r="O904" s="17">
        <f t="shared" si="238"/>
        <v>2.2988821986470722E-3</v>
      </c>
      <c r="P904" s="17">
        <f t="shared" si="239"/>
        <v>2.2713073713415779E-3</v>
      </c>
      <c r="Q904" s="22">
        <f t="shared" si="240"/>
        <v>-1.1300514138841176E-2</v>
      </c>
      <c r="R904" s="22">
        <f t="shared" si="241"/>
        <v>-5.2962185059409375E-2</v>
      </c>
      <c r="S904" s="22">
        <f t="shared" si="242"/>
        <v>1.3040423291641307E-3</v>
      </c>
      <c r="T904" s="22">
        <f t="shared" si="243"/>
        <v>-5.2695375721744774E-3</v>
      </c>
      <c r="U904" s="22">
        <f t="shared" si="244"/>
        <v>1.2728356903202459E-2</v>
      </c>
      <c r="V904" s="22">
        <f t="shared" si="245"/>
        <v>2.0394266628200007E-3</v>
      </c>
      <c r="W904" s="22">
        <f t="shared" si="246"/>
        <v>2.5531307527377751E-3</v>
      </c>
      <c r="X904" s="22">
        <f t="shared" si="247"/>
        <v>2.5872517559479167E-3</v>
      </c>
    </row>
    <row r="905" spans="1:24" x14ac:dyDescent="0.35">
      <c r="A905" s="3">
        <v>12.04</v>
      </c>
      <c r="B905" s="3">
        <v>65.17</v>
      </c>
      <c r="C905" s="3">
        <v>139.61000000000001</v>
      </c>
      <c r="D905" s="3">
        <v>15.56</v>
      </c>
      <c r="E905" s="3">
        <v>56.25</v>
      </c>
      <c r="F905" s="3">
        <v>96.436256</v>
      </c>
      <c r="G905" s="3">
        <v>91.265225000000001</v>
      </c>
      <c r="H905" s="3">
        <v>88.157608999999994</v>
      </c>
      <c r="I905" s="17">
        <f t="shared" si="232"/>
        <v>2.1204410517387619E-2</v>
      </c>
      <c r="J905" s="17">
        <f t="shared" si="233"/>
        <v>6.486486486486513E-3</v>
      </c>
      <c r="K905" s="17">
        <f t="shared" si="234"/>
        <v>-3.4975017844395481E-3</v>
      </c>
      <c r="L905" s="17">
        <f t="shared" si="235"/>
        <v>4.5190445448676751E-3</v>
      </c>
      <c r="M905" s="17">
        <f t="shared" si="236"/>
        <v>2.0500725689404982E-2</v>
      </c>
      <c r="N905" s="17">
        <f t="shared" si="237"/>
        <v>6.4964854967037623E-4</v>
      </c>
      <c r="O905" s="17">
        <f t="shared" si="238"/>
        <v>1.2808991325615E-3</v>
      </c>
      <c r="P905" s="17">
        <f t="shared" si="239"/>
        <v>9.3323433029788184E-4</v>
      </c>
      <c r="Q905" s="22">
        <f t="shared" si="240"/>
        <v>2.0809936647002886E-2</v>
      </c>
      <c r="R905" s="22">
        <f t="shared" si="241"/>
        <v>6.0557617724093498E-3</v>
      </c>
      <c r="S905" s="22">
        <f t="shared" si="242"/>
        <v>-3.9094611712769947E-3</v>
      </c>
      <c r="T905" s="22">
        <f t="shared" si="243"/>
        <v>4.3875930356347568E-3</v>
      </c>
      <c r="U905" s="22">
        <f t="shared" si="244"/>
        <v>1.9807497742451219E-2</v>
      </c>
      <c r="V905" s="22">
        <f t="shared" si="245"/>
        <v>8.8425235917355654E-4</v>
      </c>
      <c r="W905" s="22">
        <f t="shared" si="246"/>
        <v>1.5351476866522031E-3</v>
      </c>
      <c r="X905" s="22">
        <f t="shared" si="247"/>
        <v>1.2491787149042206E-3</v>
      </c>
    </row>
    <row r="906" spans="1:24" x14ac:dyDescent="0.35">
      <c r="A906" s="3">
        <v>11.77</v>
      </c>
      <c r="B906" s="3">
        <v>65.66</v>
      </c>
      <c r="C906" s="3">
        <v>139.49</v>
      </c>
      <c r="D906" s="3">
        <v>15.49</v>
      </c>
      <c r="E906" s="3">
        <v>55.1</v>
      </c>
      <c r="F906" s="3">
        <v>96.772345000000001</v>
      </c>
      <c r="G906" s="3">
        <v>91.615949999999998</v>
      </c>
      <c r="H906" s="3">
        <v>88.522565</v>
      </c>
      <c r="I906" s="17">
        <f t="shared" si="232"/>
        <v>-2.2425249169435182E-2</v>
      </c>
      <c r="J906" s="17">
        <f t="shared" si="233"/>
        <v>7.5187969924811245E-3</v>
      </c>
      <c r="K906" s="17">
        <f t="shared" si="234"/>
        <v>-8.5953728242965785E-4</v>
      </c>
      <c r="L906" s="17">
        <f t="shared" si="235"/>
        <v>-4.4987146529563166E-3</v>
      </c>
      <c r="M906" s="17">
        <f t="shared" si="236"/>
        <v>-2.0444444444444418E-2</v>
      </c>
      <c r="N906" s="17">
        <f t="shared" si="237"/>
        <v>3.4850896741574163E-3</v>
      </c>
      <c r="O906" s="17">
        <f t="shared" si="238"/>
        <v>3.8429204551897731E-3</v>
      </c>
      <c r="P906" s="17">
        <f t="shared" si="239"/>
        <v>4.1398128209217486E-3</v>
      </c>
      <c r="Q906" s="22">
        <f t="shared" si="240"/>
        <v>-2.2819723039819915E-2</v>
      </c>
      <c r="R906" s="22">
        <f t="shared" si="241"/>
        <v>7.0880722784039613E-3</v>
      </c>
      <c r="S906" s="22">
        <f t="shared" si="242"/>
        <v>-1.2714966692671048E-3</v>
      </c>
      <c r="T906" s="22">
        <f t="shared" si="243"/>
        <v>-4.6301661621892349E-3</v>
      </c>
      <c r="U906" s="22">
        <f t="shared" si="244"/>
        <v>-2.1137672391398181E-2</v>
      </c>
      <c r="V906" s="22">
        <f t="shared" si="245"/>
        <v>3.7196934836605964E-3</v>
      </c>
      <c r="W906" s="22">
        <f t="shared" si="246"/>
        <v>4.097169009280476E-3</v>
      </c>
      <c r="X906" s="22">
        <f t="shared" si="247"/>
        <v>4.455757205528087E-3</v>
      </c>
    </row>
    <row r="907" spans="1:24" x14ac:dyDescent="0.35">
      <c r="A907" s="3">
        <v>11.6</v>
      </c>
      <c r="B907" s="3">
        <v>67.040000000000006</v>
      </c>
      <c r="C907" s="3">
        <v>135.91</v>
      </c>
      <c r="D907" s="3">
        <v>15.68</v>
      </c>
      <c r="E907" s="3">
        <v>55.32</v>
      </c>
      <c r="F907" s="3">
        <v>96.612573999999995</v>
      </c>
      <c r="G907" s="3">
        <v>91.454487</v>
      </c>
      <c r="H907" s="3">
        <v>88.251069999999999</v>
      </c>
      <c r="I907" s="17">
        <f t="shared" si="232"/>
        <v>-1.444350042480883E-2</v>
      </c>
      <c r="J907" s="17">
        <f t="shared" si="233"/>
        <v>2.1017362168748246E-2</v>
      </c>
      <c r="K907" s="17">
        <f t="shared" si="234"/>
        <v>-2.5664922216646444E-2</v>
      </c>
      <c r="L907" s="17">
        <f t="shared" si="235"/>
        <v>1.2265978050355035E-2</v>
      </c>
      <c r="M907" s="17">
        <f t="shared" si="236"/>
        <v>3.9927404718693073E-3</v>
      </c>
      <c r="N907" s="17">
        <f t="shared" si="237"/>
        <v>-1.650998536823783E-3</v>
      </c>
      <c r="O907" s="17">
        <f t="shared" si="238"/>
        <v>-1.7623896275702833E-3</v>
      </c>
      <c r="P907" s="17">
        <f t="shared" si="239"/>
        <v>-3.0669581253096496E-3</v>
      </c>
      <c r="Q907" s="22">
        <f t="shared" si="240"/>
        <v>-1.4837974295193564E-2</v>
      </c>
      <c r="R907" s="22">
        <f t="shared" si="241"/>
        <v>2.0586637454671083E-2</v>
      </c>
      <c r="S907" s="22">
        <f t="shared" si="242"/>
        <v>-2.6076881603483891E-2</v>
      </c>
      <c r="T907" s="22">
        <f t="shared" si="243"/>
        <v>1.2134526541122117E-2</v>
      </c>
      <c r="U907" s="22">
        <f t="shared" si="244"/>
        <v>3.2995125249155447E-3</v>
      </c>
      <c r="V907" s="22">
        <f t="shared" si="245"/>
        <v>-1.4163947273206027E-3</v>
      </c>
      <c r="W907" s="22">
        <f t="shared" si="246"/>
        <v>-1.5081410734795802E-3</v>
      </c>
      <c r="X907" s="22">
        <f t="shared" si="247"/>
        <v>-2.7510137407033108E-3</v>
      </c>
    </row>
    <row r="908" spans="1:24" x14ac:dyDescent="0.35">
      <c r="A908" s="3">
        <v>11.62</v>
      </c>
      <c r="B908" s="3">
        <v>64.86</v>
      </c>
      <c r="C908" s="3">
        <v>132.91</v>
      </c>
      <c r="D908" s="3">
        <v>15.64</v>
      </c>
      <c r="E908" s="3">
        <v>54.31</v>
      </c>
      <c r="F908" s="3">
        <v>97.306875000000005</v>
      </c>
      <c r="G908" s="3">
        <v>92.457980000000006</v>
      </c>
      <c r="H908" s="3">
        <v>89.222487000000001</v>
      </c>
      <c r="I908" s="17">
        <f t="shared" si="232"/>
        <v>1.7241379310344461E-3</v>
      </c>
      <c r="J908" s="17">
        <f t="shared" si="233"/>
        <v>-3.2517899761336615E-2</v>
      </c>
      <c r="K908" s="17">
        <f t="shared" si="234"/>
        <v>-2.2073430946950186E-2</v>
      </c>
      <c r="L908" s="17">
        <f t="shared" si="235"/>
        <v>-2.5510204081632109E-3</v>
      </c>
      <c r="M908" s="17">
        <f t="shared" si="236"/>
        <v>-1.8257411424439589E-2</v>
      </c>
      <c r="N908" s="17">
        <f t="shared" si="237"/>
        <v>7.1864455241613797E-3</v>
      </c>
      <c r="O908" s="17">
        <f t="shared" si="238"/>
        <v>1.0972594488447635E-2</v>
      </c>
      <c r="P908" s="17">
        <f t="shared" si="239"/>
        <v>1.1007424612528805E-2</v>
      </c>
      <c r="Q908" s="22">
        <f t="shared" si="240"/>
        <v>1.3296640606497128E-3</v>
      </c>
      <c r="R908" s="22">
        <f t="shared" si="241"/>
        <v>-3.2948624475413781E-2</v>
      </c>
      <c r="S908" s="22">
        <f t="shared" si="242"/>
        <v>-2.2485390333787634E-2</v>
      </c>
      <c r="T908" s="22">
        <f t="shared" si="243"/>
        <v>-2.6824719173961292E-3</v>
      </c>
      <c r="U908" s="22">
        <f t="shared" si="244"/>
        <v>-1.8950639371393352E-2</v>
      </c>
      <c r="V908" s="22">
        <f t="shared" si="245"/>
        <v>7.4210493336645603E-3</v>
      </c>
      <c r="W908" s="22">
        <f t="shared" si="246"/>
        <v>1.1226843042538338E-2</v>
      </c>
      <c r="X908" s="22">
        <f t="shared" si="247"/>
        <v>1.1323368997135144E-2</v>
      </c>
    </row>
    <row r="909" spans="1:24" x14ac:dyDescent="0.35">
      <c r="A909" s="3">
        <v>11.97</v>
      </c>
      <c r="B909" s="3">
        <v>67.33</v>
      </c>
      <c r="C909" s="3">
        <v>134.06</v>
      </c>
      <c r="D909" s="3">
        <v>15.89</v>
      </c>
      <c r="E909" s="3">
        <v>55.01</v>
      </c>
      <c r="F909" s="3">
        <v>97.108705999999998</v>
      </c>
      <c r="G909" s="3">
        <v>92.200794000000002</v>
      </c>
      <c r="H909" s="3">
        <v>89.007485000000003</v>
      </c>
      <c r="I909" s="17">
        <f t="shared" si="232"/>
        <v>3.0120481927710968E-2</v>
      </c>
      <c r="J909" s="17">
        <f t="shared" si="233"/>
        <v>3.8082022818378025E-2</v>
      </c>
      <c r="K909" s="17">
        <f t="shared" si="234"/>
        <v>8.6524715973215396E-3</v>
      </c>
      <c r="L909" s="17">
        <f t="shared" si="235"/>
        <v>1.5984654731457801E-2</v>
      </c>
      <c r="M909" s="17">
        <f t="shared" si="236"/>
        <v>1.2888970723623563E-2</v>
      </c>
      <c r="N909" s="17">
        <f t="shared" si="237"/>
        <v>-2.036536472885468E-3</v>
      </c>
      <c r="O909" s="17">
        <f t="shared" si="238"/>
        <v>-2.7816528113636524E-3</v>
      </c>
      <c r="P909" s="17">
        <f t="shared" si="239"/>
        <v>-2.4097288388744238E-3</v>
      </c>
      <c r="Q909" s="22">
        <f t="shared" si="240"/>
        <v>2.9726008057326236E-2</v>
      </c>
      <c r="R909" s="22">
        <f t="shared" si="241"/>
        <v>3.7651298104300859E-2</v>
      </c>
      <c r="S909" s="22">
        <f t="shared" si="242"/>
        <v>8.2405122104840921E-3</v>
      </c>
      <c r="T909" s="22">
        <f t="shared" si="243"/>
        <v>1.5853203222224884E-2</v>
      </c>
      <c r="U909" s="22">
        <f t="shared" si="244"/>
        <v>1.21957427766698E-2</v>
      </c>
      <c r="V909" s="22">
        <f t="shared" si="245"/>
        <v>-1.8019326633822877E-3</v>
      </c>
      <c r="W909" s="22">
        <f t="shared" si="246"/>
        <v>-2.5274042572729495E-3</v>
      </c>
      <c r="X909" s="22">
        <f t="shared" si="247"/>
        <v>-2.093784454268085E-3</v>
      </c>
    </row>
    <row r="910" spans="1:24" x14ac:dyDescent="0.35">
      <c r="A910" s="3">
        <v>11.97</v>
      </c>
      <c r="B910" s="3">
        <v>67.53</v>
      </c>
      <c r="C910" s="3">
        <v>137.31</v>
      </c>
      <c r="D910" s="3">
        <v>16.13</v>
      </c>
      <c r="E910" s="3">
        <v>55.1</v>
      </c>
      <c r="F910" s="3">
        <v>96.874324000000001</v>
      </c>
      <c r="G910" s="3">
        <v>91.898297999999997</v>
      </c>
      <c r="H910" s="3">
        <v>88.734201999999996</v>
      </c>
      <c r="I910" s="17">
        <f t="shared" si="232"/>
        <v>0</v>
      </c>
      <c r="J910" s="17">
        <f t="shared" si="233"/>
        <v>2.9704440813902101E-3</v>
      </c>
      <c r="K910" s="17">
        <f t="shared" si="234"/>
        <v>2.4242876324034015E-2</v>
      </c>
      <c r="L910" s="17">
        <f t="shared" si="235"/>
        <v>1.5103838892385049E-2</v>
      </c>
      <c r="M910" s="17">
        <f t="shared" si="236"/>
        <v>1.6360661697873734E-3</v>
      </c>
      <c r="N910" s="17">
        <f t="shared" si="237"/>
        <v>-2.4136043991771091E-3</v>
      </c>
      <c r="O910" s="17">
        <f t="shared" si="238"/>
        <v>-3.2808394253091245E-3</v>
      </c>
      <c r="P910" s="17">
        <f t="shared" si="239"/>
        <v>-3.0703372868024119E-3</v>
      </c>
      <c r="Q910" s="22">
        <f t="shared" si="240"/>
        <v>-3.9447387038473331E-4</v>
      </c>
      <c r="R910" s="22">
        <f t="shared" si="241"/>
        <v>2.5397193673130465E-3</v>
      </c>
      <c r="S910" s="22">
        <f t="shared" si="242"/>
        <v>2.3830916937196567E-2</v>
      </c>
      <c r="T910" s="22">
        <f t="shared" si="243"/>
        <v>1.4972387383152132E-2</v>
      </c>
      <c r="U910" s="22">
        <f t="shared" si="244"/>
        <v>9.4283822283361093E-4</v>
      </c>
      <c r="V910" s="22">
        <f t="shared" si="245"/>
        <v>-2.179000589673929E-3</v>
      </c>
      <c r="W910" s="22">
        <f t="shared" si="246"/>
        <v>-3.0265908712184216E-3</v>
      </c>
      <c r="X910" s="22">
        <f t="shared" si="247"/>
        <v>-2.7543929021960731E-3</v>
      </c>
    </row>
    <row r="911" spans="1:24" x14ac:dyDescent="0.35">
      <c r="A911" s="3">
        <v>12.03</v>
      </c>
      <c r="B911" s="3">
        <v>68.33</v>
      </c>
      <c r="C911" s="3">
        <v>135.35</v>
      </c>
      <c r="D911" s="3">
        <v>16.02</v>
      </c>
      <c r="E911" s="3">
        <v>55</v>
      </c>
      <c r="F911" s="3">
        <v>97.470633000000007</v>
      </c>
      <c r="G911" s="3">
        <v>92.530704</v>
      </c>
      <c r="H911" s="3">
        <v>89.458236999999997</v>
      </c>
      <c r="I911" s="17">
        <f t="shared" si="232"/>
        <v>5.012531328320695E-3</v>
      </c>
      <c r="J911" s="17">
        <f t="shared" si="233"/>
        <v>1.1846586702206384E-2</v>
      </c>
      <c r="K911" s="17">
        <f t="shared" si="234"/>
        <v>-1.4274269900225824E-2</v>
      </c>
      <c r="L911" s="17">
        <f t="shared" si="235"/>
        <v>-6.8195908245504925E-3</v>
      </c>
      <c r="M911" s="17">
        <f t="shared" si="236"/>
        <v>-1.8148820326679023E-3</v>
      </c>
      <c r="N911" s="17">
        <f t="shared" si="237"/>
        <v>6.1554906953467372E-3</v>
      </c>
      <c r="O911" s="17">
        <f t="shared" si="238"/>
        <v>6.8815855545007283E-3</v>
      </c>
      <c r="P911" s="17">
        <f t="shared" si="239"/>
        <v>8.1595932986471293E-3</v>
      </c>
      <c r="Q911" s="22">
        <f t="shared" si="240"/>
        <v>4.6180574579359618E-3</v>
      </c>
      <c r="R911" s="22">
        <f t="shared" si="241"/>
        <v>1.141586198812922E-2</v>
      </c>
      <c r="S911" s="22">
        <f t="shared" si="242"/>
        <v>-1.4686229287063271E-2</v>
      </c>
      <c r="T911" s="22">
        <f t="shared" si="243"/>
        <v>-6.9510423337834108E-3</v>
      </c>
      <c r="U911" s="22">
        <f t="shared" si="244"/>
        <v>-2.5081099796216647E-3</v>
      </c>
      <c r="V911" s="22">
        <f t="shared" si="245"/>
        <v>6.3900945048499178E-3</v>
      </c>
      <c r="W911" s="22">
        <f t="shared" si="246"/>
        <v>7.1358341085914316E-3</v>
      </c>
      <c r="X911" s="22">
        <f t="shared" si="247"/>
        <v>8.4755376832534677E-3</v>
      </c>
    </row>
    <row r="912" spans="1:24" x14ac:dyDescent="0.35">
      <c r="A912" s="3">
        <v>11.99</v>
      </c>
      <c r="B912" s="3">
        <v>68.97</v>
      </c>
      <c r="C912" s="3">
        <v>137.01</v>
      </c>
      <c r="D912" s="3">
        <v>16.170000000000002</v>
      </c>
      <c r="E912" s="3">
        <v>54.95</v>
      </c>
      <c r="F912" s="3">
        <v>98.056471000000002</v>
      </c>
      <c r="G912" s="3">
        <v>93.213494999999995</v>
      </c>
      <c r="H912" s="3">
        <v>90.021366</v>
      </c>
      <c r="I912" s="17">
        <f t="shared" si="232"/>
        <v>-3.325020781379813E-3</v>
      </c>
      <c r="J912" s="17">
        <f t="shared" si="233"/>
        <v>9.3663105517342391E-3</v>
      </c>
      <c r="K912" s="17">
        <f t="shared" si="234"/>
        <v>1.2264499445881025E-2</v>
      </c>
      <c r="L912" s="17">
        <f t="shared" si="235"/>
        <v>9.3632958801499466E-3</v>
      </c>
      <c r="M912" s="17">
        <f t="shared" si="236"/>
        <v>-9.0909090909085737E-4</v>
      </c>
      <c r="N912" s="17">
        <f t="shared" si="237"/>
        <v>6.0104052058428245E-3</v>
      </c>
      <c r="O912" s="17">
        <f t="shared" si="238"/>
        <v>7.3790749500835372E-3</v>
      </c>
      <c r="P912" s="17">
        <f t="shared" si="239"/>
        <v>6.2948814875482461E-3</v>
      </c>
      <c r="Q912" s="22">
        <f t="shared" si="240"/>
        <v>-3.7194946517645463E-3</v>
      </c>
      <c r="R912" s="22">
        <f t="shared" si="241"/>
        <v>8.935585837657075E-3</v>
      </c>
      <c r="S912" s="22">
        <f t="shared" si="242"/>
        <v>1.1852540059043577E-2</v>
      </c>
      <c r="T912" s="22">
        <f t="shared" si="243"/>
        <v>9.2318443709170292E-3</v>
      </c>
      <c r="U912" s="22">
        <f t="shared" si="244"/>
        <v>-1.6023188560446199E-3</v>
      </c>
      <c r="V912" s="22">
        <f t="shared" si="245"/>
        <v>6.245009015346005E-3</v>
      </c>
      <c r="W912" s="22">
        <f t="shared" si="246"/>
        <v>7.6333235041742406E-3</v>
      </c>
      <c r="X912" s="22">
        <f t="shared" si="247"/>
        <v>6.6108258721545845E-3</v>
      </c>
    </row>
    <row r="913" spans="1:24" x14ac:dyDescent="0.35">
      <c r="A913" s="3">
        <v>11.9</v>
      </c>
      <c r="B913" s="3">
        <v>68.39</v>
      </c>
      <c r="C913" s="3">
        <v>137.81</v>
      </c>
      <c r="D913" s="3">
        <v>16.190000000000001</v>
      </c>
      <c r="E913" s="3">
        <v>55.21</v>
      </c>
      <c r="F913" s="3">
        <v>98.382014999999996</v>
      </c>
      <c r="G913" s="3">
        <v>93.711410999999998</v>
      </c>
      <c r="H913" s="3">
        <v>90.954016999999993</v>
      </c>
      <c r="I913" s="17">
        <f t="shared" si="232"/>
        <v>-7.5062552126772195E-3</v>
      </c>
      <c r="J913" s="17">
        <f t="shared" si="233"/>
        <v>-8.409453385529916E-3</v>
      </c>
      <c r="K913" s="17">
        <f t="shared" si="234"/>
        <v>5.8389898547552103E-3</v>
      </c>
      <c r="L913" s="17">
        <f t="shared" si="235"/>
        <v>1.236858379715496E-3</v>
      </c>
      <c r="M913" s="17">
        <f t="shared" si="236"/>
        <v>4.7315741583257142E-3</v>
      </c>
      <c r="N913" s="17">
        <f t="shared" si="237"/>
        <v>3.3199644723089575E-3</v>
      </c>
      <c r="O913" s="17">
        <f t="shared" si="238"/>
        <v>5.3416728983287625E-3</v>
      </c>
      <c r="P913" s="17">
        <f t="shared" si="239"/>
        <v>1.0360329346701901E-2</v>
      </c>
      <c r="Q913" s="22">
        <f t="shared" si="240"/>
        <v>-7.9007290830619536E-3</v>
      </c>
      <c r="R913" s="22">
        <f t="shared" si="241"/>
        <v>-8.8401780996070801E-3</v>
      </c>
      <c r="S913" s="22">
        <f t="shared" si="242"/>
        <v>5.4270304679177638E-3</v>
      </c>
      <c r="T913" s="22">
        <f t="shared" si="243"/>
        <v>1.1054068704825777E-3</v>
      </c>
      <c r="U913" s="22">
        <f t="shared" si="244"/>
        <v>4.038346211371952E-3</v>
      </c>
      <c r="V913" s="22">
        <f t="shared" si="245"/>
        <v>3.5545682818121376E-3</v>
      </c>
      <c r="W913" s="22">
        <f t="shared" si="246"/>
        <v>5.5959214524194658E-3</v>
      </c>
      <c r="X913" s="22">
        <f t="shared" si="247"/>
        <v>1.067627373130824E-2</v>
      </c>
    </row>
    <row r="914" spans="1:24" x14ac:dyDescent="0.35">
      <c r="A914" s="3">
        <v>12.04</v>
      </c>
      <c r="B914" s="3">
        <v>69.98</v>
      </c>
      <c r="C914" s="3">
        <v>139.97999999999999</v>
      </c>
      <c r="D914" s="3">
        <v>16.03</v>
      </c>
      <c r="E914" s="3">
        <v>55.53</v>
      </c>
      <c r="F914" s="3">
        <v>98.256642999999997</v>
      </c>
      <c r="G914" s="3">
        <v>93.497685000000004</v>
      </c>
      <c r="H914" s="3">
        <v>90.794250000000005</v>
      </c>
      <c r="I914" s="17">
        <f t="shared" si="232"/>
        <v>1.1764705882352839E-2</v>
      </c>
      <c r="J914" s="17">
        <f t="shared" si="233"/>
        <v>2.3249013013598527E-2</v>
      </c>
      <c r="K914" s="17">
        <f t="shared" si="234"/>
        <v>1.5746317393512718E-2</v>
      </c>
      <c r="L914" s="17">
        <f t="shared" si="235"/>
        <v>-9.8826436071649242E-3</v>
      </c>
      <c r="M914" s="17">
        <f t="shared" si="236"/>
        <v>5.7960514399565347E-3</v>
      </c>
      <c r="N914" s="17">
        <f t="shared" si="237"/>
        <v>-1.2743386075188511E-3</v>
      </c>
      <c r="O914" s="17">
        <f t="shared" si="238"/>
        <v>-2.280682765517148E-3</v>
      </c>
      <c r="P914" s="17">
        <f t="shared" si="239"/>
        <v>-1.7565689264718019E-3</v>
      </c>
      <c r="Q914" s="22">
        <f t="shared" si="240"/>
        <v>1.1370232011968105E-2</v>
      </c>
      <c r="R914" s="22">
        <f t="shared" si="241"/>
        <v>2.2818288299521365E-2</v>
      </c>
      <c r="S914" s="22">
        <f t="shared" si="242"/>
        <v>1.5334358006675271E-2</v>
      </c>
      <c r="T914" s="22">
        <f t="shared" si="243"/>
        <v>-1.0014095116397842E-2</v>
      </c>
      <c r="U914" s="22">
        <f t="shared" si="244"/>
        <v>5.1028234930027725E-3</v>
      </c>
      <c r="V914" s="22">
        <f t="shared" si="245"/>
        <v>-1.0397347980156707E-3</v>
      </c>
      <c r="W914" s="22">
        <f t="shared" si="246"/>
        <v>-2.0264342114264451E-3</v>
      </c>
      <c r="X914" s="22">
        <f t="shared" si="247"/>
        <v>-1.440624541865463E-3</v>
      </c>
    </row>
    <row r="915" spans="1:24" x14ac:dyDescent="0.35">
      <c r="A915" s="3">
        <v>12</v>
      </c>
      <c r="B915" s="3">
        <v>70.2</v>
      </c>
      <c r="C915" s="3">
        <v>141.5</v>
      </c>
      <c r="D915" s="3">
        <v>16.12</v>
      </c>
      <c r="E915" s="3">
        <v>56.28</v>
      </c>
      <c r="F915" s="3">
        <v>98.281659000000005</v>
      </c>
      <c r="G915" s="3">
        <v>93.426700999999994</v>
      </c>
      <c r="H915" s="3">
        <v>90.878253000000001</v>
      </c>
      <c r="I915" s="17">
        <f t="shared" si="232"/>
        <v>-3.322259136212554E-3</v>
      </c>
      <c r="J915" s="17">
        <f t="shared" si="233"/>
        <v>3.1437553586738903E-3</v>
      </c>
      <c r="K915" s="17">
        <f t="shared" si="234"/>
        <v>1.0858694099157096E-2</v>
      </c>
      <c r="L915" s="17">
        <f t="shared" si="235"/>
        <v>5.614472863381151E-3</v>
      </c>
      <c r="M915" s="17">
        <f t="shared" si="236"/>
        <v>1.350621285791464E-2</v>
      </c>
      <c r="N915" s="17">
        <f t="shared" si="237"/>
        <v>2.5459856184999034E-4</v>
      </c>
      <c r="O915" s="17">
        <f t="shared" si="238"/>
        <v>-7.592059632279657E-4</v>
      </c>
      <c r="P915" s="17">
        <f t="shared" si="239"/>
        <v>9.2520176112469241E-4</v>
      </c>
      <c r="Q915" s="22">
        <f t="shared" si="240"/>
        <v>-3.7167330065972872E-3</v>
      </c>
      <c r="R915" s="22">
        <f t="shared" si="241"/>
        <v>2.7130306445967266E-3</v>
      </c>
      <c r="S915" s="22">
        <f t="shared" si="242"/>
        <v>1.0446734712319649E-2</v>
      </c>
      <c r="T915" s="22">
        <f t="shared" si="243"/>
        <v>5.4830213541482327E-3</v>
      </c>
      <c r="U915" s="22">
        <f t="shared" si="244"/>
        <v>1.2812984910960877E-2</v>
      </c>
      <c r="V915" s="22">
        <f t="shared" si="245"/>
        <v>4.8920237135317065E-4</v>
      </c>
      <c r="W915" s="22">
        <f t="shared" si="246"/>
        <v>-5.0495740913726269E-4</v>
      </c>
      <c r="X915" s="22">
        <f t="shared" si="247"/>
        <v>1.2411461457310312E-3</v>
      </c>
    </row>
    <row r="916" spans="1:24" x14ac:dyDescent="0.35">
      <c r="A916" s="3">
        <v>12.75</v>
      </c>
      <c r="B916" s="3">
        <v>69.53</v>
      </c>
      <c r="C916" s="3">
        <v>143.59</v>
      </c>
      <c r="D916" s="3">
        <v>16.059999999999999</v>
      </c>
      <c r="E916" s="3">
        <v>56.35</v>
      </c>
      <c r="F916" s="3">
        <v>98.206980999999999</v>
      </c>
      <c r="G916" s="3">
        <v>93.498002999999997</v>
      </c>
      <c r="H916" s="3">
        <v>90.825944000000007</v>
      </c>
      <c r="I916" s="17">
        <f t="shared" si="232"/>
        <v>6.25E-2</v>
      </c>
      <c r="J916" s="17">
        <f t="shared" si="233"/>
        <v>-9.5441595441595681E-3</v>
      </c>
      <c r="K916" s="17">
        <f t="shared" si="234"/>
        <v>1.4770318021201437E-2</v>
      </c>
      <c r="L916" s="17">
        <f t="shared" si="235"/>
        <v>-3.7220843672457985E-3</v>
      </c>
      <c r="M916" s="17">
        <f t="shared" si="236"/>
        <v>1.2437810945273681E-3</v>
      </c>
      <c r="N916" s="17">
        <f t="shared" si="237"/>
        <v>-7.5983658354816525E-4</v>
      </c>
      <c r="O916" s="17">
        <f t="shared" si="238"/>
        <v>7.631865327236896E-4</v>
      </c>
      <c r="P916" s="17">
        <f t="shared" si="239"/>
        <v>-5.7559425135509529E-4</v>
      </c>
      <c r="Q916" s="22">
        <f t="shared" si="240"/>
        <v>6.2105526129615264E-2</v>
      </c>
      <c r="R916" s="22">
        <f t="shared" si="241"/>
        <v>-9.9748842582367322E-3</v>
      </c>
      <c r="S916" s="22">
        <f t="shared" si="242"/>
        <v>1.435835863436399E-2</v>
      </c>
      <c r="T916" s="22">
        <f t="shared" si="243"/>
        <v>-3.8535358764787168E-3</v>
      </c>
      <c r="U916" s="22">
        <f t="shared" si="244"/>
        <v>5.5055314757360564E-4</v>
      </c>
      <c r="V916" s="22">
        <f t="shared" si="245"/>
        <v>-5.2523277404498494E-4</v>
      </c>
      <c r="W916" s="22">
        <f t="shared" si="246"/>
        <v>1.0174350868143926E-3</v>
      </c>
      <c r="X916" s="22">
        <f t="shared" si="247"/>
        <v>-2.5964986674875651E-4</v>
      </c>
    </row>
    <row r="917" spans="1:24" x14ac:dyDescent="0.35">
      <c r="A917" s="3">
        <v>12.41</v>
      </c>
      <c r="B917" s="3">
        <v>69.72</v>
      </c>
      <c r="C917" s="3">
        <v>143.6</v>
      </c>
      <c r="D917" s="3">
        <v>16.04</v>
      </c>
      <c r="E917" s="3">
        <v>56.34</v>
      </c>
      <c r="F917" s="3">
        <v>98.008080000000007</v>
      </c>
      <c r="G917" s="3">
        <v>93.191598999999997</v>
      </c>
      <c r="H917" s="3">
        <v>90.545927000000006</v>
      </c>
      <c r="I917" s="17">
        <f t="shared" si="232"/>
        <v>-2.6666666666666655E-2</v>
      </c>
      <c r="J917" s="17">
        <f t="shared" si="233"/>
        <v>2.7326333956565183E-3</v>
      </c>
      <c r="K917" s="17">
        <f t="shared" si="234"/>
        <v>6.964273278077098E-5</v>
      </c>
      <c r="L917" s="17">
        <f t="shared" si="235"/>
        <v>-1.2453300124532737E-3</v>
      </c>
      <c r="M917" s="17">
        <f t="shared" si="236"/>
        <v>-1.7746228926349619E-4</v>
      </c>
      <c r="N917" s="17">
        <f t="shared" si="237"/>
        <v>-2.0253244522402355E-3</v>
      </c>
      <c r="O917" s="17">
        <f t="shared" si="238"/>
        <v>-3.277118121977435E-3</v>
      </c>
      <c r="P917" s="17">
        <f t="shared" si="239"/>
        <v>-3.0830067673175061E-3</v>
      </c>
      <c r="Q917" s="22">
        <f t="shared" si="240"/>
        <v>-2.7061140537051387E-2</v>
      </c>
      <c r="R917" s="22">
        <f t="shared" si="241"/>
        <v>2.3019086815793547E-3</v>
      </c>
      <c r="S917" s="22">
        <f t="shared" si="242"/>
        <v>-3.4231665405667596E-4</v>
      </c>
      <c r="T917" s="22">
        <f t="shared" si="243"/>
        <v>-1.376781521686192E-3</v>
      </c>
      <c r="U917" s="22">
        <f t="shared" si="244"/>
        <v>-8.7069023621725867E-4</v>
      </c>
      <c r="V917" s="22">
        <f t="shared" si="245"/>
        <v>-1.7907206427370552E-3</v>
      </c>
      <c r="W917" s="22">
        <f t="shared" si="246"/>
        <v>-3.0228695678867321E-3</v>
      </c>
      <c r="X917" s="22">
        <f t="shared" si="247"/>
        <v>-2.7670623827111673E-3</v>
      </c>
    </row>
    <row r="918" spans="1:24" x14ac:dyDescent="0.35">
      <c r="A918" s="3">
        <v>12.4</v>
      </c>
      <c r="B918" s="3">
        <v>70.2</v>
      </c>
      <c r="C918" s="3">
        <v>141.77000000000001</v>
      </c>
      <c r="D918" s="3">
        <v>16.23</v>
      </c>
      <c r="E918" s="3">
        <v>57.18</v>
      </c>
      <c r="F918" s="3">
        <v>98.444287000000003</v>
      </c>
      <c r="G918" s="3">
        <v>93.687494000000001</v>
      </c>
      <c r="H918" s="3">
        <v>91.054777000000001</v>
      </c>
      <c r="I918" s="17">
        <f t="shared" si="232"/>
        <v>-8.0580177276388292E-4</v>
      </c>
      <c r="J918" s="17">
        <f t="shared" si="233"/>
        <v>6.8846815834768217E-3</v>
      </c>
      <c r="K918" s="17">
        <f t="shared" si="234"/>
        <v>-1.2743732590529138E-2</v>
      </c>
      <c r="L918" s="17">
        <f t="shared" si="235"/>
        <v>1.1845386533665916E-2</v>
      </c>
      <c r="M918" s="17">
        <f t="shared" si="236"/>
        <v>1.4909478168264044E-2</v>
      </c>
      <c r="N918" s="17">
        <f t="shared" si="237"/>
        <v>4.4507248790099348E-3</v>
      </c>
      <c r="O918" s="17">
        <f t="shared" si="238"/>
        <v>5.3212414565394937E-3</v>
      </c>
      <c r="P918" s="17">
        <f t="shared" si="239"/>
        <v>5.6197999938748799E-3</v>
      </c>
      <c r="Q918" s="22">
        <f t="shared" si="240"/>
        <v>-1.2002756431486162E-3</v>
      </c>
      <c r="R918" s="22">
        <f t="shared" si="241"/>
        <v>6.4539568693996584E-3</v>
      </c>
      <c r="S918" s="22">
        <f t="shared" si="242"/>
        <v>-1.3155691977366586E-2</v>
      </c>
      <c r="T918" s="22">
        <f t="shared" si="243"/>
        <v>1.1713935024432999E-2</v>
      </c>
      <c r="U918" s="22">
        <f t="shared" si="244"/>
        <v>1.4216250221310281E-2</v>
      </c>
      <c r="V918" s="22">
        <f t="shared" si="245"/>
        <v>4.6853286885131153E-3</v>
      </c>
      <c r="W918" s="22">
        <f t="shared" si="246"/>
        <v>5.575490010630197E-3</v>
      </c>
      <c r="X918" s="22">
        <f t="shared" si="247"/>
        <v>5.9357443784812183E-3</v>
      </c>
    </row>
    <row r="919" spans="1:24" x14ac:dyDescent="0.35">
      <c r="A919" s="3">
        <v>12.48</v>
      </c>
      <c r="B919" s="3">
        <v>70.02</v>
      </c>
      <c r="C919" s="3">
        <v>143.58000000000001</v>
      </c>
      <c r="D919" s="3">
        <v>16.29</v>
      </c>
      <c r="E919" s="3">
        <v>58.01</v>
      </c>
      <c r="F919" s="3">
        <v>98.394469999999998</v>
      </c>
      <c r="G919" s="3">
        <v>93.616625999999997</v>
      </c>
      <c r="H919" s="3">
        <v>90.956186000000002</v>
      </c>
      <c r="I919" s="17">
        <f t="shared" si="232"/>
        <v>6.4516129032258117E-3</v>
      </c>
      <c r="J919" s="17">
        <f t="shared" si="233"/>
        <v>-2.5641025641026612E-3</v>
      </c>
      <c r="K919" s="17">
        <f t="shared" si="234"/>
        <v>1.2767158072935051E-2</v>
      </c>
      <c r="L919" s="17">
        <f t="shared" si="235"/>
        <v>3.6968576709795883E-3</v>
      </c>
      <c r="M919" s="17">
        <f t="shared" si="236"/>
        <v>1.4515564882826133E-2</v>
      </c>
      <c r="N919" s="17">
        <f t="shared" si="237"/>
        <v>-5.0604257004781229E-4</v>
      </c>
      <c r="O919" s="17">
        <f t="shared" si="238"/>
        <v>-7.5642966819033897E-4</v>
      </c>
      <c r="P919" s="17">
        <f t="shared" si="239"/>
        <v>-1.0827658168884318E-3</v>
      </c>
      <c r="Q919" s="22">
        <f t="shared" si="240"/>
        <v>6.0571390328410784E-3</v>
      </c>
      <c r="R919" s="22">
        <f t="shared" si="241"/>
        <v>-2.9948272781798249E-3</v>
      </c>
      <c r="S919" s="22">
        <f t="shared" si="242"/>
        <v>1.2355198686097604E-2</v>
      </c>
      <c r="T919" s="22">
        <f t="shared" si="243"/>
        <v>3.56540616174667E-3</v>
      </c>
      <c r="U919" s="22">
        <f t="shared" si="244"/>
        <v>1.382233693587237E-2</v>
      </c>
      <c r="V919" s="22">
        <f t="shared" si="245"/>
        <v>-2.7143876054463198E-4</v>
      </c>
      <c r="W919" s="22">
        <f t="shared" si="246"/>
        <v>-5.0218111409963597E-4</v>
      </c>
      <c r="X919" s="22">
        <f t="shared" si="247"/>
        <v>-7.6682143228209293E-4</v>
      </c>
    </row>
    <row r="920" spans="1:24" x14ac:dyDescent="0.35">
      <c r="A920" s="3">
        <v>12.41</v>
      </c>
      <c r="B920" s="3">
        <v>68.97</v>
      </c>
      <c r="C920" s="3">
        <v>141.68</v>
      </c>
      <c r="D920" s="3">
        <v>16.48</v>
      </c>
      <c r="E920" s="3">
        <v>56.34</v>
      </c>
      <c r="F920" s="3">
        <v>98.195514000000003</v>
      </c>
      <c r="G920" s="3">
        <v>93.404453000000004</v>
      </c>
      <c r="H920" s="3">
        <v>90.615536000000006</v>
      </c>
      <c r="I920" s="17">
        <f t="shared" si="232"/>
        <v>-5.6089743589743815E-3</v>
      </c>
      <c r="J920" s="17">
        <f t="shared" si="233"/>
        <v>-1.4995715509854287E-2</v>
      </c>
      <c r="K920" s="17">
        <f t="shared" si="234"/>
        <v>-1.3233040813483811E-2</v>
      </c>
      <c r="L920" s="17">
        <f t="shared" si="235"/>
        <v>1.1663597298956494E-2</v>
      </c>
      <c r="M920" s="17">
        <f t="shared" si="236"/>
        <v>-2.8788139975866139E-2</v>
      </c>
      <c r="N920" s="17">
        <f t="shared" si="237"/>
        <v>-2.0220242052220562E-3</v>
      </c>
      <c r="O920" s="17">
        <f t="shared" si="238"/>
        <v>-2.2664029784623175E-3</v>
      </c>
      <c r="P920" s="17">
        <f t="shared" si="239"/>
        <v>-3.7452098090392286E-3</v>
      </c>
      <c r="Q920" s="22">
        <f t="shared" si="240"/>
        <v>-6.0034482293591148E-3</v>
      </c>
      <c r="R920" s="22">
        <f t="shared" si="241"/>
        <v>-1.5426440223931451E-2</v>
      </c>
      <c r="S920" s="22">
        <f t="shared" si="242"/>
        <v>-1.3645000200321259E-2</v>
      </c>
      <c r="T920" s="22">
        <f t="shared" si="243"/>
        <v>1.1532145789723577E-2</v>
      </c>
      <c r="U920" s="22">
        <f t="shared" si="244"/>
        <v>-2.9481367922819902E-2</v>
      </c>
      <c r="V920" s="22">
        <f t="shared" si="245"/>
        <v>-1.7874203957188759E-3</v>
      </c>
      <c r="W920" s="22">
        <f t="shared" si="246"/>
        <v>-2.0121544243716146E-3</v>
      </c>
      <c r="X920" s="22">
        <f t="shared" si="247"/>
        <v>-3.4292654244328898E-3</v>
      </c>
    </row>
    <row r="921" spans="1:24" x14ac:dyDescent="0.35">
      <c r="A921" s="3">
        <v>12.41</v>
      </c>
      <c r="B921" s="3">
        <v>68.58</v>
      </c>
      <c r="C921" s="3">
        <v>135.93</v>
      </c>
      <c r="D921" s="3">
        <v>16.440000000000001</v>
      </c>
      <c r="E921" s="3">
        <v>56.01</v>
      </c>
      <c r="F921" s="3">
        <v>98.308325999999994</v>
      </c>
      <c r="G921" s="3">
        <v>93.428972999999999</v>
      </c>
      <c r="H921" s="3">
        <v>90.504109</v>
      </c>
      <c r="I921" s="17">
        <f t="shared" si="232"/>
        <v>0</v>
      </c>
      <c r="J921" s="17">
        <f t="shared" si="233"/>
        <v>-5.6546324488908305E-3</v>
      </c>
      <c r="K921" s="17">
        <f t="shared" si="234"/>
        <v>-4.0584415584415584E-2</v>
      </c>
      <c r="L921" s="17">
        <f t="shared" si="235"/>
        <v>-2.4271844660193657E-3</v>
      </c>
      <c r="M921" s="17">
        <f t="shared" si="236"/>
        <v>-5.8572949946752821E-3</v>
      </c>
      <c r="N921" s="17">
        <f t="shared" si="237"/>
        <v>1.1488508527995589E-3</v>
      </c>
      <c r="O921" s="17">
        <f t="shared" si="238"/>
        <v>2.6251425079268365E-4</v>
      </c>
      <c r="P921" s="17">
        <f t="shared" si="239"/>
        <v>-1.2296677249694374E-3</v>
      </c>
      <c r="Q921" s="22">
        <f t="shared" si="240"/>
        <v>-3.9447387038473331E-4</v>
      </c>
      <c r="R921" s="22">
        <f t="shared" si="241"/>
        <v>-6.0853571629679937E-3</v>
      </c>
      <c r="S921" s="22">
        <f t="shared" si="242"/>
        <v>-4.0996374971253031E-2</v>
      </c>
      <c r="T921" s="22">
        <f t="shared" si="243"/>
        <v>-2.558635975252284E-3</v>
      </c>
      <c r="U921" s="22">
        <f t="shared" si="244"/>
        <v>-6.5505229416290443E-3</v>
      </c>
      <c r="V921" s="22">
        <f t="shared" si="245"/>
        <v>1.3834546623027392E-3</v>
      </c>
      <c r="W921" s="22">
        <f t="shared" si="246"/>
        <v>5.1676280488338665E-4</v>
      </c>
      <c r="X921" s="22">
        <f t="shared" si="247"/>
        <v>-9.1372334036309857E-4</v>
      </c>
    </row>
    <row r="922" spans="1:24" x14ac:dyDescent="0.35">
      <c r="A922" s="3">
        <v>12.51</v>
      </c>
      <c r="B922" s="3">
        <v>68.510000000000005</v>
      </c>
      <c r="C922" s="3">
        <v>136.71</v>
      </c>
      <c r="D922" s="3">
        <v>16.53</v>
      </c>
      <c r="E922" s="3">
        <v>56.68</v>
      </c>
      <c r="F922" s="3">
        <v>97.887943000000007</v>
      </c>
      <c r="G922" s="3">
        <v>92.750732999999997</v>
      </c>
      <c r="H922" s="3">
        <v>89.332694000000004</v>
      </c>
      <c r="I922" s="17">
        <f t="shared" si="232"/>
        <v>8.0580177276389723E-3</v>
      </c>
      <c r="J922" s="17">
        <f t="shared" si="233"/>
        <v>-1.0207057451150944E-3</v>
      </c>
      <c r="K922" s="17">
        <f t="shared" si="234"/>
        <v>5.7382476274553161E-3</v>
      </c>
      <c r="L922" s="17">
        <f t="shared" si="235"/>
        <v>5.4744525547445163E-3</v>
      </c>
      <c r="M922" s="17">
        <f t="shared" si="236"/>
        <v>1.1962149616140005E-2</v>
      </c>
      <c r="N922" s="17">
        <f t="shared" si="237"/>
        <v>-4.276168836401373E-3</v>
      </c>
      <c r="O922" s="17">
        <f t="shared" si="238"/>
        <v>-7.2594183391056048E-3</v>
      </c>
      <c r="P922" s="17">
        <f t="shared" si="239"/>
        <v>-1.2943224489398554E-2</v>
      </c>
      <c r="Q922" s="22">
        <f t="shared" si="240"/>
        <v>7.663543857254239E-3</v>
      </c>
      <c r="R922" s="22">
        <f t="shared" si="241"/>
        <v>-1.4514304591922579E-3</v>
      </c>
      <c r="S922" s="22">
        <f t="shared" si="242"/>
        <v>5.3262882406178696E-3</v>
      </c>
      <c r="T922" s="22">
        <f t="shared" si="243"/>
        <v>5.343001045511598E-3</v>
      </c>
      <c r="U922" s="22">
        <f t="shared" si="244"/>
        <v>1.1268921669186242E-2</v>
      </c>
      <c r="V922" s="22">
        <f t="shared" si="245"/>
        <v>-4.0415650268981924E-3</v>
      </c>
      <c r="W922" s="22">
        <f t="shared" si="246"/>
        <v>-7.0051697850149015E-3</v>
      </c>
      <c r="X922" s="22">
        <f t="shared" si="247"/>
        <v>-1.2627280104792216E-2</v>
      </c>
    </row>
    <row r="923" spans="1:24" x14ac:dyDescent="0.35">
      <c r="A923" s="3">
        <v>12.16</v>
      </c>
      <c r="B923" s="3">
        <v>69.959999999999994</v>
      </c>
      <c r="C923" s="3">
        <v>134.16999999999999</v>
      </c>
      <c r="D923" s="3">
        <v>16.579999999999998</v>
      </c>
      <c r="E923" s="3">
        <v>55.43</v>
      </c>
      <c r="F923" s="3">
        <v>98.582347999999996</v>
      </c>
      <c r="G923" s="3">
        <v>93.570856000000006</v>
      </c>
      <c r="H923" s="3">
        <v>90.550630999999996</v>
      </c>
      <c r="I923" s="17">
        <f t="shared" si="232"/>
        <v>-2.797761790567543E-2</v>
      </c>
      <c r="J923" s="17">
        <f t="shared" si="233"/>
        <v>2.1164793460808472E-2</v>
      </c>
      <c r="K923" s="17">
        <f t="shared" si="234"/>
        <v>-1.8579474800673106E-2</v>
      </c>
      <c r="L923" s="17">
        <f t="shared" si="235"/>
        <v>3.0248033877796222E-3</v>
      </c>
      <c r="M923" s="17">
        <f t="shared" si="236"/>
        <v>-2.2053634438955541E-2</v>
      </c>
      <c r="N923" s="17">
        <f t="shared" si="237"/>
        <v>7.0938767198324825E-3</v>
      </c>
      <c r="O923" s="17">
        <f t="shared" si="238"/>
        <v>8.8422266161498637E-3</v>
      </c>
      <c r="P923" s="17">
        <f t="shared" si="239"/>
        <v>1.363372070700109E-2</v>
      </c>
      <c r="Q923" s="22">
        <f t="shared" si="240"/>
        <v>-2.8372091776060163E-2</v>
      </c>
      <c r="R923" s="22">
        <f t="shared" si="241"/>
        <v>2.073406874673131E-2</v>
      </c>
      <c r="S923" s="22">
        <f t="shared" si="242"/>
        <v>-1.8991434187510554E-2</v>
      </c>
      <c r="T923" s="22">
        <f t="shared" si="243"/>
        <v>2.8933518785467039E-3</v>
      </c>
      <c r="U923" s="22">
        <f t="shared" si="244"/>
        <v>-2.2746862385909304E-2</v>
      </c>
      <c r="V923" s="22">
        <f t="shared" si="245"/>
        <v>7.328480529335663E-3</v>
      </c>
      <c r="W923" s="22">
        <f t="shared" si="246"/>
        <v>9.0964751702405661E-3</v>
      </c>
      <c r="X923" s="22">
        <f t="shared" si="247"/>
        <v>1.3949665091607428E-2</v>
      </c>
    </row>
    <row r="924" spans="1:24" x14ac:dyDescent="0.35">
      <c r="A924" s="3">
        <v>11.81</v>
      </c>
      <c r="B924" s="3">
        <v>67.81</v>
      </c>
      <c r="C924" s="3">
        <v>132.19</v>
      </c>
      <c r="D924" s="3">
        <v>16.47</v>
      </c>
      <c r="E924" s="3">
        <v>55.22</v>
      </c>
      <c r="F924" s="3">
        <v>97.790902000000003</v>
      </c>
      <c r="G924" s="3">
        <v>93.453655999999995</v>
      </c>
      <c r="H924" s="3">
        <v>89.557345999999995</v>
      </c>
      <c r="I924" s="17">
        <f t="shared" si="232"/>
        <v>-2.8782894736842077E-2</v>
      </c>
      <c r="J924" s="17">
        <f t="shared" si="233"/>
        <v>-3.0731846769582499E-2</v>
      </c>
      <c r="K924" s="17">
        <f t="shared" si="234"/>
        <v>-1.4757397331743236E-2</v>
      </c>
      <c r="L924" s="17">
        <f t="shared" si="235"/>
        <v>-6.6344993968636577E-3</v>
      </c>
      <c r="M924" s="17">
        <f t="shared" si="236"/>
        <v>-3.7885621504600551E-3</v>
      </c>
      <c r="N924" s="17">
        <f t="shared" si="237"/>
        <v>-8.0282729723580269E-3</v>
      </c>
      <c r="O924" s="17">
        <f t="shared" si="238"/>
        <v>-1.2525267482859307E-3</v>
      </c>
      <c r="P924" s="17">
        <f t="shared" si="239"/>
        <v>-1.0969387943856518E-2</v>
      </c>
      <c r="Q924" s="22">
        <f t="shared" si="240"/>
        <v>-2.9177368607226809E-2</v>
      </c>
      <c r="R924" s="22">
        <f t="shared" si="241"/>
        <v>-3.1162571483659661E-2</v>
      </c>
      <c r="S924" s="22">
        <f t="shared" si="242"/>
        <v>-1.5169356718580683E-2</v>
      </c>
      <c r="T924" s="22">
        <f t="shared" si="243"/>
        <v>-6.765950906096576E-3</v>
      </c>
      <c r="U924" s="22">
        <f t="shared" si="244"/>
        <v>-4.4817900974138177E-3</v>
      </c>
      <c r="V924" s="22">
        <f t="shared" si="245"/>
        <v>-7.7936691628548464E-3</v>
      </c>
      <c r="W924" s="22">
        <f t="shared" si="246"/>
        <v>-9.9827819419522762E-4</v>
      </c>
      <c r="X924" s="22">
        <f t="shared" si="247"/>
        <v>-1.0653443559250179E-2</v>
      </c>
    </row>
    <row r="925" spans="1:24" x14ac:dyDescent="0.35">
      <c r="A925" s="3">
        <v>11.66</v>
      </c>
      <c r="B925" s="3">
        <v>68.239999999999995</v>
      </c>
      <c r="C925" s="3">
        <v>132.53</v>
      </c>
      <c r="D925" s="3">
        <v>16.350000000000001</v>
      </c>
      <c r="E925" s="3">
        <v>56.7</v>
      </c>
      <c r="F925" s="3">
        <v>98.001114999999999</v>
      </c>
      <c r="G925" s="3">
        <v>92.962767999999997</v>
      </c>
      <c r="H925" s="3">
        <v>89.818523999999996</v>
      </c>
      <c r="I925" s="17">
        <f t="shared" si="232"/>
        <v>-1.2701100762066075E-2</v>
      </c>
      <c r="J925" s="17">
        <f t="shared" si="233"/>
        <v>6.3412476035981805E-3</v>
      </c>
      <c r="K925" s="17">
        <f t="shared" si="234"/>
        <v>2.5720553748392722E-3</v>
      </c>
      <c r="L925" s="17">
        <f t="shared" si="235"/>
        <v>-7.2859744990890988E-3</v>
      </c>
      <c r="M925" s="17">
        <f t="shared" si="236"/>
        <v>2.6801883375588628E-2</v>
      </c>
      <c r="N925" s="17">
        <f t="shared" si="237"/>
        <v>2.149617149456255E-3</v>
      </c>
      <c r="O925" s="17">
        <f t="shared" si="238"/>
        <v>-5.2527426000326645E-3</v>
      </c>
      <c r="P925" s="17">
        <f t="shared" si="239"/>
        <v>2.9163213478881011E-3</v>
      </c>
      <c r="Q925" s="22">
        <f t="shared" si="240"/>
        <v>-1.3095574632450809E-2</v>
      </c>
      <c r="R925" s="22">
        <f t="shared" si="241"/>
        <v>5.9105228895210173E-3</v>
      </c>
      <c r="S925" s="22">
        <f t="shared" si="242"/>
        <v>2.1600959880018252E-3</v>
      </c>
      <c r="T925" s="22">
        <f t="shared" si="243"/>
        <v>-7.4174260083220171E-3</v>
      </c>
      <c r="U925" s="22">
        <f t="shared" si="244"/>
        <v>2.6108655428634865E-2</v>
      </c>
      <c r="V925" s="22">
        <f t="shared" si="245"/>
        <v>2.3842209589594351E-3</v>
      </c>
      <c r="W925" s="22">
        <f t="shared" si="246"/>
        <v>-4.9984940459419612E-3</v>
      </c>
      <c r="X925" s="22">
        <f t="shared" si="247"/>
        <v>3.2322657324944399E-3</v>
      </c>
    </row>
    <row r="926" spans="1:24" x14ac:dyDescent="0.35">
      <c r="A926" s="3">
        <v>11.95</v>
      </c>
      <c r="B926" s="3">
        <v>68.91</v>
      </c>
      <c r="C926" s="3">
        <v>136.28</v>
      </c>
      <c r="D926" s="3">
        <v>16.36</v>
      </c>
      <c r="E926" s="3">
        <v>56.04</v>
      </c>
      <c r="F926" s="3">
        <v>98.077313000000004</v>
      </c>
      <c r="G926" s="3">
        <v>93.034974000000005</v>
      </c>
      <c r="H926" s="3">
        <v>89.829221000000004</v>
      </c>
      <c r="I926" s="17">
        <f t="shared" si="232"/>
        <v>2.4871355060034232E-2</v>
      </c>
      <c r="J926" s="17">
        <f t="shared" si="233"/>
        <v>9.8182883939038953E-3</v>
      </c>
      <c r="K926" s="17">
        <f t="shared" si="234"/>
        <v>2.8295480268618427E-2</v>
      </c>
      <c r="L926" s="17">
        <f t="shared" si="235"/>
        <v>6.1162079510691195E-4</v>
      </c>
      <c r="M926" s="17">
        <f t="shared" si="236"/>
        <v>-1.1640211640211704E-2</v>
      </c>
      <c r="N926" s="17">
        <f t="shared" si="237"/>
        <v>7.7752176595138835E-4</v>
      </c>
      <c r="O926" s="17">
        <f t="shared" si="238"/>
        <v>7.7671955723186334E-4</v>
      </c>
      <c r="P926" s="17">
        <f t="shared" si="239"/>
        <v>1.1909570012537176E-4</v>
      </c>
      <c r="Q926" s="22">
        <f t="shared" si="240"/>
        <v>2.44768811896495E-2</v>
      </c>
      <c r="R926" s="22">
        <f t="shared" si="241"/>
        <v>9.3875636798267312E-3</v>
      </c>
      <c r="S926" s="22">
        <f t="shared" si="242"/>
        <v>2.788352088178098E-2</v>
      </c>
      <c r="T926" s="22">
        <f t="shared" si="243"/>
        <v>4.8016928587399366E-4</v>
      </c>
      <c r="U926" s="22">
        <f t="shared" si="244"/>
        <v>-1.2333439587165467E-2</v>
      </c>
      <c r="V926" s="22">
        <f t="shared" si="245"/>
        <v>1.0121255754545685E-3</v>
      </c>
      <c r="W926" s="22">
        <f t="shared" si="246"/>
        <v>1.0309681113225663E-3</v>
      </c>
      <c r="X926" s="22">
        <f t="shared" si="247"/>
        <v>4.3504008473171051E-4</v>
      </c>
    </row>
    <row r="927" spans="1:24" x14ac:dyDescent="0.35">
      <c r="A927" s="3">
        <v>11.97</v>
      </c>
      <c r="B927" s="3">
        <v>70.47</v>
      </c>
      <c r="C927" s="3">
        <v>136.21</v>
      </c>
      <c r="D927" s="3">
        <v>16.3</v>
      </c>
      <c r="E927" s="3">
        <v>53.91</v>
      </c>
      <c r="F927" s="3">
        <v>97.734328000000005</v>
      </c>
      <c r="G927" s="3">
        <v>92.687327999999994</v>
      </c>
      <c r="H927" s="3">
        <v>89.556004999999999</v>
      </c>
      <c r="I927" s="17">
        <f t="shared" si="232"/>
        <v>1.6736401673641298E-3</v>
      </c>
      <c r="J927" s="17">
        <f t="shared" si="233"/>
        <v>2.2638223770134993E-2</v>
      </c>
      <c r="K927" s="17">
        <f t="shared" si="234"/>
        <v>-5.1364837100083044E-4</v>
      </c>
      <c r="L927" s="17">
        <f t="shared" si="235"/>
        <v>-3.667481662591609E-3</v>
      </c>
      <c r="M927" s="17">
        <f t="shared" si="236"/>
        <v>-3.8008565310492549E-2</v>
      </c>
      <c r="N927" s="17">
        <f t="shared" si="237"/>
        <v>-3.4970880574593101E-3</v>
      </c>
      <c r="O927" s="17">
        <f t="shared" si="238"/>
        <v>-3.7367237830368142E-3</v>
      </c>
      <c r="P927" s="17">
        <f t="shared" si="239"/>
        <v>-3.041504723724644E-3</v>
      </c>
      <c r="Q927" s="22">
        <f t="shared" si="240"/>
        <v>1.2791662969793966E-3</v>
      </c>
      <c r="R927" s="22">
        <f t="shared" si="241"/>
        <v>2.2207499056057831E-2</v>
      </c>
      <c r="S927" s="22">
        <f t="shared" si="242"/>
        <v>-9.2560775783827732E-4</v>
      </c>
      <c r="T927" s="22">
        <f t="shared" si="243"/>
        <v>-3.7989331718245273E-3</v>
      </c>
      <c r="U927" s="22">
        <f t="shared" si="244"/>
        <v>-3.8701793257446312E-2</v>
      </c>
      <c r="V927" s="22">
        <f t="shared" si="245"/>
        <v>-3.26248424795613E-3</v>
      </c>
      <c r="W927" s="22">
        <f t="shared" si="246"/>
        <v>-3.4824752289461113E-3</v>
      </c>
      <c r="X927" s="22">
        <f t="shared" si="247"/>
        <v>-2.7255603391183052E-3</v>
      </c>
    </row>
    <row r="928" spans="1:24" x14ac:dyDescent="0.35">
      <c r="A928" s="3">
        <v>11.97</v>
      </c>
      <c r="B928" s="3">
        <v>69.95</v>
      </c>
      <c r="C928" s="3">
        <v>138.08000000000001</v>
      </c>
      <c r="D928" s="3">
        <v>16.579999999999998</v>
      </c>
      <c r="E928" s="3">
        <v>55.78</v>
      </c>
      <c r="F928" s="3">
        <v>97.980641000000006</v>
      </c>
      <c r="G928" s="3">
        <v>93.083143000000007</v>
      </c>
      <c r="H928" s="3">
        <v>89.995074000000002</v>
      </c>
      <c r="I928" s="17">
        <f t="shared" si="232"/>
        <v>0</v>
      </c>
      <c r="J928" s="17">
        <f t="shared" si="233"/>
        <v>-7.3790265361146027E-3</v>
      </c>
      <c r="K928" s="17">
        <f t="shared" si="234"/>
        <v>1.3728801115923974E-2</v>
      </c>
      <c r="L928" s="17">
        <f t="shared" si="235"/>
        <v>1.71779141104293E-2</v>
      </c>
      <c r="M928" s="17">
        <f t="shared" si="236"/>
        <v>3.468744203301808E-2</v>
      </c>
      <c r="N928" s="17">
        <f t="shared" si="237"/>
        <v>2.5202301488173188E-3</v>
      </c>
      <c r="O928" s="17">
        <f t="shared" si="238"/>
        <v>4.27043273919832E-3</v>
      </c>
      <c r="P928" s="17">
        <f t="shared" si="239"/>
        <v>4.9027309782298072E-3</v>
      </c>
      <c r="Q928" s="22">
        <f t="shared" si="240"/>
        <v>-3.9447387038473331E-4</v>
      </c>
      <c r="R928" s="22">
        <f t="shared" si="241"/>
        <v>-7.8097512501917659E-3</v>
      </c>
      <c r="S928" s="22">
        <f t="shared" si="242"/>
        <v>1.3316841729086527E-2</v>
      </c>
      <c r="T928" s="22">
        <f t="shared" si="243"/>
        <v>1.7046462601196383E-2</v>
      </c>
      <c r="U928" s="22">
        <f t="shared" si="244"/>
        <v>3.3994214086064317E-2</v>
      </c>
      <c r="V928" s="22">
        <f t="shared" si="245"/>
        <v>2.7548339583204988E-3</v>
      </c>
      <c r="W928" s="22">
        <f t="shared" si="246"/>
        <v>4.5246812932890233E-3</v>
      </c>
      <c r="X928" s="22">
        <f t="shared" si="247"/>
        <v>5.2186753628361456E-3</v>
      </c>
    </row>
    <row r="929" spans="1:24" x14ac:dyDescent="0.35">
      <c r="A929" s="3">
        <v>11.84</v>
      </c>
      <c r="B929" s="3">
        <v>68.86</v>
      </c>
      <c r="C929" s="3">
        <v>138.22</v>
      </c>
      <c r="D929" s="3">
        <v>16.09</v>
      </c>
      <c r="E929" s="3">
        <v>54.48</v>
      </c>
      <c r="F929" s="3">
        <v>98.006131999999994</v>
      </c>
      <c r="G929" s="3">
        <v>93.107236999999998</v>
      </c>
      <c r="H929" s="3">
        <v>90.018488000000005</v>
      </c>
      <c r="I929" s="17">
        <f t="shared" si="232"/>
        <v>-1.0860484544695136E-2</v>
      </c>
      <c r="J929" s="17">
        <f t="shared" si="233"/>
        <v>-1.55825589706934E-2</v>
      </c>
      <c r="K929" s="17">
        <f t="shared" si="234"/>
        <v>1.0139049826186728E-3</v>
      </c>
      <c r="L929" s="17">
        <f t="shared" si="235"/>
        <v>-2.9553679131483625E-2</v>
      </c>
      <c r="M929" s="17">
        <f t="shared" si="236"/>
        <v>-2.3305844388669849E-2</v>
      </c>
      <c r="N929" s="17">
        <f t="shared" si="237"/>
        <v>2.6016363783523482E-4</v>
      </c>
      <c r="O929" s="17">
        <f t="shared" si="238"/>
        <v>2.5884385962333646E-4</v>
      </c>
      <c r="P929" s="17">
        <f t="shared" si="239"/>
        <v>2.601697955157244E-4</v>
      </c>
      <c r="Q929" s="22">
        <f t="shared" si="240"/>
        <v>-1.125495841507987E-2</v>
      </c>
      <c r="R929" s="22">
        <f t="shared" si="241"/>
        <v>-1.6013283684770563E-2</v>
      </c>
      <c r="S929" s="22">
        <f t="shared" si="242"/>
        <v>6.0194559578122578E-4</v>
      </c>
      <c r="T929" s="22">
        <f t="shared" si="243"/>
        <v>-2.9685130640716543E-2</v>
      </c>
      <c r="U929" s="22">
        <f t="shared" si="244"/>
        <v>-2.3999072335623612E-2</v>
      </c>
      <c r="V929" s="22">
        <f t="shared" si="245"/>
        <v>4.9476744733841513E-4</v>
      </c>
      <c r="W929" s="22">
        <f t="shared" si="246"/>
        <v>5.1309241371403952E-4</v>
      </c>
      <c r="X929" s="22">
        <f t="shared" si="247"/>
        <v>5.7611418012206317E-4</v>
      </c>
    </row>
    <row r="930" spans="1:24" x14ac:dyDescent="0.35">
      <c r="A930" s="3">
        <v>11.54</v>
      </c>
      <c r="B930" s="3">
        <v>70.88</v>
      </c>
      <c r="C930" s="3">
        <v>139.57</v>
      </c>
      <c r="D930" s="3">
        <v>16.09</v>
      </c>
      <c r="E930" s="3">
        <v>53.72</v>
      </c>
      <c r="F930" s="3">
        <v>98.031630000000007</v>
      </c>
      <c r="G930" s="3">
        <v>93.131337000000002</v>
      </c>
      <c r="H930" s="3">
        <v>90.041908000000006</v>
      </c>
      <c r="I930" s="17">
        <f t="shared" si="232"/>
        <v>-2.5337837837837898E-2</v>
      </c>
      <c r="J930" s="17">
        <f t="shared" si="233"/>
        <v>2.9334882370026082E-2</v>
      </c>
      <c r="K930" s="17">
        <f t="shared" si="234"/>
        <v>9.767038055274159E-3</v>
      </c>
      <c r="L930" s="17">
        <f t="shared" si="235"/>
        <v>0</v>
      </c>
      <c r="M930" s="17">
        <f t="shared" si="236"/>
        <v>-1.3950073421439025E-2</v>
      </c>
      <c r="N930" s="17">
        <f t="shared" si="237"/>
        <v>2.6016739442398485E-4</v>
      </c>
      <c r="O930" s="17">
        <f t="shared" si="238"/>
        <v>2.5884131863997026E-4</v>
      </c>
      <c r="P930" s="17">
        <f t="shared" si="239"/>
        <v>2.6016877777375634E-4</v>
      </c>
      <c r="Q930" s="22">
        <f t="shared" si="240"/>
        <v>-2.5732311708222631E-2</v>
      </c>
      <c r="R930" s="22">
        <f t="shared" si="241"/>
        <v>2.890415765594892E-2</v>
      </c>
      <c r="S930" s="22">
        <f t="shared" si="242"/>
        <v>9.3550786684367115E-3</v>
      </c>
      <c r="T930" s="22">
        <f t="shared" si="243"/>
        <v>-1.3145150923291827E-4</v>
      </c>
      <c r="U930" s="22">
        <f t="shared" si="244"/>
        <v>-1.4643301368392788E-2</v>
      </c>
      <c r="V930" s="22">
        <f t="shared" si="245"/>
        <v>4.9477120392716516E-4</v>
      </c>
      <c r="W930" s="22">
        <f t="shared" si="246"/>
        <v>5.1308987273067331E-4</v>
      </c>
      <c r="X930" s="22">
        <f t="shared" si="247"/>
        <v>5.7611316238009511E-4</v>
      </c>
    </row>
    <row r="931" spans="1:24" x14ac:dyDescent="0.35">
      <c r="A931" s="3">
        <v>11.64</v>
      </c>
      <c r="B931" s="3">
        <v>70.02</v>
      </c>
      <c r="C931" s="3">
        <v>139.05000000000001</v>
      </c>
      <c r="D931" s="3">
        <v>16.309999999999999</v>
      </c>
      <c r="E931" s="3">
        <v>52.99</v>
      </c>
      <c r="F931" s="3">
        <v>98.108164000000002</v>
      </c>
      <c r="G931" s="3">
        <v>93.203674000000007</v>
      </c>
      <c r="H931" s="3">
        <v>90.112204000000006</v>
      </c>
      <c r="I931" s="17">
        <f t="shared" si="232"/>
        <v>8.6655112651647694E-3</v>
      </c>
      <c r="J931" s="17">
        <f t="shared" si="233"/>
        <v>-1.2133182844243785E-2</v>
      </c>
      <c r="K931" s="17">
        <f t="shared" si="234"/>
        <v>-3.7257290248619464E-3</v>
      </c>
      <c r="L931" s="17">
        <f t="shared" si="235"/>
        <v>1.3673088875077618E-2</v>
      </c>
      <c r="M931" s="17">
        <f t="shared" si="236"/>
        <v>-1.3588979895755712E-2</v>
      </c>
      <c r="N931" s="17">
        <f t="shared" si="237"/>
        <v>7.8070720643934224E-4</v>
      </c>
      <c r="O931" s="17">
        <f t="shared" si="238"/>
        <v>7.7672029984928207E-4</v>
      </c>
      <c r="P931" s="17">
        <f t="shared" si="239"/>
        <v>7.8070313658834306E-4</v>
      </c>
      <c r="Q931" s="22">
        <f t="shared" si="240"/>
        <v>8.2710373947800352E-3</v>
      </c>
      <c r="R931" s="22">
        <f t="shared" si="241"/>
        <v>-1.2563907558320949E-2</v>
      </c>
      <c r="S931" s="22">
        <f t="shared" si="242"/>
        <v>-4.1376884116993929E-3</v>
      </c>
      <c r="T931" s="22">
        <f t="shared" si="243"/>
        <v>1.35416373658447E-2</v>
      </c>
      <c r="U931" s="22">
        <f t="shared" si="244"/>
        <v>-1.4282207842709475E-2</v>
      </c>
      <c r="V931" s="22">
        <f t="shared" si="245"/>
        <v>1.0153110159425226E-3</v>
      </c>
      <c r="W931" s="22">
        <f t="shared" si="246"/>
        <v>1.0309688539399851E-3</v>
      </c>
      <c r="X931" s="22">
        <f t="shared" si="247"/>
        <v>1.0966475211946819E-3</v>
      </c>
    </row>
    <row r="932" spans="1:24" x14ac:dyDescent="0.35">
      <c r="A932" s="3">
        <v>11.36</v>
      </c>
      <c r="B932" s="3">
        <v>69.239999999999995</v>
      </c>
      <c r="C932" s="3">
        <v>136.69</v>
      </c>
      <c r="D932" s="3">
        <v>16.18</v>
      </c>
      <c r="E932" s="3">
        <v>52.04</v>
      </c>
      <c r="F932" s="3">
        <v>98.133688000000006</v>
      </c>
      <c r="G932" s="3">
        <v>93.227799000000005</v>
      </c>
      <c r="H932" s="3">
        <v>90.135648000000003</v>
      </c>
      <c r="I932" s="17">
        <f t="shared" si="232"/>
        <v>-2.4054982817869511E-2</v>
      </c>
      <c r="J932" s="17">
        <f t="shared" si="233"/>
        <v>-1.1139674378748946E-2</v>
      </c>
      <c r="K932" s="17">
        <f t="shared" si="234"/>
        <v>-1.6972312117943283E-2</v>
      </c>
      <c r="L932" s="17">
        <f t="shared" si="235"/>
        <v>-7.9705702023297985E-3</v>
      </c>
      <c r="M932" s="17">
        <f t="shared" si="236"/>
        <v>-1.7927910926589977E-2</v>
      </c>
      <c r="N932" s="17">
        <f t="shared" si="237"/>
        <v>2.6016183525770926E-4</v>
      </c>
      <c r="O932" s="17">
        <f t="shared" si="238"/>
        <v>2.588417276340196E-4</v>
      </c>
      <c r="P932" s="17">
        <f t="shared" si="239"/>
        <v>2.6016453886754115E-4</v>
      </c>
      <c r="Q932" s="22">
        <f t="shared" si="240"/>
        <v>-2.4449456688254243E-2</v>
      </c>
      <c r="R932" s="22">
        <f t="shared" si="241"/>
        <v>-1.157039909282611E-2</v>
      </c>
      <c r="S932" s="22">
        <f t="shared" si="242"/>
        <v>-1.7384271504780731E-2</v>
      </c>
      <c r="T932" s="22">
        <f t="shared" si="243"/>
        <v>-8.1020217115627159E-3</v>
      </c>
      <c r="U932" s="22">
        <f t="shared" si="244"/>
        <v>-1.862113887354374E-2</v>
      </c>
      <c r="V932" s="22">
        <f t="shared" si="245"/>
        <v>4.9476564476088952E-4</v>
      </c>
      <c r="W932" s="22">
        <f t="shared" si="246"/>
        <v>5.1309028172472266E-4</v>
      </c>
      <c r="X932" s="22">
        <f t="shared" si="247"/>
        <v>5.7610892347387992E-4</v>
      </c>
    </row>
    <row r="933" spans="1:24" x14ac:dyDescent="0.35">
      <c r="A933" s="3">
        <v>11.29</v>
      </c>
      <c r="B933" s="3">
        <v>69.08</v>
      </c>
      <c r="C933" s="3">
        <v>135.02000000000001</v>
      </c>
      <c r="D933" s="3">
        <v>16.23</v>
      </c>
      <c r="E933" s="3">
        <v>53.17</v>
      </c>
      <c r="F933" s="3">
        <v>98.971418</v>
      </c>
      <c r="G933" s="3">
        <v>94.093474999999998</v>
      </c>
      <c r="H933" s="3">
        <v>91.178358000000003</v>
      </c>
      <c r="I933" s="17">
        <f t="shared" si="232"/>
        <v>-6.1619718309859411E-3</v>
      </c>
      <c r="J933" s="17">
        <f t="shared" si="233"/>
        <v>-2.3108030040438561E-3</v>
      </c>
      <c r="K933" s="17">
        <f t="shared" si="234"/>
        <v>-1.2217426293071824E-2</v>
      </c>
      <c r="L933" s="17">
        <f t="shared" si="235"/>
        <v>3.0902348578492407E-3</v>
      </c>
      <c r="M933" s="17">
        <f t="shared" si="236"/>
        <v>2.1714066102997743E-2</v>
      </c>
      <c r="N933" s="17">
        <f t="shared" si="237"/>
        <v>8.5366199627593068E-3</v>
      </c>
      <c r="O933" s="17">
        <f t="shared" si="238"/>
        <v>9.2855994594487137E-3</v>
      </c>
      <c r="P933" s="17">
        <f t="shared" si="239"/>
        <v>1.1568231028859963E-2</v>
      </c>
      <c r="Q933" s="22">
        <f t="shared" si="240"/>
        <v>-6.5564457013706744E-3</v>
      </c>
      <c r="R933" s="22">
        <f t="shared" si="241"/>
        <v>-2.7415277181210198E-3</v>
      </c>
      <c r="S933" s="22">
        <f t="shared" si="242"/>
        <v>-1.2629385679909271E-2</v>
      </c>
      <c r="T933" s="22">
        <f t="shared" si="243"/>
        <v>2.9587833486163224E-3</v>
      </c>
      <c r="U933" s="22">
        <f t="shared" si="244"/>
        <v>2.102083815604398E-2</v>
      </c>
      <c r="V933" s="22">
        <f t="shared" si="245"/>
        <v>8.7712237722624865E-3</v>
      </c>
      <c r="W933" s="22">
        <f t="shared" si="246"/>
        <v>9.5398480135394162E-3</v>
      </c>
      <c r="X933" s="22">
        <f t="shared" si="247"/>
        <v>1.1884175413466301E-2</v>
      </c>
    </row>
    <row r="934" spans="1:24" x14ac:dyDescent="0.35">
      <c r="A934" s="3">
        <v>11.28</v>
      </c>
      <c r="B934" s="3">
        <v>68.41</v>
      </c>
      <c r="C934" s="3">
        <v>134.08000000000001</v>
      </c>
      <c r="D934" s="3">
        <v>15.73</v>
      </c>
      <c r="E934" s="3">
        <v>51.38</v>
      </c>
      <c r="F934" s="3">
        <v>99.145106999999996</v>
      </c>
      <c r="G934" s="3">
        <v>94.352804000000006</v>
      </c>
      <c r="H934" s="3">
        <v>91.565088000000003</v>
      </c>
      <c r="I934" s="17">
        <f t="shared" si="232"/>
        <v>-8.8573959255976858E-4</v>
      </c>
      <c r="J934" s="17">
        <f t="shared" si="233"/>
        <v>-9.6988998262883871E-3</v>
      </c>
      <c r="K934" s="17">
        <f t="shared" si="234"/>
        <v>-6.9619315656939537E-3</v>
      </c>
      <c r="L934" s="17">
        <f t="shared" si="235"/>
        <v>-3.0807147258163893E-2</v>
      </c>
      <c r="M934" s="17">
        <f t="shared" si="236"/>
        <v>-3.36656009027647E-2</v>
      </c>
      <c r="N934" s="17">
        <f t="shared" si="237"/>
        <v>1.7549410073117876E-3</v>
      </c>
      <c r="O934" s="17">
        <f t="shared" si="238"/>
        <v>2.7560784634642109E-3</v>
      </c>
      <c r="P934" s="17">
        <f t="shared" si="239"/>
        <v>4.2414670376055685E-3</v>
      </c>
      <c r="Q934" s="22">
        <f t="shared" si="240"/>
        <v>-1.2802134629445018E-3</v>
      </c>
      <c r="R934" s="22">
        <f t="shared" si="241"/>
        <v>-1.0129624540365551E-2</v>
      </c>
      <c r="S934" s="22">
        <f t="shared" si="242"/>
        <v>-7.3738909525314002E-3</v>
      </c>
      <c r="T934" s="22">
        <f t="shared" si="243"/>
        <v>-3.093859876739681E-2</v>
      </c>
      <c r="U934" s="22">
        <f t="shared" si="244"/>
        <v>-3.4358828849718463E-2</v>
      </c>
      <c r="V934" s="22">
        <f t="shared" si="245"/>
        <v>1.9895448168149679E-3</v>
      </c>
      <c r="W934" s="22">
        <f t="shared" si="246"/>
        <v>3.0103270175549138E-3</v>
      </c>
      <c r="X934" s="22">
        <f t="shared" si="247"/>
        <v>4.5574114222119069E-3</v>
      </c>
    </row>
    <row r="935" spans="1:24" x14ac:dyDescent="0.35">
      <c r="A935" s="3">
        <v>11.32</v>
      </c>
      <c r="B935" s="3">
        <v>67.83</v>
      </c>
      <c r="C935" s="3">
        <v>134.08000000000001</v>
      </c>
      <c r="D935" s="3">
        <v>15.96</v>
      </c>
      <c r="E935" s="3">
        <v>51.59</v>
      </c>
      <c r="F935" s="3">
        <v>98.910613999999995</v>
      </c>
      <c r="G935" s="3">
        <v>94.000440999999995</v>
      </c>
      <c r="H935" s="3">
        <v>91.104298</v>
      </c>
      <c r="I935" s="17">
        <f t="shared" si="232"/>
        <v>3.5460992907802237E-3</v>
      </c>
      <c r="J935" s="17">
        <f t="shared" si="233"/>
        <v>-8.478292647273766E-3</v>
      </c>
      <c r="K935" s="17">
        <f t="shared" si="234"/>
        <v>0</v>
      </c>
      <c r="L935" s="17">
        <f t="shared" si="235"/>
        <v>1.4621741894469194E-2</v>
      </c>
      <c r="M935" s="17">
        <f t="shared" si="236"/>
        <v>4.0871934604904793E-3</v>
      </c>
      <c r="N935" s="17">
        <f t="shared" si="237"/>
        <v>-2.3651494974936131E-3</v>
      </c>
      <c r="O935" s="17">
        <f t="shared" si="238"/>
        <v>-3.7345260030641069E-3</v>
      </c>
      <c r="P935" s="17">
        <f t="shared" si="239"/>
        <v>-5.0323765319813035E-3</v>
      </c>
      <c r="Q935" s="22">
        <f t="shared" si="240"/>
        <v>3.1516254203954905E-3</v>
      </c>
      <c r="R935" s="22">
        <f t="shared" si="241"/>
        <v>-8.9090173613509301E-3</v>
      </c>
      <c r="S935" s="22">
        <f t="shared" si="242"/>
        <v>-4.1195938683744694E-4</v>
      </c>
      <c r="T935" s="22">
        <f t="shared" si="243"/>
        <v>1.4490290385236276E-2</v>
      </c>
      <c r="U935" s="22">
        <f t="shared" si="244"/>
        <v>3.3939655135367167E-3</v>
      </c>
      <c r="V935" s="22">
        <f t="shared" si="245"/>
        <v>-2.130545687990433E-3</v>
      </c>
      <c r="W935" s="22">
        <f t="shared" si="246"/>
        <v>-3.480277448973404E-3</v>
      </c>
      <c r="X935" s="22">
        <f t="shared" si="247"/>
        <v>-4.7164321473749651E-3</v>
      </c>
    </row>
    <row r="936" spans="1:24" x14ac:dyDescent="0.35">
      <c r="A936" s="3">
        <v>11.65</v>
      </c>
      <c r="B936" s="3">
        <v>69.459999999999994</v>
      </c>
      <c r="C936" s="3">
        <v>138.93</v>
      </c>
      <c r="D936" s="3">
        <v>16.2</v>
      </c>
      <c r="E936" s="3">
        <v>52.7</v>
      </c>
      <c r="F936" s="3">
        <v>99.344919000000004</v>
      </c>
      <c r="G936" s="3">
        <v>94.519206999999994</v>
      </c>
      <c r="H936" s="3">
        <v>91.742182</v>
      </c>
      <c r="I936" s="17">
        <f t="shared" si="232"/>
        <v>2.9151943462897532E-2</v>
      </c>
      <c r="J936" s="17">
        <f t="shared" si="233"/>
        <v>2.4030664897537895E-2</v>
      </c>
      <c r="K936" s="17">
        <f t="shared" si="234"/>
        <v>3.6172434367541723E-2</v>
      </c>
      <c r="L936" s="17">
        <f t="shared" si="235"/>
        <v>1.5037593984962308E-2</v>
      </c>
      <c r="M936" s="17">
        <f t="shared" si="236"/>
        <v>2.1515797635200607E-2</v>
      </c>
      <c r="N936" s="17">
        <f t="shared" si="237"/>
        <v>4.3908836719991351E-3</v>
      </c>
      <c r="O936" s="17">
        <f t="shared" si="238"/>
        <v>5.5187613428324175E-3</v>
      </c>
      <c r="P936" s="17">
        <f t="shared" si="239"/>
        <v>7.0016894263320011E-3</v>
      </c>
      <c r="Q936" s="22">
        <f t="shared" si="240"/>
        <v>2.87574695925128E-2</v>
      </c>
      <c r="R936" s="22">
        <f t="shared" si="241"/>
        <v>2.3599940183460733E-2</v>
      </c>
      <c r="S936" s="22">
        <f t="shared" si="242"/>
        <v>3.5760474980704275E-2</v>
      </c>
      <c r="T936" s="22">
        <f t="shared" si="243"/>
        <v>1.4906142475729391E-2</v>
      </c>
      <c r="U936" s="22">
        <f t="shared" si="244"/>
        <v>2.0822569688246844E-2</v>
      </c>
      <c r="V936" s="22">
        <f t="shared" si="245"/>
        <v>4.6254874815023156E-3</v>
      </c>
      <c r="W936" s="22">
        <f t="shared" si="246"/>
        <v>5.7730098969231208E-3</v>
      </c>
      <c r="X936" s="22">
        <f t="shared" si="247"/>
        <v>7.3176338109383395E-3</v>
      </c>
    </row>
    <row r="937" spans="1:24" x14ac:dyDescent="0.35">
      <c r="A937" s="3">
        <v>11.59</v>
      </c>
      <c r="B937" s="3">
        <v>68.94</v>
      </c>
      <c r="C937" s="3">
        <v>142.08000000000001</v>
      </c>
      <c r="D937" s="3">
        <v>16.25</v>
      </c>
      <c r="E937" s="3">
        <v>53.06</v>
      </c>
      <c r="F937" s="3">
        <v>99.407134999999997</v>
      </c>
      <c r="G937" s="3">
        <v>94.684539999999998</v>
      </c>
      <c r="H937" s="3">
        <v>91.947916000000006</v>
      </c>
      <c r="I937" s="17">
        <f t="shared" si="232"/>
        <v>-5.1502145922747208E-3</v>
      </c>
      <c r="J937" s="17">
        <f t="shared" si="233"/>
        <v>-7.4863230636336891E-3</v>
      </c>
      <c r="K937" s="17">
        <f t="shared" si="234"/>
        <v>2.2673288706542904E-2</v>
      </c>
      <c r="L937" s="17">
        <f t="shared" si="235"/>
        <v>3.0864197530864638E-3</v>
      </c>
      <c r="M937" s="17">
        <f t="shared" si="236"/>
        <v>6.8311195445920191E-3</v>
      </c>
      <c r="N937" s="17">
        <f t="shared" si="237"/>
        <v>6.2626252682326182E-4</v>
      </c>
      <c r="O937" s="17">
        <f t="shared" si="238"/>
        <v>1.7492000329626545E-3</v>
      </c>
      <c r="P937" s="17">
        <f t="shared" si="239"/>
        <v>2.2425235100687569E-3</v>
      </c>
      <c r="Q937" s="22">
        <f t="shared" si="240"/>
        <v>-5.544688462659454E-3</v>
      </c>
      <c r="R937" s="22">
        <f t="shared" si="241"/>
        <v>-7.9170477777108523E-3</v>
      </c>
      <c r="S937" s="22">
        <f t="shared" si="242"/>
        <v>2.2261329319705456E-2</v>
      </c>
      <c r="T937" s="22">
        <f t="shared" si="243"/>
        <v>2.9549682438535455E-3</v>
      </c>
      <c r="U937" s="22">
        <f t="shared" si="244"/>
        <v>6.1378915976382569E-3</v>
      </c>
      <c r="V937" s="22">
        <f t="shared" si="245"/>
        <v>8.6086633632644213E-4</v>
      </c>
      <c r="W937" s="22">
        <f t="shared" si="246"/>
        <v>2.0034485870533574E-3</v>
      </c>
      <c r="X937" s="22">
        <f t="shared" si="247"/>
        <v>2.5584678946750958E-3</v>
      </c>
    </row>
    <row r="938" spans="1:24" x14ac:dyDescent="0.35">
      <c r="A938" s="3">
        <v>11.74</v>
      </c>
      <c r="B938" s="3">
        <v>68.05</v>
      </c>
      <c r="C938" s="3">
        <v>140.74</v>
      </c>
      <c r="D938" s="3">
        <v>16</v>
      </c>
      <c r="E938" s="3">
        <v>52.57</v>
      </c>
      <c r="F938" s="3">
        <v>99.990692999999993</v>
      </c>
      <c r="G938" s="3">
        <v>95.276803000000001</v>
      </c>
      <c r="H938" s="3">
        <v>92.767384000000007</v>
      </c>
      <c r="I938" s="17">
        <f t="shared" si="232"/>
        <v>1.2942191544434888E-2</v>
      </c>
      <c r="J938" s="17">
        <f t="shared" si="233"/>
        <v>-1.2909776617348427E-2</v>
      </c>
      <c r="K938" s="17">
        <f t="shared" si="234"/>
        <v>-9.4313063063063297E-3</v>
      </c>
      <c r="L938" s="17">
        <f t="shared" si="235"/>
        <v>-1.5384615384615385E-2</v>
      </c>
      <c r="M938" s="17">
        <f t="shared" si="236"/>
        <v>-9.2348284960422529E-3</v>
      </c>
      <c r="N938" s="17">
        <f t="shared" si="237"/>
        <v>5.8703834488338935E-3</v>
      </c>
      <c r="O938" s="17">
        <f t="shared" si="238"/>
        <v>6.2551183118173537E-3</v>
      </c>
      <c r="P938" s="17">
        <f t="shared" si="239"/>
        <v>8.9123063974609323E-3</v>
      </c>
      <c r="Q938" s="22">
        <f t="shared" si="240"/>
        <v>1.2547717674050154E-2</v>
      </c>
      <c r="R938" s="22">
        <f t="shared" si="241"/>
        <v>-1.3340501331425591E-2</v>
      </c>
      <c r="S938" s="22">
        <f t="shared" si="242"/>
        <v>-9.8432656931437771E-3</v>
      </c>
      <c r="T938" s="22">
        <f t="shared" si="243"/>
        <v>-1.5516066893848303E-2</v>
      </c>
      <c r="U938" s="22">
        <f t="shared" si="244"/>
        <v>-9.9280564429960159E-3</v>
      </c>
      <c r="V938" s="22">
        <f t="shared" si="245"/>
        <v>6.104987258337074E-3</v>
      </c>
      <c r="W938" s="22">
        <f t="shared" si="246"/>
        <v>6.509366865908057E-3</v>
      </c>
      <c r="X938" s="22">
        <f t="shared" si="247"/>
        <v>9.2282507820672707E-3</v>
      </c>
    </row>
    <row r="939" spans="1:24" x14ac:dyDescent="0.35">
      <c r="A939" s="3">
        <v>11.94</v>
      </c>
      <c r="B939" s="3">
        <v>68.45</v>
      </c>
      <c r="C939" s="3">
        <v>140.81</v>
      </c>
      <c r="D939" s="3">
        <v>16.28</v>
      </c>
      <c r="E939" s="3">
        <v>52.77</v>
      </c>
      <c r="F939" s="3">
        <v>100.277393</v>
      </c>
      <c r="G939" s="3">
        <v>95.729551000000001</v>
      </c>
      <c r="H939" s="3">
        <v>93.285078999999996</v>
      </c>
      <c r="I939" s="17">
        <f t="shared" si="232"/>
        <v>1.7035775127768254E-2</v>
      </c>
      <c r="J939" s="17">
        <f t="shared" si="233"/>
        <v>5.878030859662097E-3</v>
      </c>
      <c r="K939" s="17">
        <f t="shared" si="234"/>
        <v>4.9737103879489257E-4</v>
      </c>
      <c r="L939" s="17">
        <f t="shared" si="235"/>
        <v>1.7500000000000071E-2</v>
      </c>
      <c r="M939" s="17">
        <f t="shared" si="236"/>
        <v>3.8044512079133124E-3</v>
      </c>
      <c r="N939" s="17">
        <f t="shared" si="237"/>
        <v>2.8672668565264412E-3</v>
      </c>
      <c r="O939" s="17">
        <f t="shared" si="238"/>
        <v>4.7519226689417748E-3</v>
      </c>
      <c r="P939" s="17">
        <f t="shared" si="239"/>
        <v>5.5805712921686906E-3</v>
      </c>
      <c r="Q939" s="22">
        <f t="shared" si="240"/>
        <v>1.6641301257383521E-2</v>
      </c>
      <c r="R939" s="22">
        <f t="shared" si="241"/>
        <v>5.4473061455849337E-3</v>
      </c>
      <c r="S939" s="22">
        <f t="shared" si="242"/>
        <v>8.541165195744563E-5</v>
      </c>
      <c r="T939" s="22">
        <f t="shared" si="243"/>
        <v>1.7368548490767154E-2</v>
      </c>
      <c r="U939" s="22">
        <f t="shared" si="244"/>
        <v>3.1112232609595497E-3</v>
      </c>
      <c r="V939" s="22">
        <f t="shared" si="245"/>
        <v>3.1018706660296213E-3</v>
      </c>
      <c r="W939" s="22">
        <f t="shared" si="246"/>
        <v>5.0061712230324781E-3</v>
      </c>
      <c r="X939" s="22">
        <f t="shared" si="247"/>
        <v>5.896515676775029E-3</v>
      </c>
    </row>
    <row r="940" spans="1:24" x14ac:dyDescent="0.35">
      <c r="A940" s="3">
        <v>12.33</v>
      </c>
      <c r="B940" s="3">
        <v>70.11</v>
      </c>
      <c r="C940" s="3">
        <v>139.56</v>
      </c>
      <c r="D940" s="3">
        <v>16.16</v>
      </c>
      <c r="E940" s="3">
        <v>53.2</v>
      </c>
      <c r="F940" s="3">
        <v>100.501418</v>
      </c>
      <c r="G940" s="3">
        <v>95.991574999999997</v>
      </c>
      <c r="H940" s="3">
        <v>93.478477999999996</v>
      </c>
      <c r="I940" s="17">
        <f t="shared" si="232"/>
        <v>3.2663316582914624E-2</v>
      </c>
      <c r="J940" s="17">
        <f t="shared" si="233"/>
        <v>2.4251278305332309E-2</v>
      </c>
      <c r="K940" s="17">
        <f t="shared" si="234"/>
        <v>-8.8772104253959233E-3</v>
      </c>
      <c r="L940" s="17">
        <f t="shared" si="235"/>
        <v>-7.371007371007432E-3</v>
      </c>
      <c r="M940" s="17">
        <f t="shared" si="236"/>
        <v>8.1485692628387278E-3</v>
      </c>
      <c r="N940" s="17">
        <f t="shared" si="237"/>
        <v>2.2340528936566737E-3</v>
      </c>
      <c r="O940" s="17">
        <f t="shared" si="238"/>
        <v>2.7371276399279958E-3</v>
      </c>
      <c r="P940" s="17">
        <f t="shared" si="239"/>
        <v>2.0732040115440053E-3</v>
      </c>
      <c r="Q940" s="22">
        <f t="shared" si="240"/>
        <v>3.2268842712529888E-2</v>
      </c>
      <c r="R940" s="22">
        <f t="shared" si="241"/>
        <v>2.3820553591255147E-2</v>
      </c>
      <c r="S940" s="22">
        <f t="shared" si="242"/>
        <v>-9.2891698122333707E-3</v>
      </c>
      <c r="T940" s="22">
        <f t="shared" si="243"/>
        <v>-7.5024588802403503E-3</v>
      </c>
      <c r="U940" s="22">
        <f t="shared" si="244"/>
        <v>7.4553413158849656E-3</v>
      </c>
      <c r="V940" s="22">
        <f t="shared" si="245"/>
        <v>2.4686567031598538E-3</v>
      </c>
      <c r="W940" s="22">
        <f t="shared" si="246"/>
        <v>2.9913761940186987E-3</v>
      </c>
      <c r="X940" s="22">
        <f t="shared" si="247"/>
        <v>2.3891483961503441E-3</v>
      </c>
    </row>
    <row r="941" spans="1:24" x14ac:dyDescent="0.35">
      <c r="A941" s="3">
        <v>12.48</v>
      </c>
      <c r="B941" s="3">
        <v>67.040000000000006</v>
      </c>
      <c r="C941" s="3">
        <v>136.6</v>
      </c>
      <c r="D941" s="3">
        <v>15.54</v>
      </c>
      <c r="E941" s="3">
        <v>52.52</v>
      </c>
      <c r="F941" s="3">
        <v>100.788828</v>
      </c>
      <c r="G941" s="3">
        <v>96.254876999999993</v>
      </c>
      <c r="H941" s="3">
        <v>93.750465000000005</v>
      </c>
      <c r="I941" s="17">
        <f t="shared" si="232"/>
        <v>1.216545012165453E-2</v>
      </c>
      <c r="J941" s="17">
        <f t="shared" si="233"/>
        <v>-4.3788332620168208E-2</v>
      </c>
      <c r="K941" s="17">
        <f t="shared" si="234"/>
        <v>-2.1209515620521695E-2</v>
      </c>
      <c r="L941" s="17">
        <f t="shared" si="235"/>
        <v>-3.8366336633663428E-2</v>
      </c>
      <c r="M941" s="17">
        <f t="shared" si="236"/>
        <v>-1.2781954887218039E-2</v>
      </c>
      <c r="N941" s="17">
        <f t="shared" si="237"/>
        <v>2.8597606453671545E-3</v>
      </c>
      <c r="O941" s="17">
        <f t="shared" si="238"/>
        <v>2.7429698908471491E-3</v>
      </c>
      <c r="P941" s="17">
        <f t="shared" si="239"/>
        <v>2.909621613651112E-3</v>
      </c>
      <c r="Q941" s="22">
        <f t="shared" si="240"/>
        <v>1.1770976251269796E-2</v>
      </c>
      <c r="R941" s="22">
        <f t="shared" si="241"/>
        <v>-4.4219057334245374E-2</v>
      </c>
      <c r="S941" s="22">
        <f t="shared" si="242"/>
        <v>-2.1621475007359142E-2</v>
      </c>
      <c r="T941" s="22">
        <f t="shared" si="243"/>
        <v>-3.8497788142896346E-2</v>
      </c>
      <c r="U941" s="22">
        <f t="shared" si="244"/>
        <v>-1.3475182834171802E-2</v>
      </c>
      <c r="V941" s="22">
        <f t="shared" si="245"/>
        <v>3.0943644548703346E-3</v>
      </c>
      <c r="W941" s="22">
        <f t="shared" si="246"/>
        <v>2.997218444937852E-3</v>
      </c>
      <c r="X941" s="22">
        <f t="shared" si="247"/>
        <v>3.2255659982574508E-3</v>
      </c>
    </row>
    <row r="942" spans="1:24" x14ac:dyDescent="0.35">
      <c r="A942" s="3">
        <v>12.49</v>
      </c>
      <c r="B942" s="3">
        <v>68.349999999999994</v>
      </c>
      <c r="C942" s="3">
        <v>137.76</v>
      </c>
      <c r="D942" s="3">
        <v>15.53</v>
      </c>
      <c r="E942" s="3">
        <v>52.03</v>
      </c>
      <c r="F942" s="3">
        <v>100.625727</v>
      </c>
      <c r="G942" s="3">
        <v>96.086505000000002</v>
      </c>
      <c r="H942" s="3">
        <v>93.214814000000004</v>
      </c>
      <c r="I942" s="17">
        <f t="shared" si="232"/>
        <v>8.0128205128203412E-4</v>
      </c>
      <c r="J942" s="17">
        <f t="shared" si="233"/>
        <v>1.9540572792362588E-2</v>
      </c>
      <c r="K942" s="17">
        <f t="shared" si="234"/>
        <v>8.4919472913616151E-3</v>
      </c>
      <c r="L942" s="17">
        <f t="shared" si="235"/>
        <v>-6.4350064350062982E-4</v>
      </c>
      <c r="M942" s="17">
        <f t="shared" si="236"/>
        <v>-9.3297791317593672E-3</v>
      </c>
      <c r="N942" s="17">
        <f t="shared" si="237"/>
        <v>-1.6182448316592938E-3</v>
      </c>
      <c r="O942" s="17">
        <f t="shared" si="238"/>
        <v>-1.7492308467652073E-3</v>
      </c>
      <c r="P942" s="17">
        <f t="shared" si="239"/>
        <v>-5.7135823272983378E-3</v>
      </c>
      <c r="Q942" s="22">
        <f t="shared" si="240"/>
        <v>4.0680818089730081E-4</v>
      </c>
      <c r="R942" s="22">
        <f t="shared" si="241"/>
        <v>1.9109848078285425E-2</v>
      </c>
      <c r="S942" s="22">
        <f t="shared" si="242"/>
        <v>8.0799879045241677E-3</v>
      </c>
      <c r="T942" s="22">
        <f t="shared" si="243"/>
        <v>-7.7495215273354812E-4</v>
      </c>
      <c r="U942" s="22">
        <f t="shared" si="244"/>
        <v>-1.002300707871313E-2</v>
      </c>
      <c r="V942" s="22">
        <f t="shared" si="245"/>
        <v>-1.3836410221561134E-3</v>
      </c>
      <c r="W942" s="22">
        <f t="shared" si="246"/>
        <v>-1.4949822926745042E-3</v>
      </c>
      <c r="X942" s="22">
        <f t="shared" si="247"/>
        <v>-5.3976379426919994E-3</v>
      </c>
    </row>
    <row r="943" spans="1:24" x14ac:dyDescent="0.35">
      <c r="A943" s="3">
        <v>12.62</v>
      </c>
      <c r="B943" s="3">
        <v>70.09</v>
      </c>
      <c r="C943" s="3">
        <v>144.22</v>
      </c>
      <c r="D943" s="3">
        <v>15.83</v>
      </c>
      <c r="E943" s="3">
        <v>52.94</v>
      </c>
      <c r="F943" s="3">
        <v>100.725362</v>
      </c>
      <c r="G943" s="3">
        <v>96.110024999999993</v>
      </c>
      <c r="H943" s="3">
        <v>93.176164</v>
      </c>
      <c r="I943" s="17">
        <f t="shared" si="232"/>
        <v>1.0408326661328984E-2</v>
      </c>
      <c r="J943" s="17">
        <f t="shared" si="233"/>
        <v>2.545720555961974E-2</v>
      </c>
      <c r="K943" s="17">
        <f t="shared" si="234"/>
        <v>4.6893147502903659E-2</v>
      </c>
      <c r="L943" s="17">
        <f t="shared" si="235"/>
        <v>1.9317450096587297E-2</v>
      </c>
      <c r="M943" s="17">
        <f t="shared" si="236"/>
        <v>1.7489909667499453E-2</v>
      </c>
      <c r="N943" s="17">
        <f t="shared" si="237"/>
        <v>9.9015433697195905E-4</v>
      </c>
      <c r="O943" s="17">
        <f t="shared" si="238"/>
        <v>2.4477943078469403E-4</v>
      </c>
      <c r="P943" s="17">
        <f t="shared" si="239"/>
        <v>-4.1463366541721653E-4</v>
      </c>
      <c r="Q943" s="22">
        <f t="shared" si="240"/>
        <v>1.001385279094425E-2</v>
      </c>
      <c r="R943" s="22">
        <f t="shared" si="241"/>
        <v>2.5026480845542577E-2</v>
      </c>
      <c r="S943" s="22">
        <f t="shared" si="242"/>
        <v>4.6481188116066212E-2</v>
      </c>
      <c r="T943" s="22">
        <f t="shared" si="243"/>
        <v>1.918599858735438E-2</v>
      </c>
      <c r="U943" s="22">
        <f t="shared" si="244"/>
        <v>1.679668172054569E-2</v>
      </c>
      <c r="V943" s="22">
        <f t="shared" si="245"/>
        <v>1.2247581464751394E-3</v>
      </c>
      <c r="W943" s="22">
        <f t="shared" si="246"/>
        <v>4.9902798487539703E-4</v>
      </c>
      <c r="X943" s="22">
        <f t="shared" si="247"/>
        <v>-9.8689280810877755E-5</v>
      </c>
    </row>
    <row r="944" spans="1:24" x14ac:dyDescent="0.35">
      <c r="A944" s="3">
        <v>12.54</v>
      </c>
      <c r="B944" s="3">
        <v>68.510000000000005</v>
      </c>
      <c r="C944" s="3">
        <v>143.51</v>
      </c>
      <c r="D944" s="3">
        <v>15.91</v>
      </c>
      <c r="E944" s="3">
        <v>53.67</v>
      </c>
      <c r="F944" s="3">
        <v>100.74999</v>
      </c>
      <c r="G944" s="3">
        <v>96.13355</v>
      </c>
      <c r="H944" s="3">
        <v>93.137592999999995</v>
      </c>
      <c r="I944" s="17">
        <f t="shared" si="232"/>
        <v>-6.3391442155309096E-3</v>
      </c>
      <c r="J944" s="17">
        <f t="shared" si="233"/>
        <v>-2.2542445427307722E-2</v>
      </c>
      <c r="K944" s="17">
        <f t="shared" si="234"/>
        <v>-4.9230342532242963E-3</v>
      </c>
      <c r="L944" s="17">
        <f t="shared" si="235"/>
        <v>5.0536955148452354E-3</v>
      </c>
      <c r="M944" s="17">
        <f t="shared" si="236"/>
        <v>1.378919531545153E-2</v>
      </c>
      <c r="N944" s="17">
        <f t="shared" si="237"/>
        <v>2.4450644317359479E-4</v>
      </c>
      <c r="O944" s="17">
        <f t="shared" si="238"/>
        <v>2.44771552187261E-4</v>
      </c>
      <c r="P944" s="17">
        <f t="shared" si="239"/>
        <v>-4.1395780148241105E-4</v>
      </c>
      <c r="Q944" s="22">
        <f t="shared" si="240"/>
        <v>-6.7336180859156429E-3</v>
      </c>
      <c r="R944" s="22">
        <f t="shared" si="241"/>
        <v>-2.2973170141384884E-2</v>
      </c>
      <c r="S944" s="22">
        <f t="shared" si="242"/>
        <v>-5.3349936400617429E-3</v>
      </c>
      <c r="T944" s="22">
        <f t="shared" si="243"/>
        <v>4.9222440056123171E-3</v>
      </c>
      <c r="U944" s="22">
        <f t="shared" si="244"/>
        <v>1.3095967368497767E-2</v>
      </c>
      <c r="V944" s="22">
        <f t="shared" si="245"/>
        <v>4.7911025267677505E-4</v>
      </c>
      <c r="W944" s="22">
        <f t="shared" si="246"/>
        <v>4.9902010627796405E-4</v>
      </c>
      <c r="X944" s="22">
        <f t="shared" si="247"/>
        <v>-9.8013416876072275E-5</v>
      </c>
    </row>
    <row r="945" spans="1:24" x14ac:dyDescent="0.35">
      <c r="A945" s="3">
        <v>12.6</v>
      </c>
      <c r="B945" s="3">
        <v>69.23</v>
      </c>
      <c r="C945" s="3">
        <v>144.6</v>
      </c>
      <c r="D945" s="3">
        <v>16</v>
      </c>
      <c r="E945" s="3">
        <v>52.97</v>
      </c>
      <c r="F945" s="3">
        <v>100.711682</v>
      </c>
      <c r="G945" s="3">
        <v>96.108568000000005</v>
      </c>
      <c r="H945" s="3">
        <v>92.960883999999993</v>
      </c>
      <c r="I945" s="17">
        <f t="shared" si="232"/>
        <v>4.7846889952153507E-3</v>
      </c>
      <c r="J945" s="17">
        <f t="shared" si="233"/>
        <v>1.0509414683987722E-2</v>
      </c>
      <c r="K945" s="17">
        <f t="shared" si="234"/>
        <v>7.5952895268622637E-3</v>
      </c>
      <c r="L945" s="17">
        <f t="shared" si="235"/>
        <v>5.656819610307973E-3</v>
      </c>
      <c r="M945" s="17">
        <f t="shared" si="236"/>
        <v>-1.3042668157257365E-2</v>
      </c>
      <c r="N945" s="17">
        <f t="shared" si="237"/>
        <v>-3.8022832558098197E-4</v>
      </c>
      <c r="O945" s="17">
        <f t="shared" si="238"/>
        <v>-2.5986765286410712E-4</v>
      </c>
      <c r="P945" s="17">
        <f t="shared" si="239"/>
        <v>-1.8972897442174875E-3</v>
      </c>
      <c r="Q945" s="22">
        <f t="shared" si="240"/>
        <v>4.3902151248306175E-3</v>
      </c>
      <c r="R945" s="22">
        <f t="shared" si="241"/>
        <v>1.0078689969910558E-2</v>
      </c>
      <c r="S945" s="22">
        <f t="shared" si="242"/>
        <v>7.1833301400248172E-3</v>
      </c>
      <c r="T945" s="22">
        <f t="shared" si="243"/>
        <v>5.5253681010750547E-3</v>
      </c>
      <c r="U945" s="22">
        <f t="shared" si="244"/>
        <v>-1.3735896104211128E-2</v>
      </c>
      <c r="V945" s="22">
        <f t="shared" si="245"/>
        <v>-1.4562451607780168E-4</v>
      </c>
      <c r="W945" s="22">
        <f t="shared" si="246"/>
        <v>-5.6190987734041167E-6</v>
      </c>
      <c r="X945" s="22">
        <f t="shared" si="247"/>
        <v>-1.5813453596111486E-3</v>
      </c>
    </row>
    <row r="946" spans="1:24" x14ac:dyDescent="0.35">
      <c r="A946" s="3">
        <v>12.26</v>
      </c>
      <c r="B946" s="3">
        <v>68.209999999999994</v>
      </c>
      <c r="C946" s="3">
        <v>140.61000000000001</v>
      </c>
      <c r="D946" s="3">
        <v>16.149999999999999</v>
      </c>
      <c r="E946" s="3">
        <v>54.33</v>
      </c>
      <c r="F946" s="3">
        <v>100.649134</v>
      </c>
      <c r="G946" s="3">
        <v>96.012647000000001</v>
      </c>
      <c r="H946" s="3">
        <v>92.945936000000003</v>
      </c>
      <c r="I946" s="17">
        <f t="shared" si="232"/>
        <v>-2.6984126984126975E-2</v>
      </c>
      <c r="J946" s="17">
        <f t="shared" si="233"/>
        <v>-1.4733497038856134E-2</v>
      </c>
      <c r="K946" s="17">
        <f t="shared" si="234"/>
        <v>-2.759336099585049E-2</v>
      </c>
      <c r="L946" s="17">
        <f t="shared" si="235"/>
        <v>9.3749999999999112E-3</v>
      </c>
      <c r="M946" s="17">
        <f t="shared" si="236"/>
        <v>2.5674910326599951E-2</v>
      </c>
      <c r="N946" s="17">
        <f t="shared" si="237"/>
        <v>-6.210600275744824E-4</v>
      </c>
      <c r="O946" s="17">
        <f t="shared" si="238"/>
        <v>-9.9804837379331409E-4</v>
      </c>
      <c r="P946" s="17">
        <f t="shared" si="239"/>
        <v>-1.6079881512303334E-4</v>
      </c>
      <c r="Q946" s="22">
        <f t="shared" si="240"/>
        <v>-2.7378600854511707E-2</v>
      </c>
      <c r="R946" s="22">
        <f t="shared" si="241"/>
        <v>-1.5164221752933298E-2</v>
      </c>
      <c r="S946" s="22">
        <f t="shared" si="242"/>
        <v>-2.8005320382687937E-2</v>
      </c>
      <c r="T946" s="22">
        <f t="shared" si="243"/>
        <v>9.2435484907669938E-3</v>
      </c>
      <c r="U946" s="22">
        <f t="shared" si="244"/>
        <v>2.4981682379646188E-2</v>
      </c>
      <c r="V946" s="22">
        <f t="shared" si="245"/>
        <v>-3.8645621807130209E-4</v>
      </c>
      <c r="W946" s="22">
        <f t="shared" si="246"/>
        <v>-7.4379981970261108E-4</v>
      </c>
      <c r="X946" s="22">
        <f t="shared" si="247"/>
        <v>1.5514556948330544E-4</v>
      </c>
    </row>
    <row r="947" spans="1:24" x14ac:dyDescent="0.35">
      <c r="A947" s="3">
        <v>12.06</v>
      </c>
      <c r="B947" s="3">
        <v>67.760000000000005</v>
      </c>
      <c r="C947" s="3">
        <v>139.5</v>
      </c>
      <c r="D947" s="3">
        <v>16.149999999999999</v>
      </c>
      <c r="E947" s="3">
        <v>54.14</v>
      </c>
      <c r="F947" s="3">
        <v>100.524934</v>
      </c>
      <c r="G947" s="3">
        <v>95.751018999999999</v>
      </c>
      <c r="H947" s="3">
        <v>92.663043999999999</v>
      </c>
      <c r="I947" s="17">
        <f t="shared" si="232"/>
        <v>-1.6313213703099454E-2</v>
      </c>
      <c r="J947" s="17">
        <f t="shared" si="233"/>
        <v>-6.5972731271072959E-3</v>
      </c>
      <c r="K947" s="17">
        <f t="shared" si="234"/>
        <v>-7.8941753787071592E-3</v>
      </c>
      <c r="L947" s="17">
        <f t="shared" si="235"/>
        <v>0</v>
      </c>
      <c r="M947" s="17">
        <f t="shared" si="236"/>
        <v>-3.497147064237028E-3</v>
      </c>
      <c r="N947" s="17">
        <f t="shared" si="237"/>
        <v>-1.2339897529570583E-3</v>
      </c>
      <c r="O947" s="17">
        <f t="shared" si="238"/>
        <v>-2.7249326851701292E-3</v>
      </c>
      <c r="P947" s="17">
        <f t="shared" si="239"/>
        <v>-3.0436188194393342E-3</v>
      </c>
      <c r="Q947" s="22">
        <f t="shared" si="240"/>
        <v>-1.6707687573484186E-2</v>
      </c>
      <c r="R947" s="22">
        <f t="shared" si="241"/>
        <v>-7.0279978411844591E-3</v>
      </c>
      <c r="S947" s="22">
        <f t="shared" si="242"/>
        <v>-8.3061347655446066E-3</v>
      </c>
      <c r="T947" s="22">
        <f t="shared" si="243"/>
        <v>-1.3145150923291827E-4</v>
      </c>
      <c r="U947" s="22">
        <f t="shared" si="244"/>
        <v>-4.1903750111907901E-3</v>
      </c>
      <c r="V947" s="22">
        <f t="shared" si="245"/>
        <v>-9.9938594345387794E-4</v>
      </c>
      <c r="W947" s="22">
        <f t="shared" si="246"/>
        <v>-2.4706841310794263E-3</v>
      </c>
      <c r="X947" s="22">
        <f t="shared" si="247"/>
        <v>-2.7276744348329954E-3</v>
      </c>
    </row>
    <row r="948" spans="1:24" x14ac:dyDescent="0.35">
      <c r="A948" s="3">
        <v>11.51</v>
      </c>
      <c r="B948" s="3">
        <v>66.84</v>
      </c>
      <c r="C948" s="3">
        <v>149.85</v>
      </c>
      <c r="D948" s="3">
        <v>15.74</v>
      </c>
      <c r="E948" s="3">
        <v>53.43</v>
      </c>
      <c r="F948" s="3">
        <v>100.549781</v>
      </c>
      <c r="G948" s="3">
        <v>95.822190000000006</v>
      </c>
      <c r="H948" s="3">
        <v>92.564288000000005</v>
      </c>
      <c r="I948" s="17">
        <f t="shared" si="232"/>
        <v>-4.5605306799336706E-2</v>
      </c>
      <c r="J948" s="17">
        <f t="shared" si="233"/>
        <v>-1.3577331759149965E-2</v>
      </c>
      <c r="K948" s="17">
        <f t="shared" si="234"/>
        <v>7.4193548387096728E-2</v>
      </c>
      <c r="L948" s="17">
        <f t="shared" si="235"/>
        <v>-2.538699690402467E-2</v>
      </c>
      <c r="M948" s="17">
        <f t="shared" si="236"/>
        <v>-1.3114148503878847E-2</v>
      </c>
      <c r="N948" s="17">
        <f t="shared" si="237"/>
        <v>2.4717250746958028E-4</v>
      </c>
      <c r="O948" s="17">
        <f t="shared" si="238"/>
        <v>7.4329235075823853E-4</v>
      </c>
      <c r="P948" s="17">
        <f t="shared" si="239"/>
        <v>-1.0657538942924702E-3</v>
      </c>
      <c r="Q948" s="22">
        <f t="shared" si="240"/>
        <v>-4.5999780669721442E-2</v>
      </c>
      <c r="R948" s="22">
        <f t="shared" si="241"/>
        <v>-1.4008056473227129E-2</v>
      </c>
      <c r="S948" s="22">
        <f t="shared" si="242"/>
        <v>7.3781589000259287E-2</v>
      </c>
      <c r="T948" s="22">
        <f t="shared" si="243"/>
        <v>-2.5518448413257587E-2</v>
      </c>
      <c r="U948" s="22">
        <f t="shared" si="244"/>
        <v>-1.3807376450832611E-2</v>
      </c>
      <c r="V948" s="22">
        <f t="shared" si="245"/>
        <v>4.817763169727606E-4</v>
      </c>
      <c r="W948" s="22">
        <f t="shared" si="246"/>
        <v>9.9754090484894154E-4</v>
      </c>
      <c r="X948" s="22">
        <f t="shared" si="247"/>
        <v>-7.4980950968613134E-4</v>
      </c>
    </row>
    <row r="949" spans="1:24" x14ac:dyDescent="0.35">
      <c r="A949" s="3">
        <v>11.63</v>
      </c>
      <c r="B949" s="3">
        <v>65.77</v>
      </c>
      <c r="C949" s="3">
        <v>149.91</v>
      </c>
      <c r="D949" s="3">
        <v>15.75</v>
      </c>
      <c r="E949" s="3">
        <v>52.51</v>
      </c>
      <c r="F949" s="3">
        <v>100.47594599999999</v>
      </c>
      <c r="G949" s="3">
        <v>95.656575000000004</v>
      </c>
      <c r="H949" s="3">
        <v>92.451682000000005</v>
      </c>
      <c r="I949" s="17">
        <f t="shared" si="232"/>
        <v>1.0425716768027889E-2</v>
      </c>
      <c r="J949" s="17">
        <f t="shared" si="233"/>
        <v>-1.6008378216636854E-2</v>
      </c>
      <c r="K949" s="17">
        <f t="shared" si="234"/>
        <v>4.004004004004156E-4</v>
      </c>
      <c r="L949" s="17">
        <f t="shared" si="235"/>
        <v>6.3532401524776284E-4</v>
      </c>
      <c r="M949" s="17">
        <f t="shared" si="236"/>
        <v>-1.7218790941418712E-2</v>
      </c>
      <c r="N949" s="17">
        <f t="shared" si="237"/>
        <v>-7.3431288726528944E-4</v>
      </c>
      <c r="O949" s="17">
        <f t="shared" si="238"/>
        <v>-1.7283574921425036E-3</v>
      </c>
      <c r="P949" s="17">
        <f t="shared" si="239"/>
        <v>-1.2165166764962264E-3</v>
      </c>
      <c r="Q949" s="22">
        <f t="shared" si="240"/>
        <v>1.0031242897643155E-2</v>
      </c>
      <c r="R949" s="22">
        <f t="shared" si="241"/>
        <v>-1.6439102930714017E-2</v>
      </c>
      <c r="S949" s="22">
        <f t="shared" si="242"/>
        <v>-1.1558986437031342E-5</v>
      </c>
      <c r="T949" s="22">
        <f t="shared" si="243"/>
        <v>5.0387250601484454E-4</v>
      </c>
      <c r="U949" s="22">
        <f t="shared" si="244"/>
        <v>-1.7912018888372475E-2</v>
      </c>
      <c r="V949" s="22">
        <f t="shared" si="245"/>
        <v>-4.9970907776210913E-4</v>
      </c>
      <c r="W949" s="22">
        <f t="shared" si="246"/>
        <v>-1.4741089380518007E-3</v>
      </c>
      <c r="X949" s="22">
        <f t="shared" si="247"/>
        <v>-9.0057229188988757E-4</v>
      </c>
    </row>
    <row r="950" spans="1:24" x14ac:dyDescent="0.35">
      <c r="A950" s="3">
        <v>11.42</v>
      </c>
      <c r="B950" s="3">
        <v>67.33</v>
      </c>
      <c r="C950" s="3">
        <v>156.28</v>
      </c>
      <c r="D950" s="3">
        <v>16.03</v>
      </c>
      <c r="E950" s="3">
        <v>53.47</v>
      </c>
      <c r="F950" s="3">
        <v>100.205039</v>
      </c>
      <c r="G950" s="3">
        <v>95.350261000000003</v>
      </c>
      <c r="H950" s="3">
        <v>92.232398000000003</v>
      </c>
      <c r="I950" s="17">
        <f t="shared" si="232"/>
        <v>-1.8056749785038764E-2</v>
      </c>
      <c r="J950" s="17">
        <f t="shared" si="233"/>
        <v>2.3719020830165766E-2</v>
      </c>
      <c r="K950" s="17">
        <f t="shared" si="234"/>
        <v>4.2492161963845004E-2</v>
      </c>
      <c r="L950" s="17">
        <f t="shared" si="235"/>
        <v>1.7777777777777851E-2</v>
      </c>
      <c r="M950" s="17">
        <f t="shared" si="236"/>
        <v>1.8282231955817956E-2</v>
      </c>
      <c r="N950" s="17">
        <f t="shared" si="237"/>
        <v>-2.696237366105456E-3</v>
      </c>
      <c r="O950" s="17">
        <f t="shared" si="238"/>
        <v>-3.2022262975650176E-3</v>
      </c>
      <c r="P950" s="17">
        <f t="shared" si="239"/>
        <v>-2.3718768037124709E-3</v>
      </c>
      <c r="Q950" s="22">
        <f t="shared" si="240"/>
        <v>-1.8451223655423496E-2</v>
      </c>
      <c r="R950" s="22">
        <f t="shared" si="241"/>
        <v>2.3288296116088604E-2</v>
      </c>
      <c r="S950" s="22">
        <f t="shared" si="242"/>
        <v>4.2080202577007557E-2</v>
      </c>
      <c r="T950" s="22">
        <f t="shared" si="243"/>
        <v>1.7646326268544933E-2</v>
      </c>
      <c r="U950" s="22">
        <f t="shared" si="244"/>
        <v>1.7589004008864192E-2</v>
      </c>
      <c r="V950" s="22">
        <f t="shared" si="245"/>
        <v>-2.461633556602276E-3</v>
      </c>
      <c r="W950" s="22">
        <f t="shared" si="246"/>
        <v>-2.9479777434743147E-3</v>
      </c>
      <c r="X950" s="22">
        <f t="shared" si="247"/>
        <v>-2.0559324191061321E-3</v>
      </c>
    </row>
    <row r="951" spans="1:24" x14ac:dyDescent="0.35">
      <c r="A951" s="3">
        <v>11.43</v>
      </c>
      <c r="B951" s="3">
        <v>66.2</v>
      </c>
      <c r="C951" s="3">
        <v>152.63</v>
      </c>
      <c r="D951" s="3">
        <v>15.56</v>
      </c>
      <c r="E951" s="3">
        <v>53.87</v>
      </c>
      <c r="F951" s="3">
        <v>99.715295999999995</v>
      </c>
      <c r="G951" s="3">
        <v>94.858515999999995</v>
      </c>
      <c r="H951" s="3">
        <v>91.833313000000004</v>
      </c>
      <c r="I951" s="17">
        <f t="shared" si="232"/>
        <v>8.7565674255689905E-4</v>
      </c>
      <c r="J951" s="17">
        <f t="shared" si="233"/>
        <v>-1.678300905985438E-2</v>
      </c>
      <c r="K951" s="17">
        <f t="shared" si="234"/>
        <v>-2.3355515740977769E-2</v>
      </c>
      <c r="L951" s="17">
        <f t="shared" si="235"/>
        <v>-2.9320024953212762E-2</v>
      </c>
      <c r="M951" s="17">
        <f t="shared" si="236"/>
        <v>7.4808303721712842E-3</v>
      </c>
      <c r="N951" s="17">
        <f t="shared" si="237"/>
        <v>-4.8874089056539791E-3</v>
      </c>
      <c r="O951" s="17">
        <f t="shared" si="238"/>
        <v>-5.1572485994559446E-3</v>
      </c>
      <c r="P951" s="17">
        <f t="shared" si="239"/>
        <v>-4.3269502761925311E-3</v>
      </c>
      <c r="Q951" s="22">
        <f t="shared" si="240"/>
        <v>4.8118287217216574E-4</v>
      </c>
      <c r="R951" s="22">
        <f t="shared" si="241"/>
        <v>-1.7213733773931542E-2</v>
      </c>
      <c r="S951" s="22">
        <f t="shared" si="242"/>
        <v>-2.3767475127815216E-2</v>
      </c>
      <c r="T951" s="22">
        <f t="shared" si="243"/>
        <v>-2.945147646244568E-2</v>
      </c>
      <c r="U951" s="22">
        <f t="shared" si="244"/>
        <v>6.787602425217522E-3</v>
      </c>
      <c r="V951" s="22">
        <f t="shared" si="245"/>
        <v>-4.6528050961507986E-3</v>
      </c>
      <c r="W951" s="22">
        <f t="shared" si="246"/>
        <v>-4.9030000453652413E-3</v>
      </c>
      <c r="X951" s="22">
        <f t="shared" si="247"/>
        <v>-4.0110058915861927E-3</v>
      </c>
    </row>
    <row r="952" spans="1:24" x14ac:dyDescent="0.35">
      <c r="A952" s="3">
        <v>11.8</v>
      </c>
      <c r="B952" s="3">
        <v>65.8</v>
      </c>
      <c r="C952" s="3">
        <v>150.71</v>
      </c>
      <c r="D952" s="3">
        <v>15.57</v>
      </c>
      <c r="E952" s="3">
        <v>54.53</v>
      </c>
      <c r="F952" s="3">
        <v>99.411598999999995</v>
      </c>
      <c r="G952" s="3">
        <v>94.463463000000004</v>
      </c>
      <c r="H952" s="3">
        <v>91.377238000000006</v>
      </c>
      <c r="I952" s="17">
        <f t="shared" si="232"/>
        <v>3.2370953630796236E-2</v>
      </c>
      <c r="J952" s="17">
        <f t="shared" si="233"/>
        <v>-6.0422960725076387E-3</v>
      </c>
      <c r="K952" s="17">
        <f t="shared" si="234"/>
        <v>-1.257944047697037E-2</v>
      </c>
      <c r="L952" s="17">
        <f t="shared" si="235"/>
        <v>6.4267352185088604E-4</v>
      </c>
      <c r="M952" s="17">
        <f t="shared" si="236"/>
        <v>1.2251717096714382E-2</v>
      </c>
      <c r="N952" s="17">
        <f t="shared" si="237"/>
        <v>-3.0456410619289511E-3</v>
      </c>
      <c r="O952" s="17">
        <f t="shared" si="238"/>
        <v>-4.1646550743002358E-3</v>
      </c>
      <c r="P952" s="17">
        <f t="shared" si="239"/>
        <v>-4.9663350379180859E-3</v>
      </c>
      <c r="Q952" s="22">
        <f t="shared" si="240"/>
        <v>3.19764797604115E-2</v>
      </c>
      <c r="R952" s="22">
        <f t="shared" si="241"/>
        <v>-6.473020786584802E-3</v>
      </c>
      <c r="S952" s="22">
        <f t="shared" si="242"/>
        <v>-1.2991399863807818E-2</v>
      </c>
      <c r="T952" s="22">
        <f t="shared" si="243"/>
        <v>5.1122201261796774E-4</v>
      </c>
      <c r="U952" s="22">
        <f t="shared" si="244"/>
        <v>1.1558489149760619E-2</v>
      </c>
      <c r="V952" s="22">
        <f t="shared" si="245"/>
        <v>-2.811037252425771E-3</v>
      </c>
      <c r="W952" s="22">
        <f t="shared" si="246"/>
        <v>-3.9104065202095325E-3</v>
      </c>
      <c r="X952" s="22">
        <f t="shared" si="247"/>
        <v>-4.6503906533117475E-3</v>
      </c>
    </row>
    <row r="953" spans="1:24" x14ac:dyDescent="0.35">
      <c r="A953" s="3">
        <v>11.82</v>
      </c>
      <c r="B953" s="3">
        <v>64.64</v>
      </c>
      <c r="C953" s="3">
        <v>150.54</v>
      </c>
      <c r="D953" s="3">
        <v>15.77</v>
      </c>
      <c r="E953" s="3">
        <v>53.18</v>
      </c>
      <c r="F953" s="3">
        <v>99.619632999999993</v>
      </c>
      <c r="G953" s="3">
        <v>94.720112</v>
      </c>
      <c r="H953" s="3">
        <v>91.460541000000006</v>
      </c>
      <c r="I953" s="17">
        <f t="shared" si="232"/>
        <v>1.6949152542372519E-3</v>
      </c>
      <c r="J953" s="17">
        <f t="shared" si="233"/>
        <v>-1.7629179331306939E-2</v>
      </c>
      <c r="K953" s="17">
        <f t="shared" si="234"/>
        <v>-1.1279941609715076E-3</v>
      </c>
      <c r="L953" s="17">
        <f t="shared" si="235"/>
        <v>1.284521515735384E-2</v>
      </c>
      <c r="M953" s="17">
        <f t="shared" si="236"/>
        <v>-2.4757014487438132E-2</v>
      </c>
      <c r="N953" s="17">
        <f t="shared" si="237"/>
        <v>2.0926531923100627E-3</v>
      </c>
      <c r="O953" s="17">
        <f t="shared" si="238"/>
        <v>2.7169128872609285E-3</v>
      </c>
      <c r="P953" s="17">
        <f t="shared" si="239"/>
        <v>9.1163841043215581E-4</v>
      </c>
      <c r="Q953" s="22">
        <f t="shared" si="240"/>
        <v>1.3004413838525186E-3</v>
      </c>
      <c r="R953" s="22">
        <f t="shared" si="241"/>
        <v>-1.8059904045384101E-2</v>
      </c>
      <c r="S953" s="22">
        <f t="shared" si="242"/>
        <v>-1.5399535478089546E-3</v>
      </c>
      <c r="T953" s="22">
        <f t="shared" si="243"/>
        <v>1.2713763648120923E-2</v>
      </c>
      <c r="U953" s="22">
        <f t="shared" si="244"/>
        <v>-2.5450242434391895E-2</v>
      </c>
      <c r="V953" s="22">
        <f t="shared" si="245"/>
        <v>2.3272570018132428E-3</v>
      </c>
      <c r="W953" s="22">
        <f t="shared" si="246"/>
        <v>2.9711614413516314E-3</v>
      </c>
      <c r="X953" s="22">
        <f t="shared" si="247"/>
        <v>1.2275827950384945E-3</v>
      </c>
    </row>
    <row r="954" spans="1:24" x14ac:dyDescent="0.35">
      <c r="A954" s="3">
        <v>12.01</v>
      </c>
      <c r="B954" s="3">
        <v>64.56</v>
      </c>
      <c r="C954" s="3">
        <v>150.66</v>
      </c>
      <c r="D954" s="3">
        <v>15.74</v>
      </c>
      <c r="E954" s="3">
        <v>53.68</v>
      </c>
      <c r="F954" s="3">
        <v>99.440822999999995</v>
      </c>
      <c r="G954" s="3">
        <v>94.513835</v>
      </c>
      <c r="H954" s="3">
        <v>91.173685000000006</v>
      </c>
      <c r="I954" s="17">
        <f t="shared" si="232"/>
        <v>1.6074450084602326E-2</v>
      </c>
      <c r="J954" s="17">
        <f t="shared" si="233"/>
        <v>-1.2376237623762112E-3</v>
      </c>
      <c r="K954" s="17">
        <f t="shared" si="234"/>
        <v>7.9713033080911757E-4</v>
      </c>
      <c r="L954" s="17">
        <f t="shared" si="235"/>
        <v>-1.9023462270132759E-3</v>
      </c>
      <c r="M954" s="17">
        <f t="shared" si="236"/>
        <v>9.4020308386611514E-3</v>
      </c>
      <c r="N954" s="17">
        <f t="shared" si="237"/>
        <v>-1.7949273111656473E-3</v>
      </c>
      <c r="O954" s="17">
        <f t="shared" si="238"/>
        <v>-2.177752914819189E-3</v>
      </c>
      <c r="P954" s="17">
        <f t="shared" si="239"/>
        <v>-3.1363908070476008E-3</v>
      </c>
      <c r="Q954" s="22">
        <f t="shared" si="240"/>
        <v>1.5679976214217593E-2</v>
      </c>
      <c r="R954" s="22">
        <f t="shared" si="241"/>
        <v>-1.6683484764533746E-3</v>
      </c>
      <c r="S954" s="22">
        <f t="shared" si="242"/>
        <v>3.8517094397167063E-4</v>
      </c>
      <c r="T954" s="22">
        <f t="shared" si="243"/>
        <v>-2.0337977362461942E-3</v>
      </c>
      <c r="U954" s="22">
        <f t="shared" si="244"/>
        <v>8.7088028917073883E-3</v>
      </c>
      <c r="V954" s="22">
        <f t="shared" si="245"/>
        <v>-1.560323501662467E-3</v>
      </c>
      <c r="W954" s="22">
        <f t="shared" si="246"/>
        <v>-1.9235043607284861E-3</v>
      </c>
      <c r="X954" s="22">
        <f t="shared" si="247"/>
        <v>-2.820446422441262E-3</v>
      </c>
    </row>
    <row r="955" spans="1:24" x14ac:dyDescent="0.35">
      <c r="A955" s="3">
        <v>11.97</v>
      </c>
      <c r="B955" s="3">
        <v>65.900000000000006</v>
      </c>
      <c r="C955" s="3">
        <v>149.52000000000001</v>
      </c>
      <c r="D955" s="3">
        <v>15.63</v>
      </c>
      <c r="E955" s="3">
        <v>53.17</v>
      </c>
      <c r="F955" s="3">
        <v>99.176016000000004</v>
      </c>
      <c r="G955" s="3">
        <v>94.076119000000006</v>
      </c>
      <c r="H955" s="3">
        <v>90.546871999999993</v>
      </c>
      <c r="I955" s="17">
        <f t="shared" si="232"/>
        <v>-3.3305578684428932E-3</v>
      </c>
      <c r="J955" s="17">
        <f t="shared" si="233"/>
        <v>2.0755885997521737E-2</v>
      </c>
      <c r="K955" s="17">
        <f t="shared" si="234"/>
        <v>-7.5667064914375836E-3</v>
      </c>
      <c r="L955" s="17">
        <f t="shared" si="235"/>
        <v>-6.9885641677255037E-3</v>
      </c>
      <c r="M955" s="17">
        <f t="shared" si="236"/>
        <v>-9.5007451564828246E-3</v>
      </c>
      <c r="N955" s="17">
        <f t="shared" si="237"/>
        <v>-2.6629606635495211E-3</v>
      </c>
      <c r="O955" s="17">
        <f t="shared" si="238"/>
        <v>-4.6312373209699371E-3</v>
      </c>
      <c r="P955" s="17">
        <f t="shared" si="239"/>
        <v>-6.8749332661064725E-3</v>
      </c>
      <c r="Q955" s="22">
        <f t="shared" si="240"/>
        <v>-3.7250317388276264E-3</v>
      </c>
      <c r="R955" s="22">
        <f t="shared" si="241"/>
        <v>2.0325161283444575E-2</v>
      </c>
      <c r="S955" s="22">
        <f t="shared" si="242"/>
        <v>-7.9786658782750302E-3</v>
      </c>
      <c r="T955" s="22">
        <f t="shared" si="243"/>
        <v>-7.120015676958422E-3</v>
      </c>
      <c r="U955" s="22">
        <f t="shared" si="244"/>
        <v>-1.0193973103436588E-2</v>
      </c>
      <c r="V955" s="22">
        <f t="shared" si="245"/>
        <v>-2.428356854046341E-3</v>
      </c>
      <c r="W955" s="22">
        <f t="shared" si="246"/>
        <v>-4.3769887668792338E-3</v>
      </c>
      <c r="X955" s="22">
        <f t="shared" si="247"/>
        <v>-6.5589888815001341E-3</v>
      </c>
    </row>
    <row r="956" spans="1:24" x14ac:dyDescent="0.35">
      <c r="A956" s="3">
        <v>11.68</v>
      </c>
      <c r="B956" s="3">
        <v>64.260000000000005</v>
      </c>
      <c r="C956" s="3">
        <v>145.59</v>
      </c>
      <c r="D956" s="3">
        <v>15.93</v>
      </c>
      <c r="E956" s="3">
        <v>53.09</v>
      </c>
      <c r="F956" s="3">
        <v>99.455601999999999</v>
      </c>
      <c r="G956" s="3">
        <v>94.423422000000002</v>
      </c>
      <c r="H956" s="3">
        <v>90.983712999999995</v>
      </c>
      <c r="I956" s="17">
        <f t="shared" si="232"/>
        <v>-2.4227234753550618E-2</v>
      </c>
      <c r="J956" s="17">
        <f t="shared" si="233"/>
        <v>-2.4886191198786045E-2</v>
      </c>
      <c r="K956" s="17">
        <f t="shared" si="234"/>
        <v>-2.6284109149277732E-2</v>
      </c>
      <c r="L956" s="17">
        <f t="shared" si="235"/>
        <v>1.9193857965450988E-2</v>
      </c>
      <c r="M956" s="17">
        <f t="shared" si="236"/>
        <v>-1.5046078615760447E-3</v>
      </c>
      <c r="N956" s="17">
        <f t="shared" si="237"/>
        <v>2.8190888409955362E-3</v>
      </c>
      <c r="O956" s="17">
        <f t="shared" si="238"/>
        <v>3.6917232948352873E-3</v>
      </c>
      <c r="P956" s="17">
        <f t="shared" si="239"/>
        <v>4.8244736714924972E-3</v>
      </c>
      <c r="Q956" s="22">
        <f t="shared" si="240"/>
        <v>-2.462170862393535E-2</v>
      </c>
      <c r="R956" s="22">
        <f t="shared" si="241"/>
        <v>-2.5316915912863207E-2</v>
      </c>
      <c r="S956" s="22">
        <f t="shared" si="242"/>
        <v>-2.669606853611518E-2</v>
      </c>
      <c r="T956" s="22">
        <f t="shared" si="243"/>
        <v>1.9062406456218071E-2</v>
      </c>
      <c r="U956" s="22">
        <f t="shared" si="244"/>
        <v>-2.1978358085298073E-3</v>
      </c>
      <c r="V956" s="22">
        <f t="shared" si="245"/>
        <v>3.0536926504987163E-3</v>
      </c>
      <c r="W956" s="22">
        <f t="shared" si="246"/>
        <v>3.9459718489259906E-3</v>
      </c>
      <c r="X956" s="22">
        <f t="shared" si="247"/>
        <v>5.1404180560988355E-3</v>
      </c>
    </row>
    <row r="957" spans="1:24" x14ac:dyDescent="0.35">
      <c r="A957" s="3">
        <v>11.72</v>
      </c>
      <c r="B957" s="3">
        <v>64.48</v>
      </c>
      <c r="C957" s="3">
        <v>149</v>
      </c>
      <c r="D957" s="3">
        <v>16.260000000000002</v>
      </c>
      <c r="E957" s="3">
        <v>54.98</v>
      </c>
      <c r="F957" s="3">
        <v>99.444883000000004</v>
      </c>
      <c r="G957" s="3">
        <v>94.447687999999999</v>
      </c>
      <c r="H957" s="3">
        <v>91.007384000000002</v>
      </c>
      <c r="I957" s="17">
        <f t="shared" si="232"/>
        <v>3.4246575342466545E-3</v>
      </c>
      <c r="J957" s="17">
        <f t="shared" si="233"/>
        <v>3.4235916588857586E-3</v>
      </c>
      <c r="K957" s="17">
        <f t="shared" si="234"/>
        <v>2.3421938319939533E-2</v>
      </c>
      <c r="L957" s="17">
        <f t="shared" si="235"/>
        <v>2.0715630885122526E-2</v>
      </c>
      <c r="M957" s="17">
        <f t="shared" si="236"/>
        <v>3.5599924656243988E-2</v>
      </c>
      <c r="N957" s="17">
        <f t="shared" si="237"/>
        <v>-1.0777673438641087E-4</v>
      </c>
      <c r="O957" s="17">
        <f t="shared" si="238"/>
        <v>2.5699132149645281E-4</v>
      </c>
      <c r="P957" s="17">
        <f t="shared" si="239"/>
        <v>2.6016744337535803E-4</v>
      </c>
      <c r="Q957" s="22">
        <f t="shared" si="240"/>
        <v>3.0301836638619213E-3</v>
      </c>
      <c r="R957" s="22">
        <f t="shared" si="241"/>
        <v>2.9928669448085949E-3</v>
      </c>
      <c r="S957" s="22">
        <f t="shared" si="242"/>
        <v>2.3009978933102086E-2</v>
      </c>
      <c r="T957" s="22">
        <f t="shared" si="243"/>
        <v>2.0584179375889609E-2</v>
      </c>
      <c r="U957" s="22">
        <f t="shared" si="244"/>
        <v>3.4906696709290225E-2</v>
      </c>
      <c r="V957" s="22">
        <f t="shared" si="245"/>
        <v>1.268270751167694E-4</v>
      </c>
      <c r="W957" s="22">
        <f t="shared" si="246"/>
        <v>5.1123987558715587E-4</v>
      </c>
      <c r="X957" s="22">
        <f t="shared" si="247"/>
        <v>5.761118279816968E-4</v>
      </c>
    </row>
    <row r="958" spans="1:24" x14ac:dyDescent="0.35">
      <c r="A958" s="3">
        <v>11.81</v>
      </c>
      <c r="B958" s="3">
        <v>65.09</v>
      </c>
      <c r="C958" s="3">
        <v>144.83000000000001</v>
      </c>
      <c r="D958" s="3">
        <v>16.73</v>
      </c>
      <c r="E958" s="3">
        <v>54.05</v>
      </c>
      <c r="F958" s="3">
        <v>99.253127000000006</v>
      </c>
      <c r="G958" s="3">
        <v>94.241264000000001</v>
      </c>
      <c r="H958" s="3">
        <v>90.735802000000007</v>
      </c>
      <c r="I958" s="17">
        <f t="shared" si="232"/>
        <v>7.6791808873720013E-3</v>
      </c>
      <c r="J958" s="17">
        <f t="shared" si="233"/>
        <v>9.46029776674937E-3</v>
      </c>
      <c r="K958" s="17">
        <f t="shared" si="234"/>
        <v>-2.7986577181207971E-2</v>
      </c>
      <c r="L958" s="17">
        <f t="shared" si="235"/>
        <v>2.8905289052890457E-2</v>
      </c>
      <c r="M958" s="17">
        <f t="shared" si="236"/>
        <v>-1.6915241906147686E-2</v>
      </c>
      <c r="N958" s="17">
        <f t="shared" si="237"/>
        <v>-1.9282641219458023E-3</v>
      </c>
      <c r="O958" s="17">
        <f t="shared" si="238"/>
        <v>-2.1855908214502657E-3</v>
      </c>
      <c r="P958" s="17">
        <f t="shared" si="239"/>
        <v>-2.9841754378962821E-3</v>
      </c>
      <c r="Q958" s="22">
        <f t="shared" si="240"/>
        <v>7.284707016987268E-3</v>
      </c>
      <c r="R958" s="22">
        <f t="shared" si="241"/>
        <v>9.0295730526722059E-3</v>
      </c>
      <c r="S958" s="22">
        <f t="shared" si="242"/>
        <v>-2.8398536568045418E-2</v>
      </c>
      <c r="T958" s="22">
        <f t="shared" si="243"/>
        <v>2.8773837543657539E-2</v>
      </c>
      <c r="U958" s="22">
        <f t="shared" si="244"/>
        <v>-1.7608469853101449E-2</v>
      </c>
      <c r="V958" s="22">
        <f t="shared" si="245"/>
        <v>-1.6936603124426219E-3</v>
      </c>
      <c r="W958" s="22">
        <f t="shared" si="246"/>
        <v>-1.9313422673595628E-3</v>
      </c>
      <c r="X958" s="22">
        <f t="shared" si="247"/>
        <v>-2.6682310532899433E-3</v>
      </c>
    </row>
    <row r="959" spans="1:24" x14ac:dyDescent="0.35">
      <c r="A959" s="3">
        <v>11.78</v>
      </c>
      <c r="B959" s="3">
        <v>65.41</v>
      </c>
      <c r="C959" s="3">
        <v>144.81</v>
      </c>
      <c r="D959" s="3">
        <v>16.920000000000002</v>
      </c>
      <c r="E959" s="3">
        <v>54.41</v>
      </c>
      <c r="F959" s="3">
        <v>98.897992000000002</v>
      </c>
      <c r="G959" s="3">
        <v>93.672770999999997</v>
      </c>
      <c r="H959" s="3">
        <v>89.929444000000004</v>
      </c>
      <c r="I959" s="17">
        <f t="shared" si="232"/>
        <v>-2.5402201524133052E-3</v>
      </c>
      <c r="J959" s="17">
        <f t="shared" si="233"/>
        <v>4.9162697803040887E-3</v>
      </c>
      <c r="K959" s="17">
        <f t="shared" si="234"/>
        <v>-1.3809293654636629E-4</v>
      </c>
      <c r="L959" s="17">
        <f t="shared" si="235"/>
        <v>1.1356843992827333E-2</v>
      </c>
      <c r="M959" s="17">
        <f t="shared" si="236"/>
        <v>6.6604995374653E-3</v>
      </c>
      <c r="N959" s="17">
        <f t="shared" si="237"/>
        <v>-3.5780736661324957E-3</v>
      </c>
      <c r="O959" s="17">
        <f t="shared" si="238"/>
        <v>-6.0323151013764384E-3</v>
      </c>
      <c r="P959" s="17">
        <f t="shared" si="239"/>
        <v>-8.8868779712775667E-3</v>
      </c>
      <c r="Q959" s="22">
        <f t="shared" si="240"/>
        <v>-2.9346940227980385E-3</v>
      </c>
      <c r="R959" s="22">
        <f t="shared" si="241"/>
        <v>4.4855450662269255E-3</v>
      </c>
      <c r="S959" s="22">
        <f t="shared" si="242"/>
        <v>-5.500523233838132E-4</v>
      </c>
      <c r="T959" s="22">
        <f t="shared" si="243"/>
        <v>1.1225392483594415E-2</v>
      </c>
      <c r="U959" s="22">
        <f t="shared" si="244"/>
        <v>5.9672715905115378E-3</v>
      </c>
      <c r="V959" s="22">
        <f t="shared" si="245"/>
        <v>-3.3434698566293156E-3</v>
      </c>
      <c r="W959" s="22">
        <f t="shared" si="246"/>
        <v>-5.7780665472857351E-3</v>
      </c>
      <c r="X959" s="22">
        <f t="shared" si="247"/>
        <v>-8.5709335866712283E-3</v>
      </c>
    </row>
    <row r="960" spans="1:24" x14ac:dyDescent="0.35">
      <c r="A960" s="3">
        <v>11.95</v>
      </c>
      <c r="B960" s="3">
        <v>65.52</v>
      </c>
      <c r="C960" s="3">
        <v>146.28</v>
      </c>
      <c r="D960" s="3">
        <v>17.05</v>
      </c>
      <c r="E960" s="3">
        <v>55.13</v>
      </c>
      <c r="F960" s="3">
        <v>98.995782000000005</v>
      </c>
      <c r="G960" s="3">
        <v>93.742940000000004</v>
      </c>
      <c r="H960" s="3">
        <v>90.186155999999997</v>
      </c>
      <c r="I960" s="17">
        <f t="shared" si="232"/>
        <v>1.4431239388794561E-2</v>
      </c>
      <c r="J960" s="17">
        <f t="shared" si="233"/>
        <v>1.681700045864538E-3</v>
      </c>
      <c r="K960" s="17">
        <f t="shared" si="234"/>
        <v>1.0151232649678881E-2</v>
      </c>
      <c r="L960" s="17">
        <f t="shared" si="235"/>
        <v>7.6832151300235815E-3</v>
      </c>
      <c r="M960" s="17">
        <f t="shared" si="236"/>
        <v>1.3232861606322477E-2</v>
      </c>
      <c r="N960" s="17">
        <f t="shared" si="237"/>
        <v>9.8879661783227483E-4</v>
      </c>
      <c r="O960" s="17">
        <f t="shared" si="238"/>
        <v>7.4908641274215148E-4</v>
      </c>
      <c r="P960" s="17">
        <f t="shared" si="239"/>
        <v>2.8545934299337283E-3</v>
      </c>
      <c r="Q960" s="22">
        <f t="shared" si="240"/>
        <v>1.4036765518409827E-2</v>
      </c>
      <c r="R960" s="22">
        <f t="shared" si="241"/>
        <v>1.2509753317873746E-3</v>
      </c>
      <c r="S960" s="22">
        <f t="shared" si="242"/>
        <v>9.7392732628414341E-3</v>
      </c>
      <c r="T960" s="22">
        <f t="shared" si="243"/>
        <v>7.5517636207906632E-3</v>
      </c>
      <c r="U960" s="22">
        <f t="shared" si="244"/>
        <v>1.2539633659368714E-2</v>
      </c>
      <c r="V960" s="22">
        <f t="shared" si="245"/>
        <v>1.2234004273354551E-3</v>
      </c>
      <c r="W960" s="22">
        <f t="shared" si="246"/>
        <v>1.0033349668328545E-3</v>
      </c>
      <c r="X960" s="22">
        <f t="shared" si="247"/>
        <v>3.1705378145400671E-3</v>
      </c>
    </row>
    <row r="961" spans="1:24" x14ac:dyDescent="0.35">
      <c r="A961" s="3">
        <v>11.78</v>
      </c>
      <c r="B961" s="3">
        <v>64.540000000000006</v>
      </c>
      <c r="C961" s="3">
        <v>144.28</v>
      </c>
      <c r="D961" s="3">
        <v>16.91</v>
      </c>
      <c r="E961" s="3">
        <v>54.94</v>
      </c>
      <c r="F961" s="3">
        <v>98.770628000000002</v>
      </c>
      <c r="G961" s="3">
        <v>93.494240000000005</v>
      </c>
      <c r="H961" s="3">
        <v>89.745215000000002</v>
      </c>
      <c r="I961" s="17">
        <f t="shared" si="232"/>
        <v>-1.4225941422594137E-2</v>
      </c>
      <c r="J961" s="17">
        <f t="shared" si="233"/>
        <v>-1.4957264957264802E-2</v>
      </c>
      <c r="K961" s="17">
        <f t="shared" si="234"/>
        <v>-1.3672409078479627E-2</v>
      </c>
      <c r="L961" s="17">
        <f t="shared" si="235"/>
        <v>-8.2111436950146957E-3</v>
      </c>
      <c r="M961" s="17">
        <f t="shared" si="236"/>
        <v>-3.4463994195538692E-3</v>
      </c>
      <c r="N961" s="17">
        <f t="shared" si="237"/>
        <v>-2.2743797306435075E-3</v>
      </c>
      <c r="O961" s="17">
        <f t="shared" si="238"/>
        <v>-2.6529997885707387E-3</v>
      </c>
      <c r="P961" s="17">
        <f t="shared" si="239"/>
        <v>-4.889231557890051E-3</v>
      </c>
      <c r="Q961" s="22">
        <f t="shared" si="240"/>
        <v>-1.4620415292978872E-2</v>
      </c>
      <c r="R961" s="22">
        <f t="shared" si="241"/>
        <v>-1.5387989671341966E-2</v>
      </c>
      <c r="S961" s="22">
        <f t="shared" si="242"/>
        <v>-1.4084368465317075E-2</v>
      </c>
      <c r="T961" s="22">
        <f t="shared" si="243"/>
        <v>-8.3425952042476131E-3</v>
      </c>
      <c r="U961" s="22">
        <f t="shared" si="244"/>
        <v>-4.1396273665076314E-3</v>
      </c>
      <c r="V961" s="22">
        <f t="shared" si="245"/>
        <v>-2.0397759211403274E-3</v>
      </c>
      <c r="W961" s="22">
        <f t="shared" si="246"/>
        <v>-2.3987512344800358E-3</v>
      </c>
      <c r="X961" s="22">
        <f t="shared" si="247"/>
        <v>-4.5732871732837126E-3</v>
      </c>
    </row>
    <row r="962" spans="1:24" x14ac:dyDescent="0.35">
      <c r="A962" s="3">
        <v>11.67</v>
      </c>
      <c r="B962" s="3">
        <v>64.569999999999993</v>
      </c>
      <c r="C962" s="3">
        <v>142.08000000000001</v>
      </c>
      <c r="D962" s="3">
        <v>16.75</v>
      </c>
      <c r="E962" s="3">
        <v>53.64</v>
      </c>
      <c r="F962" s="3">
        <v>98.119607000000002</v>
      </c>
      <c r="G962" s="3">
        <v>92.750479999999996</v>
      </c>
      <c r="H962" s="3">
        <v>88.678543000000005</v>
      </c>
      <c r="I962" s="17">
        <f t="shared" si="232"/>
        <v>-9.3378607809846727E-3</v>
      </c>
      <c r="J962" s="17">
        <f t="shared" si="233"/>
        <v>4.6482801363475243E-4</v>
      </c>
      <c r="K962" s="17">
        <f t="shared" si="234"/>
        <v>-1.5248128638757892E-2</v>
      </c>
      <c r="L962" s="17">
        <f t="shared" si="235"/>
        <v>-9.4618568894145553E-3</v>
      </c>
      <c r="M962" s="17">
        <f t="shared" si="236"/>
        <v>-2.3662176920276615E-2</v>
      </c>
      <c r="N962" s="17">
        <f t="shared" si="237"/>
        <v>-6.5912408697047066E-3</v>
      </c>
      <c r="O962" s="17">
        <f t="shared" si="238"/>
        <v>-7.955142477226498E-3</v>
      </c>
      <c r="P962" s="17">
        <f t="shared" si="239"/>
        <v>-1.1885558466821846E-2</v>
      </c>
      <c r="Q962" s="22">
        <f t="shared" si="240"/>
        <v>-9.7323346513694068E-3</v>
      </c>
      <c r="R962" s="22">
        <f t="shared" si="241"/>
        <v>3.4103299557588921E-5</v>
      </c>
      <c r="S962" s="22">
        <f t="shared" si="242"/>
        <v>-1.5660088025595337E-2</v>
      </c>
      <c r="T962" s="22">
        <f t="shared" si="243"/>
        <v>-9.5933083986474727E-3</v>
      </c>
      <c r="U962" s="22">
        <f t="shared" si="244"/>
        <v>-2.4355404867230378E-2</v>
      </c>
      <c r="V962" s="22">
        <f t="shared" si="245"/>
        <v>-6.3566370602015261E-3</v>
      </c>
      <c r="W962" s="22">
        <f t="shared" si="246"/>
        <v>-7.7008939231357947E-3</v>
      </c>
      <c r="X962" s="22">
        <f t="shared" si="247"/>
        <v>-1.1569614082215508E-2</v>
      </c>
    </row>
    <row r="963" spans="1:24" x14ac:dyDescent="0.35">
      <c r="A963" s="3">
        <v>11.7</v>
      </c>
      <c r="B963" s="3">
        <v>64.260000000000005</v>
      </c>
      <c r="C963" s="3">
        <v>144.44</v>
      </c>
      <c r="D963" s="3">
        <v>16.53</v>
      </c>
      <c r="E963" s="3">
        <v>50.84</v>
      </c>
      <c r="F963" s="3">
        <v>97.898137000000006</v>
      </c>
      <c r="G963" s="3">
        <v>92.327276999999995</v>
      </c>
      <c r="H963" s="3">
        <v>88.248951000000005</v>
      </c>
      <c r="I963" s="17">
        <f t="shared" si="232"/>
        <v>2.5706940874035441E-3</v>
      </c>
      <c r="J963" s="17">
        <f t="shared" si="233"/>
        <v>-4.8009911723708859E-3</v>
      </c>
      <c r="K963" s="17">
        <f t="shared" si="234"/>
        <v>1.6610360360360253E-2</v>
      </c>
      <c r="L963" s="17">
        <f t="shared" si="235"/>
        <v>-1.3134328358208887E-2</v>
      </c>
      <c r="M963" s="17">
        <f t="shared" si="236"/>
        <v>-5.2199850857568925E-2</v>
      </c>
      <c r="N963" s="17">
        <f t="shared" si="237"/>
        <v>-2.2571431620185402E-3</v>
      </c>
      <c r="O963" s="17">
        <f t="shared" si="238"/>
        <v>-4.5628119660405088E-3</v>
      </c>
      <c r="P963" s="17">
        <f t="shared" si="239"/>
        <v>-4.8443736834963506E-3</v>
      </c>
      <c r="Q963" s="22">
        <f t="shared" si="240"/>
        <v>2.1762202170188109E-3</v>
      </c>
      <c r="R963" s="22">
        <f t="shared" si="241"/>
        <v>-5.2317158864480491E-3</v>
      </c>
      <c r="S963" s="22">
        <f t="shared" si="242"/>
        <v>1.6198400973522806E-2</v>
      </c>
      <c r="T963" s="22">
        <f t="shared" si="243"/>
        <v>-1.3265779867441804E-2</v>
      </c>
      <c r="U963" s="22">
        <f t="shared" si="244"/>
        <v>-5.2893078804522688E-2</v>
      </c>
      <c r="V963" s="22">
        <f t="shared" si="245"/>
        <v>-2.0225393525153601E-3</v>
      </c>
      <c r="W963" s="22">
        <f t="shared" si="246"/>
        <v>-4.3085634119498055E-3</v>
      </c>
      <c r="X963" s="22">
        <f t="shared" si="247"/>
        <v>-4.5284292988900122E-3</v>
      </c>
    </row>
    <row r="964" spans="1:24" x14ac:dyDescent="0.35">
      <c r="A964" s="3">
        <v>11.95</v>
      </c>
      <c r="B964" s="3">
        <v>63.91</v>
      </c>
      <c r="C964" s="3">
        <v>142.1</v>
      </c>
      <c r="D964" s="3">
        <v>16.46</v>
      </c>
      <c r="E964" s="3">
        <v>51.56</v>
      </c>
      <c r="F964" s="3">
        <v>98.260506000000007</v>
      </c>
      <c r="G964" s="3">
        <v>92.804997</v>
      </c>
      <c r="H964" s="3">
        <v>88.888778000000002</v>
      </c>
      <c r="I964" s="17">
        <f t="shared" ref="I964:I1009" si="248">(A964-A963)/A963</f>
        <v>2.1367521367521368E-2</v>
      </c>
      <c r="J964" s="17">
        <f t="shared" ref="J964:J1009" si="249">(B964-B963)/B963</f>
        <v>-5.4466230936820494E-3</v>
      </c>
      <c r="K964" s="17">
        <f t="shared" ref="K964:K1009" si="250">(C964-C963)/C963</f>
        <v>-1.6200498476876237E-2</v>
      </c>
      <c r="L964" s="17">
        <f t="shared" ref="L964:L1009" si="251">(D964-D963)/D963</f>
        <v>-4.2347247428917286E-3</v>
      </c>
      <c r="M964" s="17">
        <f t="shared" ref="M964:M1009" si="252">(E964-E963)/E963</f>
        <v>1.4162077104641992E-2</v>
      </c>
      <c r="N964" s="17">
        <f t="shared" ref="N964:N1009" si="253">(F964-F963)/F963</f>
        <v>3.7014902540995344E-3</v>
      </c>
      <c r="O964" s="17">
        <f t="shared" ref="O964:O1009" si="254">(G964-G963)/G963</f>
        <v>5.1742022024542653E-3</v>
      </c>
      <c r="P964" s="17">
        <f t="shared" ref="P964:P1009" si="255">(H964-H963)/H963</f>
        <v>7.2502504873966922E-3</v>
      </c>
      <c r="Q964" s="22">
        <f t="shared" si="240"/>
        <v>2.0973047497136636E-2</v>
      </c>
      <c r="R964" s="22">
        <f t="shared" si="241"/>
        <v>-5.8773478077592126E-3</v>
      </c>
      <c r="S964" s="22">
        <f t="shared" si="242"/>
        <v>-1.6612457863713685E-2</v>
      </c>
      <c r="T964" s="22">
        <f t="shared" si="243"/>
        <v>-4.3661762521246469E-3</v>
      </c>
      <c r="U964" s="22">
        <f t="shared" si="244"/>
        <v>1.3468849157688229E-2</v>
      </c>
      <c r="V964" s="22">
        <f t="shared" si="245"/>
        <v>3.9360940636027145E-3</v>
      </c>
      <c r="W964" s="22">
        <f t="shared" si="246"/>
        <v>5.4284507565449686E-3</v>
      </c>
      <c r="X964" s="22">
        <f t="shared" si="247"/>
        <v>7.5661948720030306E-3</v>
      </c>
    </row>
    <row r="965" spans="1:24" x14ac:dyDescent="0.35">
      <c r="A965" s="3">
        <v>11.94</v>
      </c>
      <c r="B965" s="3">
        <v>63.08</v>
      </c>
      <c r="C965" s="3">
        <v>140.62</v>
      </c>
      <c r="D965" s="3">
        <v>16.64</v>
      </c>
      <c r="E965" s="3">
        <v>49.98</v>
      </c>
      <c r="F965" s="3">
        <v>98.251472000000007</v>
      </c>
      <c r="G965" s="3">
        <v>92.919669999999996</v>
      </c>
      <c r="H965" s="3">
        <v>88.742159000000001</v>
      </c>
      <c r="I965" s="17">
        <f t="shared" si="248"/>
        <v>-8.3682008368199054E-4</v>
      </c>
      <c r="J965" s="17">
        <f t="shared" si="249"/>
        <v>-1.2987012987012962E-2</v>
      </c>
      <c r="K965" s="17">
        <f t="shared" si="250"/>
        <v>-1.0415200562983742E-2</v>
      </c>
      <c r="L965" s="17">
        <f t="shared" si="251"/>
        <v>1.0935601458080176E-2</v>
      </c>
      <c r="M965" s="17">
        <f t="shared" si="252"/>
        <v>-3.0643910007758055E-2</v>
      </c>
      <c r="N965" s="17">
        <f t="shared" si="253"/>
        <v>-9.1939278228424392E-5</v>
      </c>
      <c r="O965" s="17">
        <f t="shared" si="254"/>
        <v>1.235633895877355E-3</v>
      </c>
      <c r="P965" s="17">
        <f t="shared" si="255"/>
        <v>-1.6494658077086082E-3</v>
      </c>
      <c r="Q965" s="22">
        <f t="shared" ref="Q965:Q1009" si="256">I965-AB$2</f>
        <v>-1.2312939540667239E-3</v>
      </c>
      <c r="R965" s="22">
        <f t="shared" ref="R965:R1009" si="257">J965-AC$2</f>
        <v>-1.3417737701090126E-2</v>
      </c>
      <c r="S965" s="22">
        <f t="shared" ref="S965:S1009" si="258">K965-AD$2</f>
        <v>-1.082715994982119E-2</v>
      </c>
      <c r="T965" s="22">
        <f t="shared" ref="T965:T1009" si="259">L965-AE$2</f>
        <v>1.0804149948847258E-2</v>
      </c>
      <c r="U965" s="22">
        <f t="shared" ref="U965:U1009" si="260">M965-AF$2</f>
        <v>-3.1337137954711818E-2</v>
      </c>
      <c r="V965" s="22">
        <f t="shared" ref="V965:V1009" si="261">N965-AG$2</f>
        <v>1.4266453127475588E-4</v>
      </c>
      <c r="W965" s="22">
        <f t="shared" ref="W965:W1009" si="262">O965-AH$2</f>
        <v>1.4898824499680581E-3</v>
      </c>
      <c r="X965" s="22">
        <f t="shared" ref="X965:X1009" si="263">P965-AI$2</f>
        <v>-1.3335214231022694E-3</v>
      </c>
    </row>
    <row r="966" spans="1:24" x14ac:dyDescent="0.35">
      <c r="A966" s="3">
        <v>11.01</v>
      </c>
      <c r="B966" s="3">
        <v>64.86</v>
      </c>
      <c r="C966" s="3">
        <v>140.99</v>
      </c>
      <c r="D966" s="3">
        <v>16.8</v>
      </c>
      <c r="E966" s="3">
        <v>50.93</v>
      </c>
      <c r="F966" s="3">
        <v>98.242496000000003</v>
      </c>
      <c r="G966" s="3">
        <v>92.854768000000007</v>
      </c>
      <c r="H966" s="3">
        <v>88.709485999999998</v>
      </c>
      <c r="I966" s="17">
        <f t="shared" si="248"/>
        <v>-7.7889447236180881E-2</v>
      </c>
      <c r="J966" s="17">
        <f t="shared" si="249"/>
        <v>2.8218135700697547E-2</v>
      </c>
      <c r="K966" s="17">
        <f t="shared" si="250"/>
        <v>2.6312046650547897E-3</v>
      </c>
      <c r="L966" s="17">
        <f t="shared" si="251"/>
        <v>9.6153846153846229E-3</v>
      </c>
      <c r="M966" s="17">
        <f t="shared" si="252"/>
        <v>1.9007603041216545E-2</v>
      </c>
      <c r="N966" s="17">
        <f t="shared" si="253"/>
        <v>-9.135740989207868E-5</v>
      </c>
      <c r="O966" s="17">
        <f t="shared" si="254"/>
        <v>-6.984742842929744E-4</v>
      </c>
      <c r="P966" s="17">
        <f t="shared" si="255"/>
        <v>-3.6817900722927664E-4</v>
      </c>
      <c r="Q966" s="22">
        <f t="shared" si="256"/>
        <v>-7.828392110656561E-2</v>
      </c>
      <c r="R966" s="22">
        <f t="shared" si="257"/>
        <v>2.7787410986620385E-2</v>
      </c>
      <c r="S966" s="22">
        <f t="shared" si="258"/>
        <v>2.2192452782173427E-3</v>
      </c>
      <c r="T966" s="22">
        <f t="shared" si="259"/>
        <v>9.4839331061517054E-3</v>
      </c>
      <c r="U966" s="22">
        <f t="shared" si="260"/>
        <v>1.8314375094262782E-2</v>
      </c>
      <c r="V966" s="22">
        <f t="shared" si="261"/>
        <v>1.4324639961110162E-4</v>
      </c>
      <c r="W966" s="22">
        <f t="shared" si="262"/>
        <v>-4.4422573020227139E-4</v>
      </c>
      <c r="X966" s="22">
        <f t="shared" si="263"/>
        <v>-5.2234622622937868E-5</v>
      </c>
    </row>
    <row r="967" spans="1:24" x14ac:dyDescent="0.35">
      <c r="A967" s="3">
        <v>10.59</v>
      </c>
      <c r="B967" s="3">
        <v>62.18</v>
      </c>
      <c r="C967" s="3">
        <v>139.09</v>
      </c>
      <c r="D967" s="3">
        <v>16.260000000000002</v>
      </c>
      <c r="E967" s="3">
        <v>49.5</v>
      </c>
      <c r="F967" s="3">
        <v>98.268913999999995</v>
      </c>
      <c r="G967" s="3">
        <v>92.834834999999998</v>
      </c>
      <c r="H967" s="3">
        <v>88.620199</v>
      </c>
      <c r="I967" s="17">
        <f t="shared" si="248"/>
        <v>-3.8147138964577651E-2</v>
      </c>
      <c r="J967" s="17">
        <f t="shared" si="249"/>
        <v>-4.1319765649090345E-2</v>
      </c>
      <c r="K967" s="17">
        <f t="shared" si="250"/>
        <v>-1.3476133059082244E-2</v>
      </c>
      <c r="L967" s="17">
        <f t="shared" si="251"/>
        <v>-3.2142857142857091E-2</v>
      </c>
      <c r="M967" s="17">
        <f t="shared" si="252"/>
        <v>-2.8077753779697619E-2</v>
      </c>
      <c r="N967" s="17">
        <f t="shared" si="253"/>
        <v>2.6890603430914972E-4</v>
      </c>
      <c r="O967" s="17">
        <f t="shared" si="254"/>
        <v>-2.1466856715434213E-4</v>
      </c>
      <c r="P967" s="17">
        <f t="shared" si="255"/>
        <v>-1.0065101718659353E-3</v>
      </c>
      <c r="Q967" s="22">
        <f t="shared" si="256"/>
        <v>-3.8541612834962387E-2</v>
      </c>
      <c r="R967" s="22">
        <f t="shared" si="257"/>
        <v>-4.1750490363167511E-2</v>
      </c>
      <c r="S967" s="22">
        <f t="shared" si="258"/>
        <v>-1.3888092445919691E-2</v>
      </c>
      <c r="T967" s="22">
        <f t="shared" si="259"/>
        <v>-3.2274308652090009E-2</v>
      </c>
      <c r="U967" s="22">
        <f t="shared" si="260"/>
        <v>-2.8770981726651382E-2</v>
      </c>
      <c r="V967" s="22">
        <f t="shared" si="261"/>
        <v>5.0350984381232998E-4</v>
      </c>
      <c r="W967" s="22">
        <f t="shared" si="262"/>
        <v>3.9579986936360878E-5</v>
      </c>
      <c r="X967" s="22">
        <f t="shared" si="263"/>
        <v>-6.9056578725959646E-4</v>
      </c>
    </row>
    <row r="968" spans="1:24" x14ac:dyDescent="0.35">
      <c r="A968" s="3">
        <v>10.62</v>
      </c>
      <c r="B968" s="3">
        <v>61.9</v>
      </c>
      <c r="C968" s="3">
        <v>137.94999999999999</v>
      </c>
      <c r="D968" s="3">
        <v>16.010000000000002</v>
      </c>
      <c r="E968" s="3">
        <v>48.81</v>
      </c>
      <c r="F968" s="3">
        <v>98.720472999999998</v>
      </c>
      <c r="G968" s="3">
        <v>93.264101999999994</v>
      </c>
      <c r="H968" s="3">
        <v>89.099188999999996</v>
      </c>
      <c r="I968" s="17">
        <f t="shared" si="248"/>
        <v>2.8328611898016396E-3</v>
      </c>
      <c r="J968" s="17">
        <f t="shared" si="249"/>
        <v>-4.5030556449019163E-3</v>
      </c>
      <c r="K968" s="17">
        <f t="shared" si="250"/>
        <v>-8.1961320008628567E-3</v>
      </c>
      <c r="L968" s="17">
        <f t="shared" si="251"/>
        <v>-1.5375153751537514E-2</v>
      </c>
      <c r="M968" s="17">
        <f t="shared" si="252"/>
        <v>-1.3939393939393894E-2</v>
      </c>
      <c r="N968" s="17">
        <f t="shared" si="253"/>
        <v>4.59513575167833E-3</v>
      </c>
      <c r="O968" s="17">
        <f t="shared" si="254"/>
        <v>4.6239862439567628E-3</v>
      </c>
      <c r="P968" s="17">
        <f t="shared" si="255"/>
        <v>5.4049754503484697E-3</v>
      </c>
      <c r="Q968" s="22">
        <f t="shared" si="256"/>
        <v>2.4383873194169063E-3</v>
      </c>
      <c r="R968" s="22">
        <f t="shared" si="257"/>
        <v>-4.9337803589790796E-3</v>
      </c>
      <c r="S968" s="22">
        <f t="shared" si="258"/>
        <v>-8.6080913877003042E-3</v>
      </c>
      <c r="T968" s="22">
        <f t="shared" si="259"/>
        <v>-1.5506605260770431E-2</v>
      </c>
      <c r="U968" s="22">
        <f t="shared" si="260"/>
        <v>-1.4632621886347657E-2</v>
      </c>
      <c r="V968" s="22">
        <f t="shared" si="261"/>
        <v>4.8297395611815105E-3</v>
      </c>
      <c r="W968" s="22">
        <f t="shared" si="262"/>
        <v>4.8782347980474662E-3</v>
      </c>
      <c r="X968" s="22">
        <f t="shared" si="263"/>
        <v>5.7209198349548081E-3</v>
      </c>
    </row>
    <row r="969" spans="1:24" x14ac:dyDescent="0.35">
      <c r="A969" s="3">
        <v>10.54</v>
      </c>
      <c r="B969" s="3">
        <v>62.16</v>
      </c>
      <c r="C969" s="3">
        <v>139.33000000000001</v>
      </c>
      <c r="D969" s="3">
        <v>15.81</v>
      </c>
      <c r="E969" s="3">
        <v>48.38</v>
      </c>
      <c r="F969" s="3">
        <v>98.799193000000002</v>
      </c>
      <c r="G969" s="3">
        <v>93.428634000000002</v>
      </c>
      <c r="H969" s="3">
        <v>89.228566999999998</v>
      </c>
      <c r="I969" s="17">
        <f t="shared" si="248"/>
        <v>-7.5329566854990659E-3</v>
      </c>
      <c r="J969" s="17">
        <f t="shared" si="249"/>
        <v>4.2003231017770275E-3</v>
      </c>
      <c r="K969" s="17">
        <f t="shared" si="250"/>
        <v>1.0003624501631199E-2</v>
      </c>
      <c r="L969" s="17">
        <f t="shared" si="251"/>
        <v>-1.2492192379762714E-2</v>
      </c>
      <c r="M969" s="17">
        <f t="shared" si="252"/>
        <v>-8.809670149559511E-3</v>
      </c>
      <c r="N969" s="17">
        <f t="shared" si="253"/>
        <v>7.9740298651125908E-4</v>
      </c>
      <c r="O969" s="17">
        <f t="shared" si="254"/>
        <v>1.7641514416769739E-3</v>
      </c>
      <c r="P969" s="17">
        <f t="shared" si="255"/>
        <v>1.4520670889608509E-3</v>
      </c>
      <c r="Q969" s="22">
        <f t="shared" si="256"/>
        <v>-7.9274305558838E-3</v>
      </c>
      <c r="R969" s="22">
        <f t="shared" si="257"/>
        <v>3.7695983876998638E-3</v>
      </c>
      <c r="S969" s="22">
        <f t="shared" si="258"/>
        <v>9.5916651147937518E-3</v>
      </c>
      <c r="T969" s="22">
        <f t="shared" si="259"/>
        <v>-1.2623643888995631E-2</v>
      </c>
      <c r="U969" s="22">
        <f t="shared" si="260"/>
        <v>-9.502898096513274E-3</v>
      </c>
      <c r="V969" s="22">
        <f t="shared" si="261"/>
        <v>1.0320067960144393E-3</v>
      </c>
      <c r="W969" s="22">
        <f t="shared" si="262"/>
        <v>2.0183999957676768E-3</v>
      </c>
      <c r="X969" s="22">
        <f t="shared" si="263"/>
        <v>1.7680114735671897E-3</v>
      </c>
    </row>
    <row r="970" spans="1:24" x14ac:dyDescent="0.35">
      <c r="A970" s="3">
        <v>10.57</v>
      </c>
      <c r="B970" s="3">
        <v>61.47</v>
      </c>
      <c r="C970" s="3">
        <v>141.78</v>
      </c>
      <c r="D970" s="3">
        <v>15.91</v>
      </c>
      <c r="E970" s="3">
        <v>49.13</v>
      </c>
      <c r="F970" s="3">
        <v>98.154660000000007</v>
      </c>
      <c r="G970" s="3">
        <v>92.468902</v>
      </c>
      <c r="H970" s="3">
        <v>88.233483000000007</v>
      </c>
      <c r="I970" s="17">
        <f t="shared" si="248"/>
        <v>2.8462998102467872E-3</v>
      </c>
      <c r="J970" s="17">
        <f t="shared" si="249"/>
        <v>-1.1100386100386064E-2</v>
      </c>
      <c r="K970" s="17">
        <f t="shared" si="250"/>
        <v>1.7584152730926495E-2</v>
      </c>
      <c r="L970" s="17">
        <f t="shared" si="251"/>
        <v>6.3251106894370423E-3</v>
      </c>
      <c r="M970" s="17">
        <f t="shared" si="252"/>
        <v>1.5502273666804465E-2</v>
      </c>
      <c r="N970" s="17">
        <f t="shared" si="253"/>
        <v>-6.5236666457386509E-3</v>
      </c>
      <c r="O970" s="17">
        <f t="shared" si="254"/>
        <v>-1.0272353976619228E-2</v>
      </c>
      <c r="P970" s="17">
        <f t="shared" si="255"/>
        <v>-1.1152078683500447E-2</v>
      </c>
      <c r="Q970" s="22">
        <f t="shared" si="256"/>
        <v>2.451825939862054E-3</v>
      </c>
      <c r="R970" s="22">
        <f t="shared" si="257"/>
        <v>-1.1531110814463228E-2</v>
      </c>
      <c r="S970" s="22">
        <f t="shared" si="258"/>
        <v>1.7172193344089048E-2</v>
      </c>
      <c r="T970" s="22">
        <f t="shared" si="259"/>
        <v>6.193659180204124E-3</v>
      </c>
      <c r="U970" s="22">
        <f t="shared" si="260"/>
        <v>1.4809045719850701E-2</v>
      </c>
      <c r="V970" s="22">
        <f t="shared" si="261"/>
        <v>-6.2890628362354704E-3</v>
      </c>
      <c r="W970" s="22">
        <f t="shared" si="262"/>
        <v>-1.0018105422528525E-2</v>
      </c>
      <c r="X970" s="22">
        <f t="shared" si="263"/>
        <v>-1.0836134298894108E-2</v>
      </c>
    </row>
    <row r="971" spans="1:24" x14ac:dyDescent="0.35">
      <c r="A971" s="3">
        <v>10.47</v>
      </c>
      <c r="B971" s="3">
        <v>63.12</v>
      </c>
      <c r="C971" s="3">
        <v>143.22</v>
      </c>
      <c r="D971" s="3">
        <v>16.190000000000001</v>
      </c>
      <c r="E971" s="3">
        <v>50.31</v>
      </c>
      <c r="F971" s="3">
        <v>98.075907000000001</v>
      </c>
      <c r="G971" s="3">
        <v>92.538433999999995</v>
      </c>
      <c r="H971" s="3">
        <v>88.145512999999994</v>
      </c>
      <c r="I971" s="17">
        <f t="shared" si="248"/>
        <v>-9.4607379375590949E-3</v>
      </c>
      <c r="J971" s="17">
        <f t="shared" si="249"/>
        <v>2.6842362127867229E-2</v>
      </c>
      <c r="K971" s="17">
        <f t="shared" si="250"/>
        <v>1.0156580617858638E-2</v>
      </c>
      <c r="L971" s="17">
        <f t="shared" si="251"/>
        <v>1.7598994343180459E-2</v>
      </c>
      <c r="M971" s="17">
        <f t="shared" si="252"/>
        <v>2.4017911662935064E-2</v>
      </c>
      <c r="N971" s="17">
        <f t="shared" si="253"/>
        <v>-8.0233582389268188E-4</v>
      </c>
      <c r="O971" s="17">
        <f t="shared" si="254"/>
        <v>7.5195009885588629E-4</v>
      </c>
      <c r="P971" s="17">
        <f t="shared" si="255"/>
        <v>-9.9701379803869648E-4</v>
      </c>
      <c r="Q971" s="22">
        <f t="shared" si="256"/>
        <v>-9.855211807943829E-3</v>
      </c>
      <c r="R971" s="22">
        <f t="shared" si="257"/>
        <v>2.6411637413790066E-2</v>
      </c>
      <c r="S971" s="22">
        <f t="shared" si="258"/>
        <v>9.7446212310211902E-3</v>
      </c>
      <c r="T971" s="22">
        <f t="shared" si="259"/>
        <v>1.7467542833947542E-2</v>
      </c>
      <c r="U971" s="22">
        <f t="shared" si="260"/>
        <v>2.3324683715981301E-2</v>
      </c>
      <c r="V971" s="22">
        <f t="shared" si="261"/>
        <v>-5.6773201438950157E-4</v>
      </c>
      <c r="W971" s="22">
        <f t="shared" si="262"/>
        <v>1.0061986529465894E-3</v>
      </c>
      <c r="X971" s="22">
        <f t="shared" si="263"/>
        <v>-6.8106941343235765E-4</v>
      </c>
    </row>
    <row r="972" spans="1:24" x14ac:dyDescent="0.35">
      <c r="A972" s="3">
        <v>10.66</v>
      </c>
      <c r="B972" s="3">
        <v>62.58</v>
      </c>
      <c r="C972" s="3">
        <v>142.55000000000001</v>
      </c>
      <c r="D972" s="3">
        <v>15.97</v>
      </c>
      <c r="E972" s="3">
        <v>49.22</v>
      </c>
      <c r="F972" s="3">
        <v>98.489276000000004</v>
      </c>
      <c r="G972" s="3">
        <v>93.009377999999998</v>
      </c>
      <c r="H972" s="3">
        <v>88.902758000000006</v>
      </c>
      <c r="I972" s="17">
        <f t="shared" si="248"/>
        <v>1.8147086914995177E-2</v>
      </c>
      <c r="J972" s="17">
        <f t="shared" si="249"/>
        <v>-8.5551330798478951E-3</v>
      </c>
      <c r="K972" s="17">
        <f t="shared" si="250"/>
        <v>-4.6781175813433006E-3</v>
      </c>
      <c r="L972" s="17">
        <f t="shared" si="251"/>
        <v>-1.3588634959851799E-2</v>
      </c>
      <c r="M972" s="17">
        <f t="shared" si="252"/>
        <v>-2.1665672828463593E-2</v>
      </c>
      <c r="N972" s="17">
        <f t="shared" si="253"/>
        <v>4.2147864102852805E-3</v>
      </c>
      <c r="O972" s="17">
        <f t="shared" si="254"/>
        <v>5.0891719217984925E-3</v>
      </c>
      <c r="P972" s="17">
        <f t="shared" si="255"/>
        <v>8.5908513573460261E-3</v>
      </c>
      <c r="Q972" s="22">
        <f t="shared" si="256"/>
        <v>1.7752613044610444E-2</v>
      </c>
      <c r="R972" s="22">
        <f t="shared" si="257"/>
        <v>-8.9858577939250592E-3</v>
      </c>
      <c r="S972" s="22">
        <f t="shared" si="258"/>
        <v>-5.0900769681807472E-3</v>
      </c>
      <c r="T972" s="22">
        <f t="shared" si="259"/>
        <v>-1.3720086469084717E-2</v>
      </c>
      <c r="U972" s="22">
        <f t="shared" si="260"/>
        <v>-2.2358900775417356E-2</v>
      </c>
      <c r="V972" s="22">
        <f t="shared" si="261"/>
        <v>4.449390219788461E-3</v>
      </c>
      <c r="W972" s="22">
        <f t="shared" si="262"/>
        <v>5.3434204758891959E-3</v>
      </c>
      <c r="X972" s="22">
        <f t="shared" si="263"/>
        <v>8.9067957419523645E-3</v>
      </c>
    </row>
    <row r="973" spans="1:24" x14ac:dyDescent="0.35">
      <c r="A973" s="3">
        <v>11.58</v>
      </c>
      <c r="B973" s="3">
        <v>63.56</v>
      </c>
      <c r="C973" s="3">
        <v>149.16</v>
      </c>
      <c r="D973" s="3">
        <v>16.23</v>
      </c>
      <c r="E973" s="3">
        <v>50.29</v>
      </c>
      <c r="F973" s="3">
        <v>98.798096000000001</v>
      </c>
      <c r="G973" s="3">
        <v>93.572917000000004</v>
      </c>
      <c r="H973" s="3">
        <v>89.553650000000005</v>
      </c>
      <c r="I973" s="17">
        <f t="shared" si="248"/>
        <v>8.6303939962476539E-2</v>
      </c>
      <c r="J973" s="17">
        <f t="shared" si="249"/>
        <v>1.5659955257270756E-2</v>
      </c>
      <c r="K973" s="17">
        <f t="shared" si="250"/>
        <v>4.6369694843914309E-2</v>
      </c>
      <c r="L973" s="17">
        <f t="shared" si="251"/>
        <v>1.6280525986224155E-2</v>
      </c>
      <c r="M973" s="17">
        <f t="shared" si="252"/>
        <v>2.1739130434782615E-2</v>
      </c>
      <c r="N973" s="17">
        <f t="shared" si="253"/>
        <v>3.1355698055897697E-3</v>
      </c>
      <c r="O973" s="17">
        <f t="shared" si="254"/>
        <v>6.0589481632702218E-3</v>
      </c>
      <c r="P973" s="17">
        <f t="shared" si="255"/>
        <v>7.3213926614065098E-3</v>
      </c>
      <c r="Q973" s="22">
        <f t="shared" si="256"/>
        <v>8.590946609209181E-2</v>
      </c>
      <c r="R973" s="22">
        <f t="shared" si="257"/>
        <v>1.5229230543193592E-2</v>
      </c>
      <c r="S973" s="22">
        <f t="shared" si="258"/>
        <v>4.5957735457076862E-2</v>
      </c>
      <c r="T973" s="22">
        <f t="shared" si="259"/>
        <v>1.6149074476991238E-2</v>
      </c>
      <c r="U973" s="22">
        <f t="shared" si="260"/>
        <v>2.1045902487828852E-2</v>
      </c>
      <c r="V973" s="22">
        <f t="shared" si="261"/>
        <v>3.3701736150929498E-3</v>
      </c>
      <c r="W973" s="22">
        <f t="shared" si="262"/>
        <v>6.3131967173609251E-3</v>
      </c>
      <c r="X973" s="22">
        <f t="shared" si="263"/>
        <v>7.6373370460128482E-3</v>
      </c>
    </row>
    <row r="974" spans="1:24" x14ac:dyDescent="0.35">
      <c r="A974" s="3">
        <v>12.09</v>
      </c>
      <c r="B974" s="3">
        <v>66.14</v>
      </c>
      <c r="C974" s="3">
        <v>149.43</v>
      </c>
      <c r="D974" s="3">
        <v>15.82</v>
      </c>
      <c r="E974" s="3">
        <v>50.21</v>
      </c>
      <c r="F974" s="3">
        <v>99.124680999999995</v>
      </c>
      <c r="G974" s="3">
        <v>93.872793000000001</v>
      </c>
      <c r="H974" s="3">
        <v>89.855290999999994</v>
      </c>
      <c r="I974" s="17">
        <f t="shared" si="248"/>
        <v>4.4041450777202056E-2</v>
      </c>
      <c r="J974" s="17">
        <f t="shared" si="249"/>
        <v>4.0591567023285056E-2</v>
      </c>
      <c r="K974" s="17">
        <f t="shared" si="250"/>
        <v>1.810136765889047E-3</v>
      </c>
      <c r="L974" s="17">
        <f t="shared" si="251"/>
        <v>-2.5261860751694402E-2</v>
      </c>
      <c r="M974" s="17">
        <f t="shared" si="252"/>
        <v>-1.5907735136209643E-3</v>
      </c>
      <c r="N974" s="17">
        <f t="shared" si="253"/>
        <v>3.3055798970052456E-3</v>
      </c>
      <c r="O974" s="17">
        <f t="shared" si="254"/>
        <v>3.2047307021538891E-3</v>
      </c>
      <c r="P974" s="17">
        <f t="shared" si="255"/>
        <v>3.3682714216560616E-3</v>
      </c>
      <c r="Q974" s="22">
        <f t="shared" si="256"/>
        <v>4.364697690681732E-2</v>
      </c>
      <c r="R974" s="22">
        <f t="shared" si="257"/>
        <v>4.0160842309207891E-2</v>
      </c>
      <c r="S974" s="22">
        <f t="shared" si="258"/>
        <v>1.3981773790516E-3</v>
      </c>
      <c r="T974" s="22">
        <f t="shared" si="259"/>
        <v>-2.5393312260927319E-2</v>
      </c>
      <c r="U974" s="22">
        <f t="shared" si="260"/>
        <v>-2.2840014605747267E-3</v>
      </c>
      <c r="V974" s="22">
        <f t="shared" si="261"/>
        <v>3.5401837065084257E-3</v>
      </c>
      <c r="W974" s="22">
        <f t="shared" si="262"/>
        <v>3.458979256244592E-3</v>
      </c>
      <c r="X974" s="22">
        <f t="shared" si="263"/>
        <v>3.6842158062624004E-3</v>
      </c>
    </row>
    <row r="975" spans="1:24" x14ac:dyDescent="0.35">
      <c r="A975" s="3">
        <v>11.93</v>
      </c>
      <c r="B975" s="3">
        <v>66.53</v>
      </c>
      <c r="C975" s="3">
        <v>146.33000000000001</v>
      </c>
      <c r="D975" s="3">
        <v>15.4</v>
      </c>
      <c r="E975" s="3">
        <v>49.53</v>
      </c>
      <c r="F975" s="3">
        <v>99.434691999999998</v>
      </c>
      <c r="G975" s="3">
        <v>94.350373000000005</v>
      </c>
      <c r="H975" s="3">
        <v>90.282561000000001</v>
      </c>
      <c r="I975" s="17">
        <f t="shared" si="248"/>
        <v>-1.3234077750206795E-2</v>
      </c>
      <c r="J975" s="17">
        <f t="shared" si="249"/>
        <v>5.8965830057453967E-3</v>
      </c>
      <c r="K975" s="17">
        <f t="shared" si="250"/>
        <v>-2.0745499565013679E-2</v>
      </c>
      <c r="L975" s="17">
        <f t="shared" si="251"/>
        <v>-2.6548672566371678E-2</v>
      </c>
      <c r="M975" s="17">
        <f t="shared" si="252"/>
        <v>-1.3543118900617402E-2</v>
      </c>
      <c r="N975" s="17">
        <f t="shared" si="253"/>
        <v>3.1274854745812794E-3</v>
      </c>
      <c r="O975" s="17">
        <f t="shared" si="254"/>
        <v>5.0875230696502578E-3</v>
      </c>
      <c r="P975" s="17">
        <f t="shared" si="255"/>
        <v>4.7550900480641386E-3</v>
      </c>
      <c r="Q975" s="22">
        <f t="shared" si="256"/>
        <v>-1.3628551620591529E-2</v>
      </c>
      <c r="R975" s="22">
        <f t="shared" si="257"/>
        <v>5.4658582916682335E-3</v>
      </c>
      <c r="S975" s="22">
        <f t="shared" si="258"/>
        <v>-2.1157458951851126E-2</v>
      </c>
      <c r="T975" s="22">
        <f t="shared" si="259"/>
        <v>-2.6680124075604595E-2</v>
      </c>
      <c r="U975" s="22">
        <f t="shared" si="260"/>
        <v>-1.4236346847571165E-2</v>
      </c>
      <c r="V975" s="22">
        <f t="shared" si="261"/>
        <v>3.3620892840844595E-3</v>
      </c>
      <c r="W975" s="22">
        <f t="shared" si="262"/>
        <v>5.3417716237409612E-3</v>
      </c>
      <c r="X975" s="22">
        <f t="shared" si="263"/>
        <v>5.071034432670477E-3</v>
      </c>
    </row>
    <row r="976" spans="1:24" x14ac:dyDescent="0.35">
      <c r="A976" s="3">
        <v>11.55</v>
      </c>
      <c r="B976" s="3">
        <v>64.97</v>
      </c>
      <c r="C976" s="3">
        <v>145.33000000000001</v>
      </c>
      <c r="D976" s="3">
        <v>15.65</v>
      </c>
      <c r="E976" s="3">
        <v>48.56</v>
      </c>
      <c r="F976" s="3">
        <v>99.035728000000006</v>
      </c>
      <c r="G976" s="3">
        <v>93.877229</v>
      </c>
      <c r="H976" s="3">
        <v>89.674240999999995</v>
      </c>
      <c r="I976" s="17">
        <f t="shared" si="248"/>
        <v>-3.1852472757753478E-2</v>
      </c>
      <c r="J976" s="17">
        <f t="shared" si="249"/>
        <v>-2.3448068540508075E-2</v>
      </c>
      <c r="K976" s="17">
        <f t="shared" si="250"/>
        <v>-6.8338686530444882E-3</v>
      </c>
      <c r="L976" s="17">
        <f t="shared" si="251"/>
        <v>1.6233766233766232E-2</v>
      </c>
      <c r="M976" s="17">
        <f t="shared" si="252"/>
        <v>-1.9584090450232159E-2</v>
      </c>
      <c r="N976" s="17">
        <f t="shared" si="253"/>
        <v>-4.0123219771223545E-3</v>
      </c>
      <c r="O976" s="17">
        <f t="shared" si="254"/>
        <v>-5.0147549496174738E-3</v>
      </c>
      <c r="P976" s="17">
        <f t="shared" si="255"/>
        <v>-6.7379568463948004E-3</v>
      </c>
      <c r="Q976" s="22">
        <f t="shared" si="256"/>
        <v>-3.2246946628138214E-2</v>
      </c>
      <c r="R976" s="22">
        <f t="shared" si="257"/>
        <v>-2.3878793254585237E-2</v>
      </c>
      <c r="S976" s="22">
        <f t="shared" si="258"/>
        <v>-7.2458280398819347E-3</v>
      </c>
      <c r="T976" s="22">
        <f t="shared" si="259"/>
        <v>1.6102314724533315E-2</v>
      </c>
      <c r="U976" s="22">
        <f t="shared" si="260"/>
        <v>-2.0277318397185922E-2</v>
      </c>
      <c r="V976" s="22">
        <f t="shared" si="261"/>
        <v>-3.7777181676191744E-3</v>
      </c>
      <c r="W976" s="22">
        <f t="shared" si="262"/>
        <v>-4.7605063955267705E-3</v>
      </c>
      <c r="X976" s="22">
        <f t="shared" si="263"/>
        <v>-6.422012461788462E-3</v>
      </c>
    </row>
    <row r="977" spans="1:24" x14ac:dyDescent="0.35">
      <c r="A977" s="3">
        <v>11.28</v>
      </c>
      <c r="B977" s="3">
        <v>62.88</v>
      </c>
      <c r="C977" s="3">
        <v>145.93</v>
      </c>
      <c r="D977" s="3">
        <v>15.73</v>
      </c>
      <c r="E977" s="3">
        <v>47.66</v>
      </c>
      <c r="F977" s="3">
        <v>98.920941999999997</v>
      </c>
      <c r="G977" s="3">
        <v>93.721908999999997</v>
      </c>
      <c r="H977" s="3">
        <v>89.413005999999996</v>
      </c>
      <c r="I977" s="17">
        <f t="shared" si="248"/>
        <v>-2.3376623376623492E-2</v>
      </c>
      <c r="J977" s="17">
        <f t="shared" si="249"/>
        <v>-3.2168693243035187E-2</v>
      </c>
      <c r="K977" s="17">
        <f t="shared" si="250"/>
        <v>4.1285350581434961E-3</v>
      </c>
      <c r="L977" s="17">
        <f t="shared" si="251"/>
        <v>5.1118210862619853E-3</v>
      </c>
      <c r="M977" s="17">
        <f t="shared" si="252"/>
        <v>-1.8533772652388914E-2</v>
      </c>
      <c r="N977" s="17">
        <f t="shared" si="253"/>
        <v>-1.1590362621458124E-3</v>
      </c>
      <c r="O977" s="17">
        <f t="shared" si="254"/>
        <v>-1.6545013274731749E-3</v>
      </c>
      <c r="P977" s="17">
        <f t="shared" si="255"/>
        <v>-2.9131554065787882E-3</v>
      </c>
      <c r="Q977" s="22">
        <f t="shared" si="256"/>
        <v>-2.3771097247008224E-2</v>
      </c>
      <c r="R977" s="22">
        <f t="shared" si="257"/>
        <v>-3.2599417957112353E-2</v>
      </c>
      <c r="S977" s="22">
        <f t="shared" si="258"/>
        <v>3.7165756713060491E-3</v>
      </c>
      <c r="T977" s="22">
        <f t="shared" si="259"/>
        <v>4.980369577029067E-3</v>
      </c>
      <c r="U977" s="22">
        <f t="shared" si="260"/>
        <v>-1.9227000599342677E-2</v>
      </c>
      <c r="V977" s="22">
        <f t="shared" si="261"/>
        <v>-9.2443245264263213E-4</v>
      </c>
      <c r="W977" s="22">
        <f t="shared" si="262"/>
        <v>-1.400252773382472E-3</v>
      </c>
      <c r="X977" s="22">
        <f t="shared" si="263"/>
        <v>-2.5972110219724493E-3</v>
      </c>
    </row>
    <row r="978" spans="1:24" x14ac:dyDescent="0.35">
      <c r="A978" s="3">
        <v>10.94</v>
      </c>
      <c r="B978" s="3">
        <v>62.78</v>
      </c>
      <c r="C978" s="3">
        <v>144</v>
      </c>
      <c r="D978" s="3">
        <v>15.7</v>
      </c>
      <c r="E978" s="3">
        <v>47.69</v>
      </c>
      <c r="F978" s="3">
        <v>98.841724999999997</v>
      </c>
      <c r="G978" s="3">
        <v>93.477508</v>
      </c>
      <c r="H978" s="3">
        <v>89.266596000000007</v>
      </c>
      <c r="I978" s="17">
        <f t="shared" si="248"/>
        <v>-3.0141843971631194E-2</v>
      </c>
      <c r="J978" s="17">
        <f t="shared" si="249"/>
        <v>-1.5903307888040937E-3</v>
      </c>
      <c r="K978" s="17">
        <f t="shared" si="250"/>
        <v>-1.3225519084492611E-2</v>
      </c>
      <c r="L978" s="17">
        <f t="shared" si="251"/>
        <v>-1.9071837253656157E-3</v>
      </c>
      <c r="M978" s="17">
        <f t="shared" si="252"/>
        <v>6.2945866554765296E-4</v>
      </c>
      <c r="N978" s="17">
        <f t="shared" si="253"/>
        <v>-8.0081121750740988E-4</v>
      </c>
      <c r="O978" s="17">
        <f t="shared" si="254"/>
        <v>-2.6077253718764554E-3</v>
      </c>
      <c r="P978" s="17">
        <f t="shared" si="255"/>
        <v>-1.6374575305072377E-3</v>
      </c>
      <c r="Q978" s="22">
        <f t="shared" si="256"/>
        <v>-3.0536317842015926E-2</v>
      </c>
      <c r="R978" s="22">
        <f t="shared" si="257"/>
        <v>-2.0210555028812574E-3</v>
      </c>
      <c r="S978" s="22">
        <f t="shared" si="258"/>
        <v>-1.3637478471330058E-2</v>
      </c>
      <c r="T978" s="22">
        <f t="shared" si="259"/>
        <v>-2.0386352345985338E-3</v>
      </c>
      <c r="U978" s="22">
        <f t="shared" si="260"/>
        <v>-6.3769281406109548E-5</v>
      </c>
      <c r="V978" s="22">
        <f t="shared" si="261"/>
        <v>-5.6620740800422957E-4</v>
      </c>
      <c r="W978" s="22">
        <f t="shared" si="262"/>
        <v>-2.3534768177857525E-3</v>
      </c>
      <c r="X978" s="22">
        <f t="shared" si="263"/>
        <v>-1.3215131459008989E-3</v>
      </c>
    </row>
    <row r="979" spans="1:24" x14ac:dyDescent="0.35">
      <c r="A979" s="3">
        <v>10.96</v>
      </c>
      <c r="B979" s="3">
        <v>62.49</v>
      </c>
      <c r="C979" s="3">
        <v>143.78</v>
      </c>
      <c r="D979" s="3">
        <v>15.42</v>
      </c>
      <c r="E979" s="3">
        <v>47.34</v>
      </c>
      <c r="F979" s="3">
        <v>99.123317999999998</v>
      </c>
      <c r="G979" s="3">
        <v>93.801355000000001</v>
      </c>
      <c r="H979" s="3">
        <v>89.647914</v>
      </c>
      <c r="I979" s="17">
        <f t="shared" si="248"/>
        <v>1.8281535648995751E-3</v>
      </c>
      <c r="J979" s="17">
        <f t="shared" si="249"/>
        <v>-4.6193055113093202E-3</v>
      </c>
      <c r="K979" s="17">
        <f t="shared" si="250"/>
        <v>-1.5277777777777698E-3</v>
      </c>
      <c r="L979" s="17">
        <f t="shared" si="251"/>
        <v>-1.783439490445856E-2</v>
      </c>
      <c r="M979" s="17">
        <f t="shared" si="252"/>
        <v>-7.3390647934576288E-3</v>
      </c>
      <c r="N979" s="17">
        <f t="shared" si="253"/>
        <v>2.8489284257230524E-3</v>
      </c>
      <c r="O979" s="17">
        <f t="shared" si="254"/>
        <v>3.4644376698617241E-3</v>
      </c>
      <c r="P979" s="17">
        <f t="shared" si="255"/>
        <v>4.2716762718272927E-3</v>
      </c>
      <c r="Q979" s="22">
        <f t="shared" si="256"/>
        <v>1.4336796945148419E-3</v>
      </c>
      <c r="R979" s="22">
        <f t="shared" si="257"/>
        <v>-5.0500302253864834E-3</v>
      </c>
      <c r="S979" s="22">
        <f t="shared" si="258"/>
        <v>-1.9397371646152168E-3</v>
      </c>
      <c r="T979" s="22">
        <f t="shared" si="259"/>
        <v>-1.7965846413691478E-2</v>
      </c>
      <c r="U979" s="22">
        <f t="shared" si="260"/>
        <v>-8.0322927404113918E-3</v>
      </c>
      <c r="V979" s="22">
        <f t="shared" si="261"/>
        <v>3.0835322352262325E-3</v>
      </c>
      <c r="W979" s="22">
        <f t="shared" si="262"/>
        <v>3.718686223952427E-3</v>
      </c>
      <c r="X979" s="22">
        <f t="shared" si="263"/>
        <v>4.5876206564336311E-3</v>
      </c>
    </row>
    <row r="980" spans="1:24" x14ac:dyDescent="0.35">
      <c r="A980" s="3">
        <v>11.2</v>
      </c>
      <c r="B980" s="3">
        <v>63</v>
      </c>
      <c r="C980" s="3">
        <v>140.22999999999999</v>
      </c>
      <c r="D980" s="3">
        <v>15.45</v>
      </c>
      <c r="E980" s="3">
        <v>47.85</v>
      </c>
      <c r="F980" s="3">
        <v>99.396327999999997</v>
      </c>
      <c r="G980" s="3">
        <v>94.141014999999996</v>
      </c>
      <c r="H980" s="3">
        <v>90.015017</v>
      </c>
      <c r="I980" s="17">
        <f t="shared" si="248"/>
        <v>2.1897810218977957E-2</v>
      </c>
      <c r="J980" s="17">
        <f t="shared" si="249"/>
        <v>8.1613058089293963E-3</v>
      </c>
      <c r="K980" s="17">
        <f t="shared" si="250"/>
        <v>-2.4690499374043755E-2</v>
      </c>
      <c r="L980" s="17">
        <f t="shared" si="251"/>
        <v>1.9455252918287524E-3</v>
      </c>
      <c r="M980" s="17">
        <f t="shared" si="252"/>
        <v>1.077313054499362E-2</v>
      </c>
      <c r="N980" s="17">
        <f t="shared" si="253"/>
        <v>2.7542459787312538E-3</v>
      </c>
      <c r="O980" s="17">
        <f t="shared" si="254"/>
        <v>3.6210564335663912E-3</v>
      </c>
      <c r="P980" s="17">
        <f t="shared" si="255"/>
        <v>4.0949419079623003E-3</v>
      </c>
      <c r="Q980" s="22">
        <f t="shared" si="256"/>
        <v>2.1503336348593225E-2</v>
      </c>
      <c r="R980" s="22">
        <f t="shared" si="257"/>
        <v>7.7305810948522331E-3</v>
      </c>
      <c r="S980" s="22">
        <f t="shared" si="258"/>
        <v>-2.5102458760881203E-2</v>
      </c>
      <c r="T980" s="22">
        <f t="shared" si="259"/>
        <v>1.8140737825958341E-3</v>
      </c>
      <c r="U980" s="22">
        <f t="shared" si="260"/>
        <v>1.0079902598039857E-2</v>
      </c>
      <c r="V980" s="22">
        <f t="shared" si="261"/>
        <v>2.9888497882344339E-3</v>
      </c>
      <c r="W980" s="22">
        <f t="shared" si="262"/>
        <v>3.8753049876570941E-3</v>
      </c>
      <c r="X980" s="22">
        <f t="shared" si="263"/>
        <v>4.4108862925686387E-3</v>
      </c>
    </row>
    <row r="981" spans="1:24" x14ac:dyDescent="0.35">
      <c r="A981" s="3">
        <v>10.93</v>
      </c>
      <c r="B981" s="3">
        <v>61.29</v>
      </c>
      <c r="C981" s="3">
        <v>141.41</v>
      </c>
      <c r="D981" s="3">
        <v>15.14</v>
      </c>
      <c r="E981" s="3">
        <v>47.53</v>
      </c>
      <c r="F981" s="3">
        <v>99.528492999999997</v>
      </c>
      <c r="G981" s="3">
        <v>94.165830999999997</v>
      </c>
      <c r="H981" s="3">
        <v>90.039175</v>
      </c>
      <c r="I981" s="17">
        <f t="shared" si="248"/>
        <v>-2.410714285714282E-2</v>
      </c>
      <c r="J981" s="17">
        <f t="shared" si="249"/>
        <v>-2.7142857142857156E-2</v>
      </c>
      <c r="K981" s="17">
        <f t="shared" si="250"/>
        <v>8.4147472010269331E-3</v>
      </c>
      <c r="L981" s="17">
        <f t="shared" si="251"/>
        <v>-2.0064724919093769E-2</v>
      </c>
      <c r="M981" s="17">
        <f t="shared" si="252"/>
        <v>-6.6875653082549688E-3</v>
      </c>
      <c r="N981" s="17">
        <f t="shared" si="253"/>
        <v>1.329676887057644E-3</v>
      </c>
      <c r="O981" s="17">
        <f t="shared" si="254"/>
        <v>2.6360455110879442E-4</v>
      </c>
      <c r="P981" s="17">
        <f t="shared" si="255"/>
        <v>2.6837744195504513E-4</v>
      </c>
      <c r="Q981" s="22">
        <f t="shared" si="256"/>
        <v>-2.4501616727527552E-2</v>
      </c>
      <c r="R981" s="22">
        <f t="shared" si="257"/>
        <v>-2.7573581856934318E-2</v>
      </c>
      <c r="S981" s="22">
        <f t="shared" si="258"/>
        <v>8.0027878141894857E-3</v>
      </c>
      <c r="T981" s="22">
        <f t="shared" si="259"/>
        <v>-2.0196176428326686E-2</v>
      </c>
      <c r="U981" s="22">
        <f t="shared" si="260"/>
        <v>-7.380793255208731E-3</v>
      </c>
      <c r="V981" s="22">
        <f t="shared" si="261"/>
        <v>1.5642806965608244E-3</v>
      </c>
      <c r="W981" s="22">
        <f t="shared" si="262"/>
        <v>5.1785310519949742E-4</v>
      </c>
      <c r="X981" s="22">
        <f t="shared" si="263"/>
        <v>5.8432182656138385E-4</v>
      </c>
    </row>
    <row r="982" spans="1:24" x14ac:dyDescent="0.35">
      <c r="A982" s="3">
        <v>11.02</v>
      </c>
      <c r="B982" s="3">
        <v>61.47</v>
      </c>
      <c r="C982" s="3">
        <v>142.06</v>
      </c>
      <c r="D982" s="3">
        <v>15.29</v>
      </c>
      <c r="E982" s="3">
        <v>47.3</v>
      </c>
      <c r="F982" s="3">
        <v>100.050543</v>
      </c>
      <c r="G982" s="3">
        <v>94.687769000000003</v>
      </c>
      <c r="H982" s="3">
        <v>90.696532000000005</v>
      </c>
      <c r="I982" s="17">
        <f t="shared" si="248"/>
        <v>8.2342177493138023E-3</v>
      </c>
      <c r="J982" s="17">
        <f t="shared" si="249"/>
        <v>2.9368575624082187E-3</v>
      </c>
      <c r="K982" s="17">
        <f t="shared" si="250"/>
        <v>4.5965631850647462E-3</v>
      </c>
      <c r="L982" s="17">
        <f t="shared" si="251"/>
        <v>9.9075297225890736E-3</v>
      </c>
      <c r="M982" s="17">
        <f t="shared" si="252"/>
        <v>-4.8390490216706078E-3</v>
      </c>
      <c r="N982" s="17">
        <f t="shared" si="253"/>
        <v>5.245231634322116E-3</v>
      </c>
      <c r="O982" s="17">
        <f t="shared" si="254"/>
        <v>5.5427536130383199E-3</v>
      </c>
      <c r="P982" s="17">
        <f t="shared" si="255"/>
        <v>7.3007887955437688E-3</v>
      </c>
      <c r="Q982" s="22">
        <f t="shared" si="256"/>
        <v>7.8397438789290681E-3</v>
      </c>
      <c r="R982" s="22">
        <f t="shared" si="257"/>
        <v>2.506132848331055E-3</v>
      </c>
      <c r="S982" s="22">
        <f t="shared" si="258"/>
        <v>4.1846037982272996E-3</v>
      </c>
      <c r="T982" s="22">
        <f t="shared" si="259"/>
        <v>9.7760782133561562E-3</v>
      </c>
      <c r="U982" s="22">
        <f t="shared" si="260"/>
        <v>-5.53227696862437E-3</v>
      </c>
      <c r="V982" s="22">
        <f t="shared" si="261"/>
        <v>5.4798354438252966E-3</v>
      </c>
      <c r="W982" s="22">
        <f t="shared" si="262"/>
        <v>5.7970021671290232E-3</v>
      </c>
      <c r="X982" s="22">
        <f t="shared" si="263"/>
        <v>7.6167331801501072E-3</v>
      </c>
    </row>
    <row r="983" spans="1:24" x14ac:dyDescent="0.35">
      <c r="A983" s="3">
        <v>11.12</v>
      </c>
      <c r="B983" s="3">
        <v>60.95</v>
      </c>
      <c r="C983" s="3">
        <v>143.15</v>
      </c>
      <c r="D983" s="3">
        <v>15.54</v>
      </c>
      <c r="E983" s="3">
        <v>47.38</v>
      </c>
      <c r="F983" s="3">
        <v>99.986795000000001</v>
      </c>
      <c r="G983" s="3">
        <v>94.807164</v>
      </c>
      <c r="H983" s="3">
        <v>90.710991000000007</v>
      </c>
      <c r="I983" s="17">
        <f t="shared" si="248"/>
        <v>9.0744101633393505E-3</v>
      </c>
      <c r="J983" s="17">
        <f t="shared" si="249"/>
        <v>-8.4594110948429477E-3</v>
      </c>
      <c r="K983" s="17">
        <f t="shared" si="250"/>
        <v>7.6728143038153132E-3</v>
      </c>
      <c r="L983" s="17">
        <f t="shared" si="251"/>
        <v>1.6350555918901243E-2</v>
      </c>
      <c r="M983" s="17">
        <f t="shared" si="252"/>
        <v>1.6913319238901776E-3</v>
      </c>
      <c r="N983" s="17">
        <f t="shared" si="253"/>
        <v>-6.3715796125168368E-4</v>
      </c>
      <c r="O983" s="17">
        <f t="shared" si="254"/>
        <v>1.2609337115123838E-3</v>
      </c>
      <c r="P983" s="17">
        <f t="shared" si="255"/>
        <v>1.5942175164980089E-4</v>
      </c>
      <c r="Q983" s="22">
        <f t="shared" si="256"/>
        <v>8.6799362929546164E-3</v>
      </c>
      <c r="R983" s="22">
        <f t="shared" si="257"/>
        <v>-8.8901358089201118E-3</v>
      </c>
      <c r="S983" s="22">
        <f t="shared" si="258"/>
        <v>7.2608549169778666E-3</v>
      </c>
      <c r="T983" s="22">
        <f t="shared" si="259"/>
        <v>1.6219104409668325E-2</v>
      </c>
      <c r="U983" s="22">
        <f t="shared" si="260"/>
        <v>9.981039769364152E-4</v>
      </c>
      <c r="V983" s="22">
        <f t="shared" si="261"/>
        <v>-4.0255415174850337E-4</v>
      </c>
      <c r="W983" s="22">
        <f t="shared" si="262"/>
        <v>1.5151822656030867E-3</v>
      </c>
      <c r="X983" s="22">
        <f t="shared" si="263"/>
        <v>4.7536613625613969E-4</v>
      </c>
    </row>
    <row r="984" spans="1:24" x14ac:dyDescent="0.35">
      <c r="A984" s="3">
        <v>11.33</v>
      </c>
      <c r="B984" s="3">
        <v>60.93</v>
      </c>
      <c r="C984" s="3">
        <v>140.43</v>
      </c>
      <c r="D984" s="3">
        <v>15.4</v>
      </c>
      <c r="E984" s="3">
        <v>47.04</v>
      </c>
      <c r="F984" s="3">
        <v>99.694987999999995</v>
      </c>
      <c r="G984" s="3">
        <v>94.380038999999996</v>
      </c>
      <c r="H984" s="3">
        <v>90.160061999999996</v>
      </c>
      <c r="I984" s="17">
        <f t="shared" si="248"/>
        <v>1.8884892086331012E-2</v>
      </c>
      <c r="J984" s="17">
        <f t="shared" si="249"/>
        <v>-3.2813781788356236E-4</v>
      </c>
      <c r="K984" s="17">
        <f t="shared" si="250"/>
        <v>-1.9001047851903589E-2</v>
      </c>
      <c r="L984" s="17">
        <f t="shared" si="251"/>
        <v>-9.0090090090089326E-3</v>
      </c>
      <c r="M984" s="17">
        <f t="shared" si="252"/>
        <v>-7.1760236386661756E-3</v>
      </c>
      <c r="N984" s="17">
        <f t="shared" si="253"/>
        <v>-2.9184553820332543E-3</v>
      </c>
      <c r="O984" s="17">
        <f t="shared" si="254"/>
        <v>-4.5051975186179366E-3</v>
      </c>
      <c r="P984" s="17">
        <f t="shared" si="255"/>
        <v>-6.0734536567901747E-3</v>
      </c>
      <c r="Q984" s="22">
        <f t="shared" si="256"/>
        <v>1.849041821594628E-2</v>
      </c>
      <c r="R984" s="22">
        <f t="shared" si="257"/>
        <v>-7.5886253196072581E-4</v>
      </c>
      <c r="S984" s="22">
        <f t="shared" si="258"/>
        <v>-1.9413007238741037E-2</v>
      </c>
      <c r="T984" s="22">
        <f t="shared" si="259"/>
        <v>-9.14046051824185E-3</v>
      </c>
      <c r="U984" s="22">
        <f t="shared" si="260"/>
        <v>-7.8692515856199387E-3</v>
      </c>
      <c r="V984" s="22">
        <f t="shared" si="261"/>
        <v>-2.6838515725300742E-3</v>
      </c>
      <c r="W984" s="22">
        <f t="shared" si="262"/>
        <v>-4.2509489645272333E-3</v>
      </c>
      <c r="X984" s="22">
        <f t="shared" si="263"/>
        <v>-5.7575092721838363E-3</v>
      </c>
    </row>
    <row r="985" spans="1:24" x14ac:dyDescent="0.35">
      <c r="A985" s="3">
        <v>11.73</v>
      </c>
      <c r="B985" s="3">
        <v>60.24</v>
      </c>
      <c r="C985" s="3">
        <v>138.63</v>
      </c>
      <c r="D985" s="3">
        <v>15.04</v>
      </c>
      <c r="E985" s="3">
        <v>45.77</v>
      </c>
      <c r="F985" s="3">
        <v>99.686018000000004</v>
      </c>
      <c r="G985" s="3">
        <v>94.269909999999996</v>
      </c>
      <c r="H985" s="3">
        <v>89.955691999999999</v>
      </c>
      <c r="I985" s="17">
        <f t="shared" si="248"/>
        <v>3.5304501323918831E-2</v>
      </c>
      <c r="J985" s="17">
        <f t="shared" si="249"/>
        <v>-1.132447070408662E-2</v>
      </c>
      <c r="K985" s="17">
        <f t="shared" si="250"/>
        <v>-1.2817773979918901E-2</v>
      </c>
      <c r="L985" s="17">
        <f t="shared" si="251"/>
        <v>-2.3376623376623454E-2</v>
      </c>
      <c r="M985" s="17">
        <f t="shared" si="252"/>
        <v>-2.6998299319727807E-2</v>
      </c>
      <c r="N985" s="17">
        <f t="shared" si="253"/>
        <v>-8.9974432816931766E-5</v>
      </c>
      <c r="O985" s="17">
        <f t="shared" si="254"/>
        <v>-1.1668674983276982E-3</v>
      </c>
      <c r="P985" s="17">
        <f t="shared" si="255"/>
        <v>-2.2667464447839142E-3</v>
      </c>
      <c r="Q985" s="22">
        <f t="shared" si="256"/>
        <v>3.4910027453534095E-2</v>
      </c>
      <c r="R985" s="22">
        <f t="shared" si="257"/>
        <v>-1.1755195418163784E-2</v>
      </c>
      <c r="S985" s="22">
        <f t="shared" si="258"/>
        <v>-1.3229733366756348E-2</v>
      </c>
      <c r="T985" s="22">
        <f t="shared" si="259"/>
        <v>-2.3508074885856371E-2</v>
      </c>
      <c r="U985" s="22">
        <f t="shared" si="260"/>
        <v>-2.769152726668157E-2</v>
      </c>
      <c r="V985" s="22">
        <f t="shared" si="261"/>
        <v>1.4462937668624851E-4</v>
      </c>
      <c r="W985" s="22">
        <f t="shared" si="262"/>
        <v>-9.1261894423699515E-4</v>
      </c>
      <c r="X985" s="22">
        <f t="shared" si="263"/>
        <v>-1.9508020601775753E-3</v>
      </c>
    </row>
    <row r="986" spans="1:24" x14ac:dyDescent="0.35">
      <c r="A986" s="3">
        <v>11.22</v>
      </c>
      <c r="B986" s="3">
        <v>59.49</v>
      </c>
      <c r="C986" s="3">
        <v>134.05000000000001</v>
      </c>
      <c r="D986" s="3">
        <v>15.36</v>
      </c>
      <c r="E986" s="3">
        <v>46.29</v>
      </c>
      <c r="F986" s="3">
        <v>99.466291999999996</v>
      </c>
      <c r="G986" s="3">
        <v>93.980952000000002</v>
      </c>
      <c r="H986" s="3">
        <v>89.638633999999996</v>
      </c>
      <c r="I986" s="17">
        <f t="shared" si="248"/>
        <v>-4.3478260869565195E-2</v>
      </c>
      <c r="J986" s="17">
        <f t="shared" si="249"/>
        <v>-1.245019920318725E-2</v>
      </c>
      <c r="K986" s="17">
        <f t="shared" si="250"/>
        <v>-3.3037582052946581E-2</v>
      </c>
      <c r="L986" s="17">
        <f t="shared" si="251"/>
        <v>2.1276595744680871E-2</v>
      </c>
      <c r="M986" s="17">
        <f t="shared" si="252"/>
        <v>1.1361153594057155E-2</v>
      </c>
      <c r="N986" s="17">
        <f t="shared" si="253"/>
        <v>-2.2041807307420836E-3</v>
      </c>
      <c r="O986" s="17">
        <f t="shared" si="254"/>
        <v>-3.0652198564737553E-3</v>
      </c>
      <c r="P986" s="17">
        <f t="shared" si="255"/>
        <v>-3.5246018673282279E-3</v>
      </c>
      <c r="Q986" s="22">
        <f t="shared" si="256"/>
        <v>-4.3872734739949931E-2</v>
      </c>
      <c r="R986" s="22">
        <f t="shared" si="257"/>
        <v>-1.2880923917264414E-2</v>
      </c>
      <c r="S986" s="22">
        <f t="shared" si="258"/>
        <v>-3.3449541439784028E-2</v>
      </c>
      <c r="T986" s="22">
        <f t="shared" si="259"/>
        <v>2.1145144235447954E-2</v>
      </c>
      <c r="U986" s="22">
        <f t="shared" si="260"/>
        <v>1.0667925647103392E-2</v>
      </c>
      <c r="V986" s="22">
        <f t="shared" si="261"/>
        <v>-1.9695769212389035E-3</v>
      </c>
      <c r="W986" s="22">
        <f t="shared" si="262"/>
        <v>-2.8109713023830524E-3</v>
      </c>
      <c r="X986" s="22">
        <f t="shared" si="263"/>
        <v>-3.2086574827218891E-3</v>
      </c>
    </row>
    <row r="987" spans="1:24" x14ac:dyDescent="0.35">
      <c r="A987" s="3">
        <v>11.18</v>
      </c>
      <c r="B987" s="3">
        <v>59.71</v>
      </c>
      <c r="C987" s="3">
        <v>133.56</v>
      </c>
      <c r="D987" s="3">
        <v>15.2</v>
      </c>
      <c r="E987" s="3">
        <v>45.19</v>
      </c>
      <c r="F987" s="3">
        <v>99.527775000000005</v>
      </c>
      <c r="G987" s="3">
        <v>94.050662000000003</v>
      </c>
      <c r="H987" s="3">
        <v>89.776476000000002</v>
      </c>
      <c r="I987" s="17">
        <f t="shared" si="248"/>
        <v>-3.5650623885918825E-3</v>
      </c>
      <c r="J987" s="17">
        <f t="shared" si="249"/>
        <v>3.6981005210959634E-3</v>
      </c>
      <c r="K987" s="17">
        <f t="shared" si="250"/>
        <v>-3.655352480417822E-3</v>
      </c>
      <c r="L987" s="17">
        <f t="shared" si="251"/>
        <v>-1.0416666666666676E-2</v>
      </c>
      <c r="M987" s="17">
        <f t="shared" si="252"/>
        <v>-2.3763231799524765E-2</v>
      </c>
      <c r="N987" s="17">
        <f t="shared" si="253"/>
        <v>6.1812900394446924E-4</v>
      </c>
      <c r="O987" s="17">
        <f t="shared" si="254"/>
        <v>7.4174605083805278E-4</v>
      </c>
      <c r="P987" s="17">
        <f t="shared" si="255"/>
        <v>1.5377521259416587E-3</v>
      </c>
      <c r="Q987" s="22">
        <f t="shared" si="256"/>
        <v>-3.9595362589766158E-3</v>
      </c>
      <c r="R987" s="22">
        <f t="shared" si="257"/>
        <v>3.2673758070187998E-3</v>
      </c>
      <c r="S987" s="22">
        <f t="shared" si="258"/>
        <v>-4.067311867255269E-3</v>
      </c>
      <c r="T987" s="22">
        <f t="shared" si="259"/>
        <v>-1.0548118175899594E-2</v>
      </c>
      <c r="U987" s="22">
        <f t="shared" si="260"/>
        <v>-2.4456459746478528E-2</v>
      </c>
      <c r="V987" s="22">
        <f t="shared" si="261"/>
        <v>8.5273281344764955E-4</v>
      </c>
      <c r="W987" s="22">
        <f t="shared" si="262"/>
        <v>9.9599460492875579E-4</v>
      </c>
      <c r="X987" s="22">
        <f t="shared" si="263"/>
        <v>1.8536965105479975E-3</v>
      </c>
    </row>
    <row r="988" spans="1:24" x14ac:dyDescent="0.35">
      <c r="A988" s="3">
        <v>11.23</v>
      </c>
      <c r="B988" s="3">
        <v>60.49</v>
      </c>
      <c r="C988" s="3">
        <v>135.75</v>
      </c>
      <c r="D988" s="3">
        <v>15.19</v>
      </c>
      <c r="E988" s="3">
        <v>45.03</v>
      </c>
      <c r="F988" s="3">
        <v>99.677081999999999</v>
      </c>
      <c r="G988" s="3">
        <v>94.304652000000004</v>
      </c>
      <c r="H988" s="3">
        <v>90.019969000000003</v>
      </c>
      <c r="I988" s="17">
        <f t="shared" si="248"/>
        <v>4.4722719141324432E-3</v>
      </c>
      <c r="J988" s="17">
        <f t="shared" si="249"/>
        <v>1.3063138502763375E-2</v>
      </c>
      <c r="K988" s="17">
        <f t="shared" si="250"/>
        <v>1.6397124887690909E-2</v>
      </c>
      <c r="L988" s="17">
        <f t="shared" si="251"/>
        <v>-6.5789473684209126E-4</v>
      </c>
      <c r="M988" s="17">
        <f t="shared" si="252"/>
        <v>-3.5406063288337375E-3</v>
      </c>
      <c r="N988" s="17">
        <f t="shared" si="253"/>
        <v>1.5001541027114612E-3</v>
      </c>
      <c r="O988" s="17">
        <f t="shared" si="254"/>
        <v>2.7005657865545032E-3</v>
      </c>
      <c r="P988" s="17">
        <f t="shared" si="255"/>
        <v>2.7122138320510693E-3</v>
      </c>
      <c r="Q988" s="22">
        <f t="shared" si="256"/>
        <v>4.07779804374771E-3</v>
      </c>
      <c r="R988" s="22">
        <f t="shared" si="257"/>
        <v>1.263241378868621E-2</v>
      </c>
      <c r="S988" s="22">
        <f t="shared" si="258"/>
        <v>1.5985165500853462E-2</v>
      </c>
      <c r="T988" s="22">
        <f t="shared" si="259"/>
        <v>-7.8934624607500956E-4</v>
      </c>
      <c r="U988" s="22">
        <f t="shared" si="260"/>
        <v>-4.2338342757875002E-3</v>
      </c>
      <c r="V988" s="22">
        <f t="shared" si="261"/>
        <v>1.7347579122146415E-3</v>
      </c>
      <c r="W988" s="22">
        <f t="shared" si="262"/>
        <v>2.9548143406452061E-3</v>
      </c>
      <c r="X988" s="22">
        <f t="shared" si="263"/>
        <v>3.0281582166574081E-3</v>
      </c>
    </row>
    <row r="989" spans="1:24" x14ac:dyDescent="0.35">
      <c r="A989" s="3">
        <v>11.14</v>
      </c>
      <c r="B989" s="3">
        <v>59.77</v>
      </c>
      <c r="C989" s="3">
        <v>135.33000000000001</v>
      </c>
      <c r="D989" s="3">
        <v>15.21</v>
      </c>
      <c r="E989" s="3">
        <v>45.06</v>
      </c>
      <c r="F989" s="3">
        <v>100.089979</v>
      </c>
      <c r="G989" s="3">
        <v>94.553983000000002</v>
      </c>
      <c r="H989" s="3">
        <v>90.501374999999996</v>
      </c>
      <c r="I989" s="17">
        <f t="shared" si="248"/>
        <v>-8.0142475512021243E-3</v>
      </c>
      <c r="J989" s="17">
        <f t="shared" si="249"/>
        <v>-1.1902793850223158E-2</v>
      </c>
      <c r="K989" s="17">
        <f t="shared" si="250"/>
        <v>-3.0939226519336093E-3</v>
      </c>
      <c r="L989" s="17">
        <f t="shared" si="251"/>
        <v>1.3166556945359677E-3</v>
      </c>
      <c r="M989" s="17">
        <f t="shared" si="252"/>
        <v>6.6622251832114453E-4</v>
      </c>
      <c r="N989" s="17">
        <f t="shared" si="253"/>
        <v>4.1423463820901276E-3</v>
      </c>
      <c r="O989" s="17">
        <f t="shared" si="254"/>
        <v>2.6438886599146555E-3</v>
      </c>
      <c r="P989" s="17">
        <f t="shared" si="255"/>
        <v>5.3477690044526974E-3</v>
      </c>
      <c r="Q989" s="22">
        <f t="shared" si="256"/>
        <v>-8.4087214215868584E-3</v>
      </c>
      <c r="R989" s="22">
        <f t="shared" si="257"/>
        <v>-1.2333518564300322E-2</v>
      </c>
      <c r="S989" s="22">
        <f t="shared" si="258"/>
        <v>-3.5058820387710563E-3</v>
      </c>
      <c r="T989" s="22">
        <f t="shared" si="259"/>
        <v>1.1852041853030494E-3</v>
      </c>
      <c r="U989" s="22">
        <f t="shared" si="260"/>
        <v>-2.7005428632617982E-5</v>
      </c>
      <c r="V989" s="22">
        <f t="shared" si="261"/>
        <v>4.3769501915933082E-3</v>
      </c>
      <c r="W989" s="22">
        <f t="shared" si="262"/>
        <v>2.8981372140053584E-3</v>
      </c>
      <c r="X989" s="22">
        <f t="shared" si="263"/>
        <v>5.6637133890590358E-3</v>
      </c>
    </row>
    <row r="990" spans="1:24" x14ac:dyDescent="0.35">
      <c r="A990" s="3">
        <v>11.62</v>
      </c>
      <c r="B990" s="3">
        <v>60.77</v>
      </c>
      <c r="C990" s="3">
        <v>137.25</v>
      </c>
      <c r="D990" s="3">
        <v>15.2</v>
      </c>
      <c r="E990" s="3">
        <v>44.17</v>
      </c>
      <c r="F990" s="3">
        <v>99.905214999999998</v>
      </c>
      <c r="G990" s="3">
        <v>94.130892000000003</v>
      </c>
      <c r="H990" s="3">
        <v>90.239553000000001</v>
      </c>
      <c r="I990" s="17">
        <f t="shared" si="248"/>
        <v>4.3087971274685694E-2</v>
      </c>
      <c r="J990" s="17">
        <f t="shared" si="249"/>
        <v>1.6730801405387317E-2</v>
      </c>
      <c r="K990" s="17">
        <f t="shared" si="250"/>
        <v>1.4187541565063085E-2</v>
      </c>
      <c r="L990" s="17">
        <f t="shared" si="251"/>
        <v>-6.5746219592383709E-4</v>
      </c>
      <c r="M990" s="17">
        <f t="shared" si="252"/>
        <v>-1.9751442521083011E-2</v>
      </c>
      <c r="N990" s="17">
        <f t="shared" si="253"/>
        <v>-1.8459790065497093E-3</v>
      </c>
      <c r="O990" s="17">
        <f t="shared" si="254"/>
        <v>-4.4745973313466813E-3</v>
      </c>
      <c r="P990" s="17">
        <f t="shared" si="255"/>
        <v>-2.8930168188051851E-3</v>
      </c>
      <c r="Q990" s="22">
        <f t="shared" si="256"/>
        <v>4.2693497404300958E-2</v>
      </c>
      <c r="R990" s="22">
        <f t="shared" si="257"/>
        <v>1.6300076691310155E-2</v>
      </c>
      <c r="S990" s="22">
        <f t="shared" si="258"/>
        <v>1.3775582178225637E-2</v>
      </c>
      <c r="T990" s="22">
        <f t="shared" si="259"/>
        <v>-7.8891370515675539E-4</v>
      </c>
      <c r="U990" s="22">
        <f t="shared" si="260"/>
        <v>-2.0444670468036774E-2</v>
      </c>
      <c r="V990" s="22">
        <f t="shared" si="261"/>
        <v>-1.611375197046529E-3</v>
      </c>
      <c r="W990" s="22">
        <f t="shared" si="262"/>
        <v>-4.220348777255978E-3</v>
      </c>
      <c r="X990" s="22">
        <f t="shared" si="263"/>
        <v>-2.5770724341988463E-3</v>
      </c>
    </row>
    <row r="991" spans="1:24" x14ac:dyDescent="0.35">
      <c r="A991" s="3">
        <v>11.62</v>
      </c>
      <c r="B991" s="3">
        <v>59.48</v>
      </c>
      <c r="C991" s="3">
        <v>141.78</v>
      </c>
      <c r="D991" s="3">
        <v>15.28</v>
      </c>
      <c r="E991" s="3">
        <v>45.86</v>
      </c>
      <c r="F991" s="3">
        <v>95.774811</v>
      </c>
      <c r="G991" s="3">
        <v>90.461420000000004</v>
      </c>
      <c r="H991" s="3">
        <v>86.460010999999994</v>
      </c>
      <c r="I991" s="17">
        <f t="shared" si="248"/>
        <v>0</v>
      </c>
      <c r="J991" s="17">
        <f t="shared" si="249"/>
        <v>-2.1227579397729245E-2</v>
      </c>
      <c r="K991" s="17">
        <f t="shared" si="250"/>
        <v>3.3005464480874325E-2</v>
      </c>
      <c r="L991" s="17">
        <f t="shared" si="251"/>
        <v>5.2631578947368472E-3</v>
      </c>
      <c r="M991" s="17">
        <f t="shared" si="252"/>
        <v>3.8261263300882899E-2</v>
      </c>
      <c r="N991" s="17">
        <f t="shared" si="253"/>
        <v>-4.134322717788054E-2</v>
      </c>
      <c r="O991" s="17">
        <f t="shared" si="254"/>
        <v>-3.8982654068549553E-2</v>
      </c>
      <c r="P991" s="17">
        <f t="shared" si="255"/>
        <v>-4.1883429985518729E-2</v>
      </c>
      <c r="Q991" s="22">
        <f t="shared" si="256"/>
        <v>-3.9447387038473331E-4</v>
      </c>
      <c r="R991" s="22">
        <f t="shared" si="257"/>
        <v>-2.1658304111806408E-2</v>
      </c>
      <c r="S991" s="22">
        <f t="shared" si="258"/>
        <v>3.2593505094036877E-2</v>
      </c>
      <c r="T991" s="22">
        <f t="shared" si="259"/>
        <v>5.1317063855039289E-3</v>
      </c>
      <c r="U991" s="22">
        <f t="shared" si="260"/>
        <v>3.7568035353929136E-2</v>
      </c>
      <c r="V991" s="22">
        <f t="shared" si="261"/>
        <v>-4.110862336837736E-2</v>
      </c>
      <c r="W991" s="22">
        <f t="shared" si="262"/>
        <v>-3.8728405514458851E-2</v>
      </c>
      <c r="X991" s="22">
        <f t="shared" si="263"/>
        <v>-4.1567485600912391E-2</v>
      </c>
    </row>
    <row r="992" spans="1:24" x14ac:dyDescent="0.35">
      <c r="A992" s="3">
        <v>11.71</v>
      </c>
      <c r="B992" s="3">
        <v>58.92</v>
      </c>
      <c r="C992" s="3">
        <v>142.5</v>
      </c>
      <c r="D992" s="3">
        <v>15.33</v>
      </c>
      <c r="E992" s="3">
        <v>45</v>
      </c>
      <c r="F992" s="3">
        <v>95.799931999999998</v>
      </c>
      <c r="G992" s="3">
        <v>90.574937000000006</v>
      </c>
      <c r="H992" s="3">
        <v>86.540406000000004</v>
      </c>
      <c r="I992" s="17">
        <f t="shared" si="248"/>
        <v>7.7452667814115013E-3</v>
      </c>
      <c r="J992" s="17">
        <f t="shared" si="249"/>
        <v>-9.4149293880295085E-3</v>
      </c>
      <c r="K992" s="17">
        <f t="shared" si="250"/>
        <v>5.0782903089293188E-3</v>
      </c>
      <c r="L992" s="17">
        <f t="shared" si="251"/>
        <v>3.2722513089005704E-3</v>
      </c>
      <c r="M992" s="17">
        <f t="shared" si="252"/>
        <v>-1.8752725686873081E-2</v>
      </c>
      <c r="N992" s="17">
        <f t="shared" si="253"/>
        <v>2.6229234741062155E-4</v>
      </c>
      <c r="O992" s="17">
        <f t="shared" si="254"/>
        <v>1.2548664391958653E-3</v>
      </c>
      <c r="P992" s="17">
        <f t="shared" si="255"/>
        <v>9.2985183635947016E-4</v>
      </c>
      <c r="Q992" s="22">
        <f t="shared" si="256"/>
        <v>7.350792911026768E-3</v>
      </c>
      <c r="R992" s="22">
        <f t="shared" si="257"/>
        <v>-9.8456541021066726E-3</v>
      </c>
      <c r="S992" s="22">
        <f t="shared" si="258"/>
        <v>4.6663309220918723E-3</v>
      </c>
      <c r="T992" s="22">
        <f t="shared" si="259"/>
        <v>3.1407997996676521E-3</v>
      </c>
      <c r="U992" s="22">
        <f t="shared" si="260"/>
        <v>-1.9445953633826844E-2</v>
      </c>
      <c r="V992" s="22">
        <f t="shared" si="261"/>
        <v>4.9689615691380187E-4</v>
      </c>
      <c r="W992" s="22">
        <f t="shared" si="262"/>
        <v>1.5091149932865682E-3</v>
      </c>
      <c r="X992" s="22">
        <f t="shared" si="263"/>
        <v>1.245796220965809E-3</v>
      </c>
    </row>
    <row r="993" spans="1:24" x14ac:dyDescent="0.35">
      <c r="A993" s="3">
        <v>11.79</v>
      </c>
      <c r="B993" s="3">
        <v>58.9</v>
      </c>
      <c r="C993" s="3">
        <v>140.35</v>
      </c>
      <c r="D993" s="3">
        <v>15.3</v>
      </c>
      <c r="E993" s="3">
        <v>45.73</v>
      </c>
      <c r="F993" s="3">
        <v>95.735082000000006</v>
      </c>
      <c r="G993" s="3">
        <v>90.601881000000006</v>
      </c>
      <c r="H993" s="3">
        <v>86.381657000000004</v>
      </c>
      <c r="I993" s="17">
        <f t="shared" si="248"/>
        <v>6.8317677198973777E-3</v>
      </c>
      <c r="J993" s="17">
        <f t="shared" si="249"/>
        <v>-3.3944331296678761E-4</v>
      </c>
      <c r="K993" s="17">
        <f t="shared" si="250"/>
        <v>-1.5087719298245653E-2</v>
      </c>
      <c r="L993" s="17">
        <f t="shared" si="251"/>
        <v>-1.9569471624265727E-3</v>
      </c>
      <c r="M993" s="17">
        <f t="shared" si="252"/>
        <v>1.6222222222222152E-2</v>
      </c>
      <c r="N993" s="17">
        <f t="shared" si="253"/>
        <v>-6.7693158696597764E-4</v>
      </c>
      <c r="O993" s="17">
        <f t="shared" si="254"/>
        <v>2.9747743572816729E-4</v>
      </c>
      <c r="P993" s="17">
        <f t="shared" si="255"/>
        <v>-1.8343916713309647E-3</v>
      </c>
      <c r="Q993" s="22">
        <f t="shared" si="256"/>
        <v>6.4372938495126444E-3</v>
      </c>
      <c r="R993" s="22">
        <f t="shared" si="257"/>
        <v>-7.7016802704395117E-4</v>
      </c>
      <c r="S993" s="22">
        <f t="shared" si="258"/>
        <v>-1.5499678685083101E-2</v>
      </c>
      <c r="T993" s="22">
        <f t="shared" si="259"/>
        <v>-2.088398671659491E-3</v>
      </c>
      <c r="U993" s="22">
        <f t="shared" si="260"/>
        <v>1.5528994275268389E-2</v>
      </c>
      <c r="V993" s="22">
        <f t="shared" si="261"/>
        <v>-4.4232777746279733E-4</v>
      </c>
      <c r="W993" s="22">
        <f t="shared" si="262"/>
        <v>5.5172598981887029E-4</v>
      </c>
      <c r="X993" s="22">
        <f t="shared" si="263"/>
        <v>-1.5184472867246258E-3</v>
      </c>
    </row>
    <row r="994" spans="1:24" x14ac:dyDescent="0.35">
      <c r="A994" s="3">
        <v>11.72</v>
      </c>
      <c r="B994" s="3">
        <v>59.01</v>
      </c>
      <c r="C994" s="3">
        <v>142.25</v>
      </c>
      <c r="D994" s="3">
        <v>15.08</v>
      </c>
      <c r="E994" s="3">
        <v>46.12</v>
      </c>
      <c r="F994" s="3">
        <v>95.795316</v>
      </c>
      <c r="G994" s="3">
        <v>90.581075999999996</v>
      </c>
      <c r="H994" s="3">
        <v>86.063890999999998</v>
      </c>
      <c r="I994" s="17">
        <f t="shared" si="248"/>
        <v>-5.9372349448684062E-3</v>
      </c>
      <c r="J994" s="17">
        <f t="shared" si="249"/>
        <v>1.8675721561969344E-3</v>
      </c>
      <c r="K994" s="17">
        <f t="shared" si="250"/>
        <v>1.3537584609903853E-2</v>
      </c>
      <c r="L994" s="17">
        <f t="shared" si="251"/>
        <v>-1.4379084967320302E-2</v>
      </c>
      <c r="M994" s="17">
        <f t="shared" si="252"/>
        <v>8.5283183905532599E-3</v>
      </c>
      <c r="N994" s="17">
        <f t="shared" si="253"/>
        <v>6.291737442706125E-4</v>
      </c>
      <c r="O994" s="17">
        <f t="shared" si="254"/>
        <v>-2.2963099408510022E-4</v>
      </c>
      <c r="P994" s="17">
        <f t="shared" si="255"/>
        <v>-3.6786282069120992E-3</v>
      </c>
      <c r="Q994" s="22">
        <f t="shared" si="256"/>
        <v>-6.3317088152531394E-3</v>
      </c>
      <c r="R994" s="22">
        <f t="shared" si="257"/>
        <v>1.4368474421197709E-3</v>
      </c>
      <c r="S994" s="22">
        <f t="shared" si="258"/>
        <v>1.3125625223066406E-2</v>
      </c>
      <c r="T994" s="22">
        <f t="shared" si="259"/>
        <v>-1.451053647655322E-2</v>
      </c>
      <c r="U994" s="22">
        <f t="shared" si="260"/>
        <v>7.8350904435994968E-3</v>
      </c>
      <c r="V994" s="22">
        <f t="shared" si="261"/>
        <v>8.6377755377379281E-4</v>
      </c>
      <c r="W994" s="22">
        <f t="shared" si="262"/>
        <v>2.4617560005602788E-5</v>
      </c>
      <c r="X994" s="22">
        <f t="shared" si="263"/>
        <v>-3.3626838223057604E-3</v>
      </c>
    </row>
    <row r="995" spans="1:24" x14ac:dyDescent="0.35">
      <c r="A995" s="3">
        <v>11.87</v>
      </c>
      <c r="B995" s="3">
        <v>58.6</v>
      </c>
      <c r="C995" s="3">
        <v>142.53</v>
      </c>
      <c r="D995" s="3">
        <v>15.28</v>
      </c>
      <c r="E995" s="3">
        <v>46.59</v>
      </c>
      <c r="F995" s="3">
        <v>95.645644000000004</v>
      </c>
      <c r="G995" s="3">
        <v>90.381817999999996</v>
      </c>
      <c r="H995" s="3">
        <v>86.087192999999999</v>
      </c>
      <c r="I995" s="17">
        <f t="shared" si="248"/>
        <v>1.2798634812286568E-2</v>
      </c>
      <c r="J995" s="17">
        <f t="shared" si="249"/>
        <v>-6.9479749195051109E-3</v>
      </c>
      <c r="K995" s="17">
        <f t="shared" si="250"/>
        <v>1.96836555360282E-3</v>
      </c>
      <c r="L995" s="17">
        <f t="shared" si="251"/>
        <v>1.3262599469495973E-2</v>
      </c>
      <c r="M995" s="17">
        <f t="shared" si="252"/>
        <v>1.0190806591500564E-2</v>
      </c>
      <c r="N995" s="17">
        <f t="shared" si="253"/>
        <v>-1.5624145965549647E-3</v>
      </c>
      <c r="O995" s="17">
        <f t="shared" si="254"/>
        <v>-2.1997751495025338E-3</v>
      </c>
      <c r="P995" s="17">
        <f t="shared" si="255"/>
        <v>2.7075234142041107E-4</v>
      </c>
      <c r="Q995" s="22">
        <f t="shared" si="256"/>
        <v>1.2404160941901833E-2</v>
      </c>
      <c r="R995" s="22">
        <f t="shared" si="257"/>
        <v>-7.3786996335822742E-3</v>
      </c>
      <c r="S995" s="22">
        <f t="shared" si="258"/>
        <v>1.556406166765373E-3</v>
      </c>
      <c r="T995" s="22">
        <f t="shared" si="259"/>
        <v>1.3131147960263056E-2</v>
      </c>
      <c r="U995" s="22">
        <f t="shared" si="260"/>
        <v>9.4975786445468009E-3</v>
      </c>
      <c r="V995" s="22">
        <f t="shared" si="261"/>
        <v>-1.3278107870517844E-3</v>
      </c>
      <c r="W995" s="22">
        <f t="shared" si="262"/>
        <v>-1.9455265954118309E-3</v>
      </c>
      <c r="X995" s="22">
        <f t="shared" si="263"/>
        <v>5.8669672602674984E-4</v>
      </c>
    </row>
    <row r="996" spans="1:24" x14ac:dyDescent="0.35">
      <c r="A996" s="3">
        <v>11.52</v>
      </c>
      <c r="B996" s="3">
        <v>57.84</v>
      </c>
      <c r="C996" s="3">
        <v>139.05000000000001</v>
      </c>
      <c r="D996" s="3">
        <v>15.19</v>
      </c>
      <c r="E996" s="3">
        <v>46.97</v>
      </c>
      <c r="F996" s="3">
        <v>96.046049999999994</v>
      </c>
      <c r="G996" s="3">
        <v>90.921559999999999</v>
      </c>
      <c r="H996" s="3">
        <v>86.417760999999999</v>
      </c>
      <c r="I996" s="17">
        <f t="shared" si="248"/>
        <v>-2.9486099410277983E-2</v>
      </c>
      <c r="J996" s="17">
        <f t="shared" si="249"/>
        <v>-1.2969283276450477E-2</v>
      </c>
      <c r="K996" s="17">
        <f t="shared" si="250"/>
        <v>-2.4415912439486352E-2</v>
      </c>
      <c r="L996" s="17">
        <f t="shared" si="251"/>
        <v>-5.890052356020933E-3</v>
      </c>
      <c r="M996" s="17">
        <f t="shared" si="252"/>
        <v>8.1562567074478527E-3</v>
      </c>
      <c r="N996" s="17">
        <f t="shared" si="253"/>
        <v>4.186348517868619E-3</v>
      </c>
      <c r="O996" s="17">
        <f t="shared" si="254"/>
        <v>5.9717984429125334E-3</v>
      </c>
      <c r="P996" s="17">
        <f t="shared" si="255"/>
        <v>3.8399207649853274E-3</v>
      </c>
      <c r="Q996" s="22">
        <f t="shared" si="256"/>
        <v>-2.9880573280662716E-2</v>
      </c>
      <c r="R996" s="22">
        <f t="shared" si="257"/>
        <v>-1.3400007990527641E-2</v>
      </c>
      <c r="S996" s="22">
        <f t="shared" si="258"/>
        <v>-2.4827871826323799E-2</v>
      </c>
      <c r="T996" s="22">
        <f t="shared" si="259"/>
        <v>-6.0215038652538513E-3</v>
      </c>
      <c r="U996" s="22">
        <f t="shared" si="260"/>
        <v>7.4630287604940905E-3</v>
      </c>
      <c r="V996" s="22">
        <f t="shared" si="261"/>
        <v>4.4209523273717995E-3</v>
      </c>
      <c r="W996" s="22">
        <f t="shared" si="262"/>
        <v>6.2260469970032368E-3</v>
      </c>
      <c r="X996" s="22">
        <f t="shared" si="263"/>
        <v>4.1558651495916662E-3</v>
      </c>
    </row>
    <row r="997" spans="1:24" x14ac:dyDescent="0.35">
      <c r="A997" s="3">
        <v>11.12</v>
      </c>
      <c r="B997" s="3">
        <v>58.43</v>
      </c>
      <c r="C997" s="3">
        <v>139.91999999999999</v>
      </c>
      <c r="D997" s="3">
        <v>15.32</v>
      </c>
      <c r="E997" s="3">
        <v>46.07</v>
      </c>
      <c r="F997" s="3">
        <v>96.331851999999998</v>
      </c>
      <c r="G997" s="3">
        <v>91.172748999999996</v>
      </c>
      <c r="H997" s="3">
        <v>86.658529000000001</v>
      </c>
      <c r="I997" s="17">
        <f t="shared" si="248"/>
        <v>-3.4722222222222252E-2</v>
      </c>
      <c r="J997" s="17">
        <f t="shared" si="249"/>
        <v>1.0200553250345717E-2</v>
      </c>
      <c r="K997" s="17">
        <f t="shared" si="250"/>
        <v>6.2567421790721035E-3</v>
      </c>
      <c r="L997" s="17">
        <f t="shared" si="251"/>
        <v>8.5582620144832641E-3</v>
      </c>
      <c r="M997" s="17">
        <f t="shared" si="252"/>
        <v>-1.9161166702150279E-2</v>
      </c>
      <c r="N997" s="17">
        <f t="shared" si="253"/>
        <v>2.975676771715275E-3</v>
      </c>
      <c r="O997" s="17">
        <f t="shared" si="254"/>
        <v>2.7627000680586272E-3</v>
      </c>
      <c r="P997" s="17">
        <f t="shared" si="255"/>
        <v>2.7860939373331225E-3</v>
      </c>
      <c r="Q997" s="22">
        <f t="shared" si="256"/>
        <v>-3.5116696092606987E-2</v>
      </c>
      <c r="R997" s="22">
        <f t="shared" si="257"/>
        <v>9.7698285362685534E-3</v>
      </c>
      <c r="S997" s="22">
        <f t="shared" si="258"/>
        <v>5.844782792234657E-3</v>
      </c>
      <c r="T997" s="22">
        <f t="shared" si="259"/>
        <v>8.4268105052503466E-3</v>
      </c>
      <c r="U997" s="22">
        <f t="shared" si="260"/>
        <v>-1.9854394649104042E-2</v>
      </c>
      <c r="V997" s="22">
        <f t="shared" si="261"/>
        <v>3.2102805812184551E-3</v>
      </c>
      <c r="W997" s="22">
        <f t="shared" si="262"/>
        <v>3.0169486221493301E-3</v>
      </c>
      <c r="X997" s="22">
        <f t="shared" si="263"/>
        <v>3.1020383219394613E-3</v>
      </c>
    </row>
    <row r="998" spans="1:24" x14ac:dyDescent="0.35">
      <c r="A998" s="3">
        <v>11.25</v>
      </c>
      <c r="B998" s="3">
        <v>57.74</v>
      </c>
      <c r="C998" s="3">
        <v>143.30000000000001</v>
      </c>
      <c r="D998" s="3">
        <v>15.14</v>
      </c>
      <c r="E998" s="3">
        <v>44.64</v>
      </c>
      <c r="F998" s="3">
        <v>96.286762999999993</v>
      </c>
      <c r="G998" s="3">
        <v>91.151713999999998</v>
      </c>
      <c r="H998" s="3">
        <v>86.454076000000001</v>
      </c>
      <c r="I998" s="17">
        <f t="shared" si="248"/>
        <v>1.169064748201446E-2</v>
      </c>
      <c r="J998" s="17">
        <f t="shared" si="249"/>
        <v>-1.1809002224884438E-2</v>
      </c>
      <c r="K998" s="17">
        <f t="shared" si="250"/>
        <v>2.4156660949113951E-2</v>
      </c>
      <c r="L998" s="17">
        <f t="shared" si="251"/>
        <v>-1.174934725848562E-2</v>
      </c>
      <c r="M998" s="17">
        <f t="shared" si="252"/>
        <v>-3.1039722161927494E-2</v>
      </c>
      <c r="N998" s="17">
        <f t="shared" si="253"/>
        <v>-4.6805910053514157E-4</v>
      </c>
      <c r="O998" s="17">
        <f t="shared" si="254"/>
        <v>-2.3071586883924818E-4</v>
      </c>
      <c r="P998" s="17">
        <f t="shared" si="255"/>
        <v>-2.3592946056123442E-3</v>
      </c>
      <c r="Q998" s="22">
        <f t="shared" si="256"/>
        <v>1.1296173611629726E-2</v>
      </c>
      <c r="R998" s="22">
        <f t="shared" si="257"/>
        <v>-1.2239726938961602E-2</v>
      </c>
      <c r="S998" s="22">
        <f t="shared" si="258"/>
        <v>2.3744701562276503E-2</v>
      </c>
      <c r="T998" s="22">
        <f t="shared" si="259"/>
        <v>-1.1880798767718538E-2</v>
      </c>
      <c r="U998" s="22">
        <f t="shared" si="260"/>
        <v>-3.1732950108881254E-2</v>
      </c>
      <c r="V998" s="22">
        <f t="shared" si="261"/>
        <v>-2.3345529103196129E-4</v>
      </c>
      <c r="W998" s="22">
        <f t="shared" si="262"/>
        <v>2.3532685251454827E-5</v>
      </c>
      <c r="X998" s="22">
        <f t="shared" si="263"/>
        <v>-2.0433502210060054E-3</v>
      </c>
    </row>
    <row r="999" spans="1:24" x14ac:dyDescent="0.35">
      <c r="A999" s="3">
        <v>11.19</v>
      </c>
      <c r="B999" s="3">
        <v>56.75</v>
      </c>
      <c r="C999" s="3">
        <v>141.13</v>
      </c>
      <c r="D999" s="3">
        <v>14.76</v>
      </c>
      <c r="E999" s="3">
        <v>44.28</v>
      </c>
      <c r="F999" s="3">
        <v>95.857639000000006</v>
      </c>
      <c r="G999" s="3">
        <v>90.817492000000001</v>
      </c>
      <c r="H999" s="3">
        <v>85.911612000000005</v>
      </c>
      <c r="I999" s="17">
        <f t="shared" si="248"/>
        <v>-5.3333333333333774E-3</v>
      </c>
      <c r="J999" s="17">
        <f t="shared" si="249"/>
        <v>-1.7145826117076584E-2</v>
      </c>
      <c r="K999" s="17">
        <f t="shared" si="250"/>
        <v>-1.5143056524773314E-2</v>
      </c>
      <c r="L999" s="17">
        <f t="shared" si="251"/>
        <v>-2.5099075297225944E-2</v>
      </c>
      <c r="M999" s="17">
        <f t="shared" si="252"/>
        <v>-8.0645161290322457E-3</v>
      </c>
      <c r="N999" s="17">
        <f t="shared" si="253"/>
        <v>-4.456728906755204E-3</v>
      </c>
      <c r="O999" s="17">
        <f t="shared" si="254"/>
        <v>-3.6666562298542944E-3</v>
      </c>
      <c r="P999" s="17">
        <f t="shared" si="255"/>
        <v>-6.2745913795897307E-3</v>
      </c>
      <c r="Q999" s="22">
        <f t="shared" si="256"/>
        <v>-5.7278072037181106E-3</v>
      </c>
      <c r="R999" s="22">
        <f t="shared" si="257"/>
        <v>-1.7576550831153746E-2</v>
      </c>
      <c r="S999" s="22">
        <f t="shared" si="258"/>
        <v>-1.5555015911610761E-2</v>
      </c>
      <c r="T999" s="22">
        <f t="shared" si="259"/>
        <v>-2.5230526806458861E-2</v>
      </c>
      <c r="U999" s="22">
        <f t="shared" si="260"/>
        <v>-8.7577440759860087E-3</v>
      </c>
      <c r="V999" s="22">
        <f t="shared" si="261"/>
        <v>-4.2221250972520235E-3</v>
      </c>
      <c r="W999" s="22">
        <f t="shared" si="262"/>
        <v>-3.4124076757635915E-3</v>
      </c>
      <c r="X999" s="22">
        <f t="shared" si="263"/>
        <v>-5.9586469949833923E-3</v>
      </c>
    </row>
    <row r="1000" spans="1:24" x14ac:dyDescent="0.35">
      <c r="A1000" s="3">
        <v>11.29</v>
      </c>
      <c r="B1000" s="3">
        <v>55.86</v>
      </c>
      <c r="C1000" s="3">
        <v>135.13</v>
      </c>
      <c r="D1000" s="3">
        <v>15.12</v>
      </c>
      <c r="E1000" s="3">
        <v>44.99</v>
      </c>
      <c r="F1000" s="3">
        <v>95.917788999999999</v>
      </c>
      <c r="G1000" s="3">
        <v>90.752255000000005</v>
      </c>
      <c r="H1000" s="3">
        <v>85.766260000000003</v>
      </c>
      <c r="I1000" s="17">
        <f t="shared" si="248"/>
        <v>8.9365504915102454E-3</v>
      </c>
      <c r="J1000" s="17">
        <f t="shared" si="249"/>
        <v>-1.5682819383259921E-2</v>
      </c>
      <c r="K1000" s="17">
        <f t="shared" si="250"/>
        <v>-4.2513994189754128E-2</v>
      </c>
      <c r="L1000" s="17">
        <f t="shared" si="251"/>
        <v>2.4390243902438987E-2</v>
      </c>
      <c r="M1000" s="17">
        <f t="shared" si="252"/>
        <v>1.6034327009936785E-2</v>
      </c>
      <c r="N1000" s="17">
        <f t="shared" si="253"/>
        <v>6.2749302640338384E-4</v>
      </c>
      <c r="O1000" s="17">
        <f t="shared" si="254"/>
        <v>-7.1833078147540358E-4</v>
      </c>
      <c r="P1000" s="17">
        <f t="shared" si="255"/>
        <v>-1.6918783924110582E-3</v>
      </c>
      <c r="Q1000" s="22">
        <f t="shared" si="256"/>
        <v>8.5420766211255113E-3</v>
      </c>
      <c r="R1000" s="22">
        <f t="shared" si="257"/>
        <v>-1.6113544097337083E-2</v>
      </c>
      <c r="S1000" s="22">
        <f t="shared" si="258"/>
        <v>-4.2925953576591576E-2</v>
      </c>
      <c r="T1000" s="22">
        <f t="shared" si="259"/>
        <v>2.425879239320607E-2</v>
      </c>
      <c r="U1000" s="22">
        <f t="shared" si="260"/>
        <v>1.5341099062983022E-2</v>
      </c>
      <c r="V1000" s="22">
        <f t="shared" si="261"/>
        <v>8.6209683590656415E-4</v>
      </c>
      <c r="W1000" s="22">
        <f t="shared" si="262"/>
        <v>-4.6408222738470058E-4</v>
      </c>
      <c r="X1000" s="22">
        <f t="shared" si="263"/>
        <v>-1.3759340078047194E-3</v>
      </c>
    </row>
    <row r="1001" spans="1:24" x14ac:dyDescent="0.35">
      <c r="A1001" s="3">
        <v>11.33</v>
      </c>
      <c r="B1001" s="3">
        <v>55.89</v>
      </c>
      <c r="C1001" s="3">
        <v>135.41</v>
      </c>
      <c r="D1001" s="3">
        <v>14.67</v>
      </c>
      <c r="E1001" s="3">
        <v>44.24</v>
      </c>
      <c r="F1001" s="3">
        <v>96.047634000000002</v>
      </c>
      <c r="G1001" s="3">
        <v>90.776274000000001</v>
      </c>
      <c r="H1001" s="3">
        <v>85.621399999999994</v>
      </c>
      <c r="I1001" s="17">
        <f t="shared" si="248"/>
        <v>3.5429583702392318E-3</v>
      </c>
      <c r="J1001" s="17">
        <f t="shared" si="249"/>
        <v>5.3705692803439201E-4</v>
      </c>
      <c r="K1001" s="17">
        <f t="shared" si="250"/>
        <v>2.0720787389920904E-3</v>
      </c>
      <c r="L1001" s="17">
        <f t="shared" si="251"/>
        <v>-2.9761904761904715E-2</v>
      </c>
      <c r="M1001" s="17">
        <f t="shared" si="252"/>
        <v>-1.6670371193598578E-2</v>
      </c>
      <c r="N1001" s="17">
        <f t="shared" si="253"/>
        <v>1.35371135379281E-3</v>
      </c>
      <c r="O1001" s="17">
        <f t="shared" si="254"/>
        <v>2.6466559976934533E-4</v>
      </c>
      <c r="P1001" s="17">
        <f t="shared" si="255"/>
        <v>-1.6890091744703386E-3</v>
      </c>
      <c r="Q1001" s="22">
        <f t="shared" si="256"/>
        <v>3.1484844998544985E-3</v>
      </c>
      <c r="R1001" s="22">
        <f t="shared" si="257"/>
        <v>1.0633221395722851E-4</v>
      </c>
      <c r="S1001" s="22">
        <f t="shared" si="258"/>
        <v>1.6601193521546434E-3</v>
      </c>
      <c r="T1001" s="22">
        <f t="shared" si="259"/>
        <v>-2.9893356271137633E-2</v>
      </c>
      <c r="U1001" s="22">
        <f t="shared" si="260"/>
        <v>-1.7363599140552341E-2</v>
      </c>
      <c r="V1001" s="22">
        <f t="shared" si="261"/>
        <v>1.5883151632959903E-3</v>
      </c>
      <c r="W1001" s="22">
        <f t="shared" si="262"/>
        <v>5.1891415386004828E-4</v>
      </c>
      <c r="X1001" s="22">
        <f t="shared" si="263"/>
        <v>-1.3730647898639997E-3</v>
      </c>
    </row>
    <row r="1002" spans="1:24" x14ac:dyDescent="0.35">
      <c r="A1002" s="3">
        <v>11.34</v>
      </c>
      <c r="B1002" s="3">
        <v>55.64</v>
      </c>
      <c r="C1002" s="3">
        <v>132</v>
      </c>
      <c r="D1002" s="3">
        <v>14.54</v>
      </c>
      <c r="E1002" s="3">
        <v>43.16</v>
      </c>
      <c r="F1002" s="3">
        <v>96.158286000000004</v>
      </c>
      <c r="G1002" s="3">
        <v>90.848371</v>
      </c>
      <c r="H1002" s="3">
        <v>85.524000999999998</v>
      </c>
      <c r="I1002" s="17">
        <f t="shared" si="248"/>
        <v>8.8261253309795116E-4</v>
      </c>
      <c r="J1002" s="17">
        <f t="shared" si="249"/>
        <v>-4.4730721059223471E-3</v>
      </c>
      <c r="K1002" s="17">
        <f t="shared" si="250"/>
        <v>-2.5182778229082024E-2</v>
      </c>
      <c r="L1002" s="17">
        <f t="shared" si="251"/>
        <v>-8.8616223585549266E-3</v>
      </c>
      <c r="M1002" s="17">
        <f t="shared" si="252"/>
        <v>-2.441229656419542E-2</v>
      </c>
      <c r="N1002" s="17">
        <f t="shared" si="253"/>
        <v>1.1520533655207138E-3</v>
      </c>
      <c r="O1002" s="17">
        <f t="shared" si="254"/>
        <v>7.9422735504653351E-4</v>
      </c>
      <c r="P1002" s="17">
        <f t="shared" si="255"/>
        <v>-1.137554396447568E-3</v>
      </c>
      <c r="Q1002" s="22">
        <f t="shared" si="256"/>
        <v>4.8813866271321785E-4</v>
      </c>
      <c r="R1002" s="22">
        <f t="shared" si="257"/>
        <v>-4.9037968199995103E-3</v>
      </c>
      <c r="S1002" s="22">
        <f t="shared" si="258"/>
        <v>-2.5594737615919471E-2</v>
      </c>
      <c r="T1002" s="22">
        <f t="shared" si="259"/>
        <v>-8.9930738677878441E-3</v>
      </c>
      <c r="U1002" s="22">
        <f t="shared" si="260"/>
        <v>-2.5105524511149183E-2</v>
      </c>
      <c r="V1002" s="22">
        <f t="shared" si="261"/>
        <v>1.3866571750238942E-3</v>
      </c>
      <c r="W1002" s="22">
        <f t="shared" si="262"/>
        <v>1.0484759091372365E-3</v>
      </c>
      <c r="X1002" s="22">
        <f t="shared" si="263"/>
        <v>-8.2161001184122913E-4</v>
      </c>
    </row>
    <row r="1003" spans="1:24" x14ac:dyDescent="0.35">
      <c r="A1003" s="3">
        <v>11.3</v>
      </c>
      <c r="B1003" s="3">
        <v>55.47</v>
      </c>
      <c r="C1003" s="3">
        <v>137.29</v>
      </c>
      <c r="D1003" s="3">
        <v>14.35</v>
      </c>
      <c r="E1003" s="3">
        <v>45.04</v>
      </c>
      <c r="F1003" s="3">
        <v>95.697622999999993</v>
      </c>
      <c r="G1003" s="3">
        <v>90.472804999999994</v>
      </c>
      <c r="H1003" s="3">
        <v>84.991461999999999</v>
      </c>
      <c r="I1003" s="17">
        <f t="shared" si="248"/>
        <v>-3.5273368606701188E-3</v>
      </c>
      <c r="J1003" s="17">
        <f t="shared" si="249"/>
        <v>-3.0553558590942073E-3</v>
      </c>
      <c r="K1003" s="17">
        <f t="shared" si="250"/>
        <v>4.0075757575757515E-2</v>
      </c>
      <c r="L1003" s="17">
        <f t="shared" si="251"/>
        <v>-1.3067400275103131E-2</v>
      </c>
      <c r="M1003" s="17">
        <f t="shared" si="252"/>
        <v>4.3558850787766515E-2</v>
      </c>
      <c r="N1003" s="17">
        <f t="shared" si="253"/>
        <v>-4.7906739935028681E-3</v>
      </c>
      <c r="O1003" s="17">
        <f t="shared" si="254"/>
        <v>-4.1339871685757172E-3</v>
      </c>
      <c r="P1003" s="17">
        <f t="shared" si="255"/>
        <v>-6.2267783753475227E-3</v>
      </c>
      <c r="Q1003" s="22">
        <f t="shared" si="256"/>
        <v>-3.9218107310548525E-3</v>
      </c>
      <c r="R1003" s="22">
        <f t="shared" si="257"/>
        <v>-3.486080573171371E-3</v>
      </c>
      <c r="S1003" s="22">
        <f t="shared" si="258"/>
        <v>3.9663798188920067E-2</v>
      </c>
      <c r="T1003" s="22">
        <f t="shared" si="259"/>
        <v>-1.3198851784336049E-2</v>
      </c>
      <c r="U1003" s="22">
        <f t="shared" si="260"/>
        <v>4.2865622840812752E-2</v>
      </c>
      <c r="V1003" s="22">
        <f t="shared" si="261"/>
        <v>-4.5560701839996876E-3</v>
      </c>
      <c r="W1003" s="22">
        <f t="shared" si="262"/>
        <v>-3.8797386144850143E-3</v>
      </c>
      <c r="X1003" s="22">
        <f t="shared" si="263"/>
        <v>-5.9108339907411843E-3</v>
      </c>
    </row>
    <row r="1004" spans="1:24" x14ac:dyDescent="0.35">
      <c r="A1004" s="3">
        <v>11.2</v>
      </c>
      <c r="B1004" s="3">
        <v>55.86</v>
      </c>
      <c r="C1004" s="3">
        <v>137.81</v>
      </c>
      <c r="D1004" s="3">
        <v>14.21</v>
      </c>
      <c r="E1004" s="3">
        <v>44.88</v>
      </c>
      <c r="F1004" s="3">
        <v>95.472590999999994</v>
      </c>
      <c r="G1004" s="3">
        <v>90.167969999999997</v>
      </c>
      <c r="H1004" s="3">
        <v>84.597376999999994</v>
      </c>
      <c r="I1004" s="17">
        <f t="shared" si="248"/>
        <v>-8.8495575221240186E-3</v>
      </c>
      <c r="J1004" s="17">
        <f t="shared" si="249"/>
        <v>7.0308274743104485E-3</v>
      </c>
      <c r="K1004" s="17">
        <f t="shared" si="250"/>
        <v>3.7876028844053482E-3</v>
      </c>
      <c r="L1004" s="17">
        <f t="shared" si="251"/>
        <v>-9.7560975609755265E-3</v>
      </c>
      <c r="M1004" s="17">
        <f t="shared" si="252"/>
        <v>-3.5523978685612031E-3</v>
      </c>
      <c r="N1004" s="17">
        <f t="shared" si="253"/>
        <v>-2.3514899633400384E-3</v>
      </c>
      <c r="O1004" s="17">
        <f t="shared" si="254"/>
        <v>-3.3693550233133271E-3</v>
      </c>
      <c r="P1004" s="17">
        <f t="shared" si="255"/>
        <v>-4.6367598665381709E-3</v>
      </c>
      <c r="Q1004" s="22">
        <f t="shared" si="256"/>
        <v>-9.2440313925087527E-3</v>
      </c>
      <c r="R1004" s="22">
        <f t="shared" si="257"/>
        <v>6.6001027602332852E-3</v>
      </c>
      <c r="S1004" s="22">
        <f t="shared" si="258"/>
        <v>3.3756434975679012E-3</v>
      </c>
      <c r="T1004" s="22">
        <f t="shared" si="259"/>
        <v>-9.8875490702084439E-3</v>
      </c>
      <c r="U1004" s="22">
        <f t="shared" si="260"/>
        <v>-4.2456258155149657E-3</v>
      </c>
      <c r="V1004" s="22">
        <f t="shared" si="261"/>
        <v>-2.1168861538368583E-3</v>
      </c>
      <c r="W1004" s="22">
        <f t="shared" si="262"/>
        <v>-3.1151064692226242E-3</v>
      </c>
      <c r="X1004" s="22">
        <f t="shared" si="263"/>
        <v>-4.3208154819318325E-3</v>
      </c>
    </row>
    <row r="1005" spans="1:24" x14ac:dyDescent="0.35">
      <c r="A1005" s="3">
        <v>11.33</v>
      </c>
      <c r="B1005" s="3">
        <v>55.47</v>
      </c>
      <c r="C1005" s="3">
        <v>135.68</v>
      </c>
      <c r="D1005" s="3">
        <v>14.33</v>
      </c>
      <c r="E1005" s="3">
        <v>43.51</v>
      </c>
      <c r="F1005" s="3">
        <v>95.189007000000004</v>
      </c>
      <c r="G1005" s="3">
        <v>89.753339999999994</v>
      </c>
      <c r="H1005" s="3">
        <v>84.292141999999998</v>
      </c>
      <c r="I1005" s="17">
        <f t="shared" si="248"/>
        <v>1.1607142857142927E-2</v>
      </c>
      <c r="J1005" s="17">
        <f t="shared" si="249"/>
        <v>-6.9817400644468413E-3</v>
      </c>
      <c r="K1005" s="17">
        <f t="shared" si="250"/>
        <v>-1.5456062695014842E-2</v>
      </c>
      <c r="L1005" s="17">
        <f t="shared" si="251"/>
        <v>8.4447572132300645E-3</v>
      </c>
      <c r="M1005" s="17">
        <f t="shared" si="252"/>
        <v>-3.0525846702317391E-2</v>
      </c>
      <c r="N1005" s="17">
        <f t="shared" si="253"/>
        <v>-2.9703184655373032E-3</v>
      </c>
      <c r="O1005" s="17">
        <f t="shared" si="254"/>
        <v>-4.5984178195428212E-3</v>
      </c>
      <c r="P1005" s="17">
        <f t="shared" si="255"/>
        <v>-3.6080905912720695E-3</v>
      </c>
      <c r="Q1005" s="22">
        <f t="shared" si="256"/>
        <v>1.1212668986758193E-2</v>
      </c>
      <c r="R1005" s="22">
        <f t="shared" si="257"/>
        <v>-7.4124647785240045E-3</v>
      </c>
      <c r="S1005" s="22">
        <f t="shared" si="258"/>
        <v>-1.5868022081852288E-2</v>
      </c>
      <c r="T1005" s="22">
        <f t="shared" si="259"/>
        <v>8.313305703997147E-3</v>
      </c>
      <c r="U1005" s="22">
        <f t="shared" si="260"/>
        <v>-3.1219074649271154E-2</v>
      </c>
      <c r="V1005" s="22">
        <f t="shared" si="261"/>
        <v>-2.7357146560341231E-3</v>
      </c>
      <c r="W1005" s="22">
        <f t="shared" si="262"/>
        <v>-4.3441692654521179E-3</v>
      </c>
      <c r="X1005" s="22">
        <f t="shared" si="263"/>
        <v>-3.2921462066657307E-3</v>
      </c>
    </row>
    <row r="1006" spans="1:24" x14ac:dyDescent="0.35">
      <c r="A1006" s="3">
        <v>11.46</v>
      </c>
      <c r="B1006" s="3">
        <v>55.07</v>
      </c>
      <c r="C1006" s="3">
        <v>136.85</v>
      </c>
      <c r="D1006" s="3">
        <v>14.66</v>
      </c>
      <c r="E1006" s="3">
        <v>43.54</v>
      </c>
      <c r="F1006" s="3">
        <v>95.300673000000003</v>
      </c>
      <c r="G1006" s="3">
        <v>89.870282000000003</v>
      </c>
      <c r="H1006" s="3">
        <v>84.308610000000002</v>
      </c>
      <c r="I1006" s="17">
        <f t="shared" si="248"/>
        <v>1.1473962930273678E-2</v>
      </c>
      <c r="J1006" s="17">
        <f t="shared" si="249"/>
        <v>-7.2111051018568344E-3</v>
      </c>
      <c r="K1006" s="17">
        <f t="shared" si="250"/>
        <v>8.6232311320753787E-3</v>
      </c>
      <c r="L1006" s="17">
        <f t="shared" si="251"/>
        <v>2.3028611304954646E-2</v>
      </c>
      <c r="M1006" s="17">
        <f t="shared" si="252"/>
        <v>6.8949666743280027E-4</v>
      </c>
      <c r="N1006" s="17">
        <f t="shared" si="253"/>
        <v>1.1730976456136325E-3</v>
      </c>
      <c r="O1006" s="17">
        <f t="shared" si="254"/>
        <v>1.3029264426260769E-3</v>
      </c>
      <c r="P1006" s="17">
        <f t="shared" si="255"/>
        <v>1.9536815187355493E-4</v>
      </c>
      <c r="Q1006" s="22">
        <f t="shared" si="256"/>
        <v>1.1079489059888944E-2</v>
      </c>
      <c r="R1006" s="22">
        <f t="shared" si="257"/>
        <v>-7.6418298159339976E-3</v>
      </c>
      <c r="S1006" s="22">
        <f t="shared" si="258"/>
        <v>8.2112717452379313E-3</v>
      </c>
      <c r="T1006" s="22">
        <f t="shared" si="259"/>
        <v>2.2897159795721728E-2</v>
      </c>
      <c r="U1006" s="22">
        <f t="shared" si="260"/>
        <v>-3.7312795209622392E-6</v>
      </c>
      <c r="V1006" s="22">
        <f t="shared" si="261"/>
        <v>1.4077014551168129E-3</v>
      </c>
      <c r="W1006" s="22">
        <f t="shared" si="262"/>
        <v>1.55717499671678E-3</v>
      </c>
      <c r="X1006" s="22">
        <f t="shared" si="263"/>
        <v>5.113125364798937E-4</v>
      </c>
    </row>
    <row r="1007" spans="1:24" x14ac:dyDescent="0.35">
      <c r="A1007" s="3">
        <v>11.48</v>
      </c>
      <c r="B1007" s="3">
        <v>54.75</v>
      </c>
      <c r="C1007" s="3">
        <v>134.69</v>
      </c>
      <c r="D1007" s="3">
        <v>14.78</v>
      </c>
      <c r="E1007" s="3">
        <v>42.92</v>
      </c>
      <c r="F1007" s="3">
        <v>95.429269000000005</v>
      </c>
      <c r="G1007" s="3">
        <v>90.026011999999994</v>
      </c>
      <c r="H1007" s="3">
        <v>84.496326999999994</v>
      </c>
      <c r="I1007" s="17">
        <f t="shared" si="248"/>
        <v>1.745200698080242E-3</v>
      </c>
      <c r="J1007" s="17">
        <f t="shared" si="249"/>
        <v>-5.8107862720174373E-3</v>
      </c>
      <c r="K1007" s="17">
        <f t="shared" si="250"/>
        <v>-1.5783704786262308E-2</v>
      </c>
      <c r="L1007" s="17">
        <f t="shared" si="251"/>
        <v>8.1855388813096321E-3</v>
      </c>
      <c r="M1007" s="17">
        <f t="shared" si="252"/>
        <v>-1.4239779513091352E-2</v>
      </c>
      <c r="N1007" s="17">
        <f t="shared" si="253"/>
        <v>1.3493713732745801E-3</v>
      </c>
      <c r="O1007" s="17">
        <f t="shared" si="254"/>
        <v>1.7328308817367599E-3</v>
      </c>
      <c r="P1007" s="17">
        <f t="shared" si="255"/>
        <v>2.2265460194396767E-3</v>
      </c>
      <c r="Q1007" s="22">
        <f t="shared" si="256"/>
        <v>1.3507268276955087E-3</v>
      </c>
      <c r="R1007" s="22">
        <f t="shared" si="257"/>
        <v>-6.2415109860946005E-3</v>
      </c>
      <c r="S1007" s="22">
        <f t="shared" si="258"/>
        <v>-1.6195664173099755E-2</v>
      </c>
      <c r="T1007" s="22">
        <f t="shared" si="259"/>
        <v>8.0540873720767146E-3</v>
      </c>
      <c r="U1007" s="22">
        <f t="shared" si="260"/>
        <v>-1.4933007460045115E-2</v>
      </c>
      <c r="V1007" s="22">
        <f t="shared" si="261"/>
        <v>1.5839751827777604E-3</v>
      </c>
      <c r="W1007" s="22">
        <f t="shared" si="262"/>
        <v>1.9870794358274628E-3</v>
      </c>
      <c r="X1007" s="22">
        <f t="shared" si="263"/>
        <v>2.5424904040460155E-3</v>
      </c>
    </row>
    <row r="1008" spans="1:24" x14ac:dyDescent="0.35">
      <c r="A1008" s="3">
        <v>11.37</v>
      </c>
      <c r="B1008" s="3">
        <v>54.22</v>
      </c>
      <c r="C1008" s="3">
        <v>133.44999999999999</v>
      </c>
      <c r="D1008" s="3">
        <v>14.63</v>
      </c>
      <c r="E1008" s="3">
        <v>43.22</v>
      </c>
      <c r="F1008" s="3">
        <v>95.412321000000006</v>
      </c>
      <c r="G1008" s="3">
        <v>89.943515000000005</v>
      </c>
      <c r="H1008" s="3">
        <v>84.325226999999998</v>
      </c>
      <c r="I1008" s="17">
        <f t="shared" si="248"/>
        <v>-9.5818815331011505E-3</v>
      </c>
      <c r="J1008" s="17">
        <f t="shared" si="249"/>
        <v>-9.6803652968036735E-3</v>
      </c>
      <c r="K1008" s="17">
        <f t="shared" si="250"/>
        <v>-9.2063256366471825E-3</v>
      </c>
      <c r="L1008" s="17">
        <f t="shared" si="251"/>
        <v>-1.0148849797022909E-2</v>
      </c>
      <c r="M1008" s="17">
        <f t="shared" si="252"/>
        <v>6.989748369058647E-3</v>
      </c>
      <c r="N1008" s="17">
        <f t="shared" si="253"/>
        <v>-1.7759750417871583E-4</v>
      </c>
      <c r="O1008" s="17">
        <f t="shared" si="254"/>
        <v>-9.1636848247803526E-4</v>
      </c>
      <c r="P1008" s="17">
        <f t="shared" si="255"/>
        <v>-2.0249400899993628E-3</v>
      </c>
      <c r="Q1008" s="22">
        <f t="shared" si="256"/>
        <v>-9.9763554034858846E-3</v>
      </c>
      <c r="R1008" s="22">
        <f t="shared" si="257"/>
        <v>-1.0111090010880838E-2</v>
      </c>
      <c r="S1008" s="22">
        <f t="shared" si="258"/>
        <v>-9.6182850234846299E-3</v>
      </c>
      <c r="T1008" s="22">
        <f t="shared" si="259"/>
        <v>-1.0280301306255827E-2</v>
      </c>
      <c r="U1008" s="22">
        <f t="shared" si="260"/>
        <v>6.2965204221048848E-3</v>
      </c>
      <c r="V1008" s="22">
        <f t="shared" si="261"/>
        <v>5.7006305324464458E-5</v>
      </c>
      <c r="W1008" s="22">
        <f t="shared" si="262"/>
        <v>-6.6211992838733226E-4</v>
      </c>
      <c r="X1008" s="22">
        <f t="shared" si="263"/>
        <v>-1.708995705393024E-3</v>
      </c>
    </row>
    <row r="1009" spans="1:24" x14ac:dyDescent="0.35">
      <c r="A1009" s="3">
        <v>11.68</v>
      </c>
      <c r="B1009" s="3">
        <v>55.24</v>
      </c>
      <c r="C1009" s="3">
        <v>133.97</v>
      </c>
      <c r="D1009" s="3">
        <v>14.95</v>
      </c>
      <c r="E1009" s="3">
        <v>43.49</v>
      </c>
      <c r="F1009" s="3">
        <v>95.506576999999993</v>
      </c>
      <c r="G1009" s="3">
        <v>89.967939000000001</v>
      </c>
      <c r="H1009" s="3">
        <v>84.348973000000001</v>
      </c>
      <c r="I1009" s="17">
        <f t="shared" si="248"/>
        <v>2.7264731750219921E-2</v>
      </c>
      <c r="J1009" s="17">
        <f t="shared" si="249"/>
        <v>1.8812246403541188E-2</v>
      </c>
      <c r="K1009" s="17">
        <f t="shared" si="250"/>
        <v>3.8965904833271657E-3</v>
      </c>
      <c r="L1009" s="17">
        <f t="shared" si="251"/>
        <v>2.1872863978127034E-2</v>
      </c>
      <c r="M1009" s="17">
        <f t="shared" si="252"/>
        <v>6.2471078204535662E-3</v>
      </c>
      <c r="N1009" s="17">
        <f t="shared" si="253"/>
        <v>9.8788080000681709E-4</v>
      </c>
      <c r="O1009" s="17">
        <f t="shared" si="254"/>
        <v>2.7154820444804973E-4</v>
      </c>
      <c r="P1009" s="17">
        <f t="shared" si="255"/>
        <v>2.816001906523502E-4</v>
      </c>
      <c r="Q1009" s="22">
        <f t="shared" si="256"/>
        <v>2.6870257879835189E-2</v>
      </c>
      <c r="R1009" s="22">
        <f t="shared" si="257"/>
        <v>1.8381521689464025E-2</v>
      </c>
      <c r="S1009" s="22">
        <f t="shared" si="258"/>
        <v>3.4846310964897187E-3</v>
      </c>
      <c r="T1009" s="22">
        <f t="shared" si="259"/>
        <v>2.1741412468894116E-2</v>
      </c>
      <c r="U1009" s="22">
        <f t="shared" si="260"/>
        <v>5.553879873499804E-3</v>
      </c>
      <c r="V1009" s="22">
        <f t="shared" si="261"/>
        <v>1.2224846095099974E-3</v>
      </c>
      <c r="W1009" s="22">
        <f t="shared" si="262"/>
        <v>5.2579675853875268E-4</v>
      </c>
      <c r="X1009" s="22">
        <f t="shared" si="263"/>
        <v>5.9754457525868897E-4</v>
      </c>
    </row>
  </sheetData>
  <mergeCells count="5">
    <mergeCell ref="I1:P1"/>
    <mergeCell ref="Q1:X1"/>
    <mergeCell ref="AC48:AE48"/>
    <mergeCell ref="AG78:AK78"/>
    <mergeCell ref="AG85:AK85"/>
  </mergeCells>
  <hyperlinks>
    <hyperlink ref="AJ53" r:id="rId1" xr:uid="{C191ADC7-8EC8-4F94-8969-0501868EE074}"/>
    <hyperlink ref="AJ54" r:id="rId2" xr:uid="{96B1F8BC-E1AF-497C-B352-55873376BAC8}"/>
    <hyperlink ref="AJ55" r:id="rId3" xr:uid="{A45F8EB4-C12B-4AAB-BD4F-156A6289147E}"/>
    <hyperlink ref="AJ56" r:id="rId4" location="data" xr:uid="{27B32CDE-61EE-410B-9FEC-FD5360BD0435}"/>
    <hyperlink ref="AE91" r:id="rId5" xr:uid="{27ED8B24-7EB6-4D12-8822-D63F3D33C694}"/>
  </hyperlinks>
  <pageMargins left="0.7" right="0.7" top="0.75" bottom="0.75" header="0.3" footer="0.3"/>
  <drawing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1DE9-DC39-49F6-B92A-E5FC0EDCB346}">
  <dimension ref="B2:N26"/>
  <sheetViews>
    <sheetView workbookViewId="0">
      <selection activeCell="J28" sqref="J28"/>
    </sheetView>
  </sheetViews>
  <sheetFormatPr defaultRowHeight="14.5" x14ac:dyDescent="0.35"/>
  <cols>
    <col min="2" max="2" width="13.08984375" customWidth="1"/>
  </cols>
  <sheetData>
    <row r="2" spans="2:14" x14ac:dyDescent="0.35">
      <c r="B2" s="9" t="s">
        <v>12</v>
      </c>
      <c r="K2" s="9" t="s">
        <v>25</v>
      </c>
    </row>
    <row r="3" spans="2:14" x14ac:dyDescent="0.35">
      <c r="K3" t="s">
        <v>26</v>
      </c>
      <c r="L3">
        <v>100</v>
      </c>
    </row>
    <row r="4" spans="2:14" x14ac:dyDescent="0.35">
      <c r="B4" t="s">
        <v>13</v>
      </c>
      <c r="C4" s="4" t="s">
        <v>14</v>
      </c>
      <c r="D4" s="4" t="s">
        <v>13</v>
      </c>
      <c r="E4" s="4" t="s">
        <v>15</v>
      </c>
      <c r="F4" s="4" t="s">
        <v>13</v>
      </c>
      <c r="G4" s="4" t="s">
        <v>4</v>
      </c>
      <c r="H4" s="4" t="s">
        <v>13</v>
      </c>
      <c r="I4" s="4" t="s">
        <v>5</v>
      </c>
      <c r="L4" t="s">
        <v>27</v>
      </c>
      <c r="M4" t="s">
        <v>28</v>
      </c>
      <c r="N4" t="s">
        <v>29</v>
      </c>
    </row>
    <row r="5" spans="2:14" x14ac:dyDescent="0.35">
      <c r="B5" s="5">
        <v>2021</v>
      </c>
      <c r="C5" s="6">
        <v>1</v>
      </c>
      <c r="D5" s="7" t="s">
        <v>16</v>
      </c>
      <c r="E5">
        <v>3.17</v>
      </c>
      <c r="F5">
        <v>2021</v>
      </c>
      <c r="G5">
        <v>0.4</v>
      </c>
      <c r="H5">
        <v>2024</v>
      </c>
      <c r="I5">
        <v>1.2</v>
      </c>
      <c r="K5" t="s">
        <v>30</v>
      </c>
      <c r="L5">
        <v>8.5000000000000006E-2</v>
      </c>
      <c r="M5">
        <v>7.7499999999999999E-2</v>
      </c>
      <c r="N5">
        <v>7.7499999999999999E-2</v>
      </c>
    </row>
    <row r="6" spans="2:14" x14ac:dyDescent="0.35">
      <c r="B6" s="5">
        <v>2022</v>
      </c>
      <c r="C6" s="8">
        <v>0.65</v>
      </c>
      <c r="D6" s="7" t="s">
        <v>17</v>
      </c>
      <c r="E6">
        <v>2.65</v>
      </c>
      <c r="F6">
        <v>2022</v>
      </c>
      <c r="G6">
        <v>0.44</v>
      </c>
      <c r="K6" t="s">
        <v>31</v>
      </c>
      <c r="L6">
        <v>8.5</v>
      </c>
      <c r="M6">
        <v>7.75</v>
      </c>
      <c r="N6">
        <v>7.75</v>
      </c>
    </row>
    <row r="7" spans="2:14" x14ac:dyDescent="0.35">
      <c r="B7" s="5">
        <v>2022</v>
      </c>
      <c r="C7" s="8">
        <f>C6</f>
        <v>0.65</v>
      </c>
      <c r="D7" s="7" t="s">
        <v>18</v>
      </c>
      <c r="E7">
        <v>6.08</v>
      </c>
      <c r="F7">
        <v>2023</v>
      </c>
      <c r="G7">
        <f>0.23*2</f>
        <v>0.46</v>
      </c>
      <c r="K7" t="s">
        <v>32</v>
      </c>
      <c r="L7">
        <v>8.5</v>
      </c>
      <c r="M7">
        <v>7.75</v>
      </c>
      <c r="N7">
        <v>7.75</v>
      </c>
    </row>
    <row r="8" spans="2:14" x14ac:dyDescent="0.35">
      <c r="B8" s="5">
        <v>2023</v>
      </c>
      <c r="D8" s="7" t="s">
        <v>19</v>
      </c>
      <c r="E8">
        <v>5.81</v>
      </c>
      <c r="F8">
        <v>2024</v>
      </c>
      <c r="G8">
        <f>0.24*2</f>
        <v>0.48</v>
      </c>
      <c r="K8" t="s">
        <v>33</v>
      </c>
      <c r="L8">
        <v>8.5</v>
      </c>
      <c r="M8">
        <v>7.75</v>
      </c>
      <c r="N8">
        <v>7.75</v>
      </c>
    </row>
    <row r="9" spans="2:14" x14ac:dyDescent="0.35">
      <c r="D9" s="7" t="s">
        <v>20</v>
      </c>
      <c r="E9">
        <v>7.87</v>
      </c>
      <c r="K9" t="s">
        <v>19</v>
      </c>
      <c r="L9">
        <v>8.5</v>
      </c>
      <c r="M9">
        <v>7.75</v>
      </c>
      <c r="N9">
        <v>7.75</v>
      </c>
    </row>
    <row r="10" spans="2:14" x14ac:dyDescent="0.35">
      <c r="D10" s="7" t="s">
        <v>21</v>
      </c>
      <c r="E10">
        <v>5.2</v>
      </c>
      <c r="K10" t="s">
        <v>20</v>
      </c>
      <c r="L10">
        <v>8.5</v>
      </c>
      <c r="M10">
        <v>7.75</v>
      </c>
      <c r="N10">
        <v>7.75</v>
      </c>
    </row>
    <row r="11" spans="2:14" x14ac:dyDescent="0.35">
      <c r="D11" s="7" t="s">
        <v>22</v>
      </c>
      <c r="E11">
        <v>9.09</v>
      </c>
      <c r="K11" t="s">
        <v>34</v>
      </c>
      <c r="L11">
        <v>8.5</v>
      </c>
      <c r="M11">
        <v>7.75</v>
      </c>
      <c r="N11">
        <v>7.75</v>
      </c>
    </row>
    <row r="12" spans="2:14" x14ac:dyDescent="0.35">
      <c r="D12" s="7" t="s">
        <v>23</v>
      </c>
      <c r="E12">
        <v>3.55</v>
      </c>
      <c r="K12" t="s">
        <v>22</v>
      </c>
      <c r="L12">
        <v>8.5</v>
      </c>
      <c r="M12">
        <v>7.75</v>
      </c>
      <c r="N12">
        <v>7.75</v>
      </c>
    </row>
    <row r="13" spans="2:14" x14ac:dyDescent="0.35">
      <c r="K13" t="s">
        <v>23</v>
      </c>
      <c r="L13">
        <v>8.5</v>
      </c>
      <c r="M13">
        <v>7.75</v>
      </c>
      <c r="N13">
        <v>7.75</v>
      </c>
    </row>
    <row r="14" spans="2:14" x14ac:dyDescent="0.35">
      <c r="B14" t="s">
        <v>24</v>
      </c>
      <c r="C14" s="10">
        <f>SUM(C5:C12)</f>
        <v>2.2999999999999998</v>
      </c>
      <c r="D14" s="10"/>
      <c r="E14" s="10">
        <f>SUM(E5:E12)</f>
        <v>43.42</v>
      </c>
      <c r="F14" s="10"/>
      <c r="G14" s="10">
        <f>SUM(G5:G12)</f>
        <v>1.78</v>
      </c>
      <c r="H14" s="10"/>
      <c r="I14" s="10">
        <f>SUM(I5:I12)</f>
        <v>1.2</v>
      </c>
      <c r="K14" s="13" t="s">
        <v>35</v>
      </c>
      <c r="L14" s="13">
        <f>SUM(L6:L13)</f>
        <v>68</v>
      </c>
      <c r="M14" s="13">
        <f t="shared" ref="M14:N14" si="0">SUM(M6:M13)</f>
        <v>62</v>
      </c>
      <c r="N14" s="13">
        <f t="shared" si="0"/>
        <v>62</v>
      </c>
    </row>
    <row r="16" spans="2:14" x14ac:dyDescent="0.35">
      <c r="B16" s="9" t="s">
        <v>50</v>
      </c>
      <c r="H16" t="s">
        <v>36</v>
      </c>
    </row>
    <row r="17" spans="2:10" x14ac:dyDescent="0.35"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9</v>
      </c>
      <c r="I17" t="s">
        <v>10</v>
      </c>
      <c r="J17" t="s">
        <v>11</v>
      </c>
    </row>
    <row r="18" spans="2:10" x14ac:dyDescent="0.35">
      <c r="B18" s="11">
        <v>44196</v>
      </c>
      <c r="C18">
        <v>10.27</v>
      </c>
      <c r="D18">
        <v>43.24</v>
      </c>
      <c r="E18">
        <v>109.93</v>
      </c>
      <c r="F18">
        <v>14.49</v>
      </c>
      <c r="G18">
        <v>25.89</v>
      </c>
      <c r="H18">
        <v>122.724992</v>
      </c>
      <c r="I18">
        <v>118.222943</v>
      </c>
      <c r="J18">
        <v>118.929986</v>
      </c>
    </row>
    <row r="19" spans="2:10" x14ac:dyDescent="0.35">
      <c r="B19" s="11">
        <v>45657</v>
      </c>
      <c r="C19">
        <v>11.68</v>
      </c>
      <c r="D19">
        <v>55.24</v>
      </c>
      <c r="E19">
        <v>133.97</v>
      </c>
      <c r="F19">
        <v>14.95</v>
      </c>
      <c r="G19">
        <v>43.49</v>
      </c>
      <c r="H19">
        <v>95.506576999999993</v>
      </c>
      <c r="I19">
        <v>89.967939000000001</v>
      </c>
      <c r="J19">
        <v>84.348973000000001</v>
      </c>
    </row>
    <row r="20" spans="2:10" x14ac:dyDescent="0.35">
      <c r="B20" s="12" t="s">
        <v>37</v>
      </c>
      <c r="C20">
        <v>0</v>
      </c>
      <c r="D20" s="6">
        <f>C14</f>
        <v>2.2999999999999998</v>
      </c>
      <c r="E20" s="6">
        <f>E14</f>
        <v>43.42</v>
      </c>
      <c r="F20" s="6">
        <f>G14</f>
        <v>1.78</v>
      </c>
      <c r="G20" s="6">
        <f>I14</f>
        <v>1.2</v>
      </c>
      <c r="H20" s="8">
        <f>L14</f>
        <v>68</v>
      </c>
      <c r="I20" s="8">
        <f t="shared" ref="I20:J20" si="1">M14</f>
        <v>62</v>
      </c>
      <c r="J20" s="8">
        <f t="shared" si="1"/>
        <v>62</v>
      </c>
    </row>
    <row r="21" spans="2:10" x14ac:dyDescent="0.35">
      <c r="B21" s="12" t="s">
        <v>38</v>
      </c>
    </row>
    <row r="22" spans="2:10" x14ac:dyDescent="0.35">
      <c r="B22" s="12" t="s">
        <v>39</v>
      </c>
    </row>
    <row r="23" spans="2:10" x14ac:dyDescent="0.35">
      <c r="B23" s="12" t="s">
        <v>40</v>
      </c>
    </row>
    <row r="24" spans="2:10" x14ac:dyDescent="0.35">
      <c r="B24" s="12" t="s">
        <v>41</v>
      </c>
    </row>
    <row r="25" spans="2:10" x14ac:dyDescent="0.35">
      <c r="B25" s="12" t="s">
        <v>42</v>
      </c>
    </row>
    <row r="26" spans="2:10" x14ac:dyDescent="0.35">
      <c r="B26" s="12" t="s">
        <v>43</v>
      </c>
    </row>
  </sheetData>
  <pageMargins left="0.7" right="0.7" top="0.75" bottom="0.75" header="0.3" footer="0.3"/>
  <ignoredErrors>
    <ignoredError sqref="L14:N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</vt:lpstr>
      <vt:lpstr>Calculo Manual Varianza</vt:lpstr>
      <vt:lpstr>VaR and Weights</vt:lpstr>
      <vt:lpstr>HPR (Holding Period Return)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Cuauhtémoc Téllez Gaytán</dc:creator>
  <cp:lastModifiedBy>Enrique Garcia</cp:lastModifiedBy>
  <dcterms:created xsi:type="dcterms:W3CDTF">2025-05-03T14:22:56Z</dcterms:created>
  <dcterms:modified xsi:type="dcterms:W3CDTF">2025-05-06T06:50:44Z</dcterms:modified>
</cp:coreProperties>
</file>