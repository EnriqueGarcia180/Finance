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0871590\Desktop\ACADEMIA\1. Docencia\4 Actividades extra-academicas\Actuarios por Mexico\"/>
    </mc:Choice>
  </mc:AlternateContent>
  <xr:revisionPtr revIDLastSave="0" documentId="13_ncr:1_{00CEDFAB-8D6B-44F9-A186-9CAD84F993D5}" xr6:coauthVersionLast="47" xr6:coauthVersionMax="47" xr10:uidLastSave="{00000000-0000-0000-0000-000000000000}"/>
  <bookViews>
    <workbookView xWindow="-110" yWindow="-110" windowWidth="19420" windowHeight="10420" activeTab="4" xr2:uid="{78F9310F-67E8-4847-88CE-B1234E08A5E6}"/>
  </bookViews>
  <sheets>
    <sheet name="Sheet1" sheetId="4" r:id="rId1"/>
    <sheet name="Sheet2" sheetId="5" r:id="rId2"/>
    <sheet name="Sheet3" sheetId="6" r:id="rId3"/>
    <sheet name="daily" sheetId="1" r:id="rId4"/>
    <sheet name="Sheet4" sheetId="7" r:id="rId5"/>
    <sheet name="weekly" sheetId="2" r:id="rId6"/>
    <sheet name="monthly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7" l="1"/>
  <c r="H8" i="7"/>
  <c r="G8" i="7"/>
  <c r="H7" i="7"/>
  <c r="G7" i="7"/>
  <c r="F8" i="7"/>
  <c r="E8" i="7"/>
  <c r="F7" i="7"/>
  <c r="E7" i="7"/>
  <c r="H6" i="7"/>
  <c r="J6" i="7"/>
  <c r="G6" i="7"/>
  <c r="F6" i="7"/>
  <c r="E6" i="7"/>
  <c r="D24" i="6"/>
  <c r="D21" i="6"/>
  <c r="D20" i="6"/>
  <c r="C58" i="5"/>
  <c r="C56" i="5"/>
  <c r="D55" i="5"/>
  <c r="C55" i="5"/>
  <c r="C54" i="5"/>
  <c r="D27" i="5"/>
  <c r="C25" i="5"/>
  <c r="C21" i="5"/>
  <c r="C26" i="4"/>
  <c r="C22" i="4"/>
  <c r="H5" i="4"/>
  <c r="E14" i="7" l="1"/>
  <c r="E15" i="7" s="1"/>
  <c r="E17" i="7"/>
  <c r="I3" i="1" l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E877" i="1"/>
  <c r="F877" i="1"/>
  <c r="G877" i="1"/>
  <c r="E878" i="1"/>
  <c r="F878" i="1"/>
  <c r="G878" i="1"/>
  <c r="E879" i="1"/>
  <c r="F879" i="1"/>
  <c r="G879" i="1"/>
  <c r="E880" i="1"/>
  <c r="F880" i="1"/>
  <c r="G880" i="1"/>
  <c r="E881" i="1"/>
  <c r="F881" i="1"/>
  <c r="G881" i="1"/>
  <c r="E882" i="1"/>
  <c r="F882" i="1"/>
  <c r="G882" i="1"/>
  <c r="E883" i="1"/>
  <c r="F883" i="1"/>
  <c r="G883" i="1"/>
  <c r="E884" i="1"/>
  <c r="F884" i="1"/>
  <c r="G884" i="1"/>
  <c r="E885" i="1"/>
  <c r="F885" i="1"/>
  <c r="G885" i="1"/>
  <c r="E886" i="1"/>
  <c r="F886" i="1"/>
  <c r="G886" i="1"/>
  <c r="E887" i="1"/>
  <c r="F887" i="1"/>
  <c r="G887" i="1"/>
  <c r="E888" i="1"/>
  <c r="F888" i="1"/>
  <c r="G888" i="1"/>
  <c r="E889" i="1"/>
  <c r="F889" i="1"/>
  <c r="G889" i="1"/>
  <c r="E890" i="1"/>
  <c r="F890" i="1"/>
  <c r="G890" i="1"/>
  <c r="E891" i="1"/>
  <c r="F891" i="1"/>
  <c r="G891" i="1"/>
  <c r="E892" i="1"/>
  <c r="F892" i="1"/>
  <c r="G892" i="1"/>
  <c r="E893" i="1"/>
  <c r="F893" i="1"/>
  <c r="G893" i="1"/>
  <c r="E894" i="1"/>
  <c r="F894" i="1"/>
  <c r="G894" i="1"/>
  <c r="E895" i="1"/>
  <c r="F895" i="1"/>
  <c r="G895" i="1"/>
  <c r="E896" i="1"/>
  <c r="F896" i="1"/>
  <c r="G896" i="1"/>
  <c r="E897" i="1"/>
  <c r="F897" i="1"/>
  <c r="G897" i="1"/>
  <c r="E898" i="1"/>
  <c r="F898" i="1"/>
  <c r="G898" i="1"/>
  <c r="E899" i="1"/>
  <c r="F899" i="1"/>
  <c r="G899" i="1"/>
  <c r="E900" i="1"/>
  <c r="F900" i="1"/>
  <c r="G900" i="1"/>
  <c r="E901" i="1"/>
  <c r="F901" i="1"/>
  <c r="G901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06" i="1"/>
  <c r="F906" i="1"/>
  <c r="G906" i="1"/>
  <c r="E907" i="1"/>
  <c r="F907" i="1"/>
  <c r="G907" i="1"/>
  <c r="E908" i="1"/>
  <c r="F908" i="1"/>
  <c r="G908" i="1"/>
  <c r="E909" i="1"/>
  <c r="F909" i="1"/>
  <c r="G909" i="1"/>
  <c r="E910" i="1"/>
  <c r="F910" i="1"/>
  <c r="G910" i="1"/>
  <c r="E911" i="1"/>
  <c r="F911" i="1"/>
  <c r="G911" i="1"/>
  <c r="E912" i="1"/>
  <c r="F912" i="1"/>
  <c r="G912" i="1"/>
  <c r="E913" i="1"/>
  <c r="F913" i="1"/>
  <c r="G913" i="1"/>
  <c r="E914" i="1"/>
  <c r="F914" i="1"/>
  <c r="G914" i="1"/>
  <c r="E915" i="1"/>
  <c r="F915" i="1"/>
  <c r="G915" i="1"/>
  <c r="E916" i="1"/>
  <c r="F916" i="1"/>
  <c r="G916" i="1"/>
  <c r="E917" i="1"/>
  <c r="F917" i="1"/>
  <c r="G917" i="1"/>
  <c r="E918" i="1"/>
  <c r="F918" i="1"/>
  <c r="G918" i="1"/>
  <c r="E919" i="1"/>
  <c r="F919" i="1"/>
  <c r="G919" i="1"/>
  <c r="E920" i="1"/>
  <c r="F920" i="1"/>
  <c r="G920" i="1"/>
  <c r="E921" i="1"/>
  <c r="F921" i="1"/>
  <c r="G921" i="1"/>
  <c r="E922" i="1"/>
  <c r="F922" i="1"/>
  <c r="G922" i="1"/>
  <c r="E923" i="1"/>
  <c r="F923" i="1"/>
  <c r="G923" i="1"/>
  <c r="E924" i="1"/>
  <c r="F924" i="1"/>
  <c r="G924" i="1"/>
  <c r="E925" i="1"/>
  <c r="F925" i="1"/>
  <c r="G925" i="1"/>
  <c r="E926" i="1"/>
  <c r="F926" i="1"/>
  <c r="G926" i="1"/>
  <c r="E927" i="1"/>
  <c r="F927" i="1"/>
  <c r="G927" i="1"/>
  <c r="E928" i="1"/>
  <c r="F928" i="1"/>
  <c r="G928" i="1"/>
  <c r="E929" i="1"/>
  <c r="F929" i="1"/>
  <c r="G929" i="1"/>
  <c r="E930" i="1"/>
  <c r="F930" i="1"/>
  <c r="G930" i="1"/>
  <c r="E931" i="1"/>
  <c r="F931" i="1"/>
  <c r="G931" i="1"/>
  <c r="E932" i="1"/>
  <c r="F932" i="1"/>
  <c r="G932" i="1"/>
  <c r="E933" i="1"/>
  <c r="F933" i="1"/>
  <c r="G933" i="1"/>
  <c r="E934" i="1"/>
  <c r="F934" i="1"/>
  <c r="G934" i="1"/>
  <c r="E935" i="1"/>
  <c r="F935" i="1"/>
  <c r="G935" i="1"/>
  <c r="E936" i="1"/>
  <c r="F936" i="1"/>
  <c r="G936" i="1"/>
  <c r="E937" i="1"/>
  <c r="F937" i="1"/>
  <c r="G937" i="1"/>
  <c r="E938" i="1"/>
  <c r="F938" i="1"/>
  <c r="G938" i="1"/>
  <c r="E939" i="1"/>
  <c r="F939" i="1"/>
  <c r="G939" i="1"/>
  <c r="E940" i="1"/>
  <c r="F940" i="1"/>
  <c r="G94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45" i="1"/>
  <c r="F945" i="1"/>
  <c r="G945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0" i="1"/>
  <c r="F950" i="1"/>
  <c r="G950" i="1"/>
  <c r="E951" i="1"/>
  <c r="F951" i="1"/>
  <c r="G951" i="1"/>
  <c r="E952" i="1"/>
  <c r="F952" i="1"/>
  <c r="G952" i="1"/>
  <c r="E953" i="1"/>
  <c r="F953" i="1"/>
  <c r="G953" i="1"/>
  <c r="E954" i="1"/>
  <c r="F954" i="1"/>
  <c r="G954" i="1"/>
  <c r="E955" i="1"/>
  <c r="F955" i="1"/>
  <c r="G955" i="1"/>
  <c r="E956" i="1"/>
  <c r="F956" i="1"/>
  <c r="G956" i="1"/>
  <c r="E957" i="1"/>
  <c r="F957" i="1"/>
  <c r="G957" i="1"/>
  <c r="E958" i="1"/>
  <c r="F958" i="1"/>
  <c r="G958" i="1"/>
  <c r="E959" i="1"/>
  <c r="F959" i="1"/>
  <c r="G959" i="1"/>
  <c r="E960" i="1"/>
  <c r="F960" i="1"/>
  <c r="G960" i="1"/>
  <c r="E961" i="1"/>
  <c r="F961" i="1"/>
  <c r="G961" i="1"/>
  <c r="E962" i="1"/>
  <c r="F962" i="1"/>
  <c r="G962" i="1"/>
  <c r="E963" i="1"/>
  <c r="F963" i="1"/>
  <c r="G963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68" i="1"/>
  <c r="F968" i="1"/>
  <c r="G968" i="1"/>
  <c r="E969" i="1"/>
  <c r="F969" i="1"/>
  <c r="G969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74" i="1"/>
  <c r="F974" i="1"/>
  <c r="G974" i="1"/>
  <c r="E975" i="1"/>
  <c r="F975" i="1"/>
  <c r="G975" i="1"/>
  <c r="E976" i="1"/>
  <c r="F976" i="1"/>
  <c r="G976" i="1"/>
  <c r="E977" i="1"/>
  <c r="F977" i="1"/>
  <c r="G977" i="1"/>
  <c r="E978" i="1"/>
  <c r="F978" i="1"/>
  <c r="G978" i="1"/>
  <c r="E979" i="1"/>
  <c r="F979" i="1"/>
  <c r="G979" i="1"/>
  <c r="E980" i="1"/>
  <c r="F980" i="1"/>
  <c r="G980" i="1"/>
  <c r="E981" i="1"/>
  <c r="F981" i="1"/>
  <c r="G981" i="1"/>
  <c r="E982" i="1"/>
  <c r="F982" i="1"/>
  <c r="G982" i="1"/>
  <c r="E983" i="1"/>
  <c r="F983" i="1"/>
  <c r="G983" i="1"/>
  <c r="E984" i="1"/>
  <c r="F984" i="1"/>
  <c r="G984" i="1"/>
  <c r="E985" i="1"/>
  <c r="F985" i="1"/>
  <c r="G985" i="1"/>
  <c r="E986" i="1"/>
  <c r="F986" i="1"/>
  <c r="G986" i="1"/>
  <c r="E987" i="1"/>
  <c r="F987" i="1"/>
  <c r="G987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2" i="1"/>
  <c r="F992" i="1"/>
  <c r="G992" i="1"/>
  <c r="E993" i="1"/>
  <c r="F993" i="1"/>
  <c r="G993" i="1"/>
  <c r="E994" i="1"/>
  <c r="F994" i="1"/>
  <c r="G994" i="1"/>
  <c r="E995" i="1"/>
  <c r="F995" i="1"/>
  <c r="G995" i="1"/>
  <c r="E996" i="1"/>
  <c r="F996" i="1"/>
  <c r="G996" i="1"/>
  <c r="E997" i="1"/>
  <c r="F997" i="1"/>
  <c r="G997" i="1"/>
  <c r="E998" i="1"/>
  <c r="F998" i="1"/>
  <c r="G998" i="1"/>
  <c r="E999" i="1"/>
  <c r="F999" i="1"/>
  <c r="G999" i="1"/>
  <c r="E1000" i="1"/>
  <c r="F1000" i="1"/>
  <c r="G1000" i="1"/>
  <c r="E1001" i="1"/>
  <c r="F1001" i="1"/>
  <c r="G1001" i="1"/>
  <c r="E1002" i="1"/>
  <c r="F1002" i="1"/>
  <c r="G1002" i="1"/>
  <c r="E1003" i="1"/>
  <c r="F1003" i="1"/>
  <c r="G1003" i="1"/>
  <c r="E1004" i="1"/>
  <c r="F1004" i="1"/>
  <c r="G1004" i="1"/>
  <c r="E1005" i="1"/>
  <c r="F1005" i="1"/>
  <c r="G1005" i="1"/>
  <c r="E1006" i="1"/>
  <c r="F1006" i="1"/>
  <c r="G1006" i="1"/>
  <c r="E1007" i="1"/>
  <c r="F1007" i="1"/>
  <c r="G1007" i="1"/>
  <c r="E1008" i="1"/>
  <c r="F1008" i="1"/>
  <c r="G1008" i="1"/>
  <c r="E1009" i="1"/>
  <c r="F1009" i="1"/>
  <c r="G1009" i="1"/>
  <c r="E1010" i="1"/>
  <c r="F1010" i="1"/>
  <c r="G1010" i="1"/>
  <c r="E1011" i="1"/>
  <c r="F1011" i="1"/>
  <c r="G1011" i="1"/>
  <c r="E1012" i="1"/>
  <c r="F1012" i="1"/>
  <c r="G1012" i="1"/>
  <c r="E1013" i="1"/>
  <c r="F1013" i="1"/>
  <c r="G1013" i="1"/>
  <c r="E1014" i="1"/>
  <c r="F1014" i="1"/>
  <c r="G1014" i="1"/>
  <c r="E1015" i="1"/>
  <c r="F1015" i="1"/>
  <c r="G1015" i="1"/>
  <c r="E1016" i="1"/>
  <c r="F1016" i="1"/>
  <c r="G1016" i="1"/>
  <c r="E1017" i="1"/>
  <c r="F1017" i="1"/>
  <c r="G1017" i="1"/>
  <c r="E1018" i="1"/>
  <c r="F1018" i="1"/>
  <c r="G1018" i="1"/>
  <c r="E1019" i="1"/>
  <c r="F1019" i="1"/>
  <c r="G1019" i="1"/>
  <c r="E1020" i="1"/>
  <c r="F1020" i="1"/>
  <c r="G1020" i="1"/>
  <c r="E1021" i="1"/>
  <c r="F1021" i="1"/>
  <c r="G1021" i="1"/>
  <c r="E1022" i="1"/>
  <c r="F1022" i="1"/>
  <c r="G1022" i="1"/>
  <c r="E1023" i="1"/>
  <c r="F1023" i="1"/>
  <c r="G1023" i="1"/>
  <c r="E1024" i="1"/>
  <c r="F1024" i="1"/>
  <c r="G1024" i="1"/>
  <c r="E1025" i="1"/>
  <c r="F1025" i="1"/>
  <c r="G1025" i="1"/>
  <c r="E1026" i="1"/>
  <c r="F1026" i="1"/>
  <c r="G1026" i="1"/>
  <c r="E1027" i="1"/>
  <c r="F1027" i="1"/>
  <c r="G1027" i="1"/>
  <c r="E1028" i="1"/>
  <c r="F1028" i="1"/>
  <c r="G1028" i="1"/>
  <c r="E1029" i="1"/>
  <c r="F1029" i="1"/>
  <c r="G1029" i="1"/>
  <c r="E1030" i="1"/>
  <c r="F1030" i="1"/>
  <c r="G1030" i="1"/>
  <c r="E1031" i="1"/>
  <c r="F1031" i="1"/>
  <c r="G1031" i="1"/>
  <c r="E1032" i="1"/>
  <c r="F1032" i="1"/>
  <c r="G1032" i="1"/>
  <c r="E1033" i="1"/>
  <c r="F1033" i="1"/>
  <c r="G1033" i="1"/>
  <c r="E1034" i="1"/>
  <c r="F1034" i="1"/>
  <c r="G1034" i="1"/>
  <c r="E1035" i="1"/>
  <c r="F1035" i="1"/>
  <c r="G1035" i="1"/>
  <c r="E1036" i="1"/>
  <c r="F1036" i="1"/>
  <c r="G1036" i="1"/>
  <c r="E1037" i="1"/>
  <c r="F1037" i="1"/>
  <c r="G1037" i="1"/>
  <c r="E1038" i="1"/>
  <c r="F1038" i="1"/>
  <c r="G1038" i="1"/>
  <c r="E1039" i="1"/>
  <c r="F1039" i="1"/>
  <c r="G1039" i="1"/>
  <c r="E1040" i="1"/>
  <c r="F1040" i="1"/>
  <c r="G1040" i="1"/>
  <c r="E1041" i="1"/>
  <c r="F1041" i="1"/>
  <c r="G1041" i="1"/>
  <c r="E1042" i="1"/>
  <c r="F1042" i="1"/>
  <c r="G1042" i="1"/>
  <c r="E1043" i="1"/>
  <c r="F1043" i="1"/>
  <c r="G1043" i="1"/>
  <c r="E1044" i="1"/>
  <c r="F1044" i="1"/>
  <c r="G1044" i="1"/>
  <c r="E1045" i="1"/>
  <c r="F1045" i="1"/>
  <c r="G1045" i="1"/>
  <c r="E1046" i="1"/>
  <c r="F1046" i="1"/>
  <c r="G1046" i="1"/>
  <c r="E1047" i="1"/>
  <c r="F1047" i="1"/>
  <c r="G1047" i="1"/>
  <c r="E1048" i="1"/>
  <c r="F1048" i="1"/>
  <c r="G1048" i="1"/>
  <c r="E1049" i="1"/>
  <c r="F1049" i="1"/>
  <c r="G1049" i="1"/>
  <c r="E1050" i="1"/>
  <c r="F1050" i="1"/>
  <c r="G1050" i="1"/>
  <c r="E1051" i="1"/>
  <c r="F1051" i="1"/>
  <c r="G1051" i="1"/>
  <c r="E1052" i="1"/>
  <c r="F1052" i="1"/>
  <c r="G1052" i="1"/>
  <c r="E1053" i="1"/>
  <c r="F1053" i="1"/>
  <c r="G1053" i="1"/>
  <c r="E1054" i="1"/>
  <c r="F1054" i="1"/>
  <c r="G1054" i="1"/>
  <c r="E1055" i="1"/>
  <c r="F1055" i="1"/>
  <c r="G1055" i="1"/>
  <c r="E1056" i="1"/>
  <c r="F1056" i="1"/>
  <c r="G1056" i="1"/>
  <c r="E1057" i="1"/>
  <c r="F1057" i="1"/>
  <c r="G1057" i="1"/>
  <c r="E1058" i="1"/>
  <c r="F1058" i="1"/>
  <c r="G1058" i="1"/>
  <c r="E1059" i="1"/>
  <c r="F1059" i="1"/>
  <c r="G1059" i="1"/>
  <c r="E1060" i="1"/>
  <c r="F1060" i="1"/>
  <c r="G1060" i="1"/>
  <c r="E1061" i="1"/>
  <c r="F1061" i="1"/>
  <c r="G1061" i="1"/>
  <c r="E1062" i="1"/>
  <c r="F1062" i="1"/>
  <c r="G1062" i="1"/>
  <c r="E1063" i="1"/>
  <c r="F1063" i="1"/>
  <c r="G1063" i="1"/>
  <c r="E1064" i="1"/>
  <c r="F1064" i="1"/>
  <c r="G1064" i="1"/>
  <c r="E1065" i="1"/>
  <c r="F1065" i="1"/>
  <c r="G1065" i="1"/>
  <c r="E1066" i="1"/>
  <c r="F1066" i="1"/>
  <c r="G1066" i="1"/>
  <c r="E1067" i="1"/>
  <c r="F1067" i="1"/>
  <c r="G1067" i="1"/>
  <c r="E1068" i="1"/>
  <c r="F1068" i="1"/>
  <c r="G1068" i="1"/>
  <c r="E1069" i="1"/>
  <c r="F1069" i="1"/>
  <c r="G1069" i="1"/>
  <c r="E1070" i="1"/>
  <c r="F1070" i="1"/>
  <c r="G1070" i="1"/>
  <c r="E1071" i="1"/>
  <c r="F1071" i="1"/>
  <c r="G1071" i="1"/>
  <c r="E1072" i="1"/>
  <c r="F1072" i="1"/>
  <c r="G1072" i="1"/>
  <c r="E1073" i="1"/>
  <c r="F1073" i="1"/>
  <c r="G1073" i="1"/>
  <c r="E1074" i="1"/>
  <c r="F1074" i="1"/>
  <c r="G1074" i="1"/>
  <c r="E1075" i="1"/>
  <c r="F1075" i="1"/>
  <c r="G1075" i="1"/>
  <c r="E1076" i="1"/>
  <c r="F1076" i="1"/>
  <c r="G1076" i="1"/>
  <c r="E1077" i="1"/>
  <c r="F1077" i="1"/>
  <c r="G1077" i="1"/>
  <c r="E1078" i="1"/>
  <c r="F1078" i="1"/>
  <c r="G1078" i="1"/>
  <c r="E1079" i="1"/>
  <c r="F1079" i="1"/>
  <c r="G1079" i="1"/>
  <c r="E1080" i="1"/>
  <c r="F1080" i="1"/>
  <c r="G1080" i="1"/>
  <c r="E1081" i="1"/>
  <c r="F1081" i="1"/>
  <c r="G1081" i="1"/>
  <c r="E1082" i="1"/>
  <c r="F1082" i="1"/>
  <c r="G1082" i="1"/>
  <c r="E1083" i="1"/>
  <c r="F1083" i="1"/>
  <c r="G1083" i="1"/>
  <c r="E1084" i="1"/>
  <c r="F1084" i="1"/>
  <c r="G1084" i="1"/>
  <c r="E1085" i="1"/>
  <c r="F1085" i="1"/>
  <c r="G1085" i="1"/>
  <c r="E1086" i="1"/>
  <c r="F1086" i="1"/>
  <c r="G1086" i="1"/>
  <c r="E1087" i="1"/>
  <c r="F1087" i="1"/>
  <c r="G1087" i="1"/>
  <c r="E1088" i="1"/>
  <c r="F1088" i="1"/>
  <c r="G1088" i="1"/>
  <c r="E1089" i="1"/>
  <c r="F1089" i="1"/>
  <c r="G1089" i="1"/>
  <c r="E1090" i="1"/>
  <c r="F1090" i="1"/>
  <c r="G1090" i="1"/>
  <c r="E1091" i="1"/>
  <c r="F1091" i="1"/>
  <c r="G1091" i="1"/>
  <c r="E1092" i="1"/>
  <c r="F1092" i="1"/>
  <c r="G1092" i="1"/>
  <c r="E1093" i="1"/>
  <c r="F1093" i="1"/>
  <c r="G1093" i="1"/>
  <c r="E1094" i="1"/>
  <c r="F1094" i="1"/>
  <c r="G1094" i="1"/>
  <c r="E1095" i="1"/>
  <c r="F1095" i="1"/>
  <c r="G1095" i="1"/>
  <c r="E1096" i="1"/>
  <c r="F1096" i="1"/>
  <c r="G1096" i="1"/>
  <c r="E1097" i="1"/>
  <c r="F1097" i="1"/>
  <c r="G1097" i="1"/>
  <c r="E1098" i="1"/>
  <c r="F1098" i="1"/>
  <c r="G1098" i="1"/>
  <c r="E1099" i="1"/>
  <c r="F1099" i="1"/>
  <c r="G1099" i="1"/>
  <c r="E1100" i="1"/>
  <c r="F1100" i="1"/>
  <c r="G1100" i="1"/>
  <c r="E1101" i="1"/>
  <c r="F1101" i="1"/>
  <c r="G1101" i="1"/>
  <c r="E1102" i="1"/>
  <c r="F1102" i="1"/>
  <c r="G1102" i="1"/>
  <c r="E1103" i="1"/>
  <c r="F1103" i="1"/>
  <c r="G1103" i="1"/>
  <c r="E1104" i="1"/>
  <c r="F1104" i="1"/>
  <c r="G1104" i="1"/>
  <c r="E1105" i="1"/>
  <c r="F1105" i="1"/>
  <c r="G1105" i="1"/>
  <c r="E1106" i="1"/>
  <c r="F1106" i="1"/>
  <c r="G1106" i="1"/>
  <c r="E1107" i="1"/>
  <c r="F1107" i="1"/>
  <c r="G1107" i="1"/>
  <c r="E1108" i="1"/>
  <c r="F1108" i="1"/>
  <c r="G1108" i="1"/>
  <c r="E1109" i="1"/>
  <c r="F1109" i="1"/>
  <c r="G1109" i="1"/>
  <c r="E1110" i="1"/>
  <c r="F1110" i="1"/>
  <c r="G1110" i="1"/>
  <c r="E1111" i="1"/>
  <c r="F1111" i="1"/>
  <c r="G1111" i="1"/>
  <c r="E1112" i="1"/>
  <c r="F1112" i="1"/>
  <c r="G1112" i="1"/>
  <c r="E1113" i="1"/>
  <c r="F1113" i="1"/>
  <c r="G1113" i="1"/>
  <c r="E1114" i="1"/>
  <c r="F1114" i="1"/>
  <c r="G1114" i="1"/>
  <c r="E1115" i="1"/>
  <c r="F1115" i="1"/>
  <c r="G1115" i="1"/>
  <c r="E1116" i="1"/>
  <c r="F1116" i="1"/>
  <c r="G1116" i="1"/>
  <c r="E1117" i="1"/>
  <c r="F1117" i="1"/>
  <c r="G1117" i="1"/>
  <c r="E1118" i="1"/>
  <c r="F1118" i="1"/>
  <c r="G1118" i="1"/>
  <c r="E1119" i="1"/>
  <c r="F1119" i="1"/>
  <c r="G1119" i="1"/>
  <c r="E1120" i="1"/>
  <c r="F1120" i="1"/>
  <c r="G1120" i="1"/>
  <c r="E1121" i="1"/>
  <c r="F1121" i="1"/>
  <c r="G1121" i="1"/>
  <c r="E1122" i="1"/>
  <c r="F1122" i="1"/>
  <c r="G1122" i="1"/>
  <c r="E1123" i="1"/>
  <c r="F1123" i="1"/>
  <c r="G1123" i="1"/>
  <c r="E1124" i="1"/>
  <c r="F1124" i="1"/>
  <c r="G1124" i="1"/>
  <c r="E1125" i="1"/>
  <c r="F1125" i="1"/>
  <c r="G1125" i="1"/>
  <c r="E1126" i="1"/>
  <c r="F1126" i="1"/>
  <c r="G1126" i="1"/>
  <c r="E1127" i="1"/>
  <c r="F1127" i="1"/>
  <c r="G1127" i="1"/>
  <c r="E1128" i="1"/>
  <c r="F1128" i="1"/>
  <c r="G1128" i="1"/>
  <c r="E1129" i="1"/>
  <c r="F1129" i="1"/>
  <c r="G1129" i="1"/>
  <c r="E1130" i="1"/>
  <c r="F1130" i="1"/>
  <c r="G1130" i="1"/>
  <c r="E1131" i="1"/>
  <c r="F1131" i="1"/>
  <c r="G1131" i="1"/>
  <c r="E1132" i="1"/>
  <c r="F1132" i="1"/>
  <c r="G1132" i="1"/>
  <c r="E1133" i="1"/>
  <c r="F1133" i="1"/>
  <c r="G1133" i="1"/>
  <c r="E1134" i="1"/>
  <c r="F1134" i="1"/>
  <c r="G1134" i="1"/>
  <c r="E1135" i="1"/>
  <c r="F1135" i="1"/>
  <c r="G1135" i="1"/>
  <c r="E1136" i="1"/>
  <c r="F1136" i="1"/>
  <c r="G1136" i="1"/>
  <c r="E1137" i="1"/>
  <c r="F1137" i="1"/>
  <c r="G1137" i="1"/>
  <c r="E1138" i="1"/>
  <c r="F1138" i="1"/>
  <c r="G1138" i="1"/>
  <c r="E1139" i="1"/>
  <c r="F1139" i="1"/>
  <c r="G1139" i="1"/>
  <c r="E1140" i="1"/>
  <c r="F1140" i="1"/>
  <c r="G1140" i="1"/>
  <c r="E1141" i="1"/>
  <c r="F1141" i="1"/>
  <c r="G1141" i="1"/>
  <c r="E1142" i="1"/>
  <c r="F1142" i="1"/>
  <c r="G1142" i="1"/>
  <c r="E1143" i="1"/>
  <c r="F1143" i="1"/>
  <c r="G1143" i="1"/>
  <c r="E1144" i="1"/>
  <c r="F1144" i="1"/>
  <c r="G1144" i="1"/>
  <c r="E1145" i="1"/>
  <c r="F1145" i="1"/>
  <c r="G1145" i="1"/>
  <c r="E1146" i="1"/>
  <c r="F1146" i="1"/>
  <c r="G1146" i="1"/>
  <c r="E1147" i="1"/>
  <c r="F1147" i="1"/>
  <c r="G1147" i="1"/>
  <c r="E1148" i="1"/>
  <c r="F1148" i="1"/>
  <c r="G1148" i="1"/>
  <c r="E1149" i="1"/>
  <c r="F1149" i="1"/>
  <c r="G1149" i="1"/>
  <c r="E1150" i="1"/>
  <c r="F1150" i="1"/>
  <c r="G1150" i="1"/>
  <c r="E1151" i="1"/>
  <c r="F1151" i="1"/>
  <c r="G1151" i="1"/>
  <c r="E1152" i="1"/>
  <c r="F1152" i="1"/>
  <c r="G1152" i="1"/>
  <c r="E1153" i="1"/>
  <c r="F1153" i="1"/>
  <c r="G1153" i="1"/>
  <c r="E1154" i="1"/>
  <c r="F1154" i="1"/>
  <c r="G1154" i="1"/>
  <c r="E1155" i="1"/>
  <c r="F1155" i="1"/>
  <c r="G1155" i="1"/>
  <c r="E1156" i="1"/>
  <c r="F1156" i="1"/>
  <c r="G1156" i="1"/>
  <c r="E1157" i="1"/>
  <c r="F1157" i="1"/>
  <c r="G1157" i="1"/>
  <c r="E1158" i="1"/>
  <c r="F1158" i="1"/>
  <c r="G1158" i="1"/>
  <c r="E1159" i="1"/>
  <c r="F1159" i="1"/>
  <c r="G1159" i="1"/>
  <c r="E1160" i="1"/>
  <c r="F1160" i="1"/>
  <c r="G1160" i="1"/>
  <c r="E1161" i="1"/>
  <c r="F1161" i="1"/>
  <c r="G1161" i="1"/>
  <c r="E1162" i="1"/>
  <c r="F1162" i="1"/>
  <c r="G1162" i="1"/>
  <c r="E1163" i="1"/>
  <c r="F1163" i="1"/>
  <c r="G1163" i="1"/>
  <c r="E1164" i="1"/>
  <c r="F1164" i="1"/>
  <c r="G1164" i="1"/>
  <c r="E1165" i="1"/>
  <c r="F1165" i="1"/>
  <c r="G1165" i="1"/>
  <c r="E1166" i="1"/>
  <c r="F1166" i="1"/>
  <c r="G1166" i="1"/>
  <c r="E1167" i="1"/>
  <c r="F1167" i="1"/>
  <c r="G1167" i="1"/>
  <c r="E1168" i="1"/>
  <c r="F1168" i="1"/>
  <c r="G1168" i="1"/>
  <c r="E1169" i="1"/>
  <c r="F1169" i="1"/>
  <c r="G1169" i="1"/>
  <c r="E1170" i="1"/>
  <c r="F1170" i="1"/>
  <c r="G1170" i="1"/>
  <c r="E1171" i="1"/>
  <c r="F1171" i="1"/>
  <c r="G1171" i="1"/>
  <c r="E1172" i="1"/>
  <c r="F1172" i="1"/>
  <c r="G1172" i="1"/>
  <c r="E1173" i="1"/>
  <c r="F1173" i="1"/>
  <c r="G1173" i="1"/>
  <c r="E1174" i="1"/>
  <c r="F1174" i="1"/>
  <c r="G1174" i="1"/>
  <c r="E1175" i="1"/>
  <c r="F1175" i="1"/>
  <c r="G1175" i="1"/>
  <c r="E1176" i="1"/>
  <c r="F1176" i="1"/>
  <c r="G1176" i="1"/>
  <c r="E1177" i="1"/>
  <c r="F1177" i="1"/>
  <c r="G1177" i="1"/>
  <c r="E1178" i="1"/>
  <c r="F1178" i="1"/>
  <c r="G1178" i="1"/>
  <c r="E1179" i="1"/>
  <c r="F1179" i="1"/>
  <c r="G1179" i="1"/>
  <c r="E1180" i="1"/>
  <c r="F1180" i="1"/>
  <c r="G1180" i="1"/>
  <c r="E1181" i="1"/>
  <c r="F1181" i="1"/>
  <c r="G1181" i="1"/>
  <c r="E1182" i="1"/>
  <c r="F1182" i="1"/>
  <c r="G1182" i="1"/>
  <c r="E1183" i="1"/>
  <c r="F1183" i="1"/>
  <c r="G1183" i="1"/>
  <c r="E1184" i="1"/>
  <c r="F1184" i="1"/>
  <c r="G1184" i="1"/>
  <c r="E1185" i="1"/>
  <c r="F1185" i="1"/>
  <c r="G1185" i="1"/>
  <c r="E1186" i="1"/>
  <c r="F1186" i="1"/>
  <c r="G1186" i="1"/>
  <c r="E1187" i="1"/>
  <c r="F1187" i="1"/>
  <c r="G1187" i="1"/>
  <c r="E1188" i="1"/>
  <c r="F1188" i="1"/>
  <c r="G1188" i="1"/>
  <c r="E1189" i="1"/>
  <c r="F1189" i="1"/>
  <c r="G1189" i="1"/>
  <c r="E1190" i="1"/>
  <c r="F1190" i="1"/>
  <c r="G1190" i="1"/>
  <c r="E1191" i="1"/>
  <c r="F1191" i="1"/>
  <c r="G1191" i="1"/>
  <c r="E1192" i="1"/>
  <c r="F1192" i="1"/>
  <c r="G1192" i="1"/>
  <c r="E1193" i="1"/>
  <c r="F1193" i="1"/>
  <c r="G1193" i="1"/>
  <c r="E1194" i="1"/>
  <c r="F1194" i="1"/>
  <c r="G1194" i="1"/>
  <c r="E1195" i="1"/>
  <c r="F1195" i="1"/>
  <c r="G1195" i="1"/>
  <c r="E1196" i="1"/>
  <c r="F1196" i="1"/>
  <c r="G1196" i="1"/>
  <c r="E1197" i="1"/>
  <c r="F1197" i="1"/>
  <c r="G1197" i="1"/>
  <c r="E1198" i="1"/>
  <c r="F1198" i="1"/>
  <c r="G1198" i="1"/>
  <c r="E1199" i="1"/>
  <c r="F1199" i="1"/>
  <c r="G1199" i="1"/>
  <c r="E1200" i="1"/>
  <c r="F1200" i="1"/>
  <c r="G1200" i="1"/>
  <c r="E1201" i="1"/>
  <c r="F1201" i="1"/>
  <c r="G1201" i="1"/>
  <c r="E1202" i="1"/>
  <c r="F1202" i="1"/>
  <c r="G1202" i="1"/>
  <c r="E1203" i="1"/>
  <c r="F1203" i="1"/>
  <c r="G1203" i="1"/>
  <c r="E1204" i="1"/>
  <c r="F1204" i="1"/>
  <c r="G1204" i="1"/>
  <c r="E1205" i="1"/>
  <c r="F1205" i="1"/>
  <c r="G1205" i="1"/>
  <c r="E1206" i="1"/>
  <c r="F1206" i="1"/>
  <c r="G1206" i="1"/>
  <c r="E1207" i="1"/>
  <c r="F1207" i="1"/>
  <c r="G1207" i="1"/>
  <c r="E1208" i="1"/>
  <c r="F1208" i="1"/>
  <c r="G1208" i="1"/>
  <c r="E1209" i="1"/>
  <c r="F1209" i="1"/>
  <c r="G1209" i="1"/>
  <c r="E1210" i="1"/>
  <c r="F1210" i="1"/>
  <c r="G1210" i="1"/>
  <c r="E1211" i="1"/>
  <c r="F1211" i="1"/>
  <c r="G1211" i="1"/>
  <c r="E1212" i="1"/>
  <c r="F1212" i="1"/>
  <c r="G1212" i="1"/>
  <c r="E1213" i="1"/>
  <c r="F1213" i="1"/>
  <c r="G1213" i="1"/>
  <c r="E1214" i="1"/>
  <c r="F1214" i="1"/>
  <c r="G1214" i="1"/>
  <c r="E1215" i="1"/>
  <c r="F1215" i="1"/>
  <c r="G1215" i="1"/>
  <c r="E1216" i="1"/>
  <c r="F1216" i="1"/>
  <c r="G1216" i="1"/>
  <c r="E1217" i="1"/>
  <c r="F1217" i="1"/>
  <c r="G1217" i="1"/>
  <c r="E1218" i="1"/>
  <c r="F1218" i="1"/>
  <c r="G1218" i="1"/>
  <c r="E1219" i="1"/>
  <c r="F1219" i="1"/>
  <c r="G1219" i="1"/>
  <c r="E1220" i="1"/>
  <c r="F1220" i="1"/>
  <c r="G1220" i="1"/>
  <c r="E1221" i="1"/>
  <c r="F1221" i="1"/>
  <c r="G1221" i="1"/>
  <c r="E1222" i="1"/>
  <c r="F1222" i="1"/>
  <c r="G1222" i="1"/>
  <c r="E1223" i="1"/>
  <c r="F1223" i="1"/>
  <c r="G1223" i="1"/>
  <c r="E1224" i="1"/>
  <c r="F1224" i="1"/>
  <c r="G1224" i="1"/>
  <c r="E1225" i="1"/>
  <c r="F1225" i="1"/>
  <c r="G1225" i="1"/>
  <c r="E1226" i="1"/>
  <c r="F1226" i="1"/>
  <c r="G1226" i="1"/>
  <c r="E1227" i="1"/>
  <c r="F1227" i="1"/>
  <c r="G1227" i="1"/>
  <c r="E1228" i="1"/>
  <c r="F1228" i="1"/>
  <c r="G1228" i="1"/>
  <c r="E1229" i="1"/>
  <c r="F1229" i="1"/>
  <c r="G1229" i="1"/>
  <c r="E1230" i="1"/>
  <c r="F1230" i="1"/>
  <c r="G1230" i="1"/>
  <c r="E1231" i="1"/>
  <c r="F1231" i="1"/>
  <c r="G1231" i="1"/>
  <c r="E1232" i="1"/>
  <c r="F1232" i="1"/>
  <c r="G1232" i="1"/>
  <c r="E1233" i="1"/>
  <c r="F1233" i="1"/>
  <c r="G1233" i="1"/>
  <c r="E1234" i="1"/>
  <c r="F1234" i="1"/>
  <c r="G1234" i="1"/>
  <c r="E1235" i="1"/>
  <c r="F1235" i="1"/>
  <c r="G1235" i="1"/>
  <c r="E1236" i="1"/>
  <c r="F1236" i="1"/>
  <c r="G1236" i="1"/>
  <c r="E1237" i="1"/>
  <c r="F1237" i="1"/>
  <c r="G1237" i="1"/>
  <c r="E1238" i="1"/>
  <c r="F1238" i="1"/>
  <c r="G1238" i="1"/>
  <c r="E1239" i="1"/>
  <c r="F1239" i="1"/>
  <c r="G1239" i="1"/>
  <c r="E1240" i="1"/>
  <c r="F1240" i="1"/>
  <c r="G1240" i="1"/>
  <c r="E1241" i="1"/>
  <c r="F1241" i="1"/>
  <c r="G1241" i="1"/>
  <c r="E1242" i="1"/>
  <c r="F1242" i="1"/>
  <c r="G1242" i="1"/>
  <c r="E1243" i="1"/>
  <c r="F1243" i="1"/>
  <c r="G1243" i="1"/>
  <c r="E1244" i="1"/>
  <c r="F1244" i="1"/>
  <c r="G1244" i="1"/>
  <c r="E1245" i="1"/>
  <c r="F1245" i="1"/>
  <c r="G1245" i="1"/>
  <c r="E1246" i="1"/>
  <c r="F1246" i="1"/>
  <c r="G1246" i="1"/>
  <c r="E1247" i="1"/>
  <c r="F1247" i="1"/>
  <c r="G1247" i="1"/>
  <c r="E1248" i="1"/>
  <c r="F1248" i="1"/>
  <c r="G1248" i="1"/>
  <c r="E1249" i="1"/>
  <c r="F1249" i="1"/>
  <c r="G1249" i="1"/>
  <c r="E1250" i="1"/>
  <c r="F1250" i="1"/>
  <c r="G1250" i="1"/>
  <c r="E1251" i="1"/>
  <c r="F1251" i="1"/>
  <c r="G1251" i="1"/>
  <c r="E1252" i="1"/>
  <c r="F1252" i="1"/>
  <c r="G1252" i="1"/>
  <c r="E1253" i="1"/>
  <c r="F1253" i="1"/>
  <c r="G1253" i="1"/>
  <c r="E1254" i="1"/>
  <c r="F1254" i="1"/>
  <c r="G1254" i="1"/>
  <c r="E1255" i="1"/>
  <c r="F1255" i="1"/>
  <c r="G1255" i="1"/>
  <c r="E1256" i="1"/>
  <c r="F1256" i="1"/>
  <c r="G1256" i="1"/>
  <c r="E1257" i="1"/>
  <c r="F1257" i="1"/>
  <c r="G1257" i="1"/>
  <c r="E1258" i="1"/>
  <c r="F1258" i="1"/>
  <c r="G1258" i="1"/>
  <c r="E1259" i="1"/>
  <c r="F1259" i="1"/>
  <c r="G1259" i="1"/>
  <c r="E1260" i="1"/>
  <c r="F1260" i="1"/>
  <c r="G1260" i="1"/>
  <c r="E1261" i="1"/>
  <c r="F1261" i="1"/>
  <c r="G1261" i="1"/>
  <c r="E1262" i="1"/>
  <c r="F1262" i="1"/>
  <c r="G1262" i="1"/>
  <c r="E1263" i="1"/>
  <c r="F1263" i="1"/>
  <c r="G1263" i="1"/>
  <c r="E1264" i="1"/>
  <c r="F1264" i="1"/>
  <c r="G1264" i="1"/>
  <c r="E1265" i="1"/>
  <c r="F1265" i="1"/>
  <c r="G1265" i="1"/>
  <c r="E1266" i="1"/>
  <c r="F1266" i="1"/>
  <c r="G1266" i="1"/>
  <c r="E1267" i="1"/>
  <c r="F1267" i="1"/>
  <c r="G1267" i="1"/>
  <c r="E1268" i="1"/>
  <c r="F1268" i="1"/>
  <c r="G1268" i="1"/>
  <c r="E1269" i="1"/>
  <c r="F1269" i="1"/>
  <c r="G1269" i="1"/>
  <c r="E1270" i="1"/>
  <c r="F1270" i="1"/>
  <c r="G1270" i="1"/>
  <c r="E1271" i="1"/>
  <c r="F1271" i="1"/>
  <c r="G1271" i="1"/>
  <c r="E1272" i="1"/>
  <c r="F1272" i="1"/>
  <c r="G1272" i="1"/>
  <c r="E1273" i="1"/>
  <c r="F1273" i="1"/>
  <c r="G1273" i="1"/>
  <c r="E1274" i="1"/>
  <c r="F1274" i="1"/>
  <c r="G1274" i="1"/>
  <c r="E1275" i="1"/>
  <c r="F1275" i="1"/>
  <c r="G1275" i="1"/>
  <c r="E1276" i="1"/>
  <c r="F1276" i="1"/>
  <c r="G1276" i="1"/>
  <c r="E1277" i="1"/>
  <c r="F1277" i="1"/>
  <c r="G1277" i="1"/>
  <c r="E1278" i="1"/>
  <c r="F1278" i="1"/>
  <c r="G1278" i="1"/>
  <c r="E1279" i="1"/>
  <c r="F1279" i="1"/>
  <c r="G1279" i="1"/>
  <c r="E1280" i="1"/>
  <c r="F1280" i="1"/>
  <c r="G1280" i="1"/>
  <c r="E1281" i="1"/>
  <c r="F1281" i="1"/>
  <c r="G1281" i="1"/>
  <c r="E1282" i="1"/>
  <c r="F1282" i="1"/>
  <c r="G1282" i="1"/>
  <c r="E1283" i="1"/>
  <c r="F1283" i="1"/>
  <c r="G1283" i="1"/>
  <c r="E1284" i="1"/>
  <c r="F1284" i="1"/>
  <c r="G1284" i="1"/>
  <c r="E1285" i="1"/>
  <c r="F1285" i="1"/>
  <c r="G1285" i="1"/>
  <c r="E1286" i="1"/>
  <c r="F1286" i="1"/>
  <c r="G1286" i="1"/>
  <c r="E1287" i="1"/>
  <c r="F1287" i="1"/>
  <c r="G1287" i="1"/>
  <c r="E1288" i="1"/>
  <c r="F1288" i="1"/>
  <c r="G1288" i="1"/>
  <c r="E1289" i="1"/>
  <c r="F1289" i="1"/>
  <c r="G1289" i="1"/>
  <c r="E1290" i="1"/>
  <c r="F1290" i="1"/>
  <c r="G1290" i="1"/>
  <c r="E1291" i="1"/>
  <c r="F1291" i="1"/>
  <c r="G1291" i="1"/>
  <c r="E1292" i="1"/>
  <c r="F1292" i="1"/>
  <c r="G1292" i="1"/>
  <c r="E1293" i="1"/>
  <c r="F1293" i="1"/>
  <c r="G1293" i="1"/>
  <c r="E1294" i="1"/>
  <c r="F1294" i="1"/>
  <c r="G1294" i="1"/>
  <c r="E1295" i="1"/>
  <c r="F1295" i="1"/>
  <c r="G1295" i="1"/>
  <c r="E1296" i="1"/>
  <c r="F1296" i="1"/>
  <c r="G1296" i="1"/>
  <c r="E1297" i="1"/>
  <c r="F1297" i="1"/>
  <c r="G1297" i="1"/>
  <c r="E1298" i="1"/>
  <c r="F1298" i="1"/>
  <c r="G1298" i="1"/>
  <c r="E1299" i="1"/>
  <c r="F1299" i="1"/>
  <c r="G1299" i="1"/>
  <c r="E1300" i="1"/>
  <c r="F1300" i="1"/>
  <c r="G1300" i="1"/>
  <c r="E1301" i="1"/>
  <c r="F1301" i="1"/>
  <c r="G1301" i="1"/>
  <c r="E1302" i="1"/>
  <c r="F1302" i="1"/>
  <c r="G1302" i="1"/>
  <c r="E1303" i="1"/>
  <c r="F1303" i="1"/>
  <c r="G1303" i="1"/>
  <c r="E1304" i="1"/>
  <c r="F1304" i="1"/>
  <c r="G1304" i="1"/>
  <c r="E1305" i="1"/>
  <c r="F1305" i="1"/>
  <c r="G1305" i="1"/>
  <c r="E1306" i="1"/>
  <c r="F1306" i="1"/>
  <c r="G1306" i="1"/>
  <c r="E1307" i="1"/>
  <c r="F1307" i="1"/>
  <c r="G1307" i="1"/>
  <c r="E1308" i="1"/>
  <c r="F1308" i="1"/>
  <c r="G1308" i="1"/>
  <c r="E1309" i="1"/>
  <c r="F1309" i="1"/>
  <c r="G1309" i="1"/>
  <c r="E1310" i="1"/>
  <c r="F1310" i="1"/>
  <c r="G1310" i="1"/>
  <c r="E1311" i="1"/>
  <c r="F1311" i="1"/>
  <c r="G1311" i="1"/>
  <c r="E1312" i="1"/>
  <c r="F1312" i="1"/>
  <c r="G1312" i="1"/>
  <c r="E1313" i="1"/>
  <c r="F1313" i="1"/>
  <c r="G1313" i="1"/>
  <c r="E1314" i="1"/>
  <c r="F1314" i="1"/>
  <c r="G1314" i="1"/>
  <c r="E1315" i="1"/>
  <c r="F1315" i="1"/>
  <c r="G1315" i="1"/>
  <c r="E1316" i="1"/>
  <c r="F1316" i="1"/>
  <c r="G1316" i="1"/>
  <c r="E1317" i="1"/>
  <c r="F1317" i="1"/>
  <c r="G1317" i="1"/>
  <c r="E1318" i="1"/>
  <c r="F1318" i="1"/>
  <c r="G1318" i="1"/>
  <c r="E1319" i="1"/>
  <c r="F1319" i="1"/>
  <c r="G1319" i="1"/>
  <c r="E1320" i="1"/>
  <c r="F1320" i="1"/>
  <c r="G1320" i="1"/>
  <c r="E1321" i="1"/>
  <c r="F1321" i="1"/>
  <c r="G1321" i="1"/>
  <c r="E1322" i="1"/>
  <c r="F1322" i="1"/>
  <c r="G1322" i="1"/>
  <c r="F3" i="1"/>
  <c r="G3" i="1"/>
  <c r="E3" i="1"/>
  <c r="I2" i="1"/>
  <c r="M16" i="1"/>
  <c r="M15" i="1"/>
  <c r="M14" i="1"/>
</calcChain>
</file>

<file path=xl/sharedStrings.xml><?xml version="1.0" encoding="utf-8"?>
<sst xmlns="http://schemas.openxmlformats.org/spreadsheetml/2006/main" count="218" uniqueCount="140">
  <si>
    <t>DATE</t>
  </si>
  <si>
    <t>SP500</t>
  </si>
  <si>
    <t>NIKE</t>
  </si>
  <si>
    <t>GM</t>
  </si>
  <si>
    <t>CAPM: capital asset pricing model</t>
  </si>
  <si>
    <t>insumo: beta</t>
  </si>
  <si>
    <r>
      <t xml:space="preserve">beta= relacionada con la pendiente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Y/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X=m</t>
    </r>
  </si>
  <si>
    <t>transformación de valor originales a cambios porcentuales</t>
  </si>
  <si>
    <t>econometrico: elasticidad -&gt;&gt;&gt;&gt; sensbilidad,</t>
  </si>
  <si>
    <t>la respuesta del consumidor antes cambios en el precio del bien</t>
  </si>
  <si>
    <t>No estacionariedad</t>
  </si>
  <si>
    <t>Series de tiempo: tendencia + ciclo + aleatorio</t>
  </si>
  <si>
    <t>correl (NK, GM) = 0.75 …. Tendencia</t>
  </si>
  <si>
    <t>solución al problema: primeras diferencias (cambios porcentuales)</t>
  </si>
  <si>
    <t>Cambios porcentuales de los precios: hemos quitado la tendencia</t>
  </si>
  <si>
    <t>esta serie de tiempo es estacionaria en la media</t>
  </si>
  <si>
    <t>una serie de tiempo le quitamos la tendencia a traves de las primeras</t>
  </si>
  <si>
    <t>diferencias; ahora la media de esa ST es cero</t>
  </si>
  <si>
    <t>beta: mide la sensbilidad del activo de captial respecto del mercado (elasticidad)</t>
  </si>
  <si>
    <t>SP500 como el mejor referente del mercado (portafolio de mercado)</t>
  </si>
  <si>
    <t>precios</t>
  </si>
  <si>
    <t>Correl</t>
  </si>
  <si>
    <t>P%</t>
  </si>
  <si>
    <t>Regresión espuria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</si>
  <si>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</si>
  <si>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</si>
  <si>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</si>
  <si>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</si>
  <si>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</si>
  <si>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</si>
  <si>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</si>
  <si>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</si>
  <si>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</si>
  <si>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</si>
  <si>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</si>
  <si>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</si>
  <si>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</si>
  <si>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</si>
  <si>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</si>
  <si>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</si>
  <si>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</si>
  <si>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</si>
  <si>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</si>
  <si>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</si>
  <si>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</si>
  <si>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</si>
  <si>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</si>
  <si>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</si>
  <si>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</si>
  <si>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R2: el poder de explicación del modelo</t>
  </si>
  <si>
    <t>H0: b=0</t>
  </si>
  <si>
    <t>H1: b distinto 0</t>
  </si>
  <si>
    <t>95% de nivel de confianza, 5% de nivel de significancia</t>
  </si>
  <si>
    <t>si el p-value &gt; 5%, entonces no se rechaza la H0</t>
  </si>
  <si>
    <t>pero, si p-value &lt; 5%, entonces "aceptamos" la H1; no tenemos elementos para aceptar la H0</t>
  </si>
  <si>
    <t>Regla  de dedo:</t>
  </si>
  <si>
    <t>t-stat &gt; 2, entonces la variable explicativa es estadisticamente significativa para explicar Y</t>
  </si>
  <si>
    <t>Resultados:</t>
  </si>
  <si>
    <t>la R2 muy baja=</t>
  </si>
  <si>
    <t>tstat &gt; 2:</t>
  </si>
  <si>
    <t>es signf la X</t>
  </si>
  <si>
    <t>p-value &lt; 5%</t>
  </si>
  <si>
    <t>coeficiente=</t>
  </si>
  <si>
    <t>Y = a + bX</t>
  </si>
  <si>
    <t>Y = 148 + (-0.008) X</t>
  </si>
  <si>
    <t>Y= 148</t>
  </si>
  <si>
    <t>regresion ESPURIA (basura)</t>
  </si>
  <si>
    <t>pendiente</t>
  </si>
  <si>
    <t>(obtener valor absoluto)</t>
  </si>
  <si>
    <t>R2=</t>
  </si>
  <si>
    <t>casi en 40% el modelo (SP500) explica el comportamiento de Nike</t>
  </si>
  <si>
    <t>p-value&lt;5%; la variable X es estadísticamente significativa para explicar Y</t>
  </si>
  <si>
    <t>"me dice que existe cierto grado de influencia del mercado en los retornos diarios de Nike"</t>
  </si>
  <si>
    <t>t-stat &gt; 2; la variable X es …. Significativa para explicar Y</t>
  </si>
  <si>
    <t>este valor NO es cero</t>
  </si>
  <si>
    <t>es la medida de sensbilidad (elasticidad precio de la demanda)</t>
  </si>
  <si>
    <t>Inversiones: beta=</t>
  </si>
  <si>
    <t>Cuando:</t>
  </si>
  <si>
    <t>beta &gt; 1, entonces el activo de capital es agresivo; por cada 1% que cambia el SP500, NIKE se moverá 1.02 veces más que el mercado</t>
  </si>
  <si>
    <t>Analisis para obtener la beta (insumo) principal del modelo CAPM, es que considera como uinica FUENTE  de riesgo al mercado</t>
  </si>
  <si>
    <t>Pero, hay otros factores que mueven al activo de capital</t>
  </si>
  <si>
    <t>R: modelo multifactorial: SP500 + WTI + Indice USD + Oro …. APT: Arbitrage Pricing Theory</t>
  </si>
  <si>
    <t>APT : modelo en ausencia de arbitraje</t>
  </si>
  <si>
    <t>Multicolinealidad:</t>
  </si>
  <si>
    <t>Origen: 10 variables</t>
  </si>
  <si>
    <t>Despues: 5 variables</t>
  </si>
  <si>
    <t>Pruebas de multicolinealidad</t>
  </si>
  <si>
    <t>Introducción a Econometria (Gujarati)</t>
  </si>
  <si>
    <t>[1322x3]</t>
  </si>
  <si>
    <t>correlación de -1, 0, 1</t>
  </si>
  <si>
    <t>CAPM:</t>
  </si>
  <si>
    <t>E[R/I(0)]= rf + beta( E[Rm] - rf)</t>
  </si>
  <si>
    <t>"rendimiento esperado por la capitalización de la empresa vía emisiones de acciones"</t>
  </si>
  <si>
    <t>rf: tasa libre de riesgo (riesgo propio como el riesgo de incumplimiento) … mejor proxy de un activo libre de riesgo = TIIE, Tbills, CETES, T-bonds, M10</t>
  </si>
  <si>
    <t>riesgo propio: desvescion estandar del activo financiero</t>
  </si>
  <si>
    <t>PIGS: Portugal Italy Greece Spain</t>
  </si>
  <si>
    <t>VIX: Volatility Index mide el miedo del mercado</t>
  </si>
  <si>
    <t>aversion al riesgo= grado de miedo del inversionista</t>
  </si>
  <si>
    <t>amante al riesgo</t>
  </si>
  <si>
    <t>neutrales al riesgo</t>
  </si>
  <si>
    <t>opcion de compra CALL</t>
  </si>
  <si>
    <t>Call vs Put</t>
  </si>
  <si>
    <t xml:space="preserve">Modelo de Black-Scholes: 1973 </t>
  </si>
  <si>
    <t>el activo subyacente: petroleo</t>
  </si>
  <si>
    <t>crece en la tasa de crecimiento que el derivado CALL</t>
  </si>
  <si>
    <t>Neutralizar a los agentes economicos … tasa tbills</t>
  </si>
  <si>
    <t>rf=</t>
  </si>
  <si>
    <t>Tbill 90 dias</t>
  </si>
  <si>
    <t>beta=</t>
  </si>
  <si>
    <t>E[Rm]=</t>
  </si>
  <si>
    <t>Martingales, Cadena de Markov</t>
  </si>
  <si>
    <t>construir un portafolio CONSAR, 1000 dias</t>
  </si>
  <si>
    <t>Premio=</t>
  </si>
  <si>
    <t>CAPM= E[Rn]=</t>
  </si>
  <si>
    <t>esperamos que al invertir en acciones de Nike, nos llevemos un rendimiento del 12%</t>
  </si>
  <si>
    <t>beta</t>
  </si>
  <si>
    <t>agresivo</t>
  </si>
  <si>
    <t>a la par del mercado</t>
  </si>
  <si>
    <t>E[Rg]=</t>
  </si>
  <si>
    <t>Criterio:</t>
  </si>
  <si>
    <t>Nike</t>
  </si>
  <si>
    <t>E[rp]= w(N)*R(N)+w(G)*R(G)</t>
  </si>
  <si>
    <t>Media=</t>
  </si>
  <si>
    <t>Varianza=</t>
  </si>
  <si>
    <t>Desvest=</t>
  </si>
  <si>
    <t>Cov=</t>
  </si>
  <si>
    <t>Correl=</t>
  </si>
  <si>
    <t>Riesgo (P)=</t>
  </si>
  <si>
    <t>Diaria</t>
  </si>
  <si>
    <t>Anualizado</t>
  </si>
  <si>
    <t>Varianza(P)=</t>
  </si>
  <si>
    <t>w=</t>
  </si>
  <si>
    <t>Rend (P)=</t>
  </si>
  <si>
    <t>wN</t>
  </si>
  <si>
    <t>wG</t>
  </si>
  <si>
    <t>Rp</t>
  </si>
  <si>
    <t>RiskP</t>
  </si>
  <si>
    <t>frontera de inversion</t>
  </si>
  <si>
    <t>Sharpe Ratio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</si>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</sst>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.00;\-#,##0.00;#,##0.00;&quot;--&quot;"/>
    <numFmt numFmtId="181" formatCode="0.0000%"/>
    <numFmt numFmtId="182" formatCode="0.000%"/>
  </numFmts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0" fontId="1" fillId="2" borderId="1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2" fontId="0" fillId="0" borderId="0" xfId="0" applyNumberFormat="1"/>
    <xf numFmtId="10" fontId="0" fillId="0" borderId="0" xfId="1" applyNumberFormat="1" applyFont="1"/>
    <xf numFmtId="0" fontId="1" fillId="2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3" xfId="0" applyFill="1" applyBorder="1" applyAlignment="1"/>
    <xf numFmtId="9" fontId="0" fillId="0" borderId="0" xfId="0" applyNumberFormat="1"/>
    <xf numFmtId="10" fontId="0" fillId="0" borderId="0" xfId="0" applyNumberFormat="1"/>
    <xf numFmtId="181" fontId="0" fillId="0" borderId="0" xfId="0" applyNumberFormat="1"/>
    <xf numFmtId="182" fontId="0" fillId="0" borderId="0" xfId="1" applyNumberFormat="1" applyFont="1"/>
    <xf numFmtId="181" fontId="0" fillId="0" borderId="0" xfId="1" applyNumberFormat="1" applyFont="1"/>
    <xf numFmtId="182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daily!$C$3:$C$1322</c:f>
              <c:numCache>
                <c:formatCode>#,##0.00;\-#,##0.00;#,##0.00;"--"</c:formatCode>
                <c:ptCount val="1320"/>
                <c:pt idx="0">
                  <c:v>101.92</c:v>
                </c:pt>
                <c:pt idx="1">
                  <c:v>101.83</c:v>
                </c:pt>
                <c:pt idx="2">
                  <c:v>101.78</c:v>
                </c:pt>
                <c:pt idx="3">
                  <c:v>101.55</c:v>
                </c:pt>
                <c:pt idx="4">
                  <c:v>101.48</c:v>
                </c:pt>
                <c:pt idx="5">
                  <c:v>100.9</c:v>
                </c:pt>
                <c:pt idx="6">
                  <c:v>102.16</c:v>
                </c:pt>
                <c:pt idx="7">
                  <c:v>102.92</c:v>
                </c:pt>
                <c:pt idx="8">
                  <c:v>102.79</c:v>
                </c:pt>
                <c:pt idx="9">
                  <c:v>103.37</c:v>
                </c:pt>
                <c:pt idx="10">
                  <c:v>104.53</c:v>
                </c:pt>
                <c:pt idx="11">
                  <c:v>104.58</c:v>
                </c:pt>
                <c:pt idx="12">
                  <c:v>104.49</c:v>
                </c:pt>
                <c:pt idx="13">
                  <c:v>103.02</c:v>
                </c:pt>
                <c:pt idx="14">
                  <c:v>102.03</c:v>
                </c:pt>
                <c:pt idx="15">
                  <c:v>100.24</c:v>
                </c:pt>
                <c:pt idx="16">
                  <c:v>100.41</c:v>
                </c:pt>
                <c:pt idx="17">
                  <c:v>99.84</c:v>
                </c:pt>
                <c:pt idx="18">
                  <c:v>98.19</c:v>
                </c:pt>
                <c:pt idx="19">
                  <c:v>96.3</c:v>
                </c:pt>
                <c:pt idx="20">
                  <c:v>99.27</c:v>
                </c:pt>
                <c:pt idx="21">
                  <c:v>101.38</c:v>
                </c:pt>
                <c:pt idx="22">
                  <c:v>100.54</c:v>
                </c:pt>
                <c:pt idx="23">
                  <c:v>100.27</c:v>
                </c:pt>
                <c:pt idx="24">
                  <c:v>99.44</c:v>
                </c:pt>
                <c:pt idx="25">
                  <c:v>100.02</c:v>
                </c:pt>
                <c:pt idx="26">
                  <c:v>100.02</c:v>
                </c:pt>
                <c:pt idx="27">
                  <c:v>103</c:v>
                </c:pt>
                <c:pt idx="28">
                  <c:v>103.37</c:v>
                </c:pt>
                <c:pt idx="29">
                  <c:v>103.54</c:v>
                </c:pt>
                <c:pt idx="30">
                  <c:v>102</c:v>
                </c:pt>
                <c:pt idx="31">
                  <c:v>102.46</c:v>
                </c:pt>
                <c:pt idx="32">
                  <c:v>102.53</c:v>
                </c:pt>
                <c:pt idx="33">
                  <c:v>100.25</c:v>
                </c:pt>
                <c:pt idx="34">
                  <c:v>95.91</c:v>
                </c:pt>
                <c:pt idx="35">
                  <c:v>92.9</c:v>
                </c:pt>
                <c:pt idx="36">
                  <c:v>92</c:v>
                </c:pt>
                <c:pt idx="37">
                  <c:v>88.55</c:v>
                </c:pt>
                <c:pt idx="38">
                  <c:v>89.38</c:v>
                </c:pt>
                <c:pt idx="39">
                  <c:v>92.68</c:v>
                </c:pt>
                <c:pt idx="40">
                  <c:v>90.93</c:v>
                </c:pt>
                <c:pt idx="41">
                  <c:v>93.79</c:v>
                </c:pt>
                <c:pt idx="42">
                  <c:v>90.58</c:v>
                </c:pt>
                <c:pt idx="43">
                  <c:v>88.36</c:v>
                </c:pt>
                <c:pt idx="44">
                  <c:v>84.11</c:v>
                </c:pt>
                <c:pt idx="45">
                  <c:v>88.3</c:v>
                </c:pt>
                <c:pt idx="46">
                  <c:v>84</c:v>
                </c:pt>
                <c:pt idx="47">
                  <c:v>74.2</c:v>
                </c:pt>
                <c:pt idx="48">
                  <c:v>75.58</c:v>
                </c:pt>
                <c:pt idx="49">
                  <c:v>66.790000000000006</c:v>
                </c:pt>
                <c:pt idx="50">
                  <c:v>69.84</c:v>
                </c:pt>
                <c:pt idx="51">
                  <c:v>68.040000000000006</c:v>
                </c:pt>
                <c:pt idx="52">
                  <c:v>70.34</c:v>
                </c:pt>
                <c:pt idx="53">
                  <c:v>67.45</c:v>
                </c:pt>
                <c:pt idx="54">
                  <c:v>62.8</c:v>
                </c:pt>
                <c:pt idx="55">
                  <c:v>72.33</c:v>
                </c:pt>
                <c:pt idx="56">
                  <c:v>79.010000000000005</c:v>
                </c:pt>
                <c:pt idx="57">
                  <c:v>84.3</c:v>
                </c:pt>
                <c:pt idx="58">
                  <c:v>83.23</c:v>
                </c:pt>
                <c:pt idx="59">
                  <c:v>85.38</c:v>
                </c:pt>
                <c:pt idx="60">
                  <c:v>82.74</c:v>
                </c:pt>
                <c:pt idx="61">
                  <c:v>79.23</c:v>
                </c:pt>
                <c:pt idx="62">
                  <c:v>80.14</c:v>
                </c:pt>
                <c:pt idx="63">
                  <c:v>78.86</c:v>
                </c:pt>
                <c:pt idx="64">
                  <c:v>84.63</c:v>
                </c:pt>
                <c:pt idx="65">
                  <c:v>84.16</c:v>
                </c:pt>
                <c:pt idx="66">
                  <c:v>85.3</c:v>
                </c:pt>
                <c:pt idx="67">
                  <c:v>86.79</c:v>
                </c:pt>
                <c:pt idx="68">
                  <c:v>84.46</c:v>
                </c:pt>
                <c:pt idx="69">
                  <c:v>87.47</c:v>
                </c:pt>
                <c:pt idx="70">
                  <c:v>85.04</c:v>
                </c:pt>
                <c:pt idx="71">
                  <c:v>86.3</c:v>
                </c:pt>
                <c:pt idx="72">
                  <c:v>89.91</c:v>
                </c:pt>
                <c:pt idx="73">
                  <c:v>87.9</c:v>
                </c:pt>
                <c:pt idx="74">
                  <c:v>85.2</c:v>
                </c:pt>
                <c:pt idx="75">
                  <c:v>88.77</c:v>
                </c:pt>
                <c:pt idx="76">
                  <c:v>87.35</c:v>
                </c:pt>
                <c:pt idx="77">
                  <c:v>88.37</c:v>
                </c:pt>
                <c:pt idx="78">
                  <c:v>89.37</c:v>
                </c:pt>
                <c:pt idx="79">
                  <c:v>88.8</c:v>
                </c:pt>
                <c:pt idx="80">
                  <c:v>88.07</c:v>
                </c:pt>
                <c:pt idx="81">
                  <c:v>87.18</c:v>
                </c:pt>
                <c:pt idx="82">
                  <c:v>85.54</c:v>
                </c:pt>
                <c:pt idx="83">
                  <c:v>85.75</c:v>
                </c:pt>
                <c:pt idx="84">
                  <c:v>87.2</c:v>
                </c:pt>
                <c:pt idx="85">
                  <c:v>88.44</c:v>
                </c:pt>
                <c:pt idx="86">
                  <c:v>88.56</c:v>
                </c:pt>
                <c:pt idx="87">
                  <c:v>90.46</c:v>
                </c:pt>
                <c:pt idx="88">
                  <c:v>90.93</c:v>
                </c:pt>
                <c:pt idx="89">
                  <c:v>88.26</c:v>
                </c:pt>
                <c:pt idx="90">
                  <c:v>86.02</c:v>
                </c:pt>
                <c:pt idx="91">
                  <c:v>86.55</c:v>
                </c:pt>
                <c:pt idx="92">
                  <c:v>86.99</c:v>
                </c:pt>
                <c:pt idx="93">
                  <c:v>91.04</c:v>
                </c:pt>
                <c:pt idx="94">
                  <c:v>91.51</c:v>
                </c:pt>
                <c:pt idx="95">
                  <c:v>92.95</c:v>
                </c:pt>
                <c:pt idx="96">
                  <c:v>94.26</c:v>
                </c:pt>
                <c:pt idx="97">
                  <c:v>93.75</c:v>
                </c:pt>
                <c:pt idx="98">
                  <c:v>96.62</c:v>
                </c:pt>
                <c:pt idx="99">
                  <c:v>99.87</c:v>
                </c:pt>
                <c:pt idx="100">
                  <c:v>98.46</c:v>
                </c:pt>
                <c:pt idx="101">
                  <c:v>98.58</c:v>
                </c:pt>
                <c:pt idx="102">
                  <c:v>99.54</c:v>
                </c:pt>
                <c:pt idx="103">
                  <c:v>100.74</c:v>
                </c:pt>
                <c:pt idx="104">
                  <c:v>104.11</c:v>
                </c:pt>
                <c:pt idx="105">
                  <c:v>101.28</c:v>
                </c:pt>
                <c:pt idx="106">
                  <c:v>102.71</c:v>
                </c:pt>
                <c:pt idx="107">
                  <c:v>104.29</c:v>
                </c:pt>
                <c:pt idx="108">
                  <c:v>102.63</c:v>
                </c:pt>
                <c:pt idx="109">
                  <c:v>102.12</c:v>
                </c:pt>
                <c:pt idx="110">
                  <c:v>95.17</c:v>
                </c:pt>
                <c:pt idx="111">
                  <c:v>96.43</c:v>
                </c:pt>
                <c:pt idx="112">
                  <c:v>97.84</c:v>
                </c:pt>
                <c:pt idx="113">
                  <c:v>99.04</c:v>
                </c:pt>
                <c:pt idx="114">
                  <c:v>99.21</c:v>
                </c:pt>
                <c:pt idx="115">
                  <c:v>98.45</c:v>
                </c:pt>
                <c:pt idx="116">
                  <c:v>95.78</c:v>
                </c:pt>
                <c:pt idx="117">
                  <c:v>99.51</c:v>
                </c:pt>
                <c:pt idx="118">
                  <c:v>101.92</c:v>
                </c:pt>
                <c:pt idx="119">
                  <c:v>100.08</c:v>
                </c:pt>
                <c:pt idx="120">
                  <c:v>101.4</c:v>
                </c:pt>
                <c:pt idx="121">
                  <c:v>93.67</c:v>
                </c:pt>
                <c:pt idx="122">
                  <c:v>95.87</c:v>
                </c:pt>
                <c:pt idx="123">
                  <c:v>98.05</c:v>
                </c:pt>
                <c:pt idx="124">
                  <c:v>97.4</c:v>
                </c:pt>
                <c:pt idx="125">
                  <c:v>98.43</c:v>
                </c:pt>
                <c:pt idx="126">
                  <c:v>99.95</c:v>
                </c:pt>
                <c:pt idx="127">
                  <c:v>97.07</c:v>
                </c:pt>
                <c:pt idx="128">
                  <c:v>98.84</c:v>
                </c:pt>
                <c:pt idx="129">
                  <c:v>96.99</c:v>
                </c:pt>
                <c:pt idx="130">
                  <c:v>97.99</c:v>
                </c:pt>
                <c:pt idx="131">
                  <c:v>96.46</c:v>
                </c:pt>
                <c:pt idx="132">
                  <c:v>96.76</c:v>
                </c:pt>
                <c:pt idx="133">
                  <c:v>98.54</c:v>
                </c:pt>
                <c:pt idx="134">
                  <c:v>97.26</c:v>
                </c:pt>
                <c:pt idx="135">
                  <c:v>96.28</c:v>
                </c:pt>
                <c:pt idx="136">
                  <c:v>95.65</c:v>
                </c:pt>
                <c:pt idx="137">
                  <c:v>98.36</c:v>
                </c:pt>
                <c:pt idx="138">
                  <c:v>98.91</c:v>
                </c:pt>
                <c:pt idx="139">
                  <c:v>98.3</c:v>
                </c:pt>
                <c:pt idx="140">
                  <c:v>98.43</c:v>
                </c:pt>
                <c:pt idx="141">
                  <c:v>97.21</c:v>
                </c:pt>
                <c:pt idx="142">
                  <c:v>96.27</c:v>
                </c:pt>
                <c:pt idx="143">
                  <c:v>96.97</c:v>
                </c:pt>
                <c:pt idx="144">
                  <c:v>96.82</c:v>
                </c:pt>
                <c:pt idx="145">
                  <c:v>97.61</c:v>
                </c:pt>
                <c:pt idx="146">
                  <c:v>98.33</c:v>
                </c:pt>
                <c:pt idx="147">
                  <c:v>97.33</c:v>
                </c:pt>
                <c:pt idx="148">
                  <c:v>100.94</c:v>
                </c:pt>
                <c:pt idx="149">
                  <c:v>100.45</c:v>
                </c:pt>
                <c:pt idx="150">
                  <c:v>101.86</c:v>
                </c:pt>
                <c:pt idx="151">
                  <c:v>105.41</c:v>
                </c:pt>
                <c:pt idx="152">
                  <c:v>105.12</c:v>
                </c:pt>
                <c:pt idx="153">
                  <c:v>105.22</c:v>
                </c:pt>
                <c:pt idx="154">
                  <c:v>106.52</c:v>
                </c:pt>
                <c:pt idx="155">
                  <c:v>106.43</c:v>
                </c:pt>
                <c:pt idx="156">
                  <c:v>105.66</c:v>
                </c:pt>
                <c:pt idx="157">
                  <c:v>106.97</c:v>
                </c:pt>
                <c:pt idx="158">
                  <c:v>108.39</c:v>
                </c:pt>
                <c:pt idx="159">
                  <c:v>108.01</c:v>
                </c:pt>
                <c:pt idx="160">
                  <c:v>109.75</c:v>
                </c:pt>
                <c:pt idx="161">
                  <c:v>111.83</c:v>
                </c:pt>
                <c:pt idx="162">
                  <c:v>111.51</c:v>
                </c:pt>
                <c:pt idx="163">
                  <c:v>111.53</c:v>
                </c:pt>
                <c:pt idx="164">
                  <c:v>110.84</c:v>
                </c:pt>
                <c:pt idx="165">
                  <c:v>112.29</c:v>
                </c:pt>
                <c:pt idx="166">
                  <c:v>111.89</c:v>
                </c:pt>
                <c:pt idx="167">
                  <c:v>114.84</c:v>
                </c:pt>
                <c:pt idx="168">
                  <c:v>116.8</c:v>
                </c:pt>
                <c:pt idx="169">
                  <c:v>112.85</c:v>
                </c:pt>
                <c:pt idx="170">
                  <c:v>112.4</c:v>
                </c:pt>
                <c:pt idx="171">
                  <c:v>112.72</c:v>
                </c:pt>
                <c:pt idx="172">
                  <c:v>114.9</c:v>
                </c:pt>
                <c:pt idx="173">
                  <c:v>114.79</c:v>
                </c:pt>
                <c:pt idx="174">
                  <c:v>118</c:v>
                </c:pt>
                <c:pt idx="175">
                  <c:v>119.28</c:v>
                </c:pt>
                <c:pt idx="176">
                  <c:v>119.27</c:v>
                </c:pt>
                <c:pt idx="177">
                  <c:v>118.59</c:v>
                </c:pt>
                <c:pt idx="178">
                  <c:v>116.36</c:v>
                </c:pt>
                <c:pt idx="179">
                  <c:v>114.66</c:v>
                </c:pt>
                <c:pt idx="180">
                  <c:v>113.37</c:v>
                </c:pt>
                <c:pt idx="181">
                  <c:v>116.87</c:v>
                </c:pt>
                <c:pt idx="182">
                  <c:v>127.11</c:v>
                </c:pt>
                <c:pt idx="183">
                  <c:v>124.75</c:v>
                </c:pt>
                <c:pt idx="184">
                  <c:v>124.23</c:v>
                </c:pt>
                <c:pt idx="185">
                  <c:v>124.32</c:v>
                </c:pt>
                <c:pt idx="186">
                  <c:v>126.35</c:v>
                </c:pt>
                <c:pt idx="187">
                  <c:v>125.54</c:v>
                </c:pt>
                <c:pt idx="188">
                  <c:v>126.64</c:v>
                </c:pt>
                <c:pt idx="189">
                  <c:v>126.64</c:v>
                </c:pt>
                <c:pt idx="190">
                  <c:v>127.91</c:v>
                </c:pt>
                <c:pt idx="191">
                  <c:v>127.65</c:v>
                </c:pt>
                <c:pt idx="192">
                  <c:v>130.06</c:v>
                </c:pt>
                <c:pt idx="193">
                  <c:v>129.71</c:v>
                </c:pt>
                <c:pt idx="194">
                  <c:v>130.97999999999999</c:v>
                </c:pt>
                <c:pt idx="195">
                  <c:v>129.46</c:v>
                </c:pt>
                <c:pt idx="196">
                  <c:v>129.19999999999999</c:v>
                </c:pt>
                <c:pt idx="197">
                  <c:v>127.66</c:v>
                </c:pt>
                <c:pt idx="198">
                  <c:v>129</c:v>
                </c:pt>
                <c:pt idx="199">
                  <c:v>128</c:v>
                </c:pt>
                <c:pt idx="200">
                  <c:v>127.43</c:v>
                </c:pt>
                <c:pt idx="201">
                  <c:v>128.49</c:v>
                </c:pt>
                <c:pt idx="202">
                  <c:v>129.43</c:v>
                </c:pt>
                <c:pt idx="203">
                  <c:v>130.02000000000001</c:v>
                </c:pt>
                <c:pt idx="204">
                  <c:v>129.99</c:v>
                </c:pt>
                <c:pt idx="205">
                  <c:v>128.37</c:v>
                </c:pt>
                <c:pt idx="206">
                  <c:v>127.99</c:v>
                </c:pt>
                <c:pt idx="207">
                  <c:v>122.08</c:v>
                </c:pt>
                <c:pt idx="208">
                  <c:v>122.86</c:v>
                </c:pt>
                <c:pt idx="209">
                  <c:v>120.08</c:v>
                </c:pt>
                <c:pt idx="210">
                  <c:v>122.39</c:v>
                </c:pt>
                <c:pt idx="211">
                  <c:v>124.59</c:v>
                </c:pt>
                <c:pt idx="212">
                  <c:v>127.34</c:v>
                </c:pt>
                <c:pt idx="213">
                  <c:v>129.69999999999999</c:v>
                </c:pt>
                <c:pt idx="214">
                  <c:v>128.9</c:v>
                </c:pt>
                <c:pt idx="215">
                  <c:v>128.94999999999999</c:v>
                </c:pt>
                <c:pt idx="216">
                  <c:v>127.71</c:v>
                </c:pt>
                <c:pt idx="217">
                  <c:v>127.66</c:v>
                </c:pt>
                <c:pt idx="218">
                  <c:v>126.64</c:v>
                </c:pt>
                <c:pt idx="219">
                  <c:v>128.28</c:v>
                </c:pt>
                <c:pt idx="220">
                  <c:v>130.11000000000001</c:v>
                </c:pt>
                <c:pt idx="221">
                  <c:v>132.21</c:v>
                </c:pt>
                <c:pt idx="222">
                  <c:v>131.63</c:v>
                </c:pt>
                <c:pt idx="223">
                  <c:v>131.91</c:v>
                </c:pt>
                <c:pt idx="224">
                  <c:v>132.97999999999999</c:v>
                </c:pt>
                <c:pt idx="225">
                  <c:v>134.13</c:v>
                </c:pt>
                <c:pt idx="226">
                  <c:v>134.69999999999999</c:v>
                </c:pt>
                <c:pt idx="227">
                  <c:v>135.54</c:v>
                </c:pt>
                <c:pt idx="228">
                  <c:v>134.25</c:v>
                </c:pt>
                <c:pt idx="229">
                  <c:v>134.69999999999999</c:v>
                </c:pt>
                <c:pt idx="230">
                  <c:v>135.44</c:v>
                </c:pt>
                <c:pt idx="231">
                  <c:v>135.58000000000001</c:v>
                </c:pt>
                <c:pt idx="232">
                  <c:v>136.96</c:v>
                </c:pt>
                <c:pt idx="233">
                  <c:v>137.19</c:v>
                </c:pt>
                <c:pt idx="234">
                  <c:v>138.75</c:v>
                </c:pt>
                <c:pt idx="235">
                  <c:v>139.12</c:v>
                </c:pt>
                <c:pt idx="236">
                  <c:v>138.79</c:v>
                </c:pt>
                <c:pt idx="237">
                  <c:v>137.58000000000001</c:v>
                </c:pt>
                <c:pt idx="238">
                  <c:v>137.41</c:v>
                </c:pt>
                <c:pt idx="239">
                  <c:v>136.28</c:v>
                </c:pt>
                <c:pt idx="240">
                  <c:v>139.38999999999999</c:v>
                </c:pt>
                <c:pt idx="241">
                  <c:v>138.34</c:v>
                </c:pt>
                <c:pt idx="242">
                  <c:v>140.5</c:v>
                </c:pt>
                <c:pt idx="243">
                  <c:v>137.28</c:v>
                </c:pt>
                <c:pt idx="244">
                  <c:v>144.02000000000001</c:v>
                </c:pt>
                <c:pt idx="245">
                  <c:v>142.44999999999999</c:v>
                </c:pt>
                <c:pt idx="246">
                  <c:v>141.76</c:v>
                </c:pt>
                <c:pt idx="247">
                  <c:v>141.6</c:v>
                </c:pt>
                <c:pt idx="248">
                  <c:v>142.43</c:v>
                </c:pt>
                <c:pt idx="249">
                  <c:v>141.57</c:v>
                </c:pt>
                <c:pt idx="250">
                  <c:v>141.58000000000001</c:v>
                </c:pt>
                <c:pt idx="251">
                  <c:v>141.47</c:v>
                </c:pt>
                <c:pt idx="252">
                  <c:v>140.1</c:v>
                </c:pt>
                <c:pt idx="253">
                  <c:v>141.22999999999999</c:v>
                </c:pt>
                <c:pt idx="254">
                  <c:v>142.35</c:v>
                </c:pt>
                <c:pt idx="255">
                  <c:v>144.94999999999999</c:v>
                </c:pt>
                <c:pt idx="256">
                  <c:v>146.35</c:v>
                </c:pt>
                <c:pt idx="257">
                  <c:v>147.05000000000001</c:v>
                </c:pt>
                <c:pt idx="258">
                  <c:v>145.05000000000001</c:v>
                </c:pt>
                <c:pt idx="259">
                  <c:v>143.04</c:v>
                </c:pt>
                <c:pt idx="260">
                  <c:v>141.30000000000001</c:v>
                </c:pt>
                <c:pt idx="261">
                  <c:v>140.72</c:v>
                </c:pt>
                <c:pt idx="262">
                  <c:v>139.27000000000001</c:v>
                </c:pt>
                <c:pt idx="263">
                  <c:v>142.80000000000001</c:v>
                </c:pt>
                <c:pt idx="264">
                  <c:v>141.61000000000001</c:v>
                </c:pt>
                <c:pt idx="265">
                  <c:v>139.35</c:v>
                </c:pt>
                <c:pt idx="266">
                  <c:v>137.55000000000001</c:v>
                </c:pt>
                <c:pt idx="267">
                  <c:v>135.1</c:v>
                </c:pt>
                <c:pt idx="268">
                  <c:v>131.02000000000001</c:v>
                </c:pt>
                <c:pt idx="269">
                  <c:v>134.72</c:v>
                </c:pt>
                <c:pt idx="270">
                  <c:v>133.59</c:v>
                </c:pt>
                <c:pt idx="271">
                  <c:v>135.71</c:v>
                </c:pt>
                <c:pt idx="272">
                  <c:v>139.59</c:v>
                </c:pt>
                <c:pt idx="273">
                  <c:v>138.63</c:v>
                </c:pt>
                <c:pt idx="274">
                  <c:v>140.63</c:v>
                </c:pt>
                <c:pt idx="275">
                  <c:v>145.11000000000001</c:v>
                </c:pt>
                <c:pt idx="276">
                  <c:v>143.41</c:v>
                </c:pt>
                <c:pt idx="277">
                  <c:v>141.79</c:v>
                </c:pt>
                <c:pt idx="278">
                  <c:v>142.46</c:v>
                </c:pt>
                <c:pt idx="279">
                  <c:v>143.54</c:v>
                </c:pt>
                <c:pt idx="280">
                  <c:v>142.12</c:v>
                </c:pt>
                <c:pt idx="281">
                  <c:v>141.71</c:v>
                </c:pt>
                <c:pt idx="282">
                  <c:v>143.99</c:v>
                </c:pt>
                <c:pt idx="283">
                  <c:v>145.09</c:v>
                </c:pt>
                <c:pt idx="284">
                  <c:v>142.02000000000001</c:v>
                </c:pt>
                <c:pt idx="285">
                  <c:v>136.66999999999999</c:v>
                </c:pt>
                <c:pt idx="286">
                  <c:v>136.13</c:v>
                </c:pt>
                <c:pt idx="287">
                  <c:v>135.65</c:v>
                </c:pt>
                <c:pt idx="288">
                  <c:v>135.54</c:v>
                </c:pt>
                <c:pt idx="289">
                  <c:v>134.78</c:v>
                </c:pt>
                <c:pt idx="290">
                  <c:v>137.65</c:v>
                </c:pt>
                <c:pt idx="291">
                  <c:v>137.02000000000001</c:v>
                </c:pt>
                <c:pt idx="292">
                  <c:v>134.26</c:v>
                </c:pt>
                <c:pt idx="293">
                  <c:v>132.04</c:v>
                </c:pt>
                <c:pt idx="294">
                  <c:v>133.35</c:v>
                </c:pt>
                <c:pt idx="295">
                  <c:v>134.56</c:v>
                </c:pt>
                <c:pt idx="296">
                  <c:v>135.94999999999999</c:v>
                </c:pt>
                <c:pt idx="297">
                  <c:v>137.59</c:v>
                </c:pt>
                <c:pt idx="298">
                  <c:v>141.19</c:v>
                </c:pt>
                <c:pt idx="299">
                  <c:v>140.44999999999999</c:v>
                </c:pt>
                <c:pt idx="300">
                  <c:v>144.94</c:v>
                </c:pt>
                <c:pt idx="301">
                  <c:v>144.65</c:v>
                </c:pt>
                <c:pt idx="302">
                  <c:v>144.82</c:v>
                </c:pt>
                <c:pt idx="303">
                  <c:v>143.16999999999999</c:v>
                </c:pt>
                <c:pt idx="304">
                  <c:v>137.49</c:v>
                </c:pt>
                <c:pt idx="305">
                  <c:v>138.27000000000001</c:v>
                </c:pt>
                <c:pt idx="306">
                  <c:v>137.12</c:v>
                </c:pt>
                <c:pt idx="307">
                  <c:v>133.16</c:v>
                </c:pt>
                <c:pt idx="308">
                  <c:v>128.63999999999999</c:v>
                </c:pt>
                <c:pt idx="309">
                  <c:v>132.99</c:v>
                </c:pt>
                <c:pt idx="310">
                  <c:v>133.49</c:v>
                </c:pt>
                <c:pt idx="311">
                  <c:v>132.94999999999999</c:v>
                </c:pt>
                <c:pt idx="312">
                  <c:v>132.88999999999999</c:v>
                </c:pt>
                <c:pt idx="313">
                  <c:v>132.53</c:v>
                </c:pt>
                <c:pt idx="314">
                  <c:v>135.12</c:v>
                </c:pt>
                <c:pt idx="315">
                  <c:v>137.16</c:v>
                </c:pt>
                <c:pt idx="316">
                  <c:v>136.54</c:v>
                </c:pt>
                <c:pt idx="317">
                  <c:v>133.68</c:v>
                </c:pt>
                <c:pt idx="318">
                  <c:v>135.44999999999999</c:v>
                </c:pt>
                <c:pt idx="319">
                  <c:v>136.63999999999999</c:v>
                </c:pt>
                <c:pt idx="320">
                  <c:v>133.54</c:v>
                </c:pt>
                <c:pt idx="321">
                  <c:v>132.26</c:v>
                </c:pt>
                <c:pt idx="322">
                  <c:v>133.66999999999999</c:v>
                </c:pt>
                <c:pt idx="323">
                  <c:v>134.31</c:v>
                </c:pt>
                <c:pt idx="324">
                  <c:v>132.57</c:v>
                </c:pt>
                <c:pt idx="325">
                  <c:v>127.11</c:v>
                </c:pt>
                <c:pt idx="326">
                  <c:v>129.9</c:v>
                </c:pt>
                <c:pt idx="327">
                  <c:v>129.18</c:v>
                </c:pt>
                <c:pt idx="328">
                  <c:v>130.19</c:v>
                </c:pt>
                <c:pt idx="329">
                  <c:v>131.6</c:v>
                </c:pt>
                <c:pt idx="330">
                  <c:v>132.11000000000001</c:v>
                </c:pt>
                <c:pt idx="331">
                  <c:v>130.71</c:v>
                </c:pt>
                <c:pt idx="332">
                  <c:v>133.26</c:v>
                </c:pt>
                <c:pt idx="333">
                  <c:v>132.62</c:v>
                </c:pt>
                <c:pt idx="334">
                  <c:v>133.03</c:v>
                </c:pt>
                <c:pt idx="335">
                  <c:v>131.55000000000001</c:v>
                </c:pt>
                <c:pt idx="336">
                  <c:v>132.21</c:v>
                </c:pt>
                <c:pt idx="337">
                  <c:v>133.49</c:v>
                </c:pt>
                <c:pt idx="338">
                  <c:v>137.81</c:v>
                </c:pt>
                <c:pt idx="339">
                  <c:v>136.4</c:v>
                </c:pt>
                <c:pt idx="340">
                  <c:v>137.12</c:v>
                </c:pt>
                <c:pt idx="341">
                  <c:v>133.38999999999999</c:v>
                </c:pt>
                <c:pt idx="342">
                  <c:v>133.61000000000001</c:v>
                </c:pt>
                <c:pt idx="343">
                  <c:v>135.93</c:v>
                </c:pt>
                <c:pt idx="344">
                  <c:v>136.41</c:v>
                </c:pt>
                <c:pt idx="345">
                  <c:v>135.56</c:v>
                </c:pt>
                <c:pt idx="346">
                  <c:v>132.96</c:v>
                </c:pt>
                <c:pt idx="347">
                  <c:v>133.27000000000001</c:v>
                </c:pt>
                <c:pt idx="348">
                  <c:v>132.66</c:v>
                </c:pt>
                <c:pt idx="349">
                  <c:v>134.06</c:v>
                </c:pt>
                <c:pt idx="350">
                  <c:v>134.32</c:v>
                </c:pt>
                <c:pt idx="351">
                  <c:v>136.88999999999999</c:v>
                </c:pt>
                <c:pt idx="352">
                  <c:v>136.56</c:v>
                </c:pt>
                <c:pt idx="353">
                  <c:v>136.46</c:v>
                </c:pt>
                <c:pt idx="354">
                  <c:v>134.51</c:v>
                </c:pt>
                <c:pt idx="355">
                  <c:v>134.16999999999999</c:v>
                </c:pt>
                <c:pt idx="356">
                  <c:v>134.16999999999999</c:v>
                </c:pt>
                <c:pt idx="357">
                  <c:v>133.74</c:v>
                </c:pt>
                <c:pt idx="358">
                  <c:v>133.94999999999999</c:v>
                </c:pt>
                <c:pt idx="359">
                  <c:v>133.35</c:v>
                </c:pt>
                <c:pt idx="360">
                  <c:v>131.84</c:v>
                </c:pt>
                <c:pt idx="361">
                  <c:v>130.97999999999999</c:v>
                </c:pt>
                <c:pt idx="362">
                  <c:v>131.94</c:v>
                </c:pt>
                <c:pt idx="363">
                  <c:v>131.36000000000001</c:v>
                </c:pt>
                <c:pt idx="364">
                  <c:v>130.29</c:v>
                </c:pt>
                <c:pt idx="365">
                  <c:v>130.4</c:v>
                </c:pt>
                <c:pt idx="366">
                  <c:v>128.91999999999999</c:v>
                </c:pt>
                <c:pt idx="367">
                  <c:v>128.41</c:v>
                </c:pt>
                <c:pt idx="368">
                  <c:v>130.08000000000001</c:v>
                </c:pt>
                <c:pt idx="369">
                  <c:v>132.47999999999999</c:v>
                </c:pt>
                <c:pt idx="370">
                  <c:v>133.1</c:v>
                </c:pt>
                <c:pt idx="371">
                  <c:v>133.6</c:v>
                </c:pt>
                <c:pt idx="372">
                  <c:v>154.35</c:v>
                </c:pt>
                <c:pt idx="373">
                  <c:v>152.36000000000001</c:v>
                </c:pt>
                <c:pt idx="374">
                  <c:v>155.94999999999999</c:v>
                </c:pt>
                <c:pt idx="375">
                  <c:v>154.49</c:v>
                </c:pt>
                <c:pt idx="376">
                  <c:v>158</c:v>
                </c:pt>
                <c:pt idx="377">
                  <c:v>159.74</c:v>
                </c:pt>
                <c:pt idx="378">
                  <c:v>160.11000000000001</c:v>
                </c:pt>
                <c:pt idx="379">
                  <c:v>160.16</c:v>
                </c:pt>
                <c:pt idx="380">
                  <c:v>160.63</c:v>
                </c:pt>
                <c:pt idx="381">
                  <c:v>161</c:v>
                </c:pt>
                <c:pt idx="382">
                  <c:v>161.82</c:v>
                </c:pt>
                <c:pt idx="383">
                  <c:v>161.59</c:v>
                </c:pt>
                <c:pt idx="384">
                  <c:v>161.54</c:v>
                </c:pt>
                <c:pt idx="385">
                  <c:v>161.69</c:v>
                </c:pt>
                <c:pt idx="386">
                  <c:v>159.85</c:v>
                </c:pt>
                <c:pt idx="387">
                  <c:v>157.87</c:v>
                </c:pt>
                <c:pt idx="388">
                  <c:v>159.74</c:v>
                </c:pt>
                <c:pt idx="389">
                  <c:v>161.08000000000001</c:v>
                </c:pt>
                <c:pt idx="390">
                  <c:v>163.68</c:v>
                </c:pt>
                <c:pt idx="391">
                  <c:v>166.36</c:v>
                </c:pt>
                <c:pt idx="392">
                  <c:v>165.09</c:v>
                </c:pt>
                <c:pt idx="393">
                  <c:v>164.57</c:v>
                </c:pt>
                <c:pt idx="394">
                  <c:v>165.46</c:v>
                </c:pt>
                <c:pt idx="395">
                  <c:v>166.99</c:v>
                </c:pt>
                <c:pt idx="396">
                  <c:v>167.51</c:v>
                </c:pt>
                <c:pt idx="397">
                  <c:v>168.75</c:v>
                </c:pt>
                <c:pt idx="398">
                  <c:v>171.23</c:v>
                </c:pt>
                <c:pt idx="399">
                  <c:v>171.91</c:v>
                </c:pt>
                <c:pt idx="400">
                  <c:v>173.85</c:v>
                </c:pt>
                <c:pt idx="401">
                  <c:v>172.8</c:v>
                </c:pt>
                <c:pt idx="402">
                  <c:v>171.77</c:v>
                </c:pt>
                <c:pt idx="403">
                  <c:v>172.27</c:v>
                </c:pt>
                <c:pt idx="404">
                  <c:v>171.27</c:v>
                </c:pt>
                <c:pt idx="405">
                  <c:v>170.64</c:v>
                </c:pt>
                <c:pt idx="406">
                  <c:v>171.69</c:v>
                </c:pt>
                <c:pt idx="407">
                  <c:v>172.36</c:v>
                </c:pt>
                <c:pt idx="408">
                  <c:v>170.66</c:v>
                </c:pt>
                <c:pt idx="409">
                  <c:v>168.81</c:v>
                </c:pt>
                <c:pt idx="410">
                  <c:v>165.59</c:v>
                </c:pt>
                <c:pt idx="411">
                  <c:v>167.79</c:v>
                </c:pt>
                <c:pt idx="412">
                  <c:v>169.72</c:v>
                </c:pt>
                <c:pt idx="413">
                  <c:v>169.98</c:v>
                </c:pt>
                <c:pt idx="414">
                  <c:v>169.84</c:v>
                </c:pt>
                <c:pt idx="415">
                  <c:v>166.92</c:v>
                </c:pt>
                <c:pt idx="416">
                  <c:v>167.58</c:v>
                </c:pt>
                <c:pt idx="417">
                  <c:v>168.03</c:v>
                </c:pt>
                <c:pt idx="418">
                  <c:v>164.74</c:v>
                </c:pt>
                <c:pt idx="419">
                  <c:v>164.56</c:v>
                </c:pt>
                <c:pt idx="420">
                  <c:v>163.66999999999999</c:v>
                </c:pt>
                <c:pt idx="421">
                  <c:v>163.29</c:v>
                </c:pt>
                <c:pt idx="422">
                  <c:v>162.63999999999999</c:v>
                </c:pt>
                <c:pt idx="423">
                  <c:v>160.71</c:v>
                </c:pt>
                <c:pt idx="424">
                  <c:v>163.34</c:v>
                </c:pt>
                <c:pt idx="425">
                  <c:v>163.59</c:v>
                </c:pt>
                <c:pt idx="426">
                  <c:v>159.52000000000001</c:v>
                </c:pt>
                <c:pt idx="427">
                  <c:v>158.76</c:v>
                </c:pt>
                <c:pt idx="428">
                  <c:v>157.91</c:v>
                </c:pt>
                <c:pt idx="429">
                  <c:v>157.6</c:v>
                </c:pt>
                <c:pt idx="430">
                  <c:v>156.41999999999999</c:v>
                </c:pt>
                <c:pt idx="431">
                  <c:v>154.25</c:v>
                </c:pt>
                <c:pt idx="432">
                  <c:v>155.02000000000001</c:v>
                </c:pt>
                <c:pt idx="433">
                  <c:v>157.44</c:v>
                </c:pt>
                <c:pt idx="434">
                  <c:v>159.58000000000001</c:v>
                </c:pt>
                <c:pt idx="435">
                  <c:v>149.59</c:v>
                </c:pt>
                <c:pt idx="436">
                  <c:v>148.04</c:v>
                </c:pt>
                <c:pt idx="437">
                  <c:v>145.30000000000001</c:v>
                </c:pt>
                <c:pt idx="438">
                  <c:v>146.02000000000001</c:v>
                </c:pt>
                <c:pt idx="439">
                  <c:v>145.22999999999999</c:v>
                </c:pt>
                <c:pt idx="440">
                  <c:v>147.06</c:v>
                </c:pt>
                <c:pt idx="441">
                  <c:v>147.13999999999999</c:v>
                </c:pt>
                <c:pt idx="442">
                  <c:v>149.46</c:v>
                </c:pt>
                <c:pt idx="443">
                  <c:v>148.80000000000001</c:v>
                </c:pt>
                <c:pt idx="444">
                  <c:v>151.85</c:v>
                </c:pt>
                <c:pt idx="445">
                  <c:v>152.47999999999999</c:v>
                </c:pt>
                <c:pt idx="446">
                  <c:v>150.28</c:v>
                </c:pt>
                <c:pt idx="447">
                  <c:v>153.35</c:v>
                </c:pt>
                <c:pt idx="448">
                  <c:v>156.30000000000001</c:v>
                </c:pt>
                <c:pt idx="449">
                  <c:v>157.13999999999999</c:v>
                </c:pt>
                <c:pt idx="450">
                  <c:v>158.01</c:v>
                </c:pt>
                <c:pt idx="451">
                  <c:v>159.43</c:v>
                </c:pt>
                <c:pt idx="452">
                  <c:v>157.82</c:v>
                </c:pt>
                <c:pt idx="453">
                  <c:v>158.44999999999999</c:v>
                </c:pt>
                <c:pt idx="454">
                  <c:v>162.18</c:v>
                </c:pt>
                <c:pt idx="455">
                  <c:v>163.47999999999999</c:v>
                </c:pt>
                <c:pt idx="456">
                  <c:v>164.22</c:v>
                </c:pt>
                <c:pt idx="457">
                  <c:v>163.79</c:v>
                </c:pt>
                <c:pt idx="458">
                  <c:v>162.35</c:v>
                </c:pt>
                <c:pt idx="459">
                  <c:v>164.46</c:v>
                </c:pt>
                <c:pt idx="460">
                  <c:v>167.29</c:v>
                </c:pt>
                <c:pt idx="461">
                  <c:v>166.33</c:v>
                </c:pt>
                <c:pt idx="462">
                  <c:v>167.83</c:v>
                </c:pt>
                <c:pt idx="463">
                  <c:v>172.5</c:v>
                </c:pt>
                <c:pt idx="464">
                  <c:v>175.44</c:v>
                </c:pt>
                <c:pt idx="465">
                  <c:v>177.51</c:v>
                </c:pt>
                <c:pt idx="466">
                  <c:v>171.85</c:v>
                </c:pt>
                <c:pt idx="467">
                  <c:v>173.82</c:v>
                </c:pt>
                <c:pt idx="468">
                  <c:v>168.26</c:v>
                </c:pt>
                <c:pt idx="469">
                  <c:v>166.97</c:v>
                </c:pt>
                <c:pt idx="470">
                  <c:v>169.09</c:v>
                </c:pt>
                <c:pt idx="471">
                  <c:v>168.85</c:v>
                </c:pt>
                <c:pt idx="472">
                  <c:v>171.83</c:v>
                </c:pt>
                <c:pt idx="473">
                  <c:v>171.74</c:v>
                </c:pt>
                <c:pt idx="474">
                  <c:v>171.35</c:v>
                </c:pt>
                <c:pt idx="475">
                  <c:v>174.88</c:v>
                </c:pt>
                <c:pt idx="476">
                  <c:v>174.24</c:v>
                </c:pt>
                <c:pt idx="477">
                  <c:v>172.15</c:v>
                </c:pt>
                <c:pt idx="478">
                  <c:v>172.03</c:v>
                </c:pt>
                <c:pt idx="479">
                  <c:v>168.02</c:v>
                </c:pt>
                <c:pt idx="480">
                  <c:v>169.87</c:v>
                </c:pt>
                <c:pt idx="481">
                  <c:v>169.24</c:v>
                </c:pt>
                <c:pt idx="482">
                  <c:v>166.7</c:v>
                </c:pt>
                <c:pt idx="483">
                  <c:v>170</c:v>
                </c:pt>
                <c:pt idx="484">
                  <c:v>170.24</c:v>
                </c:pt>
                <c:pt idx="485">
                  <c:v>168.91</c:v>
                </c:pt>
                <c:pt idx="486">
                  <c:v>171.29</c:v>
                </c:pt>
                <c:pt idx="487">
                  <c:v>170.25</c:v>
                </c:pt>
                <c:pt idx="488">
                  <c:v>168.1</c:v>
                </c:pt>
                <c:pt idx="489">
                  <c:v>169.06</c:v>
                </c:pt>
                <c:pt idx="490">
                  <c:v>166.84</c:v>
                </c:pt>
                <c:pt idx="491">
                  <c:v>165.4</c:v>
                </c:pt>
                <c:pt idx="492">
                  <c:v>163.9</c:v>
                </c:pt>
                <c:pt idx="493">
                  <c:v>162.72</c:v>
                </c:pt>
                <c:pt idx="494">
                  <c:v>161.36000000000001</c:v>
                </c:pt>
                <c:pt idx="495">
                  <c:v>156.97999999999999</c:v>
                </c:pt>
                <c:pt idx="496">
                  <c:v>166.63</c:v>
                </c:pt>
                <c:pt idx="497">
                  <c:v>165.44</c:v>
                </c:pt>
                <c:pt idx="498">
                  <c:v>165.67</c:v>
                </c:pt>
                <c:pt idx="499">
                  <c:v>167.58</c:v>
                </c:pt>
                <c:pt idx="500">
                  <c:v>166.42</c:v>
                </c:pt>
                <c:pt idx="501">
                  <c:v>168.78</c:v>
                </c:pt>
                <c:pt idx="502">
                  <c:v>167.49</c:v>
                </c:pt>
                <c:pt idx="503">
                  <c:v>166.67</c:v>
                </c:pt>
                <c:pt idx="504">
                  <c:v>164.67</c:v>
                </c:pt>
                <c:pt idx="505">
                  <c:v>166.39</c:v>
                </c:pt>
                <c:pt idx="506">
                  <c:v>162.25</c:v>
                </c:pt>
                <c:pt idx="507">
                  <c:v>161.04</c:v>
                </c:pt>
                <c:pt idx="508">
                  <c:v>156.97</c:v>
                </c:pt>
                <c:pt idx="509">
                  <c:v>150.44</c:v>
                </c:pt>
                <c:pt idx="510">
                  <c:v>150.30000000000001</c:v>
                </c:pt>
                <c:pt idx="511">
                  <c:v>152.21</c:v>
                </c:pt>
                <c:pt idx="512">
                  <c:v>149.59</c:v>
                </c:pt>
                <c:pt idx="513">
                  <c:v>148.18</c:v>
                </c:pt>
                <c:pt idx="514">
                  <c:v>146.94999999999999</c:v>
                </c:pt>
                <c:pt idx="515">
                  <c:v>145.11000000000001</c:v>
                </c:pt>
                <c:pt idx="516">
                  <c:v>142.72999999999999</c:v>
                </c:pt>
                <c:pt idx="517">
                  <c:v>142.94999999999999</c:v>
                </c:pt>
                <c:pt idx="518">
                  <c:v>146</c:v>
                </c:pt>
                <c:pt idx="519">
                  <c:v>145.47999999999999</c:v>
                </c:pt>
                <c:pt idx="520">
                  <c:v>143.99</c:v>
                </c:pt>
                <c:pt idx="521">
                  <c:v>144.63999999999999</c:v>
                </c:pt>
                <c:pt idx="522">
                  <c:v>145.91</c:v>
                </c:pt>
                <c:pt idx="523">
                  <c:v>148.07</c:v>
                </c:pt>
                <c:pt idx="524">
                  <c:v>148.22</c:v>
                </c:pt>
                <c:pt idx="525">
                  <c:v>148.71</c:v>
                </c:pt>
                <c:pt idx="526">
                  <c:v>145.31</c:v>
                </c:pt>
                <c:pt idx="527">
                  <c:v>145.38999999999999</c:v>
                </c:pt>
                <c:pt idx="528">
                  <c:v>145.13999999999999</c:v>
                </c:pt>
                <c:pt idx="529">
                  <c:v>143.53</c:v>
                </c:pt>
                <c:pt idx="530">
                  <c:v>146.26</c:v>
                </c:pt>
                <c:pt idx="531">
                  <c:v>144.82</c:v>
                </c:pt>
                <c:pt idx="532">
                  <c:v>140.18</c:v>
                </c:pt>
                <c:pt idx="533">
                  <c:v>141.59</c:v>
                </c:pt>
                <c:pt idx="534">
                  <c:v>145.58000000000001</c:v>
                </c:pt>
                <c:pt idx="535">
                  <c:v>146.49</c:v>
                </c:pt>
                <c:pt idx="536">
                  <c:v>142.80000000000001</c:v>
                </c:pt>
                <c:pt idx="537">
                  <c:v>142.94999999999999</c:v>
                </c:pt>
                <c:pt idx="538">
                  <c:v>138.19</c:v>
                </c:pt>
                <c:pt idx="539">
                  <c:v>136.83000000000001</c:v>
                </c:pt>
                <c:pt idx="540">
                  <c:v>137.16999999999999</c:v>
                </c:pt>
                <c:pt idx="541">
                  <c:v>138.80000000000001</c:v>
                </c:pt>
                <c:pt idx="542">
                  <c:v>136.55000000000001</c:v>
                </c:pt>
                <c:pt idx="543">
                  <c:v>132.22</c:v>
                </c:pt>
                <c:pt idx="544">
                  <c:v>135.68</c:v>
                </c:pt>
                <c:pt idx="545">
                  <c:v>133.97</c:v>
                </c:pt>
                <c:pt idx="546">
                  <c:v>131.18</c:v>
                </c:pt>
                <c:pt idx="547">
                  <c:v>124.44</c:v>
                </c:pt>
                <c:pt idx="548">
                  <c:v>121.21</c:v>
                </c:pt>
                <c:pt idx="549">
                  <c:v>126.95</c:v>
                </c:pt>
                <c:pt idx="550">
                  <c:v>126.03</c:v>
                </c:pt>
                <c:pt idx="551">
                  <c:v>122.63</c:v>
                </c:pt>
                <c:pt idx="552">
                  <c:v>117.57</c:v>
                </c:pt>
                <c:pt idx="553">
                  <c:v>119.4</c:v>
                </c:pt>
                <c:pt idx="554">
                  <c:v>125.19</c:v>
                </c:pt>
                <c:pt idx="555">
                  <c:v>127.41</c:v>
                </c:pt>
                <c:pt idx="556">
                  <c:v>131.24</c:v>
                </c:pt>
                <c:pt idx="557">
                  <c:v>130.19</c:v>
                </c:pt>
                <c:pt idx="558">
                  <c:v>133.09</c:v>
                </c:pt>
                <c:pt idx="559">
                  <c:v>133</c:v>
                </c:pt>
                <c:pt idx="560">
                  <c:v>132.08000000000001</c:v>
                </c:pt>
                <c:pt idx="561">
                  <c:v>133.69999999999999</c:v>
                </c:pt>
                <c:pt idx="562">
                  <c:v>134.81</c:v>
                </c:pt>
                <c:pt idx="563">
                  <c:v>139.13999999999999</c:v>
                </c:pt>
                <c:pt idx="564">
                  <c:v>138.54</c:v>
                </c:pt>
                <c:pt idx="565">
                  <c:v>134.56</c:v>
                </c:pt>
                <c:pt idx="566">
                  <c:v>133.52000000000001</c:v>
                </c:pt>
                <c:pt idx="567">
                  <c:v>134.34</c:v>
                </c:pt>
                <c:pt idx="568">
                  <c:v>132.30000000000001</c:v>
                </c:pt>
                <c:pt idx="569">
                  <c:v>128.36000000000001</c:v>
                </c:pt>
                <c:pt idx="570">
                  <c:v>129.38</c:v>
                </c:pt>
                <c:pt idx="571">
                  <c:v>128.15</c:v>
                </c:pt>
                <c:pt idx="572">
                  <c:v>124.98</c:v>
                </c:pt>
                <c:pt idx="573">
                  <c:v>125.04</c:v>
                </c:pt>
                <c:pt idx="574">
                  <c:v>127.49</c:v>
                </c:pt>
                <c:pt idx="575">
                  <c:v>133.46</c:v>
                </c:pt>
                <c:pt idx="576">
                  <c:v>131.63</c:v>
                </c:pt>
                <c:pt idx="577">
                  <c:v>137.05000000000001</c:v>
                </c:pt>
                <c:pt idx="578">
                  <c:v>135.87</c:v>
                </c:pt>
                <c:pt idx="579">
                  <c:v>135.46</c:v>
                </c:pt>
                <c:pt idx="580">
                  <c:v>129.07</c:v>
                </c:pt>
                <c:pt idx="581">
                  <c:v>127.94</c:v>
                </c:pt>
                <c:pt idx="582">
                  <c:v>120.52</c:v>
                </c:pt>
                <c:pt idx="583">
                  <c:v>121.24</c:v>
                </c:pt>
                <c:pt idx="584">
                  <c:v>127.05</c:v>
                </c:pt>
                <c:pt idx="585">
                  <c:v>124.7</c:v>
                </c:pt>
                <c:pt idx="586">
                  <c:v>126.08</c:v>
                </c:pt>
                <c:pt idx="587">
                  <c:v>122.86</c:v>
                </c:pt>
                <c:pt idx="588">
                  <c:v>126.06</c:v>
                </c:pt>
                <c:pt idx="589">
                  <c:v>118.63</c:v>
                </c:pt>
                <c:pt idx="590">
                  <c:v>114.49</c:v>
                </c:pt>
                <c:pt idx="591">
                  <c:v>111.21</c:v>
                </c:pt>
                <c:pt idx="592">
                  <c:v>109.49</c:v>
                </c:pt>
                <c:pt idx="593">
                  <c:v>107.92</c:v>
                </c:pt>
                <c:pt idx="594">
                  <c:v>107.9</c:v>
                </c:pt>
                <c:pt idx="595">
                  <c:v>113.01</c:v>
                </c:pt>
                <c:pt idx="596">
                  <c:v>112.6</c:v>
                </c:pt>
                <c:pt idx="597">
                  <c:v>115.9</c:v>
                </c:pt>
                <c:pt idx="598">
                  <c:v>109.37</c:v>
                </c:pt>
                <c:pt idx="599">
                  <c:v>106.44</c:v>
                </c:pt>
                <c:pt idx="600">
                  <c:v>108</c:v>
                </c:pt>
                <c:pt idx="601">
                  <c:v>108.63</c:v>
                </c:pt>
                <c:pt idx="602">
                  <c:v>107.29</c:v>
                </c:pt>
                <c:pt idx="603">
                  <c:v>108.2</c:v>
                </c:pt>
                <c:pt idx="604">
                  <c:v>112.94</c:v>
                </c:pt>
                <c:pt idx="605">
                  <c:v>115.99</c:v>
                </c:pt>
                <c:pt idx="606">
                  <c:v>118.85</c:v>
                </c:pt>
                <c:pt idx="607">
                  <c:v>118.68</c:v>
                </c:pt>
                <c:pt idx="608">
                  <c:v>123.41</c:v>
                </c:pt>
                <c:pt idx="609">
                  <c:v>120.95</c:v>
                </c:pt>
                <c:pt idx="610">
                  <c:v>120.23</c:v>
                </c:pt>
                <c:pt idx="611">
                  <c:v>121.67</c:v>
                </c:pt>
                <c:pt idx="612">
                  <c:v>122.4</c:v>
                </c:pt>
                <c:pt idx="613">
                  <c:v>118.6</c:v>
                </c:pt>
                <c:pt idx="614">
                  <c:v>114.73</c:v>
                </c:pt>
                <c:pt idx="615">
                  <c:v>110.44</c:v>
                </c:pt>
                <c:pt idx="616">
                  <c:v>110.72</c:v>
                </c:pt>
                <c:pt idx="617">
                  <c:v>113.44</c:v>
                </c:pt>
                <c:pt idx="618">
                  <c:v>107.12</c:v>
                </c:pt>
                <c:pt idx="619">
                  <c:v>107.34</c:v>
                </c:pt>
                <c:pt idx="620">
                  <c:v>108.68</c:v>
                </c:pt>
                <c:pt idx="621">
                  <c:v>104.92</c:v>
                </c:pt>
                <c:pt idx="622">
                  <c:v>108</c:v>
                </c:pt>
                <c:pt idx="623">
                  <c:v>112.91</c:v>
                </c:pt>
                <c:pt idx="624">
                  <c:v>110.5</c:v>
                </c:pt>
                <c:pt idx="625">
                  <c:v>102.78</c:v>
                </c:pt>
                <c:pt idx="626">
                  <c:v>103.25</c:v>
                </c:pt>
                <c:pt idx="627">
                  <c:v>102.2</c:v>
                </c:pt>
                <c:pt idx="628">
                  <c:v>101.18</c:v>
                </c:pt>
                <c:pt idx="629">
                  <c:v>104.32</c:v>
                </c:pt>
                <c:pt idx="630">
                  <c:v>104.23</c:v>
                </c:pt>
                <c:pt idx="631">
                  <c:v>108.13</c:v>
                </c:pt>
                <c:pt idx="632">
                  <c:v>107.93</c:v>
                </c:pt>
                <c:pt idx="633">
                  <c:v>105.11</c:v>
                </c:pt>
                <c:pt idx="634">
                  <c:v>103.76</c:v>
                </c:pt>
                <c:pt idx="635">
                  <c:v>105.11</c:v>
                </c:pt>
                <c:pt idx="636">
                  <c:v>103.22</c:v>
                </c:pt>
                <c:pt idx="637">
                  <c:v>104.7</c:v>
                </c:pt>
                <c:pt idx="638">
                  <c:v>103.94</c:v>
                </c:pt>
                <c:pt idx="639">
                  <c:v>109.19</c:v>
                </c:pt>
                <c:pt idx="640">
                  <c:v>111.11</c:v>
                </c:pt>
                <c:pt idx="641">
                  <c:v>111.62</c:v>
                </c:pt>
                <c:pt idx="642">
                  <c:v>109.12</c:v>
                </c:pt>
                <c:pt idx="643">
                  <c:v>109.28</c:v>
                </c:pt>
                <c:pt idx="644">
                  <c:v>105.2</c:v>
                </c:pt>
                <c:pt idx="645">
                  <c:v>107.86</c:v>
                </c:pt>
                <c:pt idx="646">
                  <c:v>112.23</c:v>
                </c:pt>
                <c:pt idx="647">
                  <c:v>114.92</c:v>
                </c:pt>
                <c:pt idx="648">
                  <c:v>114.3</c:v>
                </c:pt>
                <c:pt idx="649">
                  <c:v>111.77</c:v>
                </c:pt>
                <c:pt idx="650">
                  <c:v>114.28</c:v>
                </c:pt>
                <c:pt idx="651">
                  <c:v>114.48</c:v>
                </c:pt>
                <c:pt idx="652">
                  <c:v>113.87</c:v>
                </c:pt>
                <c:pt idx="653">
                  <c:v>114</c:v>
                </c:pt>
                <c:pt idx="654">
                  <c:v>110.11</c:v>
                </c:pt>
                <c:pt idx="655">
                  <c:v>113.14</c:v>
                </c:pt>
                <c:pt idx="656">
                  <c:v>114.1</c:v>
                </c:pt>
                <c:pt idx="657">
                  <c:v>116.07</c:v>
                </c:pt>
                <c:pt idx="658">
                  <c:v>116.32</c:v>
                </c:pt>
                <c:pt idx="659">
                  <c:v>118.06</c:v>
                </c:pt>
                <c:pt idx="660">
                  <c:v>117.04</c:v>
                </c:pt>
                <c:pt idx="661">
                  <c:v>116.01</c:v>
                </c:pt>
                <c:pt idx="662">
                  <c:v>113.16</c:v>
                </c:pt>
                <c:pt idx="663">
                  <c:v>110.34</c:v>
                </c:pt>
                <c:pt idx="664">
                  <c:v>110.68</c:v>
                </c:pt>
                <c:pt idx="665">
                  <c:v>111.41</c:v>
                </c:pt>
                <c:pt idx="666">
                  <c:v>113.22</c:v>
                </c:pt>
                <c:pt idx="667">
                  <c:v>108.28</c:v>
                </c:pt>
                <c:pt idx="668">
                  <c:v>107.88</c:v>
                </c:pt>
                <c:pt idx="669">
                  <c:v>107.86</c:v>
                </c:pt>
                <c:pt idx="670">
                  <c:v>106.45</c:v>
                </c:pt>
                <c:pt idx="671">
                  <c:v>106.49</c:v>
                </c:pt>
                <c:pt idx="672">
                  <c:v>105.74</c:v>
                </c:pt>
                <c:pt idx="673">
                  <c:v>105.15</c:v>
                </c:pt>
                <c:pt idx="674">
                  <c:v>108.48</c:v>
                </c:pt>
                <c:pt idx="675">
                  <c:v>108.73</c:v>
                </c:pt>
                <c:pt idx="676">
                  <c:v>110.97</c:v>
                </c:pt>
                <c:pt idx="677">
                  <c:v>112.38</c:v>
                </c:pt>
                <c:pt idx="678">
                  <c:v>105.72</c:v>
                </c:pt>
                <c:pt idx="679">
                  <c:v>107</c:v>
                </c:pt>
                <c:pt idx="680">
                  <c:v>105.5</c:v>
                </c:pt>
                <c:pt idx="681">
                  <c:v>104.12</c:v>
                </c:pt>
                <c:pt idx="682">
                  <c:v>107.21</c:v>
                </c:pt>
                <c:pt idx="683">
                  <c:v>102.42</c:v>
                </c:pt>
                <c:pt idx="684">
                  <c:v>99.79</c:v>
                </c:pt>
                <c:pt idx="685">
                  <c:v>98.55</c:v>
                </c:pt>
                <c:pt idx="686">
                  <c:v>97.02</c:v>
                </c:pt>
                <c:pt idx="687">
                  <c:v>96.06</c:v>
                </c:pt>
                <c:pt idx="688">
                  <c:v>96.29</c:v>
                </c:pt>
                <c:pt idx="689">
                  <c:v>98.7</c:v>
                </c:pt>
                <c:pt idx="690">
                  <c:v>95.33</c:v>
                </c:pt>
                <c:pt idx="691">
                  <c:v>83.12</c:v>
                </c:pt>
                <c:pt idx="692">
                  <c:v>85.4</c:v>
                </c:pt>
                <c:pt idx="693">
                  <c:v>88.64</c:v>
                </c:pt>
                <c:pt idx="694">
                  <c:v>91.1</c:v>
                </c:pt>
                <c:pt idx="695">
                  <c:v>90.17</c:v>
                </c:pt>
                <c:pt idx="696">
                  <c:v>87.16</c:v>
                </c:pt>
                <c:pt idx="697">
                  <c:v>86.69</c:v>
                </c:pt>
                <c:pt idx="698">
                  <c:v>87.99</c:v>
                </c:pt>
                <c:pt idx="699">
                  <c:v>88.51</c:v>
                </c:pt>
                <c:pt idx="700">
                  <c:v>89.56</c:v>
                </c:pt>
                <c:pt idx="701">
                  <c:v>87.55</c:v>
                </c:pt>
                <c:pt idx="702">
                  <c:v>89.97</c:v>
                </c:pt>
                <c:pt idx="703">
                  <c:v>89.68</c:v>
                </c:pt>
                <c:pt idx="704">
                  <c:v>88.57</c:v>
                </c:pt>
                <c:pt idx="705">
                  <c:v>86.83</c:v>
                </c:pt>
                <c:pt idx="706">
                  <c:v>88.5</c:v>
                </c:pt>
                <c:pt idx="707">
                  <c:v>88.01</c:v>
                </c:pt>
                <c:pt idx="708">
                  <c:v>91.72</c:v>
                </c:pt>
                <c:pt idx="709">
                  <c:v>92.39</c:v>
                </c:pt>
                <c:pt idx="710">
                  <c:v>90.54</c:v>
                </c:pt>
                <c:pt idx="711">
                  <c:v>93.83</c:v>
                </c:pt>
                <c:pt idx="712">
                  <c:v>92.68</c:v>
                </c:pt>
                <c:pt idx="713">
                  <c:v>93.77</c:v>
                </c:pt>
                <c:pt idx="714">
                  <c:v>90.3</c:v>
                </c:pt>
                <c:pt idx="715">
                  <c:v>90.4</c:v>
                </c:pt>
                <c:pt idx="716">
                  <c:v>95.79</c:v>
                </c:pt>
                <c:pt idx="717">
                  <c:v>93.44</c:v>
                </c:pt>
                <c:pt idx="718">
                  <c:v>93.75</c:v>
                </c:pt>
                <c:pt idx="719">
                  <c:v>92.1</c:v>
                </c:pt>
                <c:pt idx="720">
                  <c:v>99.49</c:v>
                </c:pt>
                <c:pt idx="721">
                  <c:v>106.09</c:v>
                </c:pt>
                <c:pt idx="722">
                  <c:v>104.39</c:v>
                </c:pt>
                <c:pt idx="723">
                  <c:v>106.71</c:v>
                </c:pt>
                <c:pt idx="724">
                  <c:v>105.23</c:v>
                </c:pt>
                <c:pt idx="725">
                  <c:v>105.36</c:v>
                </c:pt>
                <c:pt idx="726">
                  <c:v>105.42</c:v>
                </c:pt>
                <c:pt idx="727">
                  <c:v>103.83</c:v>
                </c:pt>
                <c:pt idx="728">
                  <c:v>105.97</c:v>
                </c:pt>
                <c:pt idx="729">
                  <c:v>106.65</c:v>
                </c:pt>
                <c:pt idx="730">
                  <c:v>105.96</c:v>
                </c:pt>
                <c:pt idx="731">
                  <c:v>104.96</c:v>
                </c:pt>
                <c:pt idx="732">
                  <c:v>106.25</c:v>
                </c:pt>
                <c:pt idx="733">
                  <c:v>109.69</c:v>
                </c:pt>
                <c:pt idx="734">
                  <c:v>111.11</c:v>
                </c:pt>
                <c:pt idx="735">
                  <c:v>112.2</c:v>
                </c:pt>
                <c:pt idx="736">
                  <c:v>109.62</c:v>
                </c:pt>
                <c:pt idx="737">
                  <c:v>107.93</c:v>
                </c:pt>
                <c:pt idx="738">
                  <c:v>108.33</c:v>
                </c:pt>
                <c:pt idx="739">
                  <c:v>111.36</c:v>
                </c:pt>
                <c:pt idx="740">
                  <c:v>109.42</c:v>
                </c:pt>
                <c:pt idx="741">
                  <c:v>112.07</c:v>
                </c:pt>
                <c:pt idx="742">
                  <c:v>112.85</c:v>
                </c:pt>
                <c:pt idx="743">
                  <c:v>111.45</c:v>
                </c:pt>
                <c:pt idx="744">
                  <c:v>108.51</c:v>
                </c:pt>
                <c:pt idx="745">
                  <c:v>105.95</c:v>
                </c:pt>
                <c:pt idx="746">
                  <c:v>103.05</c:v>
                </c:pt>
                <c:pt idx="747">
                  <c:v>103.21</c:v>
                </c:pt>
                <c:pt idx="748">
                  <c:v>115.78</c:v>
                </c:pt>
                <c:pt idx="749">
                  <c:v>116.71</c:v>
                </c:pt>
                <c:pt idx="750">
                  <c:v>116.25</c:v>
                </c:pt>
                <c:pt idx="751">
                  <c:v>117.56</c:v>
                </c:pt>
                <c:pt idx="752">
                  <c:v>114.98</c:v>
                </c:pt>
                <c:pt idx="753">
                  <c:v>117.35</c:v>
                </c:pt>
                <c:pt idx="754">
                  <c:v>117.01</c:v>
                </c:pt>
                <c:pt idx="755">
                  <c:v>118.75</c:v>
                </c:pt>
                <c:pt idx="756">
                  <c:v>121.21</c:v>
                </c:pt>
                <c:pt idx="757">
                  <c:v>120.62</c:v>
                </c:pt>
                <c:pt idx="758">
                  <c:v>124.53</c:v>
                </c:pt>
                <c:pt idx="759">
                  <c:v>124.85</c:v>
                </c:pt>
                <c:pt idx="760">
                  <c:v>125.84</c:v>
                </c:pt>
                <c:pt idx="761">
                  <c:v>127.94</c:v>
                </c:pt>
                <c:pt idx="762">
                  <c:v>127.89</c:v>
                </c:pt>
                <c:pt idx="763">
                  <c:v>128.85</c:v>
                </c:pt>
                <c:pt idx="764">
                  <c:v>128.13999999999999</c:v>
                </c:pt>
                <c:pt idx="765">
                  <c:v>126.43</c:v>
                </c:pt>
                <c:pt idx="766">
                  <c:v>124.53</c:v>
                </c:pt>
                <c:pt idx="767">
                  <c:v>126.62</c:v>
                </c:pt>
                <c:pt idx="768">
                  <c:v>128.29</c:v>
                </c:pt>
                <c:pt idx="769">
                  <c:v>126.83</c:v>
                </c:pt>
                <c:pt idx="770">
                  <c:v>126.82</c:v>
                </c:pt>
                <c:pt idx="771">
                  <c:v>127.53</c:v>
                </c:pt>
                <c:pt idx="772">
                  <c:v>127.53</c:v>
                </c:pt>
                <c:pt idx="773">
                  <c:v>126.37</c:v>
                </c:pt>
                <c:pt idx="774">
                  <c:v>127.33</c:v>
                </c:pt>
                <c:pt idx="775">
                  <c:v>129.5</c:v>
                </c:pt>
                <c:pt idx="776">
                  <c:v>129.06</c:v>
                </c:pt>
                <c:pt idx="777">
                  <c:v>127.61</c:v>
                </c:pt>
                <c:pt idx="778">
                  <c:v>125.73</c:v>
                </c:pt>
                <c:pt idx="779">
                  <c:v>125.33</c:v>
                </c:pt>
                <c:pt idx="780">
                  <c:v>122.91</c:v>
                </c:pt>
                <c:pt idx="781">
                  <c:v>122.18</c:v>
                </c:pt>
                <c:pt idx="782">
                  <c:v>122.23</c:v>
                </c:pt>
                <c:pt idx="783">
                  <c:v>125.15</c:v>
                </c:pt>
                <c:pt idx="784">
                  <c:v>126.2</c:v>
                </c:pt>
                <c:pt idx="785">
                  <c:v>127.48</c:v>
                </c:pt>
                <c:pt idx="786">
                  <c:v>124.38</c:v>
                </c:pt>
                <c:pt idx="787">
                  <c:v>124.84</c:v>
                </c:pt>
                <c:pt idx="788">
                  <c:v>121.1</c:v>
                </c:pt>
                <c:pt idx="789">
                  <c:v>119.9</c:v>
                </c:pt>
                <c:pt idx="790">
                  <c:v>119.96</c:v>
                </c:pt>
                <c:pt idx="791">
                  <c:v>118.04</c:v>
                </c:pt>
                <c:pt idx="792">
                  <c:v>118.53</c:v>
                </c:pt>
                <c:pt idx="793">
                  <c:v>118.79</c:v>
                </c:pt>
                <c:pt idx="794">
                  <c:v>118.58</c:v>
                </c:pt>
                <c:pt idx="795">
                  <c:v>119.58</c:v>
                </c:pt>
                <c:pt idx="796">
                  <c:v>120.94</c:v>
                </c:pt>
                <c:pt idx="797">
                  <c:v>120.17</c:v>
                </c:pt>
                <c:pt idx="798">
                  <c:v>119.59</c:v>
                </c:pt>
                <c:pt idx="799">
                  <c:v>119.86</c:v>
                </c:pt>
                <c:pt idx="800">
                  <c:v>117.87</c:v>
                </c:pt>
                <c:pt idx="801">
                  <c:v>117.49</c:v>
                </c:pt>
                <c:pt idx="802">
                  <c:v>116.86</c:v>
                </c:pt>
                <c:pt idx="803">
                  <c:v>119</c:v>
                </c:pt>
                <c:pt idx="804">
                  <c:v>118.17</c:v>
                </c:pt>
                <c:pt idx="805">
                  <c:v>120.65</c:v>
                </c:pt>
                <c:pt idx="806">
                  <c:v>120.39</c:v>
                </c:pt>
                <c:pt idx="807">
                  <c:v>121.2</c:v>
                </c:pt>
                <c:pt idx="808">
                  <c:v>125.61</c:v>
                </c:pt>
                <c:pt idx="809">
                  <c:v>119.5</c:v>
                </c:pt>
                <c:pt idx="810">
                  <c:v>120.97</c:v>
                </c:pt>
                <c:pt idx="811">
                  <c:v>120.71</c:v>
                </c:pt>
                <c:pt idx="812">
                  <c:v>117.81</c:v>
                </c:pt>
                <c:pt idx="813">
                  <c:v>117.87</c:v>
                </c:pt>
                <c:pt idx="814">
                  <c:v>120.49</c:v>
                </c:pt>
                <c:pt idx="815">
                  <c:v>120.1</c:v>
                </c:pt>
                <c:pt idx="816">
                  <c:v>122.64</c:v>
                </c:pt>
                <c:pt idx="817">
                  <c:v>121.67</c:v>
                </c:pt>
                <c:pt idx="818">
                  <c:v>123.69</c:v>
                </c:pt>
                <c:pt idx="819">
                  <c:v>120.9</c:v>
                </c:pt>
                <c:pt idx="820">
                  <c:v>120.22</c:v>
                </c:pt>
                <c:pt idx="821">
                  <c:v>121.91</c:v>
                </c:pt>
                <c:pt idx="822">
                  <c:v>123.3</c:v>
                </c:pt>
                <c:pt idx="823">
                  <c:v>123.66</c:v>
                </c:pt>
                <c:pt idx="824">
                  <c:v>126.43</c:v>
                </c:pt>
                <c:pt idx="825">
                  <c:v>125.95</c:v>
                </c:pt>
                <c:pt idx="826">
                  <c:v>126.19</c:v>
                </c:pt>
                <c:pt idx="827">
                  <c:v>126.21</c:v>
                </c:pt>
                <c:pt idx="828">
                  <c:v>125.67</c:v>
                </c:pt>
                <c:pt idx="829">
                  <c:v>124.45</c:v>
                </c:pt>
                <c:pt idx="830">
                  <c:v>125.53</c:v>
                </c:pt>
                <c:pt idx="831">
                  <c:v>127.09</c:v>
                </c:pt>
                <c:pt idx="832">
                  <c:v>124.66</c:v>
                </c:pt>
                <c:pt idx="833">
                  <c:v>123.84</c:v>
                </c:pt>
                <c:pt idx="834">
                  <c:v>125.7</c:v>
                </c:pt>
                <c:pt idx="835">
                  <c:v>126.72</c:v>
                </c:pt>
                <c:pt idx="836">
                  <c:v>127.92</c:v>
                </c:pt>
                <c:pt idx="837">
                  <c:v>127.26</c:v>
                </c:pt>
                <c:pt idx="838">
                  <c:v>126.74</c:v>
                </c:pt>
                <c:pt idx="839">
                  <c:v>123.67</c:v>
                </c:pt>
                <c:pt idx="840">
                  <c:v>126.59</c:v>
                </c:pt>
                <c:pt idx="841">
                  <c:v>126.88</c:v>
                </c:pt>
                <c:pt idx="842">
                  <c:v>125.1</c:v>
                </c:pt>
                <c:pt idx="843">
                  <c:v>123.51</c:v>
                </c:pt>
                <c:pt idx="844">
                  <c:v>122.22</c:v>
                </c:pt>
                <c:pt idx="845">
                  <c:v>120.21</c:v>
                </c:pt>
                <c:pt idx="846">
                  <c:v>119.83</c:v>
                </c:pt>
                <c:pt idx="847">
                  <c:v>116.48</c:v>
                </c:pt>
                <c:pt idx="848">
                  <c:v>116.98</c:v>
                </c:pt>
                <c:pt idx="849">
                  <c:v>118.87</c:v>
                </c:pt>
                <c:pt idx="850">
                  <c:v>114.76</c:v>
                </c:pt>
                <c:pt idx="851">
                  <c:v>110.18</c:v>
                </c:pt>
                <c:pt idx="852">
                  <c:v>108.78</c:v>
                </c:pt>
                <c:pt idx="853">
                  <c:v>108.29</c:v>
                </c:pt>
                <c:pt idx="854">
                  <c:v>107.48</c:v>
                </c:pt>
                <c:pt idx="855">
                  <c:v>107.51</c:v>
                </c:pt>
                <c:pt idx="856">
                  <c:v>106.52</c:v>
                </c:pt>
                <c:pt idx="857">
                  <c:v>105.26</c:v>
                </c:pt>
                <c:pt idx="858">
                  <c:v>103.63</c:v>
                </c:pt>
                <c:pt idx="859">
                  <c:v>107.78</c:v>
                </c:pt>
                <c:pt idx="860">
                  <c:v>105.2</c:v>
                </c:pt>
                <c:pt idx="861">
                  <c:v>106.19</c:v>
                </c:pt>
                <c:pt idx="862">
                  <c:v>107.09</c:v>
                </c:pt>
                <c:pt idx="863">
                  <c:v>106.2</c:v>
                </c:pt>
                <c:pt idx="864">
                  <c:v>105.86</c:v>
                </c:pt>
                <c:pt idx="865">
                  <c:v>106.83</c:v>
                </c:pt>
                <c:pt idx="866">
                  <c:v>106.78</c:v>
                </c:pt>
                <c:pt idx="867">
                  <c:v>112.86</c:v>
                </c:pt>
                <c:pt idx="868">
                  <c:v>112.41</c:v>
                </c:pt>
                <c:pt idx="869">
                  <c:v>113.59</c:v>
                </c:pt>
                <c:pt idx="870">
                  <c:v>109.54</c:v>
                </c:pt>
                <c:pt idx="871">
                  <c:v>109.98</c:v>
                </c:pt>
                <c:pt idx="872">
                  <c:v>110.46</c:v>
                </c:pt>
                <c:pt idx="873">
                  <c:v>109.52</c:v>
                </c:pt>
                <c:pt idx="874">
                  <c:v>111.74</c:v>
                </c:pt>
                <c:pt idx="875">
                  <c:v>113.61</c:v>
                </c:pt>
                <c:pt idx="876">
                  <c:v>113.03</c:v>
                </c:pt>
                <c:pt idx="877">
                  <c:v>113.37</c:v>
                </c:pt>
                <c:pt idx="878">
                  <c:v>110.37</c:v>
                </c:pt>
                <c:pt idx="879">
                  <c:v>109.11</c:v>
                </c:pt>
                <c:pt idx="880">
                  <c:v>107.1</c:v>
                </c:pt>
                <c:pt idx="881">
                  <c:v>105.1</c:v>
                </c:pt>
                <c:pt idx="882">
                  <c:v>104.46</c:v>
                </c:pt>
                <c:pt idx="883">
                  <c:v>105.78</c:v>
                </c:pt>
                <c:pt idx="884">
                  <c:v>107.39</c:v>
                </c:pt>
                <c:pt idx="885">
                  <c:v>107.76</c:v>
                </c:pt>
                <c:pt idx="886">
                  <c:v>107.84</c:v>
                </c:pt>
                <c:pt idx="887">
                  <c:v>107.95</c:v>
                </c:pt>
                <c:pt idx="888">
                  <c:v>108.71</c:v>
                </c:pt>
                <c:pt idx="889">
                  <c:v>109.72</c:v>
                </c:pt>
                <c:pt idx="890">
                  <c:v>109.88</c:v>
                </c:pt>
                <c:pt idx="891">
                  <c:v>107.53</c:v>
                </c:pt>
                <c:pt idx="892">
                  <c:v>109.06</c:v>
                </c:pt>
                <c:pt idx="893">
                  <c:v>108.77</c:v>
                </c:pt>
                <c:pt idx="894">
                  <c:v>108.3</c:v>
                </c:pt>
                <c:pt idx="895">
                  <c:v>109.3</c:v>
                </c:pt>
                <c:pt idx="896">
                  <c:v>107.67</c:v>
                </c:pt>
                <c:pt idx="897">
                  <c:v>108.62</c:v>
                </c:pt>
                <c:pt idx="898">
                  <c:v>110.39</c:v>
                </c:pt>
                <c:pt idx="899">
                  <c:v>109.4</c:v>
                </c:pt>
                <c:pt idx="900">
                  <c:v>107.51</c:v>
                </c:pt>
                <c:pt idx="901">
                  <c:v>108.64</c:v>
                </c:pt>
                <c:pt idx="902">
                  <c:v>108.81</c:v>
                </c:pt>
                <c:pt idx="903">
                  <c:v>110.48</c:v>
                </c:pt>
                <c:pt idx="904">
                  <c:v>109.69</c:v>
                </c:pt>
                <c:pt idx="905">
                  <c:v>109.69</c:v>
                </c:pt>
                <c:pt idx="906">
                  <c:v>109.03</c:v>
                </c:pt>
                <c:pt idx="907">
                  <c:v>108.09</c:v>
                </c:pt>
                <c:pt idx="908">
                  <c:v>107.64</c:v>
                </c:pt>
                <c:pt idx="909">
                  <c:v>106.55</c:v>
                </c:pt>
                <c:pt idx="910">
                  <c:v>106.53</c:v>
                </c:pt>
                <c:pt idx="911">
                  <c:v>105.05</c:v>
                </c:pt>
                <c:pt idx="912">
                  <c:v>104.81</c:v>
                </c:pt>
                <c:pt idx="913">
                  <c:v>102.86</c:v>
                </c:pt>
                <c:pt idx="914">
                  <c:v>101.46</c:v>
                </c:pt>
                <c:pt idx="915">
                  <c:v>98.75</c:v>
                </c:pt>
                <c:pt idx="916">
                  <c:v>97.63</c:v>
                </c:pt>
                <c:pt idx="917">
                  <c:v>98.84</c:v>
                </c:pt>
                <c:pt idx="918">
                  <c:v>99.63</c:v>
                </c:pt>
                <c:pt idx="919">
                  <c:v>101.77</c:v>
                </c:pt>
                <c:pt idx="920">
                  <c:v>102.1</c:v>
                </c:pt>
                <c:pt idx="921">
                  <c:v>101.71</c:v>
                </c:pt>
                <c:pt idx="922">
                  <c:v>102.36</c:v>
                </c:pt>
                <c:pt idx="923">
                  <c:v>100.32</c:v>
                </c:pt>
                <c:pt idx="924">
                  <c:v>100.18</c:v>
                </c:pt>
                <c:pt idx="925">
                  <c:v>97.93</c:v>
                </c:pt>
                <c:pt idx="926">
                  <c:v>97.67</c:v>
                </c:pt>
                <c:pt idx="927">
                  <c:v>96.79</c:v>
                </c:pt>
                <c:pt idx="928">
                  <c:v>96.3</c:v>
                </c:pt>
                <c:pt idx="929">
                  <c:v>96.13</c:v>
                </c:pt>
                <c:pt idx="930">
                  <c:v>97.19</c:v>
                </c:pt>
                <c:pt idx="931">
                  <c:v>96.26</c:v>
                </c:pt>
                <c:pt idx="932">
                  <c:v>95.51</c:v>
                </c:pt>
                <c:pt idx="933">
                  <c:v>94.62</c:v>
                </c:pt>
                <c:pt idx="934">
                  <c:v>94.04</c:v>
                </c:pt>
                <c:pt idx="935">
                  <c:v>91.59</c:v>
                </c:pt>
                <c:pt idx="936">
                  <c:v>90.85</c:v>
                </c:pt>
                <c:pt idx="937">
                  <c:v>90.6</c:v>
                </c:pt>
                <c:pt idx="938">
                  <c:v>90.17</c:v>
                </c:pt>
                <c:pt idx="939">
                  <c:v>89.42</c:v>
                </c:pt>
                <c:pt idx="940">
                  <c:v>89.63</c:v>
                </c:pt>
                <c:pt idx="941">
                  <c:v>95.62</c:v>
                </c:pt>
                <c:pt idx="942">
                  <c:v>94.56</c:v>
                </c:pt>
                <c:pt idx="943">
                  <c:v>95.09</c:v>
                </c:pt>
                <c:pt idx="944">
                  <c:v>95.89</c:v>
                </c:pt>
                <c:pt idx="945">
                  <c:v>95.79</c:v>
                </c:pt>
                <c:pt idx="946">
                  <c:v>97.11</c:v>
                </c:pt>
                <c:pt idx="947">
                  <c:v>96.88</c:v>
                </c:pt>
                <c:pt idx="948">
                  <c:v>97.62</c:v>
                </c:pt>
                <c:pt idx="949">
                  <c:v>98.65</c:v>
                </c:pt>
                <c:pt idx="950">
                  <c:v>99.25</c:v>
                </c:pt>
                <c:pt idx="951">
                  <c:v>99.91</c:v>
                </c:pt>
                <c:pt idx="952">
                  <c:v>102.04</c:v>
                </c:pt>
                <c:pt idx="953">
                  <c:v>103.01</c:v>
                </c:pt>
                <c:pt idx="954">
                  <c:v>103.77</c:v>
                </c:pt>
                <c:pt idx="955">
                  <c:v>103.05</c:v>
                </c:pt>
                <c:pt idx="956">
                  <c:v>102.67</c:v>
                </c:pt>
                <c:pt idx="957">
                  <c:v>102.81</c:v>
                </c:pt>
                <c:pt idx="958">
                  <c:v>105.18</c:v>
                </c:pt>
                <c:pt idx="959">
                  <c:v>103.54</c:v>
                </c:pt>
                <c:pt idx="960">
                  <c:v>100.02</c:v>
                </c:pt>
                <c:pt idx="961">
                  <c:v>97.98</c:v>
                </c:pt>
                <c:pt idx="962">
                  <c:v>101.8</c:v>
                </c:pt>
                <c:pt idx="963">
                  <c:v>102.77</c:v>
                </c:pt>
                <c:pt idx="964">
                  <c:v>100.88</c:v>
                </c:pt>
                <c:pt idx="965">
                  <c:v>105.08</c:v>
                </c:pt>
                <c:pt idx="966">
                  <c:v>107.06</c:v>
                </c:pt>
                <c:pt idx="967">
                  <c:v>107.25</c:v>
                </c:pt>
                <c:pt idx="968">
                  <c:v>109.36</c:v>
                </c:pt>
                <c:pt idx="969">
                  <c:v>109.39</c:v>
                </c:pt>
                <c:pt idx="970">
                  <c:v>107</c:v>
                </c:pt>
                <c:pt idx="971">
                  <c:v>106.11</c:v>
                </c:pt>
                <c:pt idx="972">
                  <c:v>104.2</c:v>
                </c:pt>
                <c:pt idx="973">
                  <c:v>105.75</c:v>
                </c:pt>
                <c:pt idx="974">
                  <c:v>107.82</c:v>
                </c:pt>
                <c:pt idx="975">
                  <c:v>107.61</c:v>
                </c:pt>
                <c:pt idx="976">
                  <c:v>105.96</c:v>
                </c:pt>
                <c:pt idx="977">
                  <c:v>106.32</c:v>
                </c:pt>
                <c:pt idx="978">
                  <c:v>106.55</c:v>
                </c:pt>
                <c:pt idx="979">
                  <c:v>107.92</c:v>
                </c:pt>
                <c:pt idx="980">
                  <c:v>107.64</c:v>
                </c:pt>
                <c:pt idx="981">
                  <c:v>107.96</c:v>
                </c:pt>
                <c:pt idx="982">
                  <c:v>108.75</c:v>
                </c:pt>
                <c:pt idx="983">
                  <c:v>110.37</c:v>
                </c:pt>
                <c:pt idx="984">
                  <c:v>110.27</c:v>
                </c:pt>
                <c:pt idx="985">
                  <c:v>113.48</c:v>
                </c:pt>
                <c:pt idx="986">
                  <c:v>115.15</c:v>
                </c:pt>
                <c:pt idx="987">
                  <c:v>115.41</c:v>
                </c:pt>
                <c:pt idx="988">
                  <c:v>116.11</c:v>
                </c:pt>
                <c:pt idx="989">
                  <c:v>114.81</c:v>
                </c:pt>
                <c:pt idx="990">
                  <c:v>115.91</c:v>
                </c:pt>
                <c:pt idx="991">
                  <c:v>118.61</c:v>
                </c:pt>
                <c:pt idx="992">
                  <c:v>119.64</c:v>
                </c:pt>
                <c:pt idx="993">
                  <c:v>121.17</c:v>
                </c:pt>
                <c:pt idx="994">
                  <c:v>121.02</c:v>
                </c:pt>
                <c:pt idx="995">
                  <c:v>121.55</c:v>
                </c:pt>
                <c:pt idx="996">
                  <c:v>121.14</c:v>
                </c:pt>
                <c:pt idx="997">
                  <c:v>122.64</c:v>
                </c:pt>
                <c:pt idx="998">
                  <c:v>121.43</c:v>
                </c:pt>
                <c:pt idx="999">
                  <c:v>122.53</c:v>
                </c:pt>
                <c:pt idx="1000">
                  <c:v>108.04</c:v>
                </c:pt>
                <c:pt idx="1001">
                  <c:v>108.02</c:v>
                </c:pt>
                <c:pt idx="1002">
                  <c:v>107.13</c:v>
                </c:pt>
                <c:pt idx="1003">
                  <c:v>108.82</c:v>
                </c:pt>
                <c:pt idx="1004">
                  <c:v>108.57</c:v>
                </c:pt>
                <c:pt idx="1005">
                  <c:v>106.55</c:v>
                </c:pt>
                <c:pt idx="1006">
                  <c:v>104.04</c:v>
                </c:pt>
                <c:pt idx="1007">
                  <c:v>102.3</c:v>
                </c:pt>
                <c:pt idx="1008">
                  <c:v>102.08</c:v>
                </c:pt>
                <c:pt idx="1009">
                  <c:v>103.62</c:v>
                </c:pt>
                <c:pt idx="1010">
                  <c:v>102.74</c:v>
                </c:pt>
                <c:pt idx="1011">
                  <c:v>103.77</c:v>
                </c:pt>
                <c:pt idx="1012">
                  <c:v>105.9</c:v>
                </c:pt>
                <c:pt idx="1013">
                  <c:v>105.06</c:v>
                </c:pt>
                <c:pt idx="1014">
                  <c:v>101.72</c:v>
                </c:pt>
                <c:pt idx="1015">
                  <c:v>100.82</c:v>
                </c:pt>
                <c:pt idx="1016">
                  <c:v>100.94</c:v>
                </c:pt>
                <c:pt idx="1017">
                  <c:v>101.78</c:v>
                </c:pt>
                <c:pt idx="1018">
                  <c:v>100.56</c:v>
                </c:pt>
                <c:pt idx="1019">
                  <c:v>101.9</c:v>
                </c:pt>
                <c:pt idx="1020">
                  <c:v>100.76</c:v>
                </c:pt>
                <c:pt idx="1021">
                  <c:v>100.77</c:v>
                </c:pt>
                <c:pt idx="1022">
                  <c:v>102.75</c:v>
                </c:pt>
                <c:pt idx="1023">
                  <c:v>103.88</c:v>
                </c:pt>
                <c:pt idx="1024">
                  <c:v>104.18</c:v>
                </c:pt>
                <c:pt idx="1025">
                  <c:v>101.53</c:v>
                </c:pt>
                <c:pt idx="1026">
                  <c:v>101.76</c:v>
                </c:pt>
                <c:pt idx="1027">
                  <c:v>100.71</c:v>
                </c:pt>
                <c:pt idx="1028">
                  <c:v>99.68</c:v>
                </c:pt>
                <c:pt idx="1029">
                  <c:v>102.61</c:v>
                </c:pt>
                <c:pt idx="1030">
                  <c:v>103.79</c:v>
                </c:pt>
                <c:pt idx="1031">
                  <c:v>103.77</c:v>
                </c:pt>
                <c:pt idx="1032">
                  <c:v>104.5</c:v>
                </c:pt>
                <c:pt idx="1033">
                  <c:v>107.18</c:v>
                </c:pt>
                <c:pt idx="1034">
                  <c:v>105</c:v>
                </c:pt>
                <c:pt idx="1035">
                  <c:v>106.33</c:v>
                </c:pt>
                <c:pt idx="1036">
                  <c:v>106.05</c:v>
                </c:pt>
                <c:pt idx="1037">
                  <c:v>103.51</c:v>
                </c:pt>
                <c:pt idx="1038">
                  <c:v>103.3</c:v>
                </c:pt>
                <c:pt idx="1039">
                  <c:v>105.27</c:v>
                </c:pt>
                <c:pt idx="1040">
                  <c:v>105.08</c:v>
                </c:pt>
                <c:pt idx="1041">
                  <c:v>105.63</c:v>
                </c:pt>
                <c:pt idx="1042">
                  <c:v>104.54</c:v>
                </c:pt>
                <c:pt idx="1043">
                  <c:v>105.15</c:v>
                </c:pt>
                <c:pt idx="1044">
                  <c:v>104.35</c:v>
                </c:pt>
                <c:pt idx="1045">
                  <c:v>103.93</c:v>
                </c:pt>
                <c:pt idx="1046">
                  <c:v>101.88</c:v>
                </c:pt>
                <c:pt idx="1047">
                  <c:v>99.54</c:v>
                </c:pt>
                <c:pt idx="1048">
                  <c:v>98.31</c:v>
                </c:pt>
                <c:pt idx="1049">
                  <c:v>97.63</c:v>
                </c:pt>
                <c:pt idx="1050">
                  <c:v>98.19</c:v>
                </c:pt>
                <c:pt idx="1051">
                  <c:v>99.16</c:v>
                </c:pt>
                <c:pt idx="1052">
                  <c:v>101.08</c:v>
                </c:pt>
                <c:pt idx="1053">
                  <c:v>100.18</c:v>
                </c:pt>
                <c:pt idx="1054">
                  <c:v>101.36</c:v>
                </c:pt>
                <c:pt idx="1055">
                  <c:v>100.26</c:v>
                </c:pt>
                <c:pt idx="1056">
                  <c:v>99.64</c:v>
                </c:pt>
                <c:pt idx="1057">
                  <c:v>98.74</c:v>
                </c:pt>
                <c:pt idx="1058">
                  <c:v>99.96</c:v>
                </c:pt>
                <c:pt idx="1059">
                  <c:v>100.27</c:v>
                </c:pt>
                <c:pt idx="1060">
                  <c:v>100.82</c:v>
                </c:pt>
                <c:pt idx="1061">
                  <c:v>93.86</c:v>
                </c:pt>
                <c:pt idx="1062">
                  <c:v>93.75</c:v>
                </c:pt>
                <c:pt idx="1063">
                  <c:v>92.58</c:v>
                </c:pt>
                <c:pt idx="1064">
                  <c:v>94.13</c:v>
                </c:pt>
                <c:pt idx="1065">
                  <c:v>93.98</c:v>
                </c:pt>
                <c:pt idx="1066">
                  <c:v>92.56</c:v>
                </c:pt>
                <c:pt idx="1067">
                  <c:v>90.95</c:v>
                </c:pt>
                <c:pt idx="1068">
                  <c:v>90.33</c:v>
                </c:pt>
                <c:pt idx="1069">
                  <c:v>89.07</c:v>
                </c:pt>
                <c:pt idx="1070">
                  <c:v>88.84</c:v>
                </c:pt>
                <c:pt idx="1071">
                  <c:v>90</c:v>
                </c:pt>
                <c:pt idx="1072">
                  <c:v>91</c:v>
                </c:pt>
                <c:pt idx="1073">
                  <c:v>89</c:v>
                </c:pt>
                <c:pt idx="1074">
                  <c:v>92</c:v>
                </c:pt>
                <c:pt idx="1075">
                  <c:v>92</c:v>
                </c:pt>
                <c:pt idx="1076">
                  <c:v>93.1</c:v>
                </c:pt>
                <c:pt idx="1077">
                  <c:v>93.39</c:v>
                </c:pt>
                <c:pt idx="1078">
                  <c:v>94.84</c:v>
                </c:pt>
                <c:pt idx="1079">
                  <c:v>95.74</c:v>
                </c:pt>
                <c:pt idx="1080">
                  <c:v>94.53</c:v>
                </c:pt>
                <c:pt idx="1081">
                  <c:v>94.19</c:v>
                </c:pt>
                <c:pt idx="1082">
                  <c:v>94.02</c:v>
                </c:pt>
                <c:pt idx="1083">
                  <c:v>94.64</c:v>
                </c:pt>
                <c:pt idx="1084">
                  <c:v>93.94</c:v>
                </c:pt>
                <c:pt idx="1085">
                  <c:v>94.12</c:v>
                </c:pt>
                <c:pt idx="1086">
                  <c:v>94.06</c:v>
                </c:pt>
                <c:pt idx="1087">
                  <c:v>92.26</c:v>
                </c:pt>
                <c:pt idx="1088">
                  <c:v>90.34</c:v>
                </c:pt>
                <c:pt idx="1089">
                  <c:v>92.41</c:v>
                </c:pt>
                <c:pt idx="1090">
                  <c:v>92.15</c:v>
                </c:pt>
                <c:pt idx="1091">
                  <c:v>93.36</c:v>
                </c:pt>
                <c:pt idx="1092">
                  <c:v>93.78</c:v>
                </c:pt>
                <c:pt idx="1093">
                  <c:v>93.59</c:v>
                </c:pt>
                <c:pt idx="1094">
                  <c:v>93.39</c:v>
                </c:pt>
                <c:pt idx="1095">
                  <c:v>90.94</c:v>
                </c:pt>
                <c:pt idx="1096">
                  <c:v>92.72</c:v>
                </c:pt>
                <c:pt idx="1097">
                  <c:v>92.79</c:v>
                </c:pt>
                <c:pt idx="1098">
                  <c:v>91.67</c:v>
                </c:pt>
                <c:pt idx="1099">
                  <c:v>91.77</c:v>
                </c:pt>
                <c:pt idx="1100">
                  <c:v>92.18</c:v>
                </c:pt>
                <c:pt idx="1101">
                  <c:v>91.77</c:v>
                </c:pt>
                <c:pt idx="1102">
                  <c:v>92.82</c:v>
                </c:pt>
                <c:pt idx="1103">
                  <c:v>92.5</c:v>
                </c:pt>
                <c:pt idx="1104">
                  <c:v>91.4</c:v>
                </c:pt>
                <c:pt idx="1105">
                  <c:v>91.75</c:v>
                </c:pt>
                <c:pt idx="1106">
                  <c:v>92</c:v>
                </c:pt>
                <c:pt idx="1107">
                  <c:v>91.67</c:v>
                </c:pt>
                <c:pt idx="1108">
                  <c:v>93.45</c:v>
                </c:pt>
                <c:pt idx="1109">
                  <c:v>95.05</c:v>
                </c:pt>
                <c:pt idx="1110">
                  <c:v>94.4</c:v>
                </c:pt>
                <c:pt idx="1111">
                  <c:v>94.74</c:v>
                </c:pt>
                <c:pt idx="1112">
                  <c:v>94.32</c:v>
                </c:pt>
                <c:pt idx="1113">
                  <c:v>95.72</c:v>
                </c:pt>
                <c:pt idx="1114">
                  <c:v>96.55</c:v>
                </c:pt>
                <c:pt idx="1115">
                  <c:v>96</c:v>
                </c:pt>
                <c:pt idx="1116">
                  <c:v>95.87</c:v>
                </c:pt>
                <c:pt idx="1117">
                  <c:v>93.68</c:v>
                </c:pt>
                <c:pt idx="1118">
                  <c:v>94.18</c:v>
                </c:pt>
                <c:pt idx="1119">
                  <c:v>93.39</c:v>
                </c:pt>
                <c:pt idx="1120">
                  <c:v>95</c:v>
                </c:pt>
                <c:pt idx="1121">
                  <c:v>94.78</c:v>
                </c:pt>
                <c:pt idx="1122">
                  <c:v>95.57</c:v>
                </c:pt>
                <c:pt idx="1123">
                  <c:v>97.18</c:v>
                </c:pt>
                <c:pt idx="1124">
                  <c:v>97.17</c:v>
                </c:pt>
                <c:pt idx="1125">
                  <c:v>94.75</c:v>
                </c:pt>
                <c:pt idx="1126">
                  <c:v>94.06</c:v>
                </c:pt>
                <c:pt idx="1127">
                  <c:v>94.19</c:v>
                </c:pt>
                <c:pt idx="1128">
                  <c:v>75.37</c:v>
                </c:pt>
                <c:pt idx="1129">
                  <c:v>76.83</c:v>
                </c:pt>
                <c:pt idx="1130">
                  <c:v>76.040000000000006</c:v>
                </c:pt>
                <c:pt idx="1131">
                  <c:v>75.239999999999995</c:v>
                </c:pt>
                <c:pt idx="1132">
                  <c:v>75.430000000000007</c:v>
                </c:pt>
                <c:pt idx="1133">
                  <c:v>73.05</c:v>
                </c:pt>
                <c:pt idx="1134">
                  <c:v>72.459999999999994</c:v>
                </c:pt>
                <c:pt idx="1135">
                  <c:v>72.540000000000006</c:v>
                </c:pt>
                <c:pt idx="1136">
                  <c:v>73.39</c:v>
                </c:pt>
                <c:pt idx="1137">
                  <c:v>73.42</c:v>
                </c:pt>
                <c:pt idx="1138">
                  <c:v>71.31</c:v>
                </c:pt>
                <c:pt idx="1139">
                  <c:v>72.81</c:v>
                </c:pt>
                <c:pt idx="1140">
                  <c:v>73.069999999999993</c:v>
                </c:pt>
                <c:pt idx="1141">
                  <c:v>72.38</c:v>
                </c:pt>
                <c:pt idx="1142">
                  <c:v>72.7</c:v>
                </c:pt>
                <c:pt idx="1143">
                  <c:v>74.86</c:v>
                </c:pt>
                <c:pt idx="1144">
                  <c:v>73.400000000000006</c:v>
                </c:pt>
                <c:pt idx="1145">
                  <c:v>71.09</c:v>
                </c:pt>
                <c:pt idx="1146">
                  <c:v>71.41</c:v>
                </c:pt>
                <c:pt idx="1147">
                  <c:v>72.56</c:v>
                </c:pt>
                <c:pt idx="1148">
                  <c:v>73.55</c:v>
                </c:pt>
                <c:pt idx="1149">
                  <c:v>74.319999999999993</c:v>
                </c:pt>
                <c:pt idx="1150">
                  <c:v>74.86</c:v>
                </c:pt>
                <c:pt idx="1151">
                  <c:v>73.849999999999994</c:v>
                </c:pt>
                <c:pt idx="1152">
                  <c:v>74.010000000000005</c:v>
                </c:pt>
                <c:pt idx="1153">
                  <c:v>71.42</c:v>
                </c:pt>
                <c:pt idx="1154">
                  <c:v>72.5</c:v>
                </c:pt>
                <c:pt idx="1155">
                  <c:v>72.62</c:v>
                </c:pt>
                <c:pt idx="1156">
                  <c:v>74.19</c:v>
                </c:pt>
                <c:pt idx="1157">
                  <c:v>74.34</c:v>
                </c:pt>
                <c:pt idx="1158">
                  <c:v>74.64</c:v>
                </c:pt>
                <c:pt idx="1159">
                  <c:v>78.5</c:v>
                </c:pt>
                <c:pt idx="1160">
                  <c:v>78.52</c:v>
                </c:pt>
                <c:pt idx="1161">
                  <c:v>82.5</c:v>
                </c:pt>
                <c:pt idx="1162">
                  <c:v>83.23</c:v>
                </c:pt>
                <c:pt idx="1163">
                  <c:v>83.28</c:v>
                </c:pt>
                <c:pt idx="1164">
                  <c:v>83.56</c:v>
                </c:pt>
                <c:pt idx="1165">
                  <c:v>84</c:v>
                </c:pt>
                <c:pt idx="1166">
                  <c:v>83.41</c:v>
                </c:pt>
                <c:pt idx="1167">
                  <c:v>84.05</c:v>
                </c:pt>
                <c:pt idx="1168">
                  <c:v>84.28</c:v>
                </c:pt>
                <c:pt idx="1169">
                  <c:v>85.29</c:v>
                </c:pt>
                <c:pt idx="1170">
                  <c:v>82.79</c:v>
                </c:pt>
                <c:pt idx="1171">
                  <c:v>83.26</c:v>
                </c:pt>
                <c:pt idx="1172">
                  <c:v>83.32</c:v>
                </c:pt>
                <c:pt idx="1173">
                  <c:v>81.319999999999993</c:v>
                </c:pt>
                <c:pt idx="1174">
                  <c:v>81.02</c:v>
                </c:pt>
                <c:pt idx="1175">
                  <c:v>80.83</c:v>
                </c:pt>
                <c:pt idx="1176">
                  <c:v>80.63</c:v>
                </c:pt>
                <c:pt idx="1177">
                  <c:v>79.489999999999995</c:v>
                </c:pt>
                <c:pt idx="1178">
                  <c:v>78.09</c:v>
                </c:pt>
                <c:pt idx="1179">
                  <c:v>78.400000000000006</c:v>
                </c:pt>
                <c:pt idx="1180">
                  <c:v>78.400000000000006</c:v>
                </c:pt>
                <c:pt idx="1181">
                  <c:v>79.010000000000005</c:v>
                </c:pt>
                <c:pt idx="1182">
                  <c:v>79.8</c:v>
                </c:pt>
                <c:pt idx="1183">
                  <c:v>80.64</c:v>
                </c:pt>
                <c:pt idx="1184">
                  <c:v>80.900000000000006</c:v>
                </c:pt>
                <c:pt idx="1185">
                  <c:v>80.98</c:v>
                </c:pt>
                <c:pt idx="1186">
                  <c:v>86.52</c:v>
                </c:pt>
                <c:pt idx="1187">
                  <c:v>86.2</c:v>
                </c:pt>
                <c:pt idx="1188">
                  <c:v>87.46</c:v>
                </c:pt>
                <c:pt idx="1189">
                  <c:v>88</c:v>
                </c:pt>
                <c:pt idx="1190">
                  <c:v>89.39</c:v>
                </c:pt>
                <c:pt idx="1191">
                  <c:v>89.44</c:v>
                </c:pt>
                <c:pt idx="1192">
                  <c:v>88.4</c:v>
                </c:pt>
                <c:pt idx="1193">
                  <c:v>89.13</c:v>
                </c:pt>
                <c:pt idx="1194">
                  <c:v>83.1</c:v>
                </c:pt>
                <c:pt idx="1195">
                  <c:v>82.1</c:v>
                </c:pt>
                <c:pt idx="1196">
                  <c:v>82.25</c:v>
                </c:pt>
                <c:pt idx="1197">
                  <c:v>80.83</c:v>
                </c:pt>
                <c:pt idx="1198">
                  <c:v>80.77</c:v>
                </c:pt>
                <c:pt idx="1199">
                  <c:v>82.45</c:v>
                </c:pt>
                <c:pt idx="1200">
                  <c:v>82.1</c:v>
                </c:pt>
                <c:pt idx="1201">
                  <c:v>82.15</c:v>
                </c:pt>
                <c:pt idx="1202">
                  <c:v>81.599999999999994</c:v>
                </c:pt>
                <c:pt idx="1203">
                  <c:v>82.12</c:v>
                </c:pt>
                <c:pt idx="1204">
                  <c:v>83.94</c:v>
                </c:pt>
                <c:pt idx="1205">
                  <c:v>83.4</c:v>
                </c:pt>
                <c:pt idx="1206">
                  <c:v>82.92</c:v>
                </c:pt>
                <c:pt idx="1207">
                  <c:v>81.48</c:v>
                </c:pt>
                <c:pt idx="1208">
                  <c:v>81.42</c:v>
                </c:pt>
                <c:pt idx="1209">
                  <c:v>80.05</c:v>
                </c:pt>
                <c:pt idx="1210">
                  <c:v>79.040000000000006</c:v>
                </c:pt>
                <c:pt idx="1211">
                  <c:v>78.849999999999994</c:v>
                </c:pt>
                <c:pt idx="1212">
                  <c:v>78.91</c:v>
                </c:pt>
                <c:pt idx="1213">
                  <c:v>78.400000000000006</c:v>
                </c:pt>
                <c:pt idx="1214">
                  <c:v>76.45</c:v>
                </c:pt>
                <c:pt idx="1215">
                  <c:v>77.13</c:v>
                </c:pt>
                <c:pt idx="1216">
                  <c:v>78.06</c:v>
                </c:pt>
                <c:pt idx="1217">
                  <c:v>77.19</c:v>
                </c:pt>
                <c:pt idx="1218">
                  <c:v>77.98</c:v>
                </c:pt>
                <c:pt idx="1219">
                  <c:v>75.319999999999993</c:v>
                </c:pt>
                <c:pt idx="1220">
                  <c:v>75.92</c:v>
                </c:pt>
                <c:pt idx="1221">
                  <c:v>75.88</c:v>
                </c:pt>
                <c:pt idx="1222">
                  <c:v>76.599999999999994</c:v>
                </c:pt>
                <c:pt idx="1223">
                  <c:v>76.66</c:v>
                </c:pt>
                <c:pt idx="1224">
                  <c:v>76.52</c:v>
                </c:pt>
                <c:pt idx="1225">
                  <c:v>75.680000000000007</c:v>
                </c:pt>
                <c:pt idx="1226">
                  <c:v>76.66</c:v>
                </c:pt>
                <c:pt idx="1227">
                  <c:v>74.89</c:v>
                </c:pt>
                <c:pt idx="1228">
                  <c:v>73.91</c:v>
                </c:pt>
                <c:pt idx="1229">
                  <c:v>73.36</c:v>
                </c:pt>
                <c:pt idx="1230">
                  <c:v>75.099999999999994</c:v>
                </c:pt>
                <c:pt idx="1231">
                  <c:v>77.400000000000006</c:v>
                </c:pt>
                <c:pt idx="1232">
                  <c:v>79.260000000000005</c:v>
                </c:pt>
                <c:pt idx="1233">
                  <c:v>77.61</c:v>
                </c:pt>
                <c:pt idx="1234">
                  <c:v>78.34</c:v>
                </c:pt>
                <c:pt idx="1235">
                  <c:v>78.77</c:v>
                </c:pt>
                <c:pt idx="1236">
                  <c:v>79.09</c:v>
                </c:pt>
                <c:pt idx="1237">
                  <c:v>78.86</c:v>
                </c:pt>
                <c:pt idx="1238">
                  <c:v>78.37</c:v>
                </c:pt>
                <c:pt idx="1239">
                  <c:v>78.58</c:v>
                </c:pt>
                <c:pt idx="1240">
                  <c:v>78.89</c:v>
                </c:pt>
                <c:pt idx="1241">
                  <c:v>77.64</c:v>
                </c:pt>
                <c:pt idx="1242">
                  <c:v>76.739999999999995</c:v>
                </c:pt>
                <c:pt idx="1243">
                  <c:v>78.849999999999994</c:v>
                </c:pt>
                <c:pt idx="1244">
                  <c:v>77.959999999999994</c:v>
                </c:pt>
                <c:pt idx="1245">
                  <c:v>77.25</c:v>
                </c:pt>
                <c:pt idx="1246">
                  <c:v>77.2</c:v>
                </c:pt>
                <c:pt idx="1247">
                  <c:v>78</c:v>
                </c:pt>
                <c:pt idx="1248">
                  <c:v>76.900000000000006</c:v>
                </c:pt>
                <c:pt idx="1249">
                  <c:v>77.099999999999994</c:v>
                </c:pt>
                <c:pt idx="1250">
                  <c:v>76.94</c:v>
                </c:pt>
                <c:pt idx="1251">
                  <c:v>76.760000000000005</c:v>
                </c:pt>
                <c:pt idx="1252">
                  <c:v>76.790000000000006</c:v>
                </c:pt>
                <c:pt idx="1253">
                  <c:v>76.94</c:v>
                </c:pt>
                <c:pt idx="1254">
                  <c:v>76.42</c:v>
                </c:pt>
                <c:pt idx="1255">
                  <c:v>74.650000000000006</c:v>
                </c:pt>
                <c:pt idx="1256">
                  <c:v>75.67</c:v>
                </c:pt>
                <c:pt idx="1257">
                  <c:v>73.67</c:v>
                </c:pt>
                <c:pt idx="1258">
                  <c:v>73.31</c:v>
                </c:pt>
                <c:pt idx="1259">
                  <c:v>72</c:v>
                </c:pt>
                <c:pt idx="1260">
                  <c:v>72.09</c:v>
                </c:pt>
                <c:pt idx="1261">
                  <c:v>71.290000000000006</c:v>
                </c:pt>
                <c:pt idx="1262">
                  <c:v>71.2</c:v>
                </c:pt>
                <c:pt idx="1263">
                  <c:v>72.08</c:v>
                </c:pt>
                <c:pt idx="1264">
                  <c:v>71.17</c:v>
                </c:pt>
                <c:pt idx="1265">
                  <c:v>71.069999999999993</c:v>
                </c:pt>
                <c:pt idx="1266">
                  <c:v>71.11</c:v>
                </c:pt>
                <c:pt idx="1267">
                  <c:v>70.84</c:v>
                </c:pt>
                <c:pt idx="1268">
                  <c:v>73.17</c:v>
                </c:pt>
                <c:pt idx="1269">
                  <c:v>74.040000000000006</c:v>
                </c:pt>
                <c:pt idx="1270">
                  <c:v>74.290000000000006</c:v>
                </c:pt>
                <c:pt idx="1271">
                  <c:v>73.569999999999993</c:v>
                </c:pt>
                <c:pt idx="1272">
                  <c:v>75.58</c:v>
                </c:pt>
                <c:pt idx="1273">
                  <c:v>74.39</c:v>
                </c:pt>
                <c:pt idx="1274">
                  <c:v>76.58</c:v>
                </c:pt>
                <c:pt idx="1275">
                  <c:v>78.33</c:v>
                </c:pt>
                <c:pt idx="1276">
                  <c:v>76.900000000000006</c:v>
                </c:pt>
                <c:pt idx="1277">
                  <c:v>76.59</c:v>
                </c:pt>
                <c:pt idx="1278">
                  <c:v>76.72</c:v>
                </c:pt>
                <c:pt idx="1279">
                  <c:v>74.569999999999993</c:v>
                </c:pt>
                <c:pt idx="1280">
                  <c:v>71.739999999999995</c:v>
                </c:pt>
                <c:pt idx="1281">
                  <c:v>68.680000000000007</c:v>
                </c:pt>
                <c:pt idx="1282">
                  <c:v>70.94</c:v>
                </c:pt>
                <c:pt idx="1283">
                  <c:v>71.34</c:v>
                </c:pt>
                <c:pt idx="1284">
                  <c:v>72.260000000000005</c:v>
                </c:pt>
                <c:pt idx="1285">
                  <c:v>73.209999999999994</c:v>
                </c:pt>
                <c:pt idx="1286">
                  <c:v>73.040000000000006</c:v>
                </c:pt>
                <c:pt idx="1287">
                  <c:v>77.59</c:v>
                </c:pt>
                <c:pt idx="1288">
                  <c:v>76.78</c:v>
                </c:pt>
                <c:pt idx="1289">
                  <c:v>77.23</c:v>
                </c:pt>
                <c:pt idx="1290">
                  <c:v>76.5</c:v>
                </c:pt>
                <c:pt idx="1291">
                  <c:v>80.28</c:v>
                </c:pt>
                <c:pt idx="1292">
                  <c:v>81.72</c:v>
                </c:pt>
                <c:pt idx="1293">
                  <c:v>81.17</c:v>
                </c:pt>
                <c:pt idx="1294">
                  <c:v>80.02</c:v>
                </c:pt>
                <c:pt idx="1295">
                  <c:v>79.430000000000007</c:v>
                </c:pt>
                <c:pt idx="1296">
                  <c:v>78.41</c:v>
                </c:pt>
                <c:pt idx="1297">
                  <c:v>77.319999999999993</c:v>
                </c:pt>
                <c:pt idx="1298">
                  <c:v>77.81</c:v>
                </c:pt>
                <c:pt idx="1299">
                  <c:v>77.709999999999994</c:v>
                </c:pt>
                <c:pt idx="1300">
                  <c:v>78.59</c:v>
                </c:pt>
                <c:pt idx="1301">
                  <c:v>76.400000000000006</c:v>
                </c:pt>
                <c:pt idx="1302">
                  <c:v>74.17</c:v>
                </c:pt>
                <c:pt idx="1303">
                  <c:v>73.58</c:v>
                </c:pt>
                <c:pt idx="1304">
                  <c:v>72.64</c:v>
                </c:pt>
                <c:pt idx="1305">
                  <c:v>71.66</c:v>
                </c:pt>
                <c:pt idx="1306">
                  <c:v>73.7</c:v>
                </c:pt>
                <c:pt idx="1307">
                  <c:v>73.31</c:v>
                </c:pt>
                <c:pt idx="1308">
                  <c:v>72.989999999999995</c:v>
                </c:pt>
                <c:pt idx="1309">
                  <c:v>71.86</c:v>
                </c:pt>
                <c:pt idx="1310">
                  <c:v>67.94</c:v>
                </c:pt>
                <c:pt idx="1311">
                  <c:v>67.39</c:v>
                </c:pt>
                <c:pt idx="1312">
                  <c:v>66.540000000000006</c:v>
                </c:pt>
                <c:pt idx="1313">
                  <c:v>65.739999999999995</c:v>
                </c:pt>
                <c:pt idx="1314">
                  <c:v>65.8</c:v>
                </c:pt>
                <c:pt idx="1315">
                  <c:v>63.29</c:v>
                </c:pt>
                <c:pt idx="1316">
                  <c:v>63.48</c:v>
                </c:pt>
                <c:pt idx="1317">
                  <c:v>64.760000000000005</c:v>
                </c:pt>
                <c:pt idx="1318">
                  <c:v>64.959999999999994</c:v>
                </c:pt>
                <c:pt idx="1319">
                  <c:v>55.58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4-45AB-B704-F2CDBEB55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990895"/>
        <c:axId val="1283991375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daily!$F$3:$F$1322</c:f>
              <c:numCache>
                <c:formatCode>0.00%</c:formatCode>
                <c:ptCount val="1320"/>
                <c:pt idx="0">
                  <c:v>-2.7397260273972711E-3</c:v>
                </c:pt>
                <c:pt idx="1">
                  <c:v>-8.8304552590270219E-4</c:v>
                </c:pt>
                <c:pt idx="2">
                  <c:v>-4.9101443582438538E-4</c:v>
                </c:pt>
                <c:pt idx="3">
                  <c:v>-2.2597759874238943E-3</c:v>
                </c:pt>
                <c:pt idx="4">
                  <c:v>-6.8931560807477285E-4</c:v>
                </c:pt>
                <c:pt idx="5">
                  <c:v>-5.7154119038233964E-3</c:v>
                </c:pt>
                <c:pt idx="6">
                  <c:v>1.2487611496531128E-2</c:v>
                </c:pt>
                <c:pt idx="7">
                  <c:v>7.4393108848865028E-3</c:v>
                </c:pt>
                <c:pt idx="8">
                  <c:v>-1.2631169840652493E-3</c:v>
                </c:pt>
                <c:pt idx="9">
                  <c:v>5.6425722346531591E-3</c:v>
                </c:pt>
                <c:pt idx="10">
                  <c:v>1.1221824513882137E-2</c:v>
                </c:pt>
                <c:pt idx="11">
                  <c:v>4.7833157945084817E-4</c:v>
                </c:pt>
                <c:pt idx="12">
                  <c:v>-8.6058519793462819E-4</c:v>
                </c:pt>
                <c:pt idx="13">
                  <c:v>-1.4068331897789253E-2</c:v>
                </c:pt>
                <c:pt idx="14">
                  <c:v>-9.6097845078625017E-3</c:v>
                </c:pt>
                <c:pt idx="15">
                  <c:v>-1.7543859649122868E-2</c:v>
                </c:pt>
                <c:pt idx="16">
                  <c:v>1.6959297685554839E-3</c:v>
                </c:pt>
                <c:pt idx="17">
                  <c:v>-5.6767254257543394E-3</c:v>
                </c:pt>
                <c:pt idx="18">
                  <c:v>-1.6526442307692363E-2</c:v>
                </c:pt>
                <c:pt idx="19">
                  <c:v>-1.9248395967002757E-2</c:v>
                </c:pt>
                <c:pt idx="20">
                  <c:v>3.0841121495327091E-2</c:v>
                </c:pt>
                <c:pt idx="21">
                  <c:v>2.1255162687619619E-2</c:v>
                </c:pt>
                <c:pt idx="22">
                  <c:v>-8.2856579206943108E-3</c:v>
                </c:pt>
                <c:pt idx="23">
                  <c:v>-2.6854983091307958E-3</c:v>
                </c:pt>
                <c:pt idx="24">
                  <c:v>-8.2776503440709914E-3</c:v>
                </c:pt>
                <c:pt idx="25">
                  <c:v>5.8326629123089131E-3</c:v>
                </c:pt>
                <c:pt idx="26">
                  <c:v>0</c:v>
                </c:pt>
                <c:pt idx="27">
                  <c:v>2.979404119176169E-2</c:v>
                </c:pt>
                <c:pt idx="28">
                  <c:v>3.5922330097087822E-3</c:v>
                </c:pt>
                <c:pt idx="29">
                  <c:v>1.6445777304827484E-3</c:v>
                </c:pt>
                <c:pt idx="30">
                  <c:v>-1.4873478848754165E-2</c:v>
                </c:pt>
                <c:pt idx="31">
                  <c:v>4.509803921568566E-3</c:v>
                </c:pt>
                <c:pt idx="32">
                  <c:v>6.8319344134303527E-4</c:v>
                </c:pt>
                <c:pt idx="33">
                  <c:v>-2.2237393933482893E-2</c:v>
                </c:pt>
                <c:pt idx="34">
                  <c:v>-4.3291770573566118E-2</c:v>
                </c:pt>
                <c:pt idx="35">
                  <c:v>-3.1383588781148899E-2</c:v>
                </c:pt>
                <c:pt idx="36">
                  <c:v>-9.687836383207811E-3</c:v>
                </c:pt>
                <c:pt idx="37">
                  <c:v>-3.7500000000000033E-2</c:v>
                </c:pt>
                <c:pt idx="38">
                  <c:v>9.3732354601919633E-3</c:v>
                </c:pt>
                <c:pt idx="39">
                  <c:v>3.692101141194911E-2</c:v>
                </c:pt>
                <c:pt idx="40">
                  <c:v>-1.8882175226586102E-2</c:v>
                </c:pt>
                <c:pt idx="41">
                  <c:v>3.1452765863851304E-2</c:v>
                </c:pt>
                <c:pt idx="42">
                  <c:v>-3.4225397163876826E-2</c:v>
                </c:pt>
                <c:pt idx="43">
                  <c:v>-2.4508721572090959E-2</c:v>
                </c:pt>
                <c:pt idx="44">
                  <c:v>-4.80986871887732E-2</c:v>
                </c:pt>
                <c:pt idx="45">
                  <c:v>4.9815717512780855E-2</c:v>
                </c:pt>
                <c:pt idx="46">
                  <c:v>-4.8697621744054329E-2</c:v>
                </c:pt>
                <c:pt idx="47">
                  <c:v>-0.11666666666666663</c:v>
                </c:pt>
                <c:pt idx="48">
                  <c:v>1.8598382749326084E-2</c:v>
                </c:pt>
                <c:pt idx="49">
                  <c:v>-0.1163006086266207</c:v>
                </c:pt>
                <c:pt idx="50">
                  <c:v>4.5665518790238016E-2</c:v>
                </c:pt>
                <c:pt idx="51">
                  <c:v>-2.5773195876288617E-2</c:v>
                </c:pt>
                <c:pt idx="52">
                  <c:v>3.380364491475598E-2</c:v>
                </c:pt>
                <c:pt idx="53">
                  <c:v>-4.1086152971282347E-2</c:v>
                </c:pt>
                <c:pt idx="54">
                  <c:v>-6.8939955522609425E-2</c:v>
                </c:pt>
                <c:pt idx="55">
                  <c:v>0.15175159235668792</c:v>
                </c:pt>
                <c:pt idx="56">
                  <c:v>9.2354486381861015E-2</c:v>
                </c:pt>
                <c:pt idx="57">
                  <c:v>6.6953550183520963E-2</c:v>
                </c:pt>
                <c:pt idx="58">
                  <c:v>-1.2692763938315459E-2</c:v>
                </c:pt>
                <c:pt idx="59">
                  <c:v>2.5832031719331867E-2</c:v>
                </c:pt>
                <c:pt idx="60">
                  <c:v>-3.0920590302178506E-2</c:v>
                </c:pt>
                <c:pt idx="61">
                  <c:v>-4.2422044960115916E-2</c:v>
                </c:pt>
                <c:pt idx="62">
                  <c:v>1.1485548403382513E-2</c:v>
                </c:pt>
                <c:pt idx="63">
                  <c:v>-1.5972048914399815E-2</c:v>
                </c:pt>
                <c:pt idx="64">
                  <c:v>7.3167638853664674E-2</c:v>
                </c:pt>
                <c:pt idx="65">
                  <c:v>-5.5535861987474761E-3</c:v>
                </c:pt>
                <c:pt idx="66">
                  <c:v>1.3545627376425862E-2</c:v>
                </c:pt>
                <c:pt idx="67">
                  <c:v>1.7467760844079826E-2</c:v>
                </c:pt>
                <c:pt idx="68">
                  <c:v>-2.684641087682927E-2</c:v>
                </c:pt>
                <c:pt idx="69">
                  <c:v>3.5638171915699804E-2</c:v>
                </c:pt>
                <c:pt idx="70">
                  <c:v>-2.7780953469760977E-2</c:v>
                </c:pt>
                <c:pt idx="71">
                  <c:v>1.4816556914393118E-2</c:v>
                </c:pt>
                <c:pt idx="72">
                  <c:v>4.1830822711471607E-2</c:v>
                </c:pt>
                <c:pt idx="73">
                  <c:v>-2.2355689022355588E-2</c:v>
                </c:pt>
                <c:pt idx="74">
                  <c:v>-3.0716723549488085E-2</c:v>
                </c:pt>
                <c:pt idx="75">
                  <c:v>4.1901408450704142E-2</c:v>
                </c:pt>
                <c:pt idx="76">
                  <c:v>-1.5996395178551333E-2</c:v>
                </c:pt>
                <c:pt idx="77">
                  <c:v>1.167716084716669E-2</c:v>
                </c:pt>
                <c:pt idx="78">
                  <c:v>1.1316057485572026E-2</c:v>
                </c:pt>
                <c:pt idx="79">
                  <c:v>-6.3779791876469438E-3</c:v>
                </c:pt>
                <c:pt idx="80">
                  <c:v>-8.2207207207207651E-3</c:v>
                </c:pt>
                <c:pt idx="81">
                  <c:v>-1.0105597819915822E-2</c:v>
                </c:pt>
                <c:pt idx="82">
                  <c:v>-1.8811654049093834E-2</c:v>
                </c:pt>
                <c:pt idx="83">
                  <c:v>2.4549918166938711E-3</c:v>
                </c:pt>
                <c:pt idx="84">
                  <c:v>1.6909620991253677E-2</c:v>
                </c:pt>
                <c:pt idx="85">
                  <c:v>1.4220183486238472E-2</c:v>
                </c:pt>
                <c:pt idx="86">
                  <c:v>1.3568521031208113E-3</c:v>
                </c:pt>
                <c:pt idx="87">
                  <c:v>2.1454381210478674E-2</c:v>
                </c:pt>
                <c:pt idx="88">
                  <c:v>5.195666592969413E-3</c:v>
                </c:pt>
                <c:pt idx="89">
                  <c:v>-2.9363246453315756E-2</c:v>
                </c:pt>
                <c:pt idx="90">
                  <c:v>-2.5379560389757635E-2</c:v>
                </c:pt>
                <c:pt idx="91">
                  <c:v>6.1613578237619294E-3</c:v>
                </c:pt>
                <c:pt idx="92">
                  <c:v>5.0837666088965651E-3</c:v>
                </c:pt>
                <c:pt idx="93">
                  <c:v>4.6557075525922656E-2</c:v>
                </c:pt>
                <c:pt idx="94">
                  <c:v>5.1625659050966478E-3</c:v>
                </c:pt>
                <c:pt idx="95">
                  <c:v>1.5735985138236232E-2</c:v>
                </c:pt>
                <c:pt idx="96">
                  <c:v>1.4093598708983348E-2</c:v>
                </c:pt>
                <c:pt idx="97">
                  <c:v>-5.4105665181413652E-3</c:v>
                </c:pt>
                <c:pt idx="98">
                  <c:v>3.0613333333333381E-2</c:v>
                </c:pt>
                <c:pt idx="99">
                  <c:v>3.3636928172221067E-2</c:v>
                </c:pt>
                <c:pt idx="100">
                  <c:v>-1.4118353860018132E-2</c:v>
                </c:pt>
                <c:pt idx="101">
                  <c:v>1.2187690432663473E-3</c:v>
                </c:pt>
                <c:pt idx="102">
                  <c:v>9.738283627510733E-3</c:v>
                </c:pt>
                <c:pt idx="103">
                  <c:v>1.2055455093429661E-2</c:v>
                </c:pt>
                <c:pt idx="104">
                  <c:v>3.3452451856263693E-2</c:v>
                </c:pt>
                <c:pt idx="105">
                  <c:v>-2.7182787436365367E-2</c:v>
                </c:pt>
                <c:pt idx="106">
                  <c:v>1.4119273301737683E-2</c:v>
                </c:pt>
                <c:pt idx="107">
                  <c:v>1.538311751533456E-2</c:v>
                </c:pt>
                <c:pt idx="108">
                  <c:v>-1.5917154089558065E-2</c:v>
                </c:pt>
                <c:pt idx="109">
                  <c:v>-4.9693072201109903E-3</c:v>
                </c:pt>
                <c:pt idx="110">
                  <c:v>-6.8057187622405035E-2</c:v>
                </c:pt>
                <c:pt idx="111">
                  <c:v>1.3239466218346171E-2</c:v>
                </c:pt>
                <c:pt idx="112">
                  <c:v>1.4622005599917002E-2</c:v>
                </c:pt>
                <c:pt idx="113">
                  <c:v>1.2264922322158655E-2</c:v>
                </c:pt>
                <c:pt idx="114">
                  <c:v>1.716478190629922E-3</c:v>
                </c:pt>
                <c:pt idx="115">
                  <c:v>-7.6605180929340891E-3</c:v>
                </c:pt>
                <c:pt idx="116">
                  <c:v>-2.7120365667851719E-2</c:v>
                </c:pt>
                <c:pt idx="117">
                  <c:v>3.8943411985800834E-2</c:v>
                </c:pt>
                <c:pt idx="118">
                  <c:v>2.4218671490302445E-2</c:v>
                </c:pt>
                <c:pt idx="119">
                  <c:v>-1.8053375196232371E-2</c:v>
                </c:pt>
                <c:pt idx="120">
                  <c:v>1.3189448441247077E-2</c:v>
                </c:pt>
                <c:pt idx="121">
                  <c:v>-7.6232741617357033E-2</c:v>
                </c:pt>
                <c:pt idx="122">
                  <c:v>2.3486708658054904E-2</c:v>
                </c:pt>
                <c:pt idx="123">
                  <c:v>2.2739125899655706E-2</c:v>
                </c:pt>
                <c:pt idx="124">
                  <c:v>-6.62927078021409E-3</c:v>
                </c:pt>
                <c:pt idx="125">
                  <c:v>1.0574948665297752E-2</c:v>
                </c:pt>
                <c:pt idx="126">
                  <c:v>1.5442446408615218E-2</c:v>
                </c:pt>
                <c:pt idx="127">
                  <c:v>-2.8814407203601896E-2</c:v>
                </c:pt>
                <c:pt idx="128">
                  <c:v>1.8234263933244156E-2</c:v>
                </c:pt>
                <c:pt idx="129">
                  <c:v>-1.8717118575475603E-2</c:v>
                </c:pt>
                <c:pt idx="130">
                  <c:v>1.0310341272296113E-2</c:v>
                </c:pt>
                <c:pt idx="131">
                  <c:v>-1.5613838146749682E-2</c:v>
                </c:pt>
                <c:pt idx="132">
                  <c:v>3.1100974497202095E-3</c:v>
                </c:pt>
                <c:pt idx="133">
                  <c:v>1.839603141794131E-2</c:v>
                </c:pt>
                <c:pt idx="134">
                  <c:v>-1.2989648873553897E-2</c:v>
                </c:pt>
                <c:pt idx="135">
                  <c:v>-1.0076084721365453E-2</c:v>
                </c:pt>
                <c:pt idx="136">
                  <c:v>-6.5434150394681704E-3</c:v>
                </c:pt>
                <c:pt idx="137">
                  <c:v>2.833246210141133E-2</c:v>
                </c:pt>
                <c:pt idx="138">
                  <c:v>5.5917039446929358E-3</c:v>
                </c:pt>
                <c:pt idx="139">
                  <c:v>-6.1672227277322763E-3</c:v>
                </c:pt>
                <c:pt idx="140">
                  <c:v>1.322482197355134E-3</c:v>
                </c:pt>
                <c:pt idx="141">
                  <c:v>-1.2394595143757117E-2</c:v>
                </c:pt>
                <c:pt idx="142">
                  <c:v>-9.6697870589445307E-3</c:v>
                </c:pt>
                <c:pt idx="143">
                  <c:v>7.2712163706243156E-3</c:v>
                </c:pt>
                <c:pt idx="144">
                  <c:v>-1.5468701660307897E-3</c:v>
                </c:pt>
                <c:pt idx="145">
                  <c:v>8.1594711836398097E-3</c:v>
                </c:pt>
                <c:pt idx="146">
                  <c:v>7.3762934125601769E-3</c:v>
                </c:pt>
                <c:pt idx="147">
                  <c:v>-1.0169836265636124E-2</c:v>
                </c:pt>
                <c:pt idx="148">
                  <c:v>3.7090311312031228E-2</c:v>
                </c:pt>
                <c:pt idx="149">
                  <c:v>-4.8543689320387842E-3</c:v>
                </c:pt>
                <c:pt idx="150">
                  <c:v>1.4036834245893444E-2</c:v>
                </c:pt>
                <c:pt idx="151">
                  <c:v>3.4851757313960313E-2</c:v>
                </c:pt>
                <c:pt idx="152">
                  <c:v>-2.7511621288302062E-3</c:v>
                </c:pt>
                <c:pt idx="153">
                  <c:v>9.5129375951288344E-4</c:v>
                </c:pt>
                <c:pt idx="154">
                  <c:v>1.2355065576886497E-2</c:v>
                </c:pt>
                <c:pt idx="155">
                  <c:v>-8.4491175366118289E-4</c:v>
                </c:pt>
                <c:pt idx="156">
                  <c:v>-7.2348022174199963E-3</c:v>
                </c:pt>
                <c:pt idx="157">
                  <c:v>1.2398258565209184E-2</c:v>
                </c:pt>
                <c:pt idx="158">
                  <c:v>1.3274749929886901E-2</c:v>
                </c:pt>
                <c:pt idx="159">
                  <c:v>-3.5058584740289274E-3</c:v>
                </c:pt>
                <c:pt idx="160">
                  <c:v>1.6109619479677758E-2</c:v>
                </c:pt>
                <c:pt idx="161">
                  <c:v>1.8952164009111601E-2</c:v>
                </c:pt>
                <c:pt idx="162">
                  <c:v>-2.8614861843869552E-3</c:v>
                </c:pt>
                <c:pt idx="163">
                  <c:v>1.7935611155946569E-4</c:v>
                </c:pt>
                <c:pt idx="164">
                  <c:v>-6.1866762306105778E-3</c:v>
                </c:pt>
                <c:pt idx="165">
                  <c:v>1.3081919884518249E-2</c:v>
                </c:pt>
                <c:pt idx="166">
                  <c:v>-3.5622050048980825E-3</c:v>
                </c:pt>
                <c:pt idx="167">
                  <c:v>2.6365180087586048E-2</c:v>
                </c:pt>
                <c:pt idx="168">
                  <c:v>1.7067223963775632E-2</c:v>
                </c:pt>
                <c:pt idx="169">
                  <c:v>-3.3818493150684956E-2</c:v>
                </c:pt>
                <c:pt idx="170">
                  <c:v>-3.987594151528477E-3</c:v>
                </c:pt>
                <c:pt idx="171">
                  <c:v>2.8469750889679106E-3</c:v>
                </c:pt>
                <c:pt idx="172">
                  <c:v>1.9339957416607583E-2</c:v>
                </c:pt>
                <c:pt idx="173">
                  <c:v>-9.573542210617879E-4</c:v>
                </c:pt>
                <c:pt idx="174">
                  <c:v>2.7964108371809335E-2</c:v>
                </c:pt>
                <c:pt idx="175">
                  <c:v>1.0847457627118653E-2</c:v>
                </c:pt>
                <c:pt idx="176">
                  <c:v>-8.3836351442028137E-5</c:v>
                </c:pt>
                <c:pt idx="177">
                  <c:v>-5.7013498784270365E-3</c:v>
                </c:pt>
                <c:pt idx="178">
                  <c:v>-1.8804283666413728E-2</c:v>
                </c:pt>
                <c:pt idx="179">
                  <c:v>-1.4609831557236188E-2</c:v>
                </c:pt>
                <c:pt idx="180">
                  <c:v>-1.1250654107796895E-2</c:v>
                </c:pt>
                <c:pt idx="181">
                  <c:v>3.087236482314545E-2</c:v>
                </c:pt>
                <c:pt idx="182">
                  <c:v>8.7618721656541415E-2</c:v>
                </c:pt>
                <c:pt idx="183">
                  <c:v>-1.8566595861851935E-2</c:v>
                </c:pt>
                <c:pt idx="184">
                  <c:v>-4.1683366733466613E-3</c:v>
                </c:pt>
                <c:pt idx="185">
                  <c:v>7.2446269017136921E-4</c:v>
                </c:pt>
                <c:pt idx="186">
                  <c:v>1.6328828828828839E-2</c:v>
                </c:pt>
                <c:pt idx="187">
                  <c:v>-6.4107637514838785E-3</c:v>
                </c:pt>
                <c:pt idx="188">
                  <c:v>8.7621475227018814E-3</c:v>
                </c:pt>
                <c:pt idx="189">
                  <c:v>0</c:v>
                </c:pt>
                <c:pt idx="190">
                  <c:v>1.0028427037270972E-2</c:v>
                </c:pt>
                <c:pt idx="191">
                  <c:v>-2.0326792275818227E-3</c:v>
                </c:pt>
                <c:pt idx="192">
                  <c:v>1.8879749314531895E-2</c:v>
                </c:pt>
                <c:pt idx="193">
                  <c:v>-2.6910656620021092E-3</c:v>
                </c:pt>
                <c:pt idx="194">
                  <c:v>9.7910723922595162E-3</c:v>
                </c:pt>
                <c:pt idx="195">
                  <c:v>-1.160482516414706E-2</c:v>
                </c:pt>
                <c:pt idx="196">
                  <c:v>-2.0083423451260568E-3</c:v>
                </c:pt>
                <c:pt idx="197">
                  <c:v>-1.1919504643962789E-2</c:v>
                </c:pt>
                <c:pt idx="198">
                  <c:v>1.0496631677894434E-2</c:v>
                </c:pt>
                <c:pt idx="199">
                  <c:v>-7.7519379844961239E-3</c:v>
                </c:pt>
                <c:pt idx="200">
                  <c:v>-4.4531249999999467E-3</c:v>
                </c:pt>
                <c:pt idx="201">
                  <c:v>8.3182923958251762E-3</c:v>
                </c:pt>
                <c:pt idx="202">
                  <c:v>7.3157444159078341E-3</c:v>
                </c:pt>
                <c:pt idx="203">
                  <c:v>4.5584485822452551E-3</c:v>
                </c:pt>
                <c:pt idx="204">
                  <c:v>-2.3073373327181306E-4</c:v>
                </c:pt>
                <c:pt idx="205">
                  <c:v>-1.2462497115162738E-2</c:v>
                </c:pt>
                <c:pt idx="206">
                  <c:v>-2.9601931915557347E-3</c:v>
                </c:pt>
                <c:pt idx="207">
                  <c:v>-4.6175482459567131E-2</c:v>
                </c:pt>
                <c:pt idx="208">
                  <c:v>6.3892529488859861E-3</c:v>
                </c:pt>
                <c:pt idx="209">
                  <c:v>-2.2627380758587019E-2</c:v>
                </c:pt>
                <c:pt idx="210">
                  <c:v>1.9237175216522337E-2</c:v>
                </c:pt>
                <c:pt idx="211">
                  <c:v>1.7975324781436416E-2</c:v>
                </c:pt>
                <c:pt idx="212">
                  <c:v>2.2072397463680872E-2</c:v>
                </c:pt>
                <c:pt idx="213">
                  <c:v>1.8533061096277566E-2</c:v>
                </c:pt>
                <c:pt idx="214">
                  <c:v>-6.1680801850422743E-3</c:v>
                </c:pt>
                <c:pt idx="215">
                  <c:v>3.8789759503477845E-4</c:v>
                </c:pt>
                <c:pt idx="216">
                  <c:v>-9.6161302830554095E-3</c:v>
                </c:pt>
                <c:pt idx="217">
                  <c:v>-3.9151201941897392E-4</c:v>
                </c:pt>
                <c:pt idx="218">
                  <c:v>-7.9899733667554134E-3</c:v>
                </c:pt>
                <c:pt idx="219">
                  <c:v>1.2950094756790908E-2</c:v>
                </c:pt>
                <c:pt idx="220">
                  <c:v>1.4265668849392052E-2</c:v>
                </c:pt>
                <c:pt idx="221">
                  <c:v>1.6140189070786213E-2</c:v>
                </c:pt>
                <c:pt idx="222">
                  <c:v>-4.3869601391726227E-3</c:v>
                </c:pt>
                <c:pt idx="223">
                  <c:v>2.12717465623339E-3</c:v>
                </c:pt>
                <c:pt idx="224">
                  <c:v>8.1115912364490422E-3</c:v>
                </c:pt>
                <c:pt idx="225">
                  <c:v>8.6479169799970352E-3</c:v>
                </c:pt>
                <c:pt idx="226">
                  <c:v>4.2496085886825708E-3</c:v>
                </c:pt>
                <c:pt idx="227">
                  <c:v>6.2360801781737455E-3</c:v>
                </c:pt>
                <c:pt idx="228">
                  <c:v>-9.5174856131030848E-3</c:v>
                </c:pt>
                <c:pt idx="229">
                  <c:v>3.3519553072624852E-3</c:v>
                </c:pt>
                <c:pt idx="230">
                  <c:v>5.4936896807721543E-3</c:v>
                </c:pt>
                <c:pt idx="231">
                  <c:v>1.0336680448908356E-3</c:v>
                </c:pt>
                <c:pt idx="232">
                  <c:v>1.0178492403009259E-2</c:v>
                </c:pt>
                <c:pt idx="233">
                  <c:v>1.6793224299064672E-3</c:v>
                </c:pt>
                <c:pt idx="234">
                  <c:v>1.1371091187404347E-2</c:v>
                </c:pt>
                <c:pt idx="235">
                  <c:v>2.6666666666666995E-3</c:v>
                </c:pt>
                <c:pt idx="236">
                  <c:v>-2.3720529039678875E-3</c:v>
                </c:pt>
                <c:pt idx="237">
                  <c:v>-8.7182073636427673E-3</c:v>
                </c:pt>
                <c:pt idx="238">
                  <c:v>-1.2356447158018309E-3</c:v>
                </c:pt>
                <c:pt idx="239">
                  <c:v>-8.2235645149552113E-3</c:v>
                </c:pt>
                <c:pt idx="240">
                  <c:v>2.282066334018187E-2</c:v>
                </c:pt>
                <c:pt idx="241">
                  <c:v>-7.5328215797401754E-3</c:v>
                </c:pt>
                <c:pt idx="242">
                  <c:v>1.561370536359691E-2</c:v>
                </c:pt>
                <c:pt idx="243">
                  <c:v>-2.2918149466192164E-2</c:v>
                </c:pt>
                <c:pt idx="244">
                  <c:v>4.9096736596736662E-2</c:v>
                </c:pt>
                <c:pt idx="245">
                  <c:v>-1.0901263713373292E-2</c:v>
                </c:pt>
                <c:pt idx="246">
                  <c:v>-4.8438048438048283E-3</c:v>
                </c:pt>
                <c:pt idx="247">
                  <c:v>-1.1286681715575381E-3</c:v>
                </c:pt>
                <c:pt idx="248">
                  <c:v>5.8615819209040434E-3</c:v>
                </c:pt>
                <c:pt idx="249">
                  <c:v>-6.0380537808047011E-3</c:v>
                </c:pt>
                <c:pt idx="250">
                  <c:v>7.0636434272934432E-5</c:v>
                </c:pt>
                <c:pt idx="251">
                  <c:v>-7.7694589631313485E-4</c:v>
                </c:pt>
                <c:pt idx="252">
                  <c:v>-9.6840319502368311E-3</c:v>
                </c:pt>
                <c:pt idx="253">
                  <c:v>8.0656673804425094E-3</c:v>
                </c:pt>
                <c:pt idx="254">
                  <c:v>7.9303264178999123E-3</c:v>
                </c:pt>
                <c:pt idx="255">
                  <c:v>1.8264840182648363E-2</c:v>
                </c:pt>
                <c:pt idx="256">
                  <c:v>9.6585029320455738E-3</c:v>
                </c:pt>
                <c:pt idx="257">
                  <c:v>4.783054321831343E-3</c:v>
                </c:pt>
                <c:pt idx="258">
                  <c:v>-1.3600816048962936E-2</c:v>
                </c:pt>
                <c:pt idx="259">
                  <c:v>-1.3857290589452046E-2</c:v>
                </c:pt>
                <c:pt idx="260">
                  <c:v>-1.2164429530201208E-2</c:v>
                </c:pt>
                <c:pt idx="261">
                  <c:v>-4.1047416843596066E-3</c:v>
                </c:pt>
                <c:pt idx="262">
                  <c:v>-1.0304150085275644E-2</c:v>
                </c:pt>
                <c:pt idx="263">
                  <c:v>2.5346449343002807E-2</c:v>
                </c:pt>
                <c:pt idx="264">
                  <c:v>-8.3333333333333176E-3</c:v>
                </c:pt>
                <c:pt idx="265">
                  <c:v>-1.5959324906433297E-2</c:v>
                </c:pt>
                <c:pt idx="266">
                  <c:v>-1.2917115177610211E-2</c:v>
                </c:pt>
                <c:pt idx="267">
                  <c:v>-1.7811704834605719E-2</c:v>
                </c:pt>
                <c:pt idx="268">
                  <c:v>-3.0199851961509875E-2</c:v>
                </c:pt>
                <c:pt idx="269">
                  <c:v>2.8239963364371762E-2</c:v>
                </c:pt>
                <c:pt idx="270">
                  <c:v>-8.3877672209025783E-3</c:v>
                </c:pt>
                <c:pt idx="271">
                  <c:v>1.586945130623553E-2</c:v>
                </c:pt>
                <c:pt idx="272">
                  <c:v>2.8590376538206435E-2</c:v>
                </c:pt>
                <c:pt idx="273">
                  <c:v>-6.8772834730282109E-3</c:v>
                </c:pt>
                <c:pt idx="274">
                  <c:v>1.4426891726177596E-2</c:v>
                </c:pt>
                <c:pt idx="275">
                  <c:v>3.1856645097063346E-2</c:v>
                </c:pt>
                <c:pt idx="276">
                  <c:v>-1.1715250499621094E-2</c:v>
                </c:pt>
                <c:pt idx="277">
                  <c:v>-1.1296283383306635E-2</c:v>
                </c:pt>
                <c:pt idx="278">
                  <c:v>4.7252979758799349E-3</c:v>
                </c:pt>
                <c:pt idx="279">
                  <c:v>7.5810753895829289E-3</c:v>
                </c:pt>
                <c:pt idx="280">
                  <c:v>-9.8927128326597984E-3</c:v>
                </c:pt>
                <c:pt idx="281">
                  <c:v>-2.8848860118209723E-3</c:v>
                </c:pt>
                <c:pt idx="282">
                  <c:v>1.6089196245854216E-2</c:v>
                </c:pt>
                <c:pt idx="283">
                  <c:v>7.6394194041252469E-3</c:v>
                </c:pt>
                <c:pt idx="284">
                  <c:v>-2.1159280446619293E-2</c:v>
                </c:pt>
                <c:pt idx="285">
                  <c:v>-3.7670750598507413E-2</c:v>
                </c:pt>
                <c:pt idx="286">
                  <c:v>-3.9511231433379092E-3</c:v>
                </c:pt>
                <c:pt idx="287">
                  <c:v>-3.5260412840666258E-3</c:v>
                </c:pt>
                <c:pt idx="288">
                  <c:v>-8.1091043125701174E-4</c:v>
                </c:pt>
                <c:pt idx="289">
                  <c:v>-5.6072008263242656E-3</c:v>
                </c:pt>
                <c:pt idx="290">
                  <c:v>2.1293960528268322E-2</c:v>
                </c:pt>
                <c:pt idx="291">
                  <c:v>-4.5768252815110459E-3</c:v>
                </c:pt>
                <c:pt idx="292">
                  <c:v>-2.0143044810976639E-2</c:v>
                </c:pt>
                <c:pt idx="293">
                  <c:v>-1.6535081185758967E-2</c:v>
                </c:pt>
                <c:pt idx="294">
                  <c:v>9.9212359890942323E-3</c:v>
                </c:pt>
                <c:pt idx="295">
                  <c:v>9.0738657667792134E-3</c:v>
                </c:pt>
                <c:pt idx="296">
                  <c:v>1.0329964328180636E-2</c:v>
                </c:pt>
                <c:pt idx="297">
                  <c:v>1.2063258550937955E-2</c:v>
                </c:pt>
                <c:pt idx="298">
                  <c:v>2.6164692201468089E-2</c:v>
                </c:pt>
                <c:pt idx="299">
                  <c:v>-5.2411643884128414E-3</c:v>
                </c:pt>
                <c:pt idx="300">
                  <c:v>3.1968672125311563E-2</c:v>
                </c:pt>
                <c:pt idx="301">
                  <c:v>-2.0008279287980686E-3</c:v>
                </c:pt>
                <c:pt idx="302">
                  <c:v>1.1752506049083132E-3</c:v>
                </c:pt>
                <c:pt idx="303">
                  <c:v>-1.1393453942825616E-2</c:v>
                </c:pt>
                <c:pt idx="304">
                  <c:v>-3.9673115876230909E-2</c:v>
                </c:pt>
                <c:pt idx="305">
                  <c:v>5.6731398647174415E-3</c:v>
                </c:pt>
                <c:pt idx="306">
                  <c:v>-8.3170608230274511E-3</c:v>
                </c:pt>
                <c:pt idx="307">
                  <c:v>-2.8879813302217092E-2</c:v>
                </c:pt>
                <c:pt idx="308">
                  <c:v>-3.3944127365575325E-2</c:v>
                </c:pt>
                <c:pt idx="309">
                  <c:v>3.3815298507462864E-2</c:v>
                </c:pt>
                <c:pt idx="310">
                  <c:v>3.7596811790360173E-3</c:v>
                </c:pt>
                <c:pt idx="311">
                  <c:v>-4.045246834969065E-3</c:v>
                </c:pt>
                <c:pt idx="312">
                  <c:v>-4.512974802557524E-4</c:v>
                </c:pt>
                <c:pt idx="313">
                  <c:v>-2.7090074497703761E-3</c:v>
                </c:pt>
                <c:pt idx="314">
                  <c:v>1.9542745038859152E-2</c:v>
                </c:pt>
                <c:pt idx="315">
                  <c:v>1.5097690941385376E-2</c:v>
                </c:pt>
                <c:pt idx="316">
                  <c:v>-4.5202682997958921E-3</c:v>
                </c:pt>
                <c:pt idx="317">
                  <c:v>-2.094624285923528E-2</c:v>
                </c:pt>
                <c:pt idx="318">
                  <c:v>1.3240574506283525E-2</c:v>
                </c:pt>
                <c:pt idx="319">
                  <c:v>8.785529715762257E-3</c:v>
                </c:pt>
                <c:pt idx="320">
                  <c:v>-2.268735362997654E-2</c:v>
                </c:pt>
                <c:pt idx="321">
                  <c:v>-9.5851430283061343E-3</c:v>
                </c:pt>
                <c:pt idx="322">
                  <c:v>1.0660819597761958E-2</c:v>
                </c:pt>
                <c:pt idx="323">
                  <c:v>4.7879105259221576E-3</c:v>
                </c:pt>
                <c:pt idx="324">
                  <c:v>-1.2955103864194841E-2</c:v>
                </c:pt>
                <c:pt idx="325">
                  <c:v>-4.118578863996375E-2</c:v>
                </c:pt>
                <c:pt idx="326">
                  <c:v>2.1949492565494503E-2</c:v>
                </c:pt>
                <c:pt idx="327">
                  <c:v>-5.5427251732101529E-3</c:v>
                </c:pt>
                <c:pt idx="328">
                  <c:v>7.8185477628115105E-3</c:v>
                </c:pt>
                <c:pt idx="329">
                  <c:v>1.0830324909747266E-2</c:v>
                </c:pt>
                <c:pt idx="330">
                  <c:v>3.8753799392098735E-3</c:v>
                </c:pt>
                <c:pt idx="331">
                  <c:v>-1.0597229581409474E-2</c:v>
                </c:pt>
                <c:pt idx="332">
                  <c:v>1.9508836355290205E-2</c:v>
                </c:pt>
                <c:pt idx="333">
                  <c:v>-4.8026414527989371E-3</c:v>
                </c:pt>
                <c:pt idx="334">
                  <c:v>3.0915397375961134E-3</c:v>
                </c:pt>
                <c:pt idx="335">
                  <c:v>-1.1125310080432908E-2</c:v>
                </c:pt>
                <c:pt idx="336">
                  <c:v>5.0171037628277959E-3</c:v>
                </c:pt>
                <c:pt idx="337">
                  <c:v>9.6815672036911059E-3</c:v>
                </c:pt>
                <c:pt idx="338">
                  <c:v>3.2361974679751236E-2</c:v>
                </c:pt>
                <c:pt idx="339">
                  <c:v>-1.0231478122052075E-2</c:v>
                </c:pt>
                <c:pt idx="340">
                  <c:v>5.2785923753665602E-3</c:v>
                </c:pt>
                <c:pt idx="341">
                  <c:v>-2.7202450408401531E-2</c:v>
                </c:pt>
                <c:pt idx="342">
                  <c:v>1.6492990479048451E-3</c:v>
                </c:pt>
                <c:pt idx="343">
                  <c:v>1.7363969762742258E-2</c:v>
                </c:pt>
                <c:pt idx="344">
                  <c:v>3.5312293092031911E-3</c:v>
                </c:pt>
                <c:pt idx="345">
                  <c:v>-6.23121472032838E-3</c:v>
                </c:pt>
                <c:pt idx="346">
                  <c:v>-1.917969902626139E-2</c:v>
                </c:pt>
                <c:pt idx="347">
                  <c:v>2.3315282791817257E-3</c:v>
                </c:pt>
                <c:pt idx="348">
                  <c:v>-4.5771741577250212E-3</c:v>
                </c:pt>
                <c:pt idx="349">
                  <c:v>1.0553294135383732E-2</c:v>
                </c:pt>
                <c:pt idx="350">
                  <c:v>1.9394301059226533E-3</c:v>
                </c:pt>
                <c:pt idx="351">
                  <c:v>1.9133412745681904E-2</c:v>
                </c:pt>
                <c:pt idx="352">
                  <c:v>-2.41069471838691E-3</c:v>
                </c:pt>
                <c:pt idx="353">
                  <c:v>-7.3227885178671879E-4</c:v>
                </c:pt>
                <c:pt idx="354">
                  <c:v>-1.4289901802726197E-2</c:v>
                </c:pt>
                <c:pt idx="355">
                  <c:v>-2.5276931083191095E-3</c:v>
                </c:pt>
                <c:pt idx="356">
                  <c:v>0</c:v>
                </c:pt>
                <c:pt idx="357">
                  <c:v>-3.2048893195198514E-3</c:v>
                </c:pt>
                <c:pt idx="358">
                  <c:v>1.570210856886343E-3</c:v>
                </c:pt>
                <c:pt idx="359">
                  <c:v>-4.4792833146696104E-3</c:v>
                </c:pt>
                <c:pt idx="360">
                  <c:v>-1.1323584551930941E-2</c:v>
                </c:pt>
                <c:pt idx="361">
                  <c:v>-6.5230582524272874E-3</c:v>
                </c:pt>
                <c:pt idx="362">
                  <c:v>7.3293632615667129E-3</c:v>
                </c:pt>
                <c:pt idx="363">
                  <c:v>-4.3959375473698959E-3</c:v>
                </c:pt>
                <c:pt idx="364">
                  <c:v>-8.1455542021926126E-3</c:v>
                </c:pt>
                <c:pt idx="365">
                  <c:v>8.4427047355908858E-4</c:v>
                </c:pt>
                <c:pt idx="366">
                  <c:v>-1.1349693251533882E-2</c:v>
                </c:pt>
                <c:pt idx="367">
                  <c:v>-3.955941669252179E-3</c:v>
                </c:pt>
                <c:pt idx="368">
                  <c:v>1.3005217662175968E-2</c:v>
                </c:pt>
                <c:pt idx="369">
                  <c:v>1.8450184501844841E-2</c:v>
                </c:pt>
                <c:pt idx="370">
                  <c:v>4.6799516908212907E-3</c:v>
                </c:pt>
                <c:pt idx="371">
                  <c:v>3.7565740045078888E-3</c:v>
                </c:pt>
                <c:pt idx="372">
                  <c:v>0.15531437125748504</c:v>
                </c:pt>
                <c:pt idx="373">
                  <c:v>-1.2892776158082157E-2</c:v>
                </c:pt>
                <c:pt idx="374">
                  <c:v>2.3562614859543023E-2</c:v>
                </c:pt>
                <c:pt idx="375">
                  <c:v>-9.3619749919844793E-3</c:v>
                </c:pt>
                <c:pt idx="376">
                  <c:v>2.271991714674083E-2</c:v>
                </c:pt>
                <c:pt idx="377">
                  <c:v>1.1012658227848159E-2</c:v>
                </c:pt>
                <c:pt idx="378">
                  <c:v>2.3162639288844657E-3</c:v>
                </c:pt>
                <c:pt idx="379">
                  <c:v>3.1228530385349411E-4</c:v>
                </c:pt>
                <c:pt idx="380">
                  <c:v>2.9345654345654276E-3</c:v>
                </c:pt>
                <c:pt idx="381">
                  <c:v>2.3034302434165759E-3</c:v>
                </c:pt>
                <c:pt idx="382">
                  <c:v>5.0931677018633114E-3</c:v>
                </c:pt>
                <c:pt idx="383">
                  <c:v>-1.4213323445803347E-3</c:v>
                </c:pt>
                <c:pt idx="384">
                  <c:v>-3.0942508818622048E-4</c:v>
                </c:pt>
                <c:pt idx="385">
                  <c:v>9.2856258511827216E-4</c:v>
                </c:pt>
                <c:pt idx="386">
                  <c:v>-1.1379800853485085E-2</c:v>
                </c:pt>
                <c:pt idx="387">
                  <c:v>-1.2386612449171034E-2</c:v>
                </c:pt>
                <c:pt idx="388">
                  <c:v>1.1845189079622502E-2</c:v>
                </c:pt>
                <c:pt idx="389">
                  <c:v>8.3886315262301451E-3</c:v>
                </c:pt>
                <c:pt idx="390">
                  <c:v>1.6141047926496115E-2</c:v>
                </c:pt>
                <c:pt idx="391">
                  <c:v>1.6373411534701898E-2</c:v>
                </c:pt>
                <c:pt idx="392">
                  <c:v>-7.6340466458283849E-3</c:v>
                </c:pt>
                <c:pt idx="393">
                  <c:v>-3.1497970803804603E-3</c:v>
                </c:pt>
                <c:pt idx="394">
                  <c:v>5.4080330558425888E-3</c:v>
                </c:pt>
                <c:pt idx="395">
                  <c:v>9.2469479028163964E-3</c:v>
                </c:pt>
                <c:pt idx="396">
                  <c:v>3.1139589196956812E-3</c:v>
                </c:pt>
                <c:pt idx="397">
                  <c:v>7.4025431317533827E-3</c:v>
                </c:pt>
                <c:pt idx="398">
                  <c:v>1.4696296296296235E-2</c:v>
                </c:pt>
                <c:pt idx="399">
                  <c:v>3.9712667172808903E-3</c:v>
                </c:pt>
                <c:pt idx="400">
                  <c:v>1.128497469606188E-2</c:v>
                </c:pt>
                <c:pt idx="401">
                  <c:v>-6.0396893874028355E-3</c:v>
                </c:pt>
                <c:pt idx="402">
                  <c:v>-5.9606481481481541E-3</c:v>
                </c:pt>
                <c:pt idx="403">
                  <c:v>2.9108691855388017E-3</c:v>
                </c:pt>
                <c:pt idx="404">
                  <c:v>-5.8048412375921515E-3</c:v>
                </c:pt>
                <c:pt idx="405">
                  <c:v>-3.6784025223332972E-3</c:v>
                </c:pt>
                <c:pt idx="406">
                  <c:v>6.1533052039381827E-3</c:v>
                </c:pt>
                <c:pt idx="407">
                  <c:v>3.9023822004776976E-3</c:v>
                </c:pt>
                <c:pt idx="408">
                  <c:v>-9.8630772801114926E-3</c:v>
                </c:pt>
                <c:pt idx="409">
                  <c:v>-1.0840267197937386E-2</c:v>
                </c:pt>
                <c:pt idx="410">
                  <c:v>-1.9074699366151287E-2</c:v>
                </c:pt>
                <c:pt idx="411">
                  <c:v>1.3285826438794545E-2</c:v>
                </c:pt>
                <c:pt idx="412">
                  <c:v>1.1502473329757476E-2</c:v>
                </c:pt>
                <c:pt idx="413">
                  <c:v>1.5319349516850749E-3</c:v>
                </c:pt>
                <c:pt idx="414">
                  <c:v>-8.2362630897744654E-4</c:v>
                </c:pt>
                <c:pt idx="415">
                  <c:v>-1.7192651907677908E-2</c:v>
                </c:pt>
                <c:pt idx="416">
                  <c:v>3.9539899352984964E-3</c:v>
                </c:pt>
                <c:pt idx="417">
                  <c:v>2.6852846401717902E-3</c:v>
                </c:pt>
                <c:pt idx="418">
                  <c:v>-1.9579836933880806E-2</c:v>
                </c:pt>
                <c:pt idx="419">
                  <c:v>-1.092630812188945E-3</c:v>
                </c:pt>
                <c:pt idx="420">
                  <c:v>-5.4083616917842414E-3</c:v>
                </c:pt>
                <c:pt idx="421">
                  <c:v>-2.3217449746440735E-3</c:v>
                </c:pt>
                <c:pt idx="422">
                  <c:v>-3.9806479270010761E-3</c:v>
                </c:pt>
                <c:pt idx="423">
                  <c:v>-1.1866699458927561E-2</c:v>
                </c:pt>
                <c:pt idx="424">
                  <c:v>1.636488084126685E-2</c:v>
                </c:pt>
                <c:pt idx="425">
                  <c:v>1.5305497734786335E-3</c:v>
                </c:pt>
                <c:pt idx="426">
                  <c:v>-2.4879271349104427E-2</c:v>
                </c:pt>
                <c:pt idx="427">
                  <c:v>-4.7642928786360283E-3</c:v>
                </c:pt>
                <c:pt idx="428">
                  <c:v>-5.3539934492315092E-3</c:v>
                </c:pt>
                <c:pt idx="429">
                  <c:v>-1.9631435627889449E-3</c:v>
                </c:pt>
                <c:pt idx="430">
                  <c:v>-7.4873096446700944E-3</c:v>
                </c:pt>
                <c:pt idx="431">
                  <c:v>-1.387290627796949E-2</c:v>
                </c:pt>
                <c:pt idx="432">
                  <c:v>4.9918962722853176E-3</c:v>
                </c:pt>
                <c:pt idx="433">
                  <c:v>1.5610888917558944E-2</c:v>
                </c:pt>
                <c:pt idx="434">
                  <c:v>1.3592479674796843E-2</c:v>
                </c:pt>
                <c:pt idx="435">
                  <c:v>-6.2601829803233547E-2</c:v>
                </c:pt>
                <c:pt idx="436">
                  <c:v>-1.0361655190855079E-2</c:v>
                </c:pt>
                <c:pt idx="437">
                  <c:v>-1.8508511213185495E-2</c:v>
                </c:pt>
                <c:pt idx="438">
                  <c:v>4.9552649690295858E-3</c:v>
                </c:pt>
                <c:pt idx="439">
                  <c:v>-5.4102177783866626E-3</c:v>
                </c:pt>
                <c:pt idx="440">
                  <c:v>1.2600702334228553E-2</c:v>
                </c:pt>
                <c:pt idx="441">
                  <c:v>5.4399564803470752E-4</c:v>
                </c:pt>
                <c:pt idx="442">
                  <c:v>1.5767296452358446E-2</c:v>
                </c:pt>
                <c:pt idx="443">
                  <c:v>-4.4158972300280784E-3</c:v>
                </c:pt>
                <c:pt idx="444">
                  <c:v>2.0497311827956874E-2</c:v>
                </c:pt>
                <c:pt idx="445">
                  <c:v>4.1488310833058643E-3</c:v>
                </c:pt>
                <c:pt idx="446">
                  <c:v>-1.4428121720881353E-2</c:v>
                </c:pt>
                <c:pt idx="447">
                  <c:v>2.0428533404311906E-2</c:v>
                </c:pt>
                <c:pt idx="448">
                  <c:v>1.9237039452233564E-2</c:v>
                </c:pt>
                <c:pt idx="449">
                  <c:v>5.3742802303261353E-3</c:v>
                </c:pt>
                <c:pt idx="450">
                  <c:v>5.5364642993509265E-3</c:v>
                </c:pt>
                <c:pt idx="451">
                  <c:v>8.9867729890514263E-3</c:v>
                </c:pt>
                <c:pt idx="452">
                  <c:v>-1.0098475820109224E-2</c:v>
                </c:pt>
                <c:pt idx="453">
                  <c:v>3.9918894943606351E-3</c:v>
                </c:pt>
                <c:pt idx="454">
                  <c:v>2.3540549069107089E-2</c:v>
                </c:pt>
                <c:pt idx="455">
                  <c:v>8.0157849303242254E-3</c:v>
                </c:pt>
                <c:pt idx="456">
                  <c:v>4.5265475899193119E-3</c:v>
                </c:pt>
                <c:pt idx="457">
                  <c:v>-2.6184386798197954E-3</c:v>
                </c:pt>
                <c:pt idx="458">
                  <c:v>-8.7917455278099868E-3</c:v>
                </c:pt>
                <c:pt idx="459">
                  <c:v>1.2996612257468516E-2</c:v>
                </c:pt>
                <c:pt idx="460">
                  <c:v>1.7207831691596644E-2</c:v>
                </c:pt>
                <c:pt idx="461">
                  <c:v>-5.738537868372166E-3</c:v>
                </c:pt>
                <c:pt idx="462">
                  <c:v>9.0182167979318221E-3</c:v>
                </c:pt>
                <c:pt idx="463">
                  <c:v>2.7825776082940994E-2</c:v>
                </c:pt>
                <c:pt idx="464">
                  <c:v>1.7043478260869552E-2</c:v>
                </c:pt>
                <c:pt idx="465">
                  <c:v>1.1798905608755092E-2</c:v>
                </c:pt>
                <c:pt idx="466">
                  <c:v>-3.1885527575911198E-2</c:v>
                </c:pt>
                <c:pt idx="467">
                  <c:v>1.1463485597905143E-2</c:v>
                </c:pt>
                <c:pt idx="468">
                  <c:v>-3.1987113105511465E-2</c:v>
                </c:pt>
                <c:pt idx="469">
                  <c:v>-7.6667062878877455E-3</c:v>
                </c:pt>
                <c:pt idx="470">
                  <c:v>1.2696891657183953E-2</c:v>
                </c:pt>
                <c:pt idx="471">
                  <c:v>-1.4193624696907511E-3</c:v>
                </c:pt>
                <c:pt idx="472">
                  <c:v>1.7648800710690069E-2</c:v>
                </c:pt>
                <c:pt idx="473">
                  <c:v>-5.2377349706106847E-4</c:v>
                </c:pt>
                <c:pt idx="474">
                  <c:v>-2.2708745778503249E-3</c:v>
                </c:pt>
                <c:pt idx="475">
                  <c:v>2.0601108841552387E-2</c:v>
                </c:pt>
                <c:pt idx="476">
                  <c:v>-3.6596523330282844E-3</c:v>
                </c:pt>
                <c:pt idx="477">
                  <c:v>-1.1994949494949513E-2</c:v>
                </c:pt>
                <c:pt idx="478">
                  <c:v>-6.9706651176302376E-4</c:v>
                </c:pt>
                <c:pt idx="479">
                  <c:v>-2.3309887810265599E-2</c:v>
                </c:pt>
                <c:pt idx="480">
                  <c:v>1.1010593976907476E-2</c:v>
                </c:pt>
                <c:pt idx="481">
                  <c:v>-3.7087184317418933E-3</c:v>
                </c:pt>
                <c:pt idx="482">
                  <c:v>-1.5008272276057789E-2</c:v>
                </c:pt>
                <c:pt idx="483">
                  <c:v>1.9796040791841701E-2</c:v>
                </c:pt>
                <c:pt idx="484">
                  <c:v>1.4117647058824064E-3</c:v>
                </c:pt>
                <c:pt idx="485">
                  <c:v>-7.8125000000000729E-3</c:v>
                </c:pt>
                <c:pt idx="486">
                  <c:v>1.4090343970161599E-2</c:v>
                </c:pt>
                <c:pt idx="487">
                  <c:v>-6.0715745227391676E-3</c:v>
                </c:pt>
                <c:pt idx="488">
                  <c:v>-1.2628487518355392E-2</c:v>
                </c:pt>
                <c:pt idx="489">
                  <c:v>5.7108863771565023E-3</c:v>
                </c:pt>
                <c:pt idx="490">
                  <c:v>-1.3131432627469531E-2</c:v>
                </c:pt>
                <c:pt idx="491">
                  <c:v>-8.6310237353152582E-3</c:v>
                </c:pt>
                <c:pt idx="492">
                  <c:v>-9.0689238210399023E-3</c:v>
                </c:pt>
                <c:pt idx="493">
                  <c:v>-7.1995118974985161E-3</c:v>
                </c:pt>
                <c:pt idx="494">
                  <c:v>-8.3579154375613644E-3</c:v>
                </c:pt>
                <c:pt idx="495">
                  <c:v>-2.7144273673773076E-2</c:v>
                </c:pt>
                <c:pt idx="496">
                  <c:v>6.1472799082685735E-2</c:v>
                </c:pt>
                <c:pt idx="497">
                  <c:v>-7.1415711456520297E-3</c:v>
                </c:pt>
                <c:pt idx="498">
                  <c:v>1.3902321083171529E-3</c:v>
                </c:pt>
                <c:pt idx="499">
                  <c:v>1.1528943079616256E-2</c:v>
                </c:pt>
                <c:pt idx="500">
                  <c:v>-6.9220670724431613E-3</c:v>
                </c:pt>
                <c:pt idx="501">
                  <c:v>1.4180987862035897E-2</c:v>
                </c:pt>
                <c:pt idx="502">
                  <c:v>-7.6430856736579688E-3</c:v>
                </c:pt>
                <c:pt idx="503">
                  <c:v>-4.8958146755031439E-3</c:v>
                </c:pt>
                <c:pt idx="504">
                  <c:v>-1.1999760004799905E-2</c:v>
                </c:pt>
                <c:pt idx="505">
                  <c:v>1.0445132689621661E-2</c:v>
                </c:pt>
                <c:pt idx="506">
                  <c:v>-2.4881302962918364E-2</c:v>
                </c:pt>
                <c:pt idx="507">
                  <c:v>-7.4576271186441168E-3</c:v>
                </c:pt>
                <c:pt idx="508">
                  <c:v>-2.5273224043715806E-2</c:v>
                </c:pt>
                <c:pt idx="509">
                  <c:v>-4.1600305790915469E-2</c:v>
                </c:pt>
                <c:pt idx="510">
                  <c:v>-9.3060356288212145E-4</c:v>
                </c:pt>
                <c:pt idx="511">
                  <c:v>1.2707917498336637E-2</c:v>
                </c:pt>
                <c:pt idx="512">
                  <c:v>-1.7213060902700247E-2</c:v>
                </c:pt>
                <c:pt idx="513">
                  <c:v>-9.4257637542616256E-3</c:v>
                </c:pt>
                <c:pt idx="514">
                  <c:v>-8.3007153462006898E-3</c:v>
                </c:pt>
                <c:pt idx="515">
                  <c:v>-1.2521265736644948E-2</c:v>
                </c:pt>
                <c:pt idx="516">
                  <c:v>-1.6401350699469529E-2</c:v>
                </c:pt>
                <c:pt idx="517">
                  <c:v>1.5413718209206116E-3</c:v>
                </c:pt>
                <c:pt idx="518">
                  <c:v>2.1336131514515647E-2</c:v>
                </c:pt>
                <c:pt idx="519">
                  <c:v>-3.5616438356165085E-3</c:v>
                </c:pt>
                <c:pt idx="520">
                  <c:v>-1.024195765740982E-2</c:v>
                </c:pt>
                <c:pt idx="521">
                  <c:v>4.5142023751647839E-3</c:v>
                </c:pt>
                <c:pt idx="522">
                  <c:v>8.7804203539823718E-3</c:v>
                </c:pt>
                <c:pt idx="523">
                  <c:v>1.4803646083201951E-2</c:v>
                </c:pt>
                <c:pt idx="524">
                  <c:v>1.0130343756331848E-3</c:v>
                </c:pt>
                <c:pt idx="525">
                  <c:v>3.3058966401295986E-3</c:v>
                </c:pt>
                <c:pt idx="526">
                  <c:v>-2.2863290969000104E-2</c:v>
                </c:pt>
                <c:pt idx="527">
                  <c:v>5.505471061866636E-4</c:v>
                </c:pt>
                <c:pt idx="528">
                  <c:v>-1.7195130339087972E-3</c:v>
                </c:pt>
                <c:pt idx="529">
                  <c:v>-1.1092738046024427E-2</c:v>
                </c:pt>
                <c:pt idx="530">
                  <c:v>1.9020413850762835E-2</c:v>
                </c:pt>
                <c:pt idx="531">
                  <c:v>-9.8454806508956501E-3</c:v>
                </c:pt>
                <c:pt idx="532">
                  <c:v>-3.2039773511945771E-2</c:v>
                </c:pt>
                <c:pt idx="533">
                  <c:v>1.0058496219146786E-2</c:v>
                </c:pt>
                <c:pt idx="534">
                  <c:v>2.8179956211596927E-2</c:v>
                </c:pt>
                <c:pt idx="535">
                  <c:v>6.2508586344277818E-3</c:v>
                </c:pt>
                <c:pt idx="536">
                  <c:v>-2.5189432725783313E-2</c:v>
                </c:pt>
                <c:pt idx="537">
                  <c:v>1.0504201680670677E-3</c:v>
                </c:pt>
                <c:pt idx="538">
                  <c:v>-3.3298356068555378E-2</c:v>
                </c:pt>
                <c:pt idx="539">
                  <c:v>-9.8415225414283606E-3</c:v>
                </c:pt>
                <c:pt idx="540">
                  <c:v>2.484835196959548E-3</c:v>
                </c:pt>
                <c:pt idx="541">
                  <c:v>1.1883064810089845E-2</c:v>
                </c:pt>
                <c:pt idx="542">
                  <c:v>-1.6210374639769452E-2</c:v>
                </c:pt>
                <c:pt idx="543">
                  <c:v>-3.1709996338337695E-2</c:v>
                </c:pt>
                <c:pt idx="544">
                  <c:v>2.6168507033731719E-2</c:v>
                </c:pt>
                <c:pt idx="545">
                  <c:v>-1.260318396226421E-2</c:v>
                </c:pt>
                <c:pt idx="546">
                  <c:v>-2.0825557960737418E-2</c:v>
                </c:pt>
                <c:pt idx="547">
                  <c:v>-5.1379783503582931E-2</c:v>
                </c:pt>
                <c:pt idx="548">
                  <c:v>-2.5956284153005497E-2</c:v>
                </c:pt>
                <c:pt idx="549">
                  <c:v>4.7355828727002801E-2</c:v>
                </c:pt>
                <c:pt idx="550">
                  <c:v>-7.2469476171721286E-3</c:v>
                </c:pt>
                <c:pt idx="551">
                  <c:v>-2.6977703721336236E-2</c:v>
                </c:pt>
                <c:pt idx="552">
                  <c:v>-4.1262333849792075E-2</c:v>
                </c:pt>
                <c:pt idx="553">
                  <c:v>1.5565195202857979E-2</c:v>
                </c:pt>
                <c:pt idx="554">
                  <c:v>4.8492462311557717E-2</c:v>
                </c:pt>
                <c:pt idx="555">
                  <c:v>1.7733045770428939E-2</c:v>
                </c:pt>
                <c:pt idx="556">
                  <c:v>3.006043481673348E-2</c:v>
                </c:pt>
                <c:pt idx="557">
                  <c:v>-8.0006095702530571E-3</c:v>
                </c:pt>
                <c:pt idx="558">
                  <c:v>2.2275136339196602E-2</c:v>
                </c:pt>
                <c:pt idx="559">
                  <c:v>-6.7623412728231582E-4</c:v>
                </c:pt>
                <c:pt idx="560">
                  <c:v>-6.9172932330826128E-3</c:v>
                </c:pt>
                <c:pt idx="561">
                  <c:v>1.2265293761356572E-2</c:v>
                </c:pt>
                <c:pt idx="562">
                  <c:v>8.3021690351534304E-3</c:v>
                </c:pt>
                <c:pt idx="563">
                  <c:v>3.2119278985238364E-2</c:v>
                </c:pt>
                <c:pt idx="564">
                  <c:v>-4.3122035360068593E-3</c:v>
                </c:pt>
                <c:pt idx="565">
                  <c:v>-2.8728165150858884E-2</c:v>
                </c:pt>
                <c:pt idx="566">
                  <c:v>-7.7288941736027945E-3</c:v>
                </c:pt>
                <c:pt idx="567">
                  <c:v>6.1414020371479416E-3</c:v>
                </c:pt>
                <c:pt idx="568">
                  <c:v>-1.5185350602947685E-2</c:v>
                </c:pt>
                <c:pt idx="569">
                  <c:v>-2.9780801209372619E-2</c:v>
                </c:pt>
                <c:pt idx="570">
                  <c:v>7.9464007478963986E-3</c:v>
                </c:pt>
                <c:pt idx="571">
                  <c:v>-9.5068789611994879E-3</c:v>
                </c:pt>
                <c:pt idx="572">
                  <c:v>-2.4736636753804147E-2</c:v>
                </c:pt>
                <c:pt idx="573">
                  <c:v>4.8007681228998459E-4</c:v>
                </c:pt>
                <c:pt idx="574">
                  <c:v>1.9593730006397862E-2</c:v>
                </c:pt>
                <c:pt idx="575">
                  <c:v>4.6827202133500771E-2</c:v>
                </c:pt>
                <c:pt idx="576">
                  <c:v>-1.371197362505629E-2</c:v>
                </c:pt>
                <c:pt idx="577">
                  <c:v>4.1176023702803433E-2</c:v>
                </c:pt>
                <c:pt idx="578">
                  <c:v>-8.6099963516965104E-3</c:v>
                </c:pt>
                <c:pt idx="579">
                  <c:v>-3.017590343710875E-3</c:v>
                </c:pt>
                <c:pt idx="580">
                  <c:v>-4.7172597076627895E-2</c:v>
                </c:pt>
                <c:pt idx="581">
                  <c:v>-8.7549391802897308E-3</c:v>
                </c:pt>
                <c:pt idx="582">
                  <c:v>-5.7995935594810082E-2</c:v>
                </c:pt>
                <c:pt idx="583">
                  <c:v>5.9741121805509364E-3</c:v>
                </c:pt>
                <c:pt idx="584">
                  <c:v>4.7921478060046208E-2</c:v>
                </c:pt>
                <c:pt idx="585">
                  <c:v>-1.849665486029118E-2</c:v>
                </c:pt>
                <c:pt idx="586">
                  <c:v>1.1066559743384085E-2</c:v>
                </c:pt>
                <c:pt idx="587">
                  <c:v>-2.5539340101522832E-2</c:v>
                </c:pt>
                <c:pt idx="588">
                  <c:v>2.6045905909164925E-2</c:v>
                </c:pt>
                <c:pt idx="589">
                  <c:v>-5.8940187212438572E-2</c:v>
                </c:pt>
                <c:pt idx="590">
                  <c:v>-3.4898423670235192E-2</c:v>
                </c:pt>
                <c:pt idx="591">
                  <c:v>-2.8648790287361354E-2</c:v>
                </c:pt>
                <c:pt idx="592">
                  <c:v>-1.5466235050804774E-2</c:v>
                </c:pt>
                <c:pt idx="593">
                  <c:v>-1.4339209060188084E-2</c:v>
                </c:pt>
                <c:pt idx="594">
                  <c:v>-1.853224610822463E-4</c:v>
                </c:pt>
                <c:pt idx="595">
                  <c:v>4.7358665430954579E-2</c:v>
                </c:pt>
                <c:pt idx="596">
                  <c:v>-3.6279975223432507E-3</c:v>
                </c:pt>
                <c:pt idx="597">
                  <c:v>2.9307282415630652E-2</c:v>
                </c:pt>
                <c:pt idx="598">
                  <c:v>-5.6341673856773085E-2</c:v>
                </c:pt>
                <c:pt idx="599">
                  <c:v>-2.6789796104964861E-2</c:v>
                </c:pt>
                <c:pt idx="600">
                  <c:v>1.4656144306651657E-2</c:v>
                </c:pt>
                <c:pt idx="601">
                  <c:v>5.8333333333332911E-3</c:v>
                </c:pt>
                <c:pt idx="602">
                  <c:v>-1.2335450612169651E-2</c:v>
                </c:pt>
                <c:pt idx="603">
                  <c:v>8.4816851523906844E-3</c:v>
                </c:pt>
                <c:pt idx="604">
                  <c:v>4.3807763401109007E-2</c:v>
                </c:pt>
                <c:pt idx="605">
                  <c:v>2.7005489640517064E-2</c:v>
                </c:pt>
                <c:pt idx="606">
                  <c:v>2.4657298042934733E-2</c:v>
                </c:pt>
                <c:pt idx="607">
                  <c:v>-1.4303744215396509E-3</c:v>
                </c:pt>
                <c:pt idx="608">
                  <c:v>3.9855072463768029E-2</c:v>
                </c:pt>
                <c:pt idx="609">
                  <c:v>-1.9933554817275698E-2</c:v>
                </c:pt>
                <c:pt idx="610">
                  <c:v>-5.9528730880529053E-3</c:v>
                </c:pt>
                <c:pt idx="611">
                  <c:v>1.1977043999001893E-2</c:v>
                </c:pt>
                <c:pt idx="612">
                  <c:v>5.9998356209419249E-3</c:v>
                </c:pt>
                <c:pt idx="613">
                  <c:v>-3.1045751633987019E-2</c:v>
                </c:pt>
                <c:pt idx="614">
                  <c:v>-3.2630691399662654E-2</c:v>
                </c:pt>
                <c:pt idx="615">
                  <c:v>-3.7392138063279054E-2</c:v>
                </c:pt>
                <c:pt idx="616">
                  <c:v>2.5353132922854142E-3</c:v>
                </c:pt>
                <c:pt idx="617">
                  <c:v>2.4566473988439298E-2</c:v>
                </c:pt>
                <c:pt idx="618">
                  <c:v>-5.5712270803949165E-2</c:v>
                </c:pt>
                <c:pt idx="619">
                  <c:v>2.0537714712471886E-3</c:v>
                </c:pt>
                <c:pt idx="620">
                  <c:v>1.248369666480346E-2</c:v>
                </c:pt>
                <c:pt idx="621">
                  <c:v>-3.4596981965403062E-2</c:v>
                </c:pt>
                <c:pt idx="622">
                  <c:v>2.9355699580632846E-2</c:v>
                </c:pt>
                <c:pt idx="623">
                  <c:v>4.5462962962962934E-2</c:v>
                </c:pt>
                <c:pt idx="624">
                  <c:v>-2.1344433619697074E-2</c:v>
                </c:pt>
                <c:pt idx="625">
                  <c:v>-6.9864253393665143E-2</c:v>
                </c:pt>
                <c:pt idx="626">
                  <c:v>4.5728741000194478E-3</c:v>
                </c:pt>
                <c:pt idx="627">
                  <c:v>-1.0169491525423702E-2</c:v>
                </c:pt>
                <c:pt idx="628">
                  <c:v>-9.9804305283756941E-3</c:v>
                </c:pt>
                <c:pt idx="629">
                  <c:v>3.1033801146471498E-2</c:v>
                </c:pt>
                <c:pt idx="630">
                  <c:v>-8.6273006134958983E-4</c:v>
                </c:pt>
                <c:pt idx="631">
                  <c:v>3.7417250311810334E-2</c:v>
                </c:pt>
                <c:pt idx="632">
                  <c:v>-1.8496254508460987E-3</c:v>
                </c:pt>
                <c:pt idx="633">
                  <c:v>-2.6128045955712102E-2</c:v>
                </c:pt>
                <c:pt idx="634">
                  <c:v>-1.2843687565407614E-2</c:v>
                </c:pt>
                <c:pt idx="635">
                  <c:v>1.3010794140323769E-2</c:v>
                </c:pt>
                <c:pt idx="636">
                  <c:v>-1.7981162591570742E-2</c:v>
                </c:pt>
                <c:pt idx="637">
                  <c:v>1.4338306529742337E-2</c:v>
                </c:pt>
                <c:pt idx="638">
                  <c:v>-7.2588347659981386E-3</c:v>
                </c:pt>
                <c:pt idx="639">
                  <c:v>5.0509909563209547E-2</c:v>
                </c:pt>
                <c:pt idx="640">
                  <c:v>1.7584027841377432E-2</c:v>
                </c:pt>
                <c:pt idx="641">
                  <c:v>4.5900459004590503E-3</c:v>
                </c:pt>
                <c:pt idx="642">
                  <c:v>-2.2397419817237054E-2</c:v>
                </c:pt>
                <c:pt idx="643">
                  <c:v>1.4662756598240157E-3</c:v>
                </c:pt>
                <c:pt idx="644">
                  <c:v>-3.7335285505124438E-2</c:v>
                </c:pt>
                <c:pt idx="645">
                  <c:v>2.5285171102661565E-2</c:v>
                </c:pt>
                <c:pt idx="646">
                  <c:v>4.0515483033562068E-2</c:v>
                </c:pt>
                <c:pt idx="647">
                  <c:v>2.3968635837120177E-2</c:v>
                </c:pt>
                <c:pt idx="648">
                  <c:v>-5.395057431256566E-3</c:v>
                </c:pt>
                <c:pt idx="649">
                  <c:v>-2.2134733158355215E-2</c:v>
                </c:pt>
                <c:pt idx="650">
                  <c:v>2.2456830992216206E-2</c:v>
                </c:pt>
                <c:pt idx="651">
                  <c:v>1.7500875043752436E-3</c:v>
                </c:pt>
                <c:pt idx="652">
                  <c:v>-5.3284416491963613E-3</c:v>
                </c:pt>
                <c:pt idx="653">
                  <c:v>1.1416527619214495E-3</c:v>
                </c:pt>
                <c:pt idx="654">
                  <c:v>-3.4122807017543867E-2</c:v>
                </c:pt>
                <c:pt idx="655">
                  <c:v>2.751793660884571E-2</c:v>
                </c:pt>
                <c:pt idx="656">
                  <c:v>8.4850627541098976E-3</c:v>
                </c:pt>
                <c:pt idx="657">
                  <c:v>1.7265556529360203E-2</c:v>
                </c:pt>
                <c:pt idx="658">
                  <c:v>2.1538726630481609E-3</c:v>
                </c:pt>
                <c:pt idx="659">
                  <c:v>1.4958734525447121E-2</c:v>
                </c:pt>
                <c:pt idx="660">
                  <c:v>-8.6396747416567516E-3</c:v>
                </c:pt>
                <c:pt idx="661">
                  <c:v>-8.8004101161995984E-3</c:v>
                </c:pt>
                <c:pt idx="662">
                  <c:v>-2.4566847685544423E-2</c:v>
                </c:pt>
                <c:pt idx="663">
                  <c:v>-2.4920466595970248E-2</c:v>
                </c:pt>
                <c:pt idx="664">
                  <c:v>3.0813848105854941E-3</c:v>
                </c:pt>
                <c:pt idx="665">
                  <c:v>6.5955908926634416E-3</c:v>
                </c:pt>
                <c:pt idx="666">
                  <c:v>1.6246297459833071E-2</c:v>
                </c:pt>
                <c:pt idx="667">
                  <c:v>-4.3631867161278905E-2</c:v>
                </c:pt>
                <c:pt idx="668">
                  <c:v>-3.6941263391208506E-3</c:v>
                </c:pt>
                <c:pt idx="669">
                  <c:v>-1.8539117538001504E-4</c:v>
                </c:pt>
                <c:pt idx="670">
                  <c:v>-1.3072501390691606E-2</c:v>
                </c:pt>
                <c:pt idx="671">
                  <c:v>3.7576326914036677E-4</c:v>
                </c:pt>
                <c:pt idx="672">
                  <c:v>-7.0429148276833506E-3</c:v>
                </c:pt>
                <c:pt idx="673">
                  <c:v>-5.5797238509550711E-3</c:v>
                </c:pt>
                <c:pt idx="674">
                  <c:v>3.166904422253921E-2</c:v>
                </c:pt>
                <c:pt idx="675">
                  <c:v>2.3045722713864306E-3</c:v>
                </c:pt>
                <c:pt idx="676">
                  <c:v>2.0601489929182329E-2</c:v>
                </c:pt>
                <c:pt idx="677">
                  <c:v>1.2706136793728003E-2</c:v>
                </c:pt>
                <c:pt idx="678">
                  <c:v>-5.9263214095034676E-2</c:v>
                </c:pt>
                <c:pt idx="679">
                  <c:v>1.2107453651154003E-2</c:v>
                </c:pt>
                <c:pt idx="680">
                  <c:v>-1.4018691588785047E-2</c:v>
                </c:pt>
                <c:pt idx="681">
                  <c:v>-1.3080568720379104E-2</c:v>
                </c:pt>
                <c:pt idx="682">
                  <c:v>2.9677295428351798E-2</c:v>
                </c:pt>
                <c:pt idx="683">
                  <c:v>-4.4678668034698187E-2</c:v>
                </c:pt>
                <c:pt idx="684">
                  <c:v>-2.5678578402655687E-2</c:v>
                </c:pt>
                <c:pt idx="685">
                  <c:v>-1.2426094799078155E-2</c:v>
                </c:pt>
                <c:pt idx="686">
                  <c:v>-1.5525114155251154E-2</c:v>
                </c:pt>
                <c:pt idx="687">
                  <c:v>-9.8948670377241171E-3</c:v>
                </c:pt>
                <c:pt idx="688">
                  <c:v>2.3943368727878823E-3</c:v>
                </c:pt>
                <c:pt idx="689">
                  <c:v>2.5028559559663481E-2</c:v>
                </c:pt>
                <c:pt idx="690">
                  <c:v>-3.4143870314083127E-2</c:v>
                </c:pt>
                <c:pt idx="691">
                  <c:v>-0.12808140144760299</c:v>
                </c:pt>
                <c:pt idx="692">
                  <c:v>2.7430221366698759E-2</c:v>
                </c:pt>
                <c:pt idx="693">
                  <c:v>3.7939110070257548E-2</c:v>
                </c:pt>
                <c:pt idx="694">
                  <c:v>2.7752707581227366E-2</c:v>
                </c:pt>
                <c:pt idx="695">
                  <c:v>-1.0208562019758427E-2</c:v>
                </c:pt>
                <c:pt idx="696">
                  <c:v>-3.3381390706443442E-2</c:v>
                </c:pt>
                <c:pt idx="697">
                  <c:v>-5.3923818265259162E-3</c:v>
                </c:pt>
                <c:pt idx="698">
                  <c:v>1.4995962625446963E-2</c:v>
                </c:pt>
                <c:pt idx="699">
                  <c:v>5.9097624730084126E-3</c:v>
                </c:pt>
                <c:pt idx="700">
                  <c:v>1.1863066320189776E-2</c:v>
                </c:pt>
                <c:pt idx="701">
                  <c:v>-2.2443054935239001E-2</c:v>
                </c:pt>
                <c:pt idx="702">
                  <c:v>2.7641347801256447E-2</c:v>
                </c:pt>
                <c:pt idx="703">
                  <c:v>-3.2232966544402807E-3</c:v>
                </c:pt>
                <c:pt idx="704">
                  <c:v>-1.2377341659232979E-2</c:v>
                </c:pt>
                <c:pt idx="705">
                  <c:v>-1.9645478152873378E-2</c:v>
                </c:pt>
                <c:pt idx="706">
                  <c:v>1.9232983991707954E-2</c:v>
                </c:pt>
                <c:pt idx="707">
                  <c:v>-5.5367231638417504E-3</c:v>
                </c:pt>
                <c:pt idx="708">
                  <c:v>4.2154300647653603E-2</c:v>
                </c:pt>
                <c:pt idx="709">
                  <c:v>7.3048408198866299E-3</c:v>
                </c:pt>
                <c:pt idx="710">
                  <c:v>-2.0023812100876656E-2</c:v>
                </c:pt>
                <c:pt idx="711">
                  <c:v>3.6337530373315573E-2</c:v>
                </c:pt>
                <c:pt idx="712">
                  <c:v>-1.2256208035809351E-2</c:v>
                </c:pt>
                <c:pt idx="713">
                  <c:v>1.1760897712559226E-2</c:v>
                </c:pt>
                <c:pt idx="714">
                  <c:v>-3.7005438839714182E-2</c:v>
                </c:pt>
                <c:pt idx="715">
                  <c:v>1.1074197120709694E-3</c:v>
                </c:pt>
                <c:pt idx="716">
                  <c:v>5.962389380530974E-2</c:v>
                </c:pt>
                <c:pt idx="717">
                  <c:v>-2.4532832237185598E-2</c:v>
                </c:pt>
                <c:pt idx="718">
                  <c:v>3.3176369863013944E-3</c:v>
                </c:pt>
                <c:pt idx="719">
                  <c:v>-1.760000000000006E-2</c:v>
                </c:pt>
                <c:pt idx="720">
                  <c:v>8.0238870792616726E-2</c:v>
                </c:pt>
                <c:pt idx="721">
                  <c:v>6.6338325459845304E-2</c:v>
                </c:pt>
                <c:pt idx="722">
                  <c:v>-1.6024130455273851E-2</c:v>
                </c:pt>
                <c:pt idx="723">
                  <c:v>2.2224350991474212E-2</c:v>
                </c:pt>
                <c:pt idx="724">
                  <c:v>-1.3869365570236996E-2</c:v>
                </c:pt>
                <c:pt idx="725">
                  <c:v>1.2353891475814448E-3</c:v>
                </c:pt>
                <c:pt idx="726">
                  <c:v>5.6947608200457736E-4</c:v>
                </c:pt>
                <c:pt idx="727">
                  <c:v>-1.5082527034718301E-2</c:v>
                </c:pt>
                <c:pt idx="728">
                  <c:v>2.0610613502841189E-2</c:v>
                </c:pt>
                <c:pt idx="729">
                  <c:v>6.4169104463528059E-3</c:v>
                </c:pt>
                <c:pt idx="730">
                  <c:v>-6.4697609001407586E-3</c:v>
                </c:pt>
                <c:pt idx="731">
                  <c:v>-9.4375235938089844E-3</c:v>
                </c:pt>
                <c:pt idx="732">
                  <c:v>1.2290396341463474E-2</c:v>
                </c:pt>
                <c:pt idx="733">
                  <c:v>3.237647058823527E-2</c:v>
                </c:pt>
                <c:pt idx="734">
                  <c:v>1.2945573890053803E-2</c:v>
                </c:pt>
                <c:pt idx="735">
                  <c:v>9.810098100981041E-3</c:v>
                </c:pt>
                <c:pt idx="736">
                  <c:v>-2.2994652406417095E-2</c:v>
                </c:pt>
                <c:pt idx="737">
                  <c:v>-1.5416894727239533E-2</c:v>
                </c:pt>
                <c:pt idx="738">
                  <c:v>3.706105809320777E-3</c:v>
                </c:pt>
                <c:pt idx="739">
                  <c:v>2.7970091387427315E-2</c:v>
                </c:pt>
                <c:pt idx="740">
                  <c:v>-1.7420977011494233E-2</c:v>
                </c:pt>
                <c:pt idx="741">
                  <c:v>2.4218607201608403E-2</c:v>
                </c:pt>
                <c:pt idx="742">
                  <c:v>6.9599357544392008E-3</c:v>
                </c:pt>
                <c:pt idx="743">
                  <c:v>-1.2405848471422167E-2</c:v>
                </c:pt>
                <c:pt idx="744">
                  <c:v>-2.6379542395693116E-2</c:v>
                </c:pt>
                <c:pt idx="745">
                  <c:v>-2.3592295640954771E-2</c:v>
                </c:pt>
                <c:pt idx="746">
                  <c:v>-2.7371401604530492E-2</c:v>
                </c:pt>
                <c:pt idx="747">
                  <c:v>1.5526443474041397E-3</c:v>
                </c:pt>
                <c:pt idx="748">
                  <c:v>0.12179052417401423</c:v>
                </c:pt>
                <c:pt idx="749">
                  <c:v>8.0324753843495651E-3</c:v>
                </c:pt>
                <c:pt idx="750">
                  <c:v>-3.9413931968125589E-3</c:v>
                </c:pt>
                <c:pt idx="751">
                  <c:v>1.1268817204301096E-2</c:v>
                </c:pt>
                <c:pt idx="752">
                  <c:v>-2.1946240217761127E-2</c:v>
                </c:pt>
                <c:pt idx="753">
                  <c:v>2.0612280396590625E-2</c:v>
                </c:pt>
                <c:pt idx="754">
                  <c:v>-2.8973157221984596E-3</c:v>
                </c:pt>
                <c:pt idx="755">
                  <c:v>1.4870523886847233E-2</c:v>
                </c:pt>
                <c:pt idx="756">
                  <c:v>2.0715789473684156E-2</c:v>
                </c:pt>
                <c:pt idx="757">
                  <c:v>-4.8675851827406089E-3</c:v>
                </c:pt>
                <c:pt idx="758">
                  <c:v>3.2415851434256314E-2</c:v>
                </c:pt>
                <c:pt idx="759">
                  <c:v>2.5696619288524307E-3</c:v>
                </c:pt>
                <c:pt idx="760">
                  <c:v>7.9295154185022761E-3</c:v>
                </c:pt>
                <c:pt idx="761">
                  <c:v>1.668785759694846E-2</c:v>
                </c:pt>
                <c:pt idx="762">
                  <c:v>-3.9080819133966826E-4</c:v>
                </c:pt>
                <c:pt idx="763">
                  <c:v>7.5064508562045018E-3</c:v>
                </c:pt>
                <c:pt idx="764">
                  <c:v>-5.5102832751261774E-3</c:v>
                </c:pt>
                <c:pt idx="765">
                  <c:v>-1.3344779147806927E-2</c:v>
                </c:pt>
                <c:pt idx="766">
                  <c:v>-1.5028078778770906E-2</c:v>
                </c:pt>
                <c:pt idx="767">
                  <c:v>1.6783104472817823E-2</c:v>
                </c:pt>
                <c:pt idx="768">
                  <c:v>1.3189069657242043E-2</c:v>
                </c:pt>
                <c:pt idx="769">
                  <c:v>-1.1380466131420951E-2</c:v>
                </c:pt>
                <c:pt idx="770">
                  <c:v>-7.8845698967161678E-5</c:v>
                </c:pt>
                <c:pt idx="771">
                  <c:v>5.5984860432109129E-3</c:v>
                </c:pt>
                <c:pt idx="772">
                  <c:v>0</c:v>
                </c:pt>
                <c:pt idx="773">
                  <c:v>-9.0958990041558573E-3</c:v>
                </c:pt>
                <c:pt idx="774">
                  <c:v>7.5967397325314052E-3</c:v>
                </c:pt>
                <c:pt idx="775">
                  <c:v>1.7042330951072032E-2</c:v>
                </c:pt>
                <c:pt idx="776">
                  <c:v>-3.39768339768338E-3</c:v>
                </c:pt>
                <c:pt idx="777">
                  <c:v>-1.1235084456841802E-2</c:v>
                </c:pt>
                <c:pt idx="778">
                  <c:v>-1.4732387743907182E-2</c:v>
                </c:pt>
                <c:pt idx="779">
                  <c:v>-3.1814205042551952E-3</c:v>
                </c:pt>
                <c:pt idx="780">
                  <c:v>-1.9309024176174912E-2</c:v>
                </c:pt>
                <c:pt idx="781">
                  <c:v>-5.9393051826538918E-3</c:v>
                </c:pt>
                <c:pt idx="782">
                  <c:v>4.0923228024224221E-4</c:v>
                </c:pt>
                <c:pt idx="783">
                  <c:v>2.3889388857072744E-2</c:v>
                </c:pt>
                <c:pt idx="784">
                  <c:v>8.3899320815021741E-3</c:v>
                </c:pt>
                <c:pt idx="785">
                  <c:v>1.0142630744849454E-2</c:v>
                </c:pt>
                <c:pt idx="786">
                  <c:v>-2.4317540006275562E-2</c:v>
                </c:pt>
                <c:pt idx="787">
                  <c:v>3.6983437851745293E-3</c:v>
                </c:pt>
                <c:pt idx="788">
                  <c:v>-2.9958346683755278E-2</c:v>
                </c:pt>
                <c:pt idx="789">
                  <c:v>-9.9091659785300462E-3</c:v>
                </c:pt>
                <c:pt idx="790">
                  <c:v>5.004170141783825E-4</c:v>
                </c:pt>
                <c:pt idx="791">
                  <c:v>-1.6005335111703798E-2</c:v>
                </c:pt>
                <c:pt idx="792">
                  <c:v>4.1511352084038873E-3</c:v>
                </c:pt>
                <c:pt idx="793">
                  <c:v>2.1935375010546285E-3</c:v>
                </c:pt>
                <c:pt idx="794">
                  <c:v>-1.7678255745433786E-3</c:v>
                </c:pt>
                <c:pt idx="795">
                  <c:v>8.4331253162421987E-3</c:v>
                </c:pt>
                <c:pt idx="796">
                  <c:v>1.1373139320956677E-2</c:v>
                </c:pt>
                <c:pt idx="797">
                  <c:v>-6.3667934512981316E-3</c:v>
                </c:pt>
                <c:pt idx="798">
                  <c:v>-4.8264957976200239E-3</c:v>
                </c:pt>
                <c:pt idx="799">
                  <c:v>2.2577138556735179E-3</c:v>
                </c:pt>
                <c:pt idx="800">
                  <c:v>-1.660270315367925E-2</c:v>
                </c:pt>
                <c:pt idx="801">
                  <c:v>-3.2238907270722801E-3</c:v>
                </c:pt>
                <c:pt idx="802">
                  <c:v>-5.3621584815728611E-3</c:v>
                </c:pt>
                <c:pt idx="803">
                  <c:v>1.8312510696559991E-2</c:v>
                </c:pt>
                <c:pt idx="804">
                  <c:v>-6.9747899159663725E-3</c:v>
                </c:pt>
                <c:pt idx="805">
                  <c:v>2.0986714056021021E-2</c:v>
                </c:pt>
                <c:pt idx="806">
                  <c:v>-2.1549937836718202E-3</c:v>
                </c:pt>
                <c:pt idx="807">
                  <c:v>6.7281335659108085E-3</c:v>
                </c:pt>
                <c:pt idx="808">
                  <c:v>3.6386138613861356E-2</c:v>
                </c:pt>
                <c:pt idx="809">
                  <c:v>-4.8642623994904863E-2</c:v>
                </c:pt>
                <c:pt idx="810">
                  <c:v>1.2301255230125513E-2</c:v>
                </c:pt>
                <c:pt idx="811">
                  <c:v>-2.1492932131933961E-3</c:v>
                </c:pt>
                <c:pt idx="812">
                  <c:v>-2.4024521580647763E-2</c:v>
                </c:pt>
                <c:pt idx="813">
                  <c:v>5.0929462694170502E-4</c:v>
                </c:pt>
                <c:pt idx="814">
                  <c:v>2.2227878170866126E-2</c:v>
                </c:pt>
                <c:pt idx="815">
                  <c:v>-3.2367831355299245E-3</c:v>
                </c:pt>
                <c:pt idx="816">
                  <c:v>2.1149042464612876E-2</c:v>
                </c:pt>
                <c:pt idx="817">
                  <c:v>-7.9093281148075577E-3</c:v>
                </c:pt>
                <c:pt idx="818">
                  <c:v>1.660228486890767E-2</c:v>
                </c:pt>
                <c:pt idx="819">
                  <c:v>-2.2556390977443545E-2</c:v>
                </c:pt>
                <c:pt idx="820">
                  <c:v>-5.6244830438379389E-3</c:v>
                </c:pt>
                <c:pt idx="821">
                  <c:v>1.4057561137913805E-2</c:v>
                </c:pt>
                <c:pt idx="822">
                  <c:v>1.1401853826593394E-2</c:v>
                </c:pt>
                <c:pt idx="823">
                  <c:v>2.9197080291970758E-3</c:v>
                </c:pt>
                <c:pt idx="824">
                  <c:v>2.2400129387029035E-2</c:v>
                </c:pt>
                <c:pt idx="825">
                  <c:v>-3.7965672704263543E-3</c:v>
                </c:pt>
                <c:pt idx="826">
                  <c:v>1.9055180627232623E-3</c:v>
                </c:pt>
                <c:pt idx="827">
                  <c:v>1.5849116411756892E-4</c:v>
                </c:pt>
                <c:pt idx="828">
                  <c:v>-4.2785833135250148E-3</c:v>
                </c:pt>
                <c:pt idx="829">
                  <c:v>-9.7079653059600444E-3</c:v>
                </c:pt>
                <c:pt idx="830">
                  <c:v>8.6781840096424121E-3</c:v>
                </c:pt>
                <c:pt idx="831">
                  <c:v>1.2427308213176152E-2</c:v>
                </c:pt>
                <c:pt idx="832">
                  <c:v>-1.912030844283584E-2</c:v>
                </c:pt>
                <c:pt idx="833">
                  <c:v>-6.5778918658751257E-3</c:v>
                </c:pt>
                <c:pt idx="834">
                  <c:v>1.5019379844961236E-2</c:v>
                </c:pt>
                <c:pt idx="835">
                  <c:v>8.1145584725536672E-3</c:v>
                </c:pt>
                <c:pt idx="836">
                  <c:v>9.4696969696969925E-3</c:v>
                </c:pt>
                <c:pt idx="837">
                  <c:v>-5.1594746716697665E-3</c:v>
                </c:pt>
                <c:pt idx="838">
                  <c:v>-4.086122898004166E-3</c:v>
                </c:pt>
                <c:pt idx="839">
                  <c:v>-2.422281836831303E-2</c:v>
                </c:pt>
                <c:pt idx="840">
                  <c:v>2.3611223417158579E-2</c:v>
                </c:pt>
                <c:pt idx="841">
                  <c:v>2.2908602575242281E-3</c:v>
                </c:pt>
                <c:pt idx="842">
                  <c:v>-1.4029003783102153E-2</c:v>
                </c:pt>
                <c:pt idx="843">
                  <c:v>-1.2709832134292481E-2</c:v>
                </c:pt>
                <c:pt idx="844">
                  <c:v>-1.0444498421180521E-2</c:v>
                </c:pt>
                <c:pt idx="845">
                  <c:v>-1.6445753559155663E-2</c:v>
                </c:pt>
                <c:pt idx="846">
                  <c:v>-3.1611346809749226E-3</c:v>
                </c:pt>
                <c:pt idx="847">
                  <c:v>-2.7956271384461273E-2</c:v>
                </c:pt>
                <c:pt idx="848">
                  <c:v>4.2925824175824171E-3</c:v>
                </c:pt>
                <c:pt idx="849">
                  <c:v>1.6156607967173879E-2</c:v>
                </c:pt>
                <c:pt idx="850">
                  <c:v>-3.4575586775468993E-2</c:v>
                </c:pt>
                <c:pt idx="851">
                  <c:v>-3.9909376089229683E-2</c:v>
                </c:pt>
                <c:pt idx="852">
                  <c:v>-1.2706480304955577E-2</c:v>
                </c:pt>
                <c:pt idx="853">
                  <c:v>-4.5045045045044576E-3</c:v>
                </c:pt>
                <c:pt idx="854">
                  <c:v>-7.4799150429402739E-3</c:v>
                </c:pt>
                <c:pt idx="855">
                  <c:v>2.7912169705992867E-4</c:v>
                </c:pt>
                <c:pt idx="856">
                  <c:v>-9.2084457259790625E-3</c:v>
                </c:pt>
                <c:pt idx="857">
                  <c:v>-1.1828764551257896E-2</c:v>
                </c:pt>
                <c:pt idx="858">
                  <c:v>-1.5485464563937009E-2</c:v>
                </c:pt>
                <c:pt idx="859">
                  <c:v>4.0046318633600364E-2</c:v>
                </c:pt>
                <c:pt idx="860">
                  <c:v>-2.39376507700872E-2</c:v>
                </c:pt>
                <c:pt idx="861">
                  <c:v>9.4106463878326514E-3</c:v>
                </c:pt>
                <c:pt idx="862">
                  <c:v>8.4753743290329198E-3</c:v>
                </c:pt>
                <c:pt idx="863">
                  <c:v>-8.3107666448781446E-3</c:v>
                </c:pt>
                <c:pt idx="864">
                  <c:v>-3.2015065913371318E-3</c:v>
                </c:pt>
                <c:pt idx="865">
                  <c:v>9.1630455318344878E-3</c:v>
                </c:pt>
                <c:pt idx="866">
                  <c:v>-4.6803332397264024E-4</c:v>
                </c:pt>
                <c:pt idx="867">
                  <c:v>5.6939501779359414E-2</c:v>
                </c:pt>
                <c:pt idx="868">
                  <c:v>-3.9872408293461174E-3</c:v>
                </c:pt>
                <c:pt idx="869">
                  <c:v>1.0497286718263561E-2</c:v>
                </c:pt>
                <c:pt idx="870">
                  <c:v>-3.5654547055198493E-2</c:v>
                </c:pt>
                <c:pt idx="871">
                  <c:v>4.0167975168887869E-3</c:v>
                </c:pt>
                <c:pt idx="872">
                  <c:v>4.3644298963446968E-3</c:v>
                </c:pt>
                <c:pt idx="873">
                  <c:v>-8.5098678254571583E-3</c:v>
                </c:pt>
                <c:pt idx="874">
                  <c:v>2.0270270270270261E-2</c:v>
                </c:pt>
                <c:pt idx="875">
                  <c:v>1.6735278324682339E-2</c:v>
                </c:pt>
                <c:pt idx="876">
                  <c:v>-5.1051844027814302E-3</c:v>
                </c:pt>
                <c:pt idx="877">
                  <c:v>3.0080509599221747E-3</c:v>
                </c:pt>
                <c:pt idx="878">
                  <c:v>-2.6462026991267529E-2</c:v>
                </c:pt>
                <c:pt idx="879">
                  <c:v>-1.1416145691764112E-2</c:v>
                </c:pt>
                <c:pt idx="880">
                  <c:v>-1.8421776189166943E-2</c:v>
                </c:pt>
                <c:pt idx="881">
                  <c:v>-1.8674136321195144E-2</c:v>
                </c:pt>
                <c:pt idx="882">
                  <c:v>-6.0894386298763143E-3</c:v>
                </c:pt>
                <c:pt idx="883">
                  <c:v>1.2636415852958141E-2</c:v>
                </c:pt>
                <c:pt idx="884">
                  <c:v>1.5220268481754579E-2</c:v>
                </c:pt>
                <c:pt idx="885">
                  <c:v>3.4453859763479331E-3</c:v>
                </c:pt>
                <c:pt idx="886">
                  <c:v>7.423904974016174E-4</c:v>
                </c:pt>
                <c:pt idx="887">
                  <c:v>1.0200296735904991E-3</c:v>
                </c:pt>
                <c:pt idx="888">
                  <c:v>7.0402964335339593E-3</c:v>
                </c:pt>
                <c:pt idx="889">
                  <c:v>9.2907736178824869E-3</c:v>
                </c:pt>
                <c:pt idx="890">
                  <c:v>1.4582573824279675E-3</c:v>
                </c:pt>
                <c:pt idx="891">
                  <c:v>-2.1386967601019245E-2</c:v>
                </c:pt>
                <c:pt idx="892">
                  <c:v>1.4228587370966252E-2</c:v>
                </c:pt>
                <c:pt idx="893">
                  <c:v>-2.6590867412434097E-3</c:v>
                </c:pt>
                <c:pt idx="894">
                  <c:v>-4.3210444056265415E-3</c:v>
                </c:pt>
                <c:pt idx="895">
                  <c:v>9.2336103416435829E-3</c:v>
                </c:pt>
                <c:pt idx="896">
                  <c:v>-1.4913083257090535E-2</c:v>
                </c:pt>
                <c:pt idx="897">
                  <c:v>8.823256245936684E-3</c:v>
                </c:pt>
                <c:pt idx="898">
                  <c:v>1.6295341557724139E-2</c:v>
                </c:pt>
                <c:pt idx="899">
                  <c:v>-8.96820364163416E-3</c:v>
                </c:pt>
                <c:pt idx="900">
                  <c:v>-1.7276051188299821E-2</c:v>
                </c:pt>
                <c:pt idx="901">
                  <c:v>1.0510650172076974E-2</c:v>
                </c:pt>
                <c:pt idx="902">
                  <c:v>1.5648011782032557E-3</c:v>
                </c:pt>
                <c:pt idx="903">
                  <c:v>1.5347854057531493E-2</c:v>
                </c:pt>
                <c:pt idx="904">
                  <c:v>-7.1506154960174354E-3</c:v>
                </c:pt>
                <c:pt idx="905">
                  <c:v>0</c:v>
                </c:pt>
                <c:pt idx="906">
                  <c:v>-6.0169568784756737E-3</c:v>
                </c:pt>
                <c:pt idx="907">
                  <c:v>-8.6214803265156174E-3</c:v>
                </c:pt>
                <c:pt idx="908">
                  <c:v>-4.1631973355537311E-3</c:v>
                </c:pt>
                <c:pt idx="909">
                  <c:v>-1.0126347082868853E-2</c:v>
                </c:pt>
                <c:pt idx="910">
                  <c:v>-1.8770530267476322E-4</c:v>
                </c:pt>
                <c:pt idx="911">
                  <c:v>-1.3892800150192472E-2</c:v>
                </c:pt>
                <c:pt idx="912">
                  <c:v>-2.2846263683959532E-3</c:v>
                </c:pt>
                <c:pt idx="913">
                  <c:v>-1.8605094933689559E-2</c:v>
                </c:pt>
                <c:pt idx="914">
                  <c:v>-1.3610733035193522E-2</c:v>
                </c:pt>
                <c:pt idx="915">
                  <c:v>-2.6710033510743091E-2</c:v>
                </c:pt>
                <c:pt idx="916">
                  <c:v>-1.134177215189878E-2</c:v>
                </c:pt>
                <c:pt idx="917">
                  <c:v>1.2393731435009813E-2</c:v>
                </c:pt>
                <c:pt idx="918">
                  <c:v>7.9927154997975723E-3</c:v>
                </c:pt>
                <c:pt idx="919">
                  <c:v>2.1479474053999806E-2</c:v>
                </c:pt>
                <c:pt idx="920">
                  <c:v>3.2426058759948738E-3</c:v>
                </c:pt>
                <c:pt idx="921">
                  <c:v>-3.8197845249755198E-3</c:v>
                </c:pt>
                <c:pt idx="922">
                  <c:v>6.3907187100580645E-3</c:v>
                </c:pt>
                <c:pt idx="923">
                  <c:v>-1.9929660023446719E-2</c:v>
                </c:pt>
                <c:pt idx="924">
                  <c:v>-1.3955342902709964E-3</c:v>
                </c:pt>
                <c:pt idx="925">
                  <c:v>-2.2459572769015772E-2</c:v>
                </c:pt>
                <c:pt idx="926">
                  <c:v>-2.6549576227918423E-3</c:v>
                </c:pt>
                <c:pt idx="927">
                  <c:v>-9.0099314016585993E-3</c:v>
                </c:pt>
                <c:pt idx="928">
                  <c:v>-5.0625064572787379E-3</c:v>
                </c:pt>
                <c:pt idx="929">
                  <c:v>-1.7653167185877644E-3</c:v>
                </c:pt>
                <c:pt idx="930">
                  <c:v>1.1026734630188311E-2</c:v>
                </c:pt>
                <c:pt idx="931">
                  <c:v>-9.5688856878278893E-3</c:v>
                </c:pt>
                <c:pt idx="932">
                  <c:v>-7.7913982962809058E-3</c:v>
                </c:pt>
                <c:pt idx="933">
                  <c:v>-9.3183959794785939E-3</c:v>
                </c:pt>
                <c:pt idx="934">
                  <c:v>-6.1297822870428897E-3</c:v>
                </c:pt>
                <c:pt idx="935">
                  <c:v>-2.6052743513398584E-2</c:v>
                </c:pt>
                <c:pt idx="936">
                  <c:v>-8.0794846598974679E-3</c:v>
                </c:pt>
                <c:pt idx="937">
                  <c:v>-2.7517886626307101E-3</c:v>
                </c:pt>
                <c:pt idx="938">
                  <c:v>-4.7461368653420825E-3</c:v>
                </c:pt>
                <c:pt idx="939">
                  <c:v>-8.317622269047354E-3</c:v>
                </c:pt>
                <c:pt idx="940">
                  <c:v>2.3484679042719051E-3</c:v>
                </c:pt>
                <c:pt idx="941">
                  <c:v>6.6830302354122614E-2</c:v>
                </c:pt>
                <c:pt idx="942">
                  <c:v>-1.1085546956703642E-2</c:v>
                </c:pt>
                <c:pt idx="943">
                  <c:v>5.6049069373942592E-3</c:v>
                </c:pt>
                <c:pt idx="944">
                  <c:v>8.4130823430434015E-3</c:v>
                </c:pt>
                <c:pt idx="945">
                  <c:v>-1.0428616122639934E-3</c:v>
                </c:pt>
                <c:pt idx="946">
                  <c:v>1.3780144065142427E-2</c:v>
                </c:pt>
                <c:pt idx="947">
                  <c:v>-2.3684481515807228E-3</c:v>
                </c:pt>
                <c:pt idx="948">
                  <c:v>7.6383154417837438E-3</c:v>
                </c:pt>
                <c:pt idx="949">
                  <c:v>1.0551116574472455E-2</c:v>
                </c:pt>
                <c:pt idx="950">
                  <c:v>6.0821084642675551E-3</c:v>
                </c:pt>
                <c:pt idx="951">
                  <c:v>6.6498740554155828E-3</c:v>
                </c:pt>
                <c:pt idx="952">
                  <c:v>2.1319187268541786E-2</c:v>
                </c:pt>
                <c:pt idx="953">
                  <c:v>9.5060760486083765E-3</c:v>
                </c:pt>
                <c:pt idx="954">
                  <c:v>7.3779244733520131E-3</c:v>
                </c:pt>
                <c:pt idx="955">
                  <c:v>-6.9384215091066676E-3</c:v>
                </c:pt>
                <c:pt idx="956">
                  <c:v>-3.6875303250848662E-3</c:v>
                </c:pt>
                <c:pt idx="957">
                  <c:v>1.3635920911658768E-3</c:v>
                </c:pt>
                <c:pt idx="958">
                  <c:v>2.3052232273125226E-2</c:v>
                </c:pt>
                <c:pt idx="959">
                  <c:v>-1.5592317931165625E-2</c:v>
                </c:pt>
                <c:pt idx="960">
                  <c:v>-3.3996523082866624E-2</c:v>
                </c:pt>
                <c:pt idx="961">
                  <c:v>-2.0395920815836754E-2</c:v>
                </c:pt>
                <c:pt idx="962">
                  <c:v>3.8987548479281417E-2</c:v>
                </c:pt>
                <c:pt idx="963">
                  <c:v>9.5284872298624645E-3</c:v>
                </c:pt>
                <c:pt idx="964">
                  <c:v>-1.8390580908825539E-2</c:v>
                </c:pt>
                <c:pt idx="965">
                  <c:v>4.1633624107850944E-2</c:v>
                </c:pt>
                <c:pt idx="966">
                  <c:v>1.8842786448420291E-2</c:v>
                </c:pt>
                <c:pt idx="967">
                  <c:v>1.7747057724640176E-3</c:v>
                </c:pt>
                <c:pt idx="968">
                  <c:v>1.9673659673659669E-2</c:v>
                </c:pt>
                <c:pt idx="969">
                  <c:v>2.7432333577177338E-4</c:v>
                </c:pt>
                <c:pt idx="970">
                  <c:v>-2.1848432215010517E-2</c:v>
                </c:pt>
                <c:pt idx="971">
                  <c:v>-8.3177570093458005E-3</c:v>
                </c:pt>
                <c:pt idx="972">
                  <c:v>-1.800018848364901E-2</c:v>
                </c:pt>
                <c:pt idx="973">
                  <c:v>1.487523992322454E-2</c:v>
                </c:pt>
                <c:pt idx="974">
                  <c:v>1.9574468085106319E-2</c:v>
                </c:pt>
                <c:pt idx="975">
                  <c:v>-1.9476905954367812E-3</c:v>
                </c:pt>
                <c:pt idx="976">
                  <c:v>-1.5333147477000332E-2</c:v>
                </c:pt>
                <c:pt idx="977">
                  <c:v>3.3975084937712292E-3</c:v>
                </c:pt>
                <c:pt idx="978">
                  <c:v>2.1632806621520316E-3</c:v>
                </c:pt>
                <c:pt idx="979">
                  <c:v>1.2857813233223882E-2</c:v>
                </c:pt>
                <c:pt idx="980">
                  <c:v>-2.5945144551519747E-3</c:v>
                </c:pt>
                <c:pt idx="981">
                  <c:v>2.9728725380898662E-3</c:v>
                </c:pt>
                <c:pt idx="982">
                  <c:v>7.3175250092627486E-3</c:v>
                </c:pt>
                <c:pt idx="983">
                  <c:v>1.4896551724137973E-2</c:v>
                </c:pt>
                <c:pt idx="984">
                  <c:v>-9.0604330887024116E-4</c:v>
                </c:pt>
                <c:pt idx="985">
                  <c:v>2.9110365466582099E-2</c:v>
                </c:pt>
                <c:pt idx="986">
                  <c:v>1.471624955939374E-2</c:v>
                </c:pt>
                <c:pt idx="987">
                  <c:v>2.2579244463742155E-3</c:v>
                </c:pt>
                <c:pt idx="988">
                  <c:v>6.0653322935621075E-3</c:v>
                </c:pt>
                <c:pt idx="989">
                  <c:v>-1.1196279390233375E-2</c:v>
                </c:pt>
                <c:pt idx="990">
                  <c:v>9.5810469471299918E-3</c:v>
                </c:pt>
                <c:pt idx="991">
                  <c:v>2.3293934949529832E-2</c:v>
                </c:pt>
                <c:pt idx="992">
                  <c:v>8.6839220976309001E-3</c:v>
                </c:pt>
                <c:pt idx="993">
                  <c:v>1.2788365095285867E-2</c:v>
                </c:pt>
                <c:pt idx="994">
                  <c:v>-1.2379301807378532E-3</c:v>
                </c:pt>
                <c:pt idx="995">
                  <c:v>4.3794414146422177E-3</c:v>
                </c:pt>
                <c:pt idx="996">
                  <c:v>-3.3730974907445217E-3</c:v>
                </c:pt>
                <c:pt idx="997">
                  <c:v>1.2382367508667657E-2</c:v>
                </c:pt>
                <c:pt idx="998">
                  <c:v>-9.8662752772341305E-3</c:v>
                </c:pt>
                <c:pt idx="999">
                  <c:v>9.058716956271055E-3</c:v>
                </c:pt>
                <c:pt idx="1000">
                  <c:v>-0.1182567534481351</c:v>
                </c:pt>
                <c:pt idx="1001">
                  <c:v>-1.8511662347288254E-4</c:v>
                </c:pt>
                <c:pt idx="1002">
                  <c:v>-8.2392149601925625E-3</c:v>
                </c:pt>
                <c:pt idx="1003">
                  <c:v>1.5775226360496573E-2</c:v>
                </c:pt>
                <c:pt idx="1004">
                  <c:v>-2.297371806653189E-3</c:v>
                </c:pt>
                <c:pt idx="1005">
                  <c:v>-1.8605507967210059E-2</c:v>
                </c:pt>
                <c:pt idx="1006">
                  <c:v>-2.3557015485687387E-2</c:v>
                </c:pt>
                <c:pt idx="1007">
                  <c:v>-1.6724336793541031E-2</c:v>
                </c:pt>
                <c:pt idx="1008">
                  <c:v>-2.1505376344085913E-3</c:v>
                </c:pt>
                <c:pt idx="1009">
                  <c:v>1.5086206896551786E-2</c:v>
                </c:pt>
                <c:pt idx="1010">
                  <c:v>-8.4925690021232358E-3</c:v>
                </c:pt>
                <c:pt idx="1011">
                  <c:v>1.0025306599182413E-2</c:v>
                </c:pt>
                <c:pt idx="1012">
                  <c:v>2.052616363110735E-2</c:v>
                </c:pt>
                <c:pt idx="1013">
                  <c:v>-7.932011331444791E-3</c:v>
                </c:pt>
                <c:pt idx="1014">
                  <c:v>-3.1791357319626914E-2</c:v>
                </c:pt>
                <c:pt idx="1015">
                  <c:v>-8.8478175383405987E-3</c:v>
                </c:pt>
                <c:pt idx="1016">
                  <c:v>1.1902400317397794E-3</c:v>
                </c:pt>
                <c:pt idx="1017">
                  <c:v>8.3217753120666087E-3</c:v>
                </c:pt>
                <c:pt idx="1018">
                  <c:v>-1.1986637846335222E-2</c:v>
                </c:pt>
                <c:pt idx="1019">
                  <c:v>1.3325377883850471E-2</c:v>
                </c:pt>
                <c:pt idx="1020">
                  <c:v>-1.11874386653582E-2</c:v>
                </c:pt>
                <c:pt idx="1021">
                  <c:v>9.9245732433415096E-5</c:v>
                </c:pt>
                <c:pt idx="1022">
                  <c:v>1.9648704971717813E-2</c:v>
                </c:pt>
                <c:pt idx="1023">
                  <c:v>1.0997566909975625E-2</c:v>
                </c:pt>
                <c:pt idx="1024">
                  <c:v>2.8879476318830516E-3</c:v>
                </c:pt>
                <c:pt idx="1025">
                  <c:v>-2.5436744096755667E-2</c:v>
                </c:pt>
                <c:pt idx="1026">
                  <c:v>2.2653402935093468E-3</c:v>
                </c:pt>
                <c:pt idx="1027">
                  <c:v>-1.0318396226415205E-2</c:v>
                </c:pt>
                <c:pt idx="1028">
                  <c:v>-1.0227385562506077E-2</c:v>
                </c:pt>
                <c:pt idx="1029">
                  <c:v>2.9394060995184514E-2</c:v>
                </c:pt>
                <c:pt idx="1030">
                  <c:v>1.1499853815417667E-2</c:v>
                </c:pt>
                <c:pt idx="1031">
                  <c:v>-1.9269679159851846E-4</c:v>
                </c:pt>
                <c:pt idx="1032">
                  <c:v>7.0347884745109767E-3</c:v>
                </c:pt>
                <c:pt idx="1033">
                  <c:v>2.5645933014354132E-2</c:v>
                </c:pt>
                <c:pt idx="1034">
                  <c:v>-2.033961559992542E-2</c:v>
                </c:pt>
                <c:pt idx="1035">
                  <c:v>1.2666666666666651E-2</c:v>
                </c:pt>
                <c:pt idx="1036">
                  <c:v>-2.6333113890717685E-3</c:v>
                </c:pt>
                <c:pt idx="1037">
                  <c:v>-2.3950966525223875E-2</c:v>
                </c:pt>
                <c:pt idx="1038">
                  <c:v>-2.0287894889383438E-3</c:v>
                </c:pt>
                <c:pt idx="1039">
                  <c:v>1.9070667957405606E-2</c:v>
                </c:pt>
                <c:pt idx="1040">
                  <c:v>-1.8048826826256078E-3</c:v>
                </c:pt>
                <c:pt idx="1041">
                  <c:v>5.2341073467833763E-3</c:v>
                </c:pt>
                <c:pt idx="1042">
                  <c:v>-1.0319038152040038E-2</c:v>
                </c:pt>
                <c:pt idx="1043">
                  <c:v>5.8350870480198911E-3</c:v>
                </c:pt>
                <c:pt idx="1044">
                  <c:v>-7.6081787922017245E-3</c:v>
                </c:pt>
                <c:pt idx="1045">
                  <c:v>-4.024916147580139E-3</c:v>
                </c:pt>
                <c:pt idx="1046">
                  <c:v>-1.9724814779178403E-2</c:v>
                </c:pt>
                <c:pt idx="1047">
                  <c:v>-2.2968197879858553E-2</c:v>
                </c:pt>
                <c:pt idx="1048">
                  <c:v>-1.2356841470765561E-2</c:v>
                </c:pt>
                <c:pt idx="1049">
                  <c:v>-6.9168955345336874E-3</c:v>
                </c:pt>
                <c:pt idx="1050">
                  <c:v>5.7359418211615516E-3</c:v>
                </c:pt>
                <c:pt idx="1051">
                  <c:v>9.8788063957633045E-3</c:v>
                </c:pt>
                <c:pt idx="1052">
                  <c:v>1.936264622831789E-2</c:v>
                </c:pt>
                <c:pt idx="1053">
                  <c:v>-8.9038385437276556E-3</c:v>
                </c:pt>
                <c:pt idx="1054">
                  <c:v>1.1778798163305975E-2</c:v>
                </c:pt>
                <c:pt idx="1055">
                  <c:v>-1.0852407261246984E-2</c:v>
                </c:pt>
                <c:pt idx="1056">
                  <c:v>-6.1839218033114358E-3</c:v>
                </c:pt>
                <c:pt idx="1057">
                  <c:v>-9.0325170614211723E-3</c:v>
                </c:pt>
                <c:pt idx="1058">
                  <c:v>1.2355681588008902E-2</c:v>
                </c:pt>
                <c:pt idx="1059">
                  <c:v>3.1012404961985023E-3</c:v>
                </c:pt>
                <c:pt idx="1060">
                  <c:v>5.4851899870349777E-3</c:v>
                </c:pt>
                <c:pt idx="1061">
                  <c:v>-6.9033921840904525E-2</c:v>
                </c:pt>
                <c:pt idx="1062">
                  <c:v>-1.171958235670141E-3</c:v>
                </c:pt>
                <c:pt idx="1063">
                  <c:v>-1.2480000000000019E-2</c:v>
                </c:pt>
                <c:pt idx="1064">
                  <c:v>1.6742276949665125E-2</c:v>
                </c:pt>
                <c:pt idx="1065">
                  <c:v>-1.5935408477636406E-3</c:v>
                </c:pt>
                <c:pt idx="1066">
                  <c:v>-1.5109597786763159E-2</c:v>
                </c:pt>
                <c:pt idx="1067">
                  <c:v>-1.7394122731201375E-2</c:v>
                </c:pt>
                <c:pt idx="1068">
                  <c:v>-6.8169323804288572E-3</c:v>
                </c:pt>
                <c:pt idx="1069">
                  <c:v>-1.3948854201262096E-2</c:v>
                </c:pt>
                <c:pt idx="1070">
                  <c:v>-2.5822386886717166E-3</c:v>
                </c:pt>
                <c:pt idx="1071">
                  <c:v>1.305718144979735E-2</c:v>
                </c:pt>
                <c:pt idx="1072">
                  <c:v>1.1111111111111112E-2</c:v>
                </c:pt>
                <c:pt idx="1073">
                  <c:v>-2.197802197802198E-2</c:v>
                </c:pt>
                <c:pt idx="1074">
                  <c:v>3.3707865168539325E-2</c:v>
                </c:pt>
                <c:pt idx="1075">
                  <c:v>0</c:v>
                </c:pt>
                <c:pt idx="1076">
                  <c:v>1.1956521739130373E-2</c:v>
                </c:pt>
                <c:pt idx="1077">
                  <c:v>3.1149301825994227E-3</c:v>
                </c:pt>
                <c:pt idx="1078">
                  <c:v>1.5526287611093295E-2</c:v>
                </c:pt>
                <c:pt idx="1079">
                  <c:v>9.489666807254233E-3</c:v>
                </c:pt>
                <c:pt idx="1080">
                  <c:v>-1.263839565489862E-2</c:v>
                </c:pt>
                <c:pt idx="1081">
                  <c:v>-3.5967417750978887E-3</c:v>
                </c:pt>
                <c:pt idx="1082">
                  <c:v>-1.8048625119439611E-3</c:v>
                </c:pt>
                <c:pt idx="1083">
                  <c:v>6.5943416294405935E-3</c:v>
                </c:pt>
                <c:pt idx="1084">
                  <c:v>-7.3964497041420418E-3</c:v>
                </c:pt>
                <c:pt idx="1085">
                  <c:v>1.9161166702151035E-3</c:v>
                </c:pt>
                <c:pt idx="1086">
                  <c:v>-6.3748406289845165E-4</c:v>
                </c:pt>
                <c:pt idx="1087">
                  <c:v>-1.9136721241760548E-2</c:v>
                </c:pt>
                <c:pt idx="1088">
                  <c:v>-2.0810752221981376E-2</c:v>
                </c:pt>
                <c:pt idx="1089">
                  <c:v>2.2913438122647699E-2</c:v>
                </c:pt>
                <c:pt idx="1090">
                  <c:v>-2.8135483172815811E-3</c:v>
                </c:pt>
                <c:pt idx="1091">
                  <c:v>1.3130765056972259E-2</c:v>
                </c:pt>
                <c:pt idx="1092">
                  <c:v>4.4987146529563166E-3</c:v>
                </c:pt>
                <c:pt idx="1093">
                  <c:v>-2.0260183407975873E-3</c:v>
                </c:pt>
                <c:pt idx="1094">
                  <c:v>-2.1369804466289436E-3</c:v>
                </c:pt>
                <c:pt idx="1095">
                  <c:v>-2.623407217046796E-2</c:v>
                </c:pt>
                <c:pt idx="1096">
                  <c:v>1.9573345062678701E-2</c:v>
                </c:pt>
                <c:pt idx="1097">
                  <c:v>7.5496117342544638E-4</c:v>
                </c:pt>
                <c:pt idx="1098">
                  <c:v>-1.2070266192477686E-2</c:v>
                </c:pt>
                <c:pt idx="1099">
                  <c:v>1.0908694229300132E-3</c:v>
                </c:pt>
                <c:pt idx="1100">
                  <c:v>4.4676909665469196E-3</c:v>
                </c:pt>
                <c:pt idx="1101">
                  <c:v>-4.4478194836191235E-3</c:v>
                </c:pt>
                <c:pt idx="1102">
                  <c:v>1.1441647597253975E-2</c:v>
                </c:pt>
                <c:pt idx="1103">
                  <c:v>-3.4475328592974918E-3</c:v>
                </c:pt>
                <c:pt idx="1104">
                  <c:v>-1.1891891891891831E-2</c:v>
                </c:pt>
                <c:pt idx="1105">
                  <c:v>3.8293216630196311E-3</c:v>
                </c:pt>
                <c:pt idx="1106">
                  <c:v>2.7247956403269754E-3</c:v>
                </c:pt>
                <c:pt idx="1107">
                  <c:v>-3.5869565217391121E-3</c:v>
                </c:pt>
                <c:pt idx="1108">
                  <c:v>1.9417475728155352E-2</c:v>
                </c:pt>
                <c:pt idx="1109">
                  <c:v>1.7121455323702454E-2</c:v>
                </c:pt>
                <c:pt idx="1110">
                  <c:v>-6.8385060494475696E-3</c:v>
                </c:pt>
                <c:pt idx="1111">
                  <c:v>3.6016949152541228E-3</c:v>
                </c:pt>
                <c:pt idx="1112">
                  <c:v>-4.4331855604813359E-3</c:v>
                </c:pt>
                <c:pt idx="1113">
                  <c:v>1.4843087362171393E-2</c:v>
                </c:pt>
                <c:pt idx="1114">
                  <c:v>8.6711241119932954E-3</c:v>
                </c:pt>
                <c:pt idx="1115">
                  <c:v>-5.6965302951838132E-3</c:v>
                </c:pt>
                <c:pt idx="1116">
                  <c:v>-1.3541666666666192E-3</c:v>
                </c:pt>
                <c:pt idx="1117">
                  <c:v>-2.2843433816626658E-2</c:v>
                </c:pt>
                <c:pt idx="1118">
                  <c:v>5.3373185311699402E-3</c:v>
                </c:pt>
                <c:pt idx="1119">
                  <c:v>-8.388192822255322E-3</c:v>
                </c:pt>
                <c:pt idx="1120">
                  <c:v>1.7239533140593205E-2</c:v>
                </c:pt>
                <c:pt idx="1121">
                  <c:v>-2.3157894736841986E-3</c:v>
                </c:pt>
                <c:pt idx="1122">
                  <c:v>8.3350917915171133E-3</c:v>
                </c:pt>
                <c:pt idx="1123">
                  <c:v>1.6846290676990831E-2</c:v>
                </c:pt>
                <c:pt idx="1124">
                  <c:v>-1.0290183165265605E-4</c:v>
                </c:pt>
                <c:pt idx="1125">
                  <c:v>-2.4904806010085434E-2</c:v>
                </c:pt>
                <c:pt idx="1126">
                  <c:v>-7.2823218997361237E-3</c:v>
                </c:pt>
                <c:pt idx="1127">
                  <c:v>1.3820965341271045E-3</c:v>
                </c:pt>
                <c:pt idx="1128">
                  <c:v>-0.19980889691049999</c:v>
                </c:pt>
                <c:pt idx="1129">
                  <c:v>1.9371102560700459E-2</c:v>
                </c:pt>
                <c:pt idx="1130">
                  <c:v>-1.0282441754522869E-2</c:v>
                </c:pt>
                <c:pt idx="1131">
                  <c:v>-1.0520778537611932E-2</c:v>
                </c:pt>
                <c:pt idx="1132">
                  <c:v>2.5252525252526842E-3</c:v>
                </c:pt>
                <c:pt idx="1133">
                  <c:v>-3.1552432719077414E-2</c:v>
                </c:pt>
                <c:pt idx="1134">
                  <c:v>-8.0766598220397452E-3</c:v>
                </c:pt>
                <c:pt idx="1135">
                  <c:v>1.1040574109855439E-3</c:v>
                </c:pt>
                <c:pt idx="1136">
                  <c:v>1.171767300799551E-2</c:v>
                </c:pt>
                <c:pt idx="1137">
                  <c:v>4.087750374710606E-4</c:v>
                </c:pt>
                <c:pt idx="1138">
                  <c:v>-2.8738763279760274E-2</c:v>
                </c:pt>
                <c:pt idx="1139">
                  <c:v>2.1034917963819941E-2</c:v>
                </c:pt>
                <c:pt idx="1140">
                  <c:v>3.5709380579589467E-3</c:v>
                </c:pt>
                <c:pt idx="1141">
                  <c:v>-9.4429998631448998E-3</c:v>
                </c:pt>
                <c:pt idx="1142">
                  <c:v>4.4211108040896297E-3</c:v>
                </c:pt>
                <c:pt idx="1143">
                  <c:v>2.9711141678129251E-2</c:v>
                </c:pt>
                <c:pt idx="1144">
                  <c:v>-1.9503072401816642E-2</c:v>
                </c:pt>
                <c:pt idx="1145">
                  <c:v>-3.1471389645776594E-2</c:v>
                </c:pt>
                <c:pt idx="1146">
                  <c:v>4.5013363342241266E-3</c:v>
                </c:pt>
                <c:pt idx="1147">
                  <c:v>1.6104187088643127E-2</c:v>
                </c:pt>
                <c:pt idx="1148">
                  <c:v>1.3643880926130029E-2</c:v>
                </c:pt>
                <c:pt idx="1149">
                  <c:v>1.0469068660774929E-2</c:v>
                </c:pt>
                <c:pt idx="1150">
                  <c:v>7.2658772874058973E-3</c:v>
                </c:pt>
                <c:pt idx="1151">
                  <c:v>-1.3491851456051364E-2</c:v>
                </c:pt>
                <c:pt idx="1152">
                  <c:v>2.1665538253217444E-3</c:v>
                </c:pt>
                <c:pt idx="1153">
                  <c:v>-3.4995270909336622E-2</c:v>
                </c:pt>
                <c:pt idx="1154">
                  <c:v>1.5121814617754106E-2</c:v>
                </c:pt>
                <c:pt idx="1155">
                  <c:v>1.6551724137931661E-3</c:v>
                </c:pt>
                <c:pt idx="1156">
                  <c:v>2.1619388598182222E-2</c:v>
                </c:pt>
                <c:pt idx="1157">
                  <c:v>2.02183582693093E-3</c:v>
                </c:pt>
                <c:pt idx="1158">
                  <c:v>4.0355125100887427E-3</c:v>
                </c:pt>
                <c:pt idx="1159">
                  <c:v>5.171489817792068E-2</c:v>
                </c:pt>
                <c:pt idx="1160">
                  <c:v>2.5477707006364356E-4</c:v>
                </c:pt>
                <c:pt idx="1161">
                  <c:v>5.0687722873153387E-2</c:v>
                </c:pt>
                <c:pt idx="1162">
                  <c:v>8.8484848484848971E-3</c:v>
                </c:pt>
                <c:pt idx="1163">
                  <c:v>6.0074492370536053E-4</c:v>
                </c:pt>
                <c:pt idx="1164">
                  <c:v>3.3621517771373816E-3</c:v>
                </c:pt>
                <c:pt idx="1165">
                  <c:v>5.2656773575873346E-3</c:v>
                </c:pt>
                <c:pt idx="1166">
                  <c:v>-7.0238095238095641E-3</c:v>
                </c:pt>
                <c:pt idx="1167">
                  <c:v>7.6729408943771804E-3</c:v>
                </c:pt>
                <c:pt idx="1168">
                  <c:v>2.736466389054182E-3</c:v>
                </c:pt>
                <c:pt idx="1169">
                  <c:v>1.1983863312767028E-2</c:v>
                </c:pt>
                <c:pt idx="1170">
                  <c:v>-2.9311759878063077E-2</c:v>
                </c:pt>
                <c:pt idx="1171">
                  <c:v>5.6770141321415488E-3</c:v>
                </c:pt>
                <c:pt idx="1172">
                  <c:v>7.2063415805894858E-4</c:v>
                </c:pt>
                <c:pt idx="1173">
                  <c:v>-2.4003840614498322E-2</c:v>
                </c:pt>
                <c:pt idx="1174">
                  <c:v>-3.6891293654697146E-3</c:v>
                </c:pt>
                <c:pt idx="1175">
                  <c:v>-2.345099975314709E-3</c:v>
                </c:pt>
                <c:pt idx="1176">
                  <c:v>-2.4743288383026456E-3</c:v>
                </c:pt>
                <c:pt idx="1177">
                  <c:v>-1.4138658067716739E-2</c:v>
                </c:pt>
                <c:pt idx="1178">
                  <c:v>-1.7612278273996623E-2</c:v>
                </c:pt>
                <c:pt idx="1179">
                  <c:v>3.9697784607504449E-3</c:v>
                </c:pt>
                <c:pt idx="1180">
                  <c:v>0</c:v>
                </c:pt>
                <c:pt idx="1181">
                  <c:v>7.780612244897951E-3</c:v>
                </c:pt>
                <c:pt idx="1182">
                  <c:v>9.9987343374255411E-3</c:v>
                </c:pt>
                <c:pt idx="1183">
                  <c:v>1.0526315789473727E-2</c:v>
                </c:pt>
                <c:pt idx="1184">
                  <c:v>3.2242063492064128E-3</c:v>
                </c:pt>
                <c:pt idx="1185">
                  <c:v>9.8887515451172173E-4</c:v>
                </c:pt>
                <c:pt idx="1186">
                  <c:v>6.841195356878231E-2</c:v>
                </c:pt>
                <c:pt idx="1187">
                  <c:v>-3.6985668053628432E-3</c:v>
                </c:pt>
                <c:pt idx="1188">
                  <c:v>1.4617169373549777E-2</c:v>
                </c:pt>
                <c:pt idx="1189">
                  <c:v>6.1742510862109112E-3</c:v>
                </c:pt>
                <c:pt idx="1190">
                  <c:v>1.5795454545454553E-2</c:v>
                </c:pt>
                <c:pt idx="1191">
                  <c:v>5.5934668307413757E-4</c:v>
                </c:pt>
                <c:pt idx="1192">
                  <c:v>-1.1627906976744097E-2</c:v>
                </c:pt>
                <c:pt idx="1193">
                  <c:v>8.257918552036083E-3</c:v>
                </c:pt>
                <c:pt idx="1194">
                  <c:v>-6.7653988556041753E-2</c:v>
                </c:pt>
                <c:pt idx="1195">
                  <c:v>-1.2033694344163659E-2</c:v>
                </c:pt>
                <c:pt idx="1196">
                  <c:v>1.8270401948843567E-3</c:v>
                </c:pt>
                <c:pt idx="1197">
                  <c:v>-1.7264437689969627E-2</c:v>
                </c:pt>
                <c:pt idx="1198">
                  <c:v>-7.4229865149081124E-4</c:v>
                </c:pt>
                <c:pt idx="1199">
                  <c:v>2.0799801906648593E-2</c:v>
                </c:pt>
                <c:pt idx="1200">
                  <c:v>-4.2449969678594116E-3</c:v>
                </c:pt>
                <c:pt idx="1201">
                  <c:v>6.0901339829490101E-4</c:v>
                </c:pt>
                <c:pt idx="1202">
                  <c:v>-6.6950699939137106E-3</c:v>
                </c:pt>
                <c:pt idx="1203">
                  <c:v>6.3725490196079688E-3</c:v>
                </c:pt>
                <c:pt idx="1204">
                  <c:v>2.2162688748173322E-2</c:v>
                </c:pt>
                <c:pt idx="1205">
                  <c:v>-6.4331665475338582E-3</c:v>
                </c:pt>
                <c:pt idx="1206">
                  <c:v>-5.7553956834532844E-3</c:v>
                </c:pt>
                <c:pt idx="1207">
                  <c:v>-1.7366136034732246E-2</c:v>
                </c:pt>
                <c:pt idx="1208">
                  <c:v>-7.363770250368467E-4</c:v>
                </c:pt>
                <c:pt idx="1209">
                  <c:v>-1.6826332596413713E-2</c:v>
                </c:pt>
                <c:pt idx="1210">
                  <c:v>-1.2617114303560162E-2</c:v>
                </c:pt>
                <c:pt idx="1211">
                  <c:v>-2.4038461538463045E-3</c:v>
                </c:pt>
                <c:pt idx="1212">
                  <c:v>7.6093849080535541E-4</c:v>
                </c:pt>
                <c:pt idx="1213">
                  <c:v>-6.4630591813457225E-3</c:v>
                </c:pt>
                <c:pt idx="1214">
                  <c:v>-2.4872448979591871E-2</c:v>
                </c:pt>
                <c:pt idx="1215">
                  <c:v>8.8947024198821785E-3</c:v>
                </c:pt>
                <c:pt idx="1216">
                  <c:v>1.2057565149747269E-2</c:v>
                </c:pt>
                <c:pt idx="1217">
                  <c:v>-1.1145272867025423E-2</c:v>
                </c:pt>
                <c:pt idx="1218">
                  <c:v>1.0234486332426561E-2</c:v>
                </c:pt>
                <c:pt idx="1219">
                  <c:v>-3.411131059245974E-2</c:v>
                </c:pt>
                <c:pt idx="1220">
                  <c:v>7.9660116834839156E-3</c:v>
                </c:pt>
                <c:pt idx="1221">
                  <c:v>-5.2687038988417088E-4</c:v>
                </c:pt>
                <c:pt idx="1222">
                  <c:v>9.4886663152345656E-3</c:v>
                </c:pt>
                <c:pt idx="1223">
                  <c:v>7.8328981723240572E-4</c:v>
                </c:pt>
                <c:pt idx="1224">
                  <c:v>-1.8262457605009207E-3</c:v>
                </c:pt>
                <c:pt idx="1225">
                  <c:v>-1.0977522216413869E-2</c:v>
                </c:pt>
                <c:pt idx="1226">
                  <c:v>1.2949260042283162E-2</c:v>
                </c:pt>
                <c:pt idx="1227">
                  <c:v>-2.3088964257761493E-2</c:v>
                </c:pt>
                <c:pt idx="1228">
                  <c:v>-1.3085859260248417E-2</c:v>
                </c:pt>
                <c:pt idx="1229">
                  <c:v>-7.4414828845893273E-3</c:v>
                </c:pt>
                <c:pt idx="1230">
                  <c:v>2.3718647764449222E-2</c:v>
                </c:pt>
                <c:pt idx="1231">
                  <c:v>3.0625832223701886E-2</c:v>
                </c:pt>
                <c:pt idx="1232">
                  <c:v>2.4031007751937974E-2</c:v>
                </c:pt>
                <c:pt idx="1233">
                  <c:v>-2.0817562452687427E-2</c:v>
                </c:pt>
                <c:pt idx="1234">
                  <c:v>9.4060043808788033E-3</c:v>
                </c:pt>
                <c:pt idx="1235">
                  <c:v>5.4888945621648279E-3</c:v>
                </c:pt>
                <c:pt idx="1236">
                  <c:v>4.0624603275359579E-3</c:v>
                </c:pt>
                <c:pt idx="1237">
                  <c:v>-2.9080794032115814E-3</c:v>
                </c:pt>
                <c:pt idx="1238">
                  <c:v>-6.2135429875728489E-3</c:v>
                </c:pt>
                <c:pt idx="1239">
                  <c:v>2.6795967844837785E-3</c:v>
                </c:pt>
                <c:pt idx="1240">
                  <c:v>3.9450241791804822E-3</c:v>
                </c:pt>
                <c:pt idx="1241">
                  <c:v>-1.5844847255672454E-2</c:v>
                </c:pt>
                <c:pt idx="1242">
                  <c:v>-1.1591962905718775E-2</c:v>
                </c:pt>
                <c:pt idx="1243">
                  <c:v>2.7495439145165487E-2</c:v>
                </c:pt>
                <c:pt idx="1244">
                  <c:v>-1.1287254280279019E-2</c:v>
                </c:pt>
                <c:pt idx="1245">
                  <c:v>-9.107234479220034E-3</c:v>
                </c:pt>
                <c:pt idx="1246">
                  <c:v>-6.4724919093847458E-4</c:v>
                </c:pt>
                <c:pt idx="1247">
                  <c:v>1.0362694300518097E-2</c:v>
                </c:pt>
                <c:pt idx="1248">
                  <c:v>-1.410256410256403E-2</c:v>
                </c:pt>
                <c:pt idx="1249">
                  <c:v>2.6007802340700732E-3</c:v>
                </c:pt>
                <c:pt idx="1250">
                  <c:v>-2.0752269779506691E-3</c:v>
                </c:pt>
                <c:pt idx="1251">
                  <c:v>-2.3394853132309933E-3</c:v>
                </c:pt>
                <c:pt idx="1252">
                  <c:v>3.9082855653987931E-4</c:v>
                </c:pt>
                <c:pt idx="1253">
                  <c:v>1.9533793462689344E-3</c:v>
                </c:pt>
                <c:pt idx="1254">
                  <c:v>-6.758513127111984E-3</c:v>
                </c:pt>
                <c:pt idx="1255">
                  <c:v>-2.3161476053389113E-2</c:v>
                </c:pt>
                <c:pt idx="1256">
                  <c:v>1.3663764233087688E-2</c:v>
                </c:pt>
                <c:pt idx="1257">
                  <c:v>-2.6430553720100437E-2</c:v>
                </c:pt>
                <c:pt idx="1258">
                  <c:v>-4.8866567123659489E-3</c:v>
                </c:pt>
                <c:pt idx="1259">
                  <c:v>-1.7869322057018171E-2</c:v>
                </c:pt>
                <c:pt idx="1260">
                  <c:v>1.2500000000000473E-3</c:v>
                </c:pt>
                <c:pt idx="1261">
                  <c:v>-1.1097239561658997E-2</c:v>
                </c:pt>
                <c:pt idx="1262">
                  <c:v>-1.2624491513536739E-3</c:v>
                </c:pt>
                <c:pt idx="1263">
                  <c:v>1.2359550561797689E-2</c:v>
                </c:pt>
                <c:pt idx="1264">
                  <c:v>-1.2624861265260775E-2</c:v>
                </c:pt>
                <c:pt idx="1265">
                  <c:v>-1.4050864128145079E-3</c:v>
                </c:pt>
                <c:pt idx="1266">
                  <c:v>5.6282538342488047E-4</c:v>
                </c:pt>
                <c:pt idx="1267">
                  <c:v>-3.7969343270988051E-3</c:v>
                </c:pt>
                <c:pt idx="1268">
                  <c:v>3.289102202145678E-2</c:v>
                </c:pt>
                <c:pt idx="1269">
                  <c:v>1.1890118901189075E-2</c:v>
                </c:pt>
                <c:pt idx="1270">
                  <c:v>3.3765532144786601E-3</c:v>
                </c:pt>
                <c:pt idx="1271">
                  <c:v>-9.6917485529682736E-3</c:v>
                </c:pt>
                <c:pt idx="1272">
                  <c:v>2.7320918852793329E-2</c:v>
                </c:pt>
                <c:pt idx="1273">
                  <c:v>-1.5744906059804151E-2</c:v>
                </c:pt>
                <c:pt idx="1274">
                  <c:v>2.9439440785051722E-2</c:v>
                </c:pt>
                <c:pt idx="1275">
                  <c:v>2.2851919561243144E-2</c:v>
                </c:pt>
                <c:pt idx="1276">
                  <c:v>-1.8256096004085186E-2</c:v>
                </c:pt>
                <c:pt idx="1277">
                  <c:v>-4.0312093628088715E-3</c:v>
                </c:pt>
                <c:pt idx="1278">
                  <c:v>1.6973495234364204E-3</c:v>
                </c:pt>
                <c:pt idx="1279">
                  <c:v>-2.8023983315954192E-2</c:v>
                </c:pt>
                <c:pt idx="1280">
                  <c:v>-3.7950918599973162E-2</c:v>
                </c:pt>
                <c:pt idx="1281">
                  <c:v>-4.2654028436018794E-2</c:v>
                </c:pt>
                <c:pt idx="1282">
                  <c:v>3.2906231799650416E-2</c:v>
                </c:pt>
                <c:pt idx="1283">
                  <c:v>5.6385678037779207E-3</c:v>
                </c:pt>
                <c:pt idx="1284">
                  <c:v>1.289599102887583E-2</c:v>
                </c:pt>
                <c:pt idx="1285">
                  <c:v>1.3146969277608478E-2</c:v>
                </c:pt>
                <c:pt idx="1286">
                  <c:v>-2.3220871465645062E-3</c:v>
                </c:pt>
                <c:pt idx="1287">
                  <c:v>6.2294633077765567E-2</c:v>
                </c:pt>
                <c:pt idx="1288">
                  <c:v>-1.0439489624951698E-2</c:v>
                </c:pt>
                <c:pt idx="1289">
                  <c:v>5.8609012763740928E-3</c:v>
                </c:pt>
                <c:pt idx="1290">
                  <c:v>-9.4522853813285498E-3</c:v>
                </c:pt>
                <c:pt idx="1291">
                  <c:v>4.941176470588237E-2</c:v>
                </c:pt>
                <c:pt idx="1292">
                  <c:v>1.7937219730941676E-2</c:v>
                </c:pt>
                <c:pt idx="1293">
                  <c:v>-6.7302985805188101E-3</c:v>
                </c:pt>
                <c:pt idx="1294">
                  <c:v>-1.4167795983737904E-2</c:v>
                </c:pt>
                <c:pt idx="1295">
                  <c:v>-7.3731567108221594E-3</c:v>
                </c:pt>
                <c:pt idx="1296">
                  <c:v>-1.2841495656553067E-2</c:v>
                </c:pt>
                <c:pt idx="1297">
                  <c:v>-1.3901288101007568E-2</c:v>
                </c:pt>
                <c:pt idx="1298">
                  <c:v>6.3372995344026014E-3</c:v>
                </c:pt>
                <c:pt idx="1299">
                  <c:v>-1.2851818532323418E-3</c:v>
                </c:pt>
                <c:pt idx="1300">
                  <c:v>1.1324153905546388E-2</c:v>
                </c:pt>
                <c:pt idx="1301">
                  <c:v>-2.7866140730372791E-2</c:v>
                </c:pt>
                <c:pt idx="1302">
                  <c:v>-2.918848167539272E-2</c:v>
                </c:pt>
                <c:pt idx="1303">
                  <c:v>-7.954698665228575E-3</c:v>
                </c:pt>
                <c:pt idx="1304">
                  <c:v>-1.2775210655069282E-2</c:v>
                </c:pt>
                <c:pt idx="1305">
                  <c:v>-1.349118942731283E-2</c:v>
                </c:pt>
                <c:pt idx="1306">
                  <c:v>2.8467764443204108E-2</c:v>
                </c:pt>
                <c:pt idx="1307">
                  <c:v>-5.2917232021709708E-3</c:v>
                </c:pt>
                <c:pt idx="1308">
                  <c:v>-4.3650252353022419E-3</c:v>
                </c:pt>
                <c:pt idx="1309">
                  <c:v>-1.5481572818194213E-2</c:v>
                </c:pt>
                <c:pt idx="1310">
                  <c:v>-5.4550514890064038E-2</c:v>
                </c:pt>
                <c:pt idx="1311">
                  <c:v>-8.0953782749484428E-3</c:v>
                </c:pt>
                <c:pt idx="1312">
                  <c:v>-1.2613147351238972E-2</c:v>
                </c:pt>
                <c:pt idx="1313">
                  <c:v>-1.2022843402464853E-2</c:v>
                </c:pt>
                <c:pt idx="1314">
                  <c:v>9.1268634012781069E-4</c:v>
                </c:pt>
                <c:pt idx="1315">
                  <c:v>-3.8145896656534929E-2</c:v>
                </c:pt>
                <c:pt idx="1316">
                  <c:v>3.0020540369726295E-3</c:v>
                </c:pt>
                <c:pt idx="1317">
                  <c:v>2.0163831127914436E-2</c:v>
                </c:pt>
                <c:pt idx="1318">
                  <c:v>3.0883261272388607E-3</c:v>
                </c:pt>
                <c:pt idx="1319">
                  <c:v>-0.14439655172413787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4-45AB-B704-F2CDBEB55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012495"/>
        <c:axId val="1283979375"/>
      </c:lineChart>
      <c:catAx>
        <c:axId val="1283990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91375"/>
        <c:crosses val="autoZero"/>
        <c:auto val="1"/>
        <c:lblAlgn val="ctr"/>
        <c:lblOffset val="100"/>
        <c:noMultiLvlLbl val="0"/>
      </c:catAx>
      <c:valAx>
        <c:axId val="12839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-#,##0.00;#,##0.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90895"/>
        <c:crosses val="autoZero"/>
        <c:crossBetween val="between"/>
      </c:valAx>
      <c:valAx>
        <c:axId val="128397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12495"/>
        <c:crosses val="max"/>
        <c:crossBetween val="between"/>
      </c:valAx>
      <c:catAx>
        <c:axId val="1284012495"/>
        <c:scaling>
          <c:orientation val="minMax"/>
        </c:scaling>
        <c:delete val="1"/>
        <c:axPos val="b"/>
        <c:majorTickMark val="out"/>
        <c:minorTickMark val="none"/>
        <c:tickLblPos val="nextTo"/>
        <c:crossAx val="128397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7</xdr:col>
      <xdr:colOff>439209</xdr:colOff>
      <xdr:row>45</xdr:row>
      <xdr:rowOff>150283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AA427-C69F-4CD0-889E-EB5C06121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E83C-3782-4845-9100-5F47641996D1}">
  <dimension ref="A1:I30"/>
  <sheetViews>
    <sheetView zoomScale="120" workbookViewId="0">
      <selection activeCell="B18" sqref="B18"/>
    </sheetView>
  </sheetViews>
  <sheetFormatPr defaultRowHeight="14.5" x14ac:dyDescent="0.35"/>
  <cols>
    <col min="1" max="1" width="17.08984375" customWidth="1"/>
    <col min="2" max="2" width="15.6328125" customWidth="1"/>
  </cols>
  <sheetData>
    <row r="1" spans="1:9" x14ac:dyDescent="0.35">
      <c r="A1" t="s">
        <v>24</v>
      </c>
    </row>
    <row r="2" spans="1:9" ht="15" thickBot="1" x14ac:dyDescent="0.4"/>
    <row r="3" spans="1:9" x14ac:dyDescent="0.35">
      <c r="A3" s="15" t="s">
        <v>25</v>
      </c>
      <c r="B3" s="15"/>
    </row>
    <row r="4" spans="1:9" x14ac:dyDescent="0.35">
      <c r="A4" s="12" t="s">
        <v>26</v>
      </c>
      <c r="B4" s="12">
        <v>0.25968808046119857</v>
      </c>
    </row>
    <row r="5" spans="1:9" x14ac:dyDescent="0.35">
      <c r="A5" s="12" t="s">
        <v>27</v>
      </c>
      <c r="B5" s="16">
        <v>6.7437899133621929E-2</v>
      </c>
      <c r="D5" t="s">
        <v>49</v>
      </c>
      <c r="H5" s="8">
        <f>B5</f>
        <v>6.7437899133621929E-2</v>
      </c>
    </row>
    <row r="6" spans="1:9" x14ac:dyDescent="0.35">
      <c r="A6" s="12" t="s">
        <v>28</v>
      </c>
      <c r="B6" s="12">
        <v>6.6730877070796765E-2</v>
      </c>
    </row>
    <row r="7" spans="1:9" x14ac:dyDescent="0.35">
      <c r="A7" s="12" t="s">
        <v>29</v>
      </c>
      <c r="B7" s="12">
        <v>25.359414629506006</v>
      </c>
    </row>
    <row r="8" spans="1:9" ht="15" thickBot="1" x14ac:dyDescent="0.4">
      <c r="A8" s="13" t="s">
        <v>30</v>
      </c>
      <c r="B8" s="13">
        <v>1321</v>
      </c>
    </row>
    <row r="10" spans="1:9" ht="15" thickBot="1" x14ac:dyDescent="0.4">
      <c r="A10" t="s">
        <v>31</v>
      </c>
    </row>
    <row r="11" spans="1:9" x14ac:dyDescent="0.35">
      <c r="A11" s="14"/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40</v>
      </c>
    </row>
    <row r="12" spans="1:9" x14ac:dyDescent="0.35">
      <c r="A12" s="12" t="s">
        <v>32</v>
      </c>
      <c r="B12" s="12">
        <v>1</v>
      </c>
      <c r="C12" s="12">
        <v>61340.811224204954</v>
      </c>
      <c r="D12" s="12">
        <v>61340.811224204954</v>
      </c>
      <c r="E12" s="12">
        <v>95.383019398503933</v>
      </c>
      <c r="F12" s="12">
        <v>8.4204259331396899E-22</v>
      </c>
    </row>
    <row r="13" spans="1:9" x14ac:dyDescent="0.35">
      <c r="A13" s="12" t="s">
        <v>33</v>
      </c>
      <c r="B13" s="12">
        <v>1319</v>
      </c>
      <c r="C13" s="12">
        <v>848248.78175323701</v>
      </c>
      <c r="D13" s="12">
        <v>643.09991035120322</v>
      </c>
      <c r="E13" s="12"/>
      <c r="F13" s="12"/>
    </row>
    <row r="14" spans="1:9" ht="15" thickBot="1" x14ac:dyDescent="0.4">
      <c r="A14" s="13" t="s">
        <v>34</v>
      </c>
      <c r="B14" s="13">
        <v>1320</v>
      </c>
      <c r="C14" s="13">
        <v>909589.59297744196</v>
      </c>
      <c r="D14" s="13"/>
      <c r="E14" s="13"/>
      <c r="F14" s="13"/>
    </row>
    <row r="15" spans="1:9" ht="15" thickBot="1" x14ac:dyDescent="0.4"/>
    <row r="16" spans="1:9" x14ac:dyDescent="0.35">
      <c r="A16" s="14"/>
      <c r="B16" s="14" t="s">
        <v>41</v>
      </c>
      <c r="C16" s="14" t="s">
        <v>29</v>
      </c>
      <c r="D16" s="14" t="s">
        <v>42</v>
      </c>
      <c r="E16" s="14" t="s">
        <v>43</v>
      </c>
      <c r="F16" s="14" t="s">
        <v>44</v>
      </c>
      <c r="G16" s="14" t="s">
        <v>45</v>
      </c>
      <c r="H16" s="14" t="s">
        <v>46</v>
      </c>
      <c r="I16" s="14" t="s">
        <v>47</v>
      </c>
    </row>
    <row r="17" spans="1:9" x14ac:dyDescent="0.35">
      <c r="A17" s="12" t="s">
        <v>35</v>
      </c>
      <c r="B17" s="12">
        <v>148.592210903313</v>
      </c>
      <c r="C17" s="12">
        <v>3.7318766567438661</v>
      </c>
      <c r="D17" s="12">
        <v>39.817020917556945</v>
      </c>
      <c r="E17" s="12">
        <v>2.4497823481681238E-228</v>
      </c>
      <c r="F17" s="12">
        <v>141.27114908191615</v>
      </c>
      <c r="G17" s="12">
        <v>155.91327272470986</v>
      </c>
      <c r="H17" s="12">
        <v>141.27114908191615</v>
      </c>
      <c r="I17" s="12">
        <v>155.91327272470986</v>
      </c>
    </row>
    <row r="18" spans="1:9" ht="15" thickBot="1" x14ac:dyDescent="0.4">
      <c r="A18" s="13" t="s">
        <v>48</v>
      </c>
      <c r="B18" s="13">
        <v>-8.2558510676884571E-3</v>
      </c>
      <c r="C18" s="13">
        <v>8.4533006777061338E-4</v>
      </c>
      <c r="D18" s="17">
        <v>-9.7664230605940592</v>
      </c>
      <c r="E18" s="17">
        <v>8.4204259331424104E-22</v>
      </c>
      <c r="F18" s="13">
        <v>-9.9141892859279709E-3</v>
      </c>
      <c r="G18" s="13">
        <v>-6.5975128494489433E-3</v>
      </c>
      <c r="H18" s="13">
        <v>-9.9141892859279709E-3</v>
      </c>
      <c r="I18" s="13">
        <v>-6.5975128494489433E-3</v>
      </c>
    </row>
    <row r="20" spans="1:9" x14ac:dyDescent="0.35">
      <c r="E20" t="s">
        <v>50</v>
      </c>
    </row>
    <row r="21" spans="1:9" x14ac:dyDescent="0.35">
      <c r="B21" t="s">
        <v>57</v>
      </c>
      <c r="E21" t="s">
        <v>51</v>
      </c>
    </row>
    <row r="22" spans="1:9" x14ac:dyDescent="0.35">
      <c r="B22" t="s">
        <v>58</v>
      </c>
      <c r="C22" s="10">
        <f>B5</f>
        <v>6.7437899133621929E-2</v>
      </c>
      <c r="E22" t="s">
        <v>52</v>
      </c>
    </row>
    <row r="23" spans="1:9" x14ac:dyDescent="0.35">
      <c r="B23" t="s">
        <v>59</v>
      </c>
      <c r="C23" t="s">
        <v>60</v>
      </c>
      <c r="E23" t="s">
        <v>53</v>
      </c>
    </row>
    <row r="24" spans="1:9" x14ac:dyDescent="0.35">
      <c r="B24" t="s">
        <v>61</v>
      </c>
      <c r="C24" t="s">
        <v>60</v>
      </c>
      <c r="E24" t="s">
        <v>54</v>
      </c>
    </row>
    <row r="25" spans="1:9" x14ac:dyDescent="0.35">
      <c r="E25" t="s">
        <v>55</v>
      </c>
    </row>
    <row r="26" spans="1:9" x14ac:dyDescent="0.35">
      <c r="B26" t="s">
        <v>62</v>
      </c>
      <c r="C26">
        <f>B18</f>
        <v>-8.2558510676884571E-3</v>
      </c>
      <c r="E26" t="s">
        <v>56</v>
      </c>
    </row>
    <row r="27" spans="1:9" x14ac:dyDescent="0.35">
      <c r="C27" t="s">
        <v>67</v>
      </c>
      <c r="E27" t="s">
        <v>68</v>
      </c>
    </row>
    <row r="28" spans="1:9" x14ac:dyDescent="0.35">
      <c r="B28" t="s">
        <v>63</v>
      </c>
    </row>
    <row r="29" spans="1:9" x14ac:dyDescent="0.35">
      <c r="B29" t="s">
        <v>64</v>
      </c>
      <c r="E29" t="s">
        <v>66</v>
      </c>
    </row>
    <row r="30" spans="1:9" x14ac:dyDescent="0.35">
      <c r="B30" t="s">
        <v>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88F0-AED5-40C5-AC90-DFC3AF7734D9}">
  <dimension ref="A1:I58"/>
  <sheetViews>
    <sheetView topLeftCell="A46" zoomScale="123" workbookViewId="0">
      <selection activeCell="C58" sqref="C58"/>
    </sheetView>
  </sheetViews>
  <sheetFormatPr defaultRowHeight="14.5" x14ac:dyDescent="0.35"/>
  <cols>
    <col min="2" max="2" width="10.26953125" customWidth="1"/>
    <col min="3" max="3" width="10.54296875" customWidth="1"/>
  </cols>
  <sheetData>
    <row r="1" spans="1:9" x14ac:dyDescent="0.35">
      <c r="A1" t="s">
        <v>24</v>
      </c>
    </row>
    <row r="2" spans="1:9" ht="15" thickBot="1" x14ac:dyDescent="0.4"/>
    <row r="3" spans="1:9" x14ac:dyDescent="0.35">
      <c r="A3" s="15" t="s">
        <v>25</v>
      </c>
      <c r="B3" s="15"/>
    </row>
    <row r="4" spans="1:9" x14ac:dyDescent="0.35">
      <c r="A4" s="12" t="s">
        <v>26</v>
      </c>
      <c r="B4" s="12">
        <v>0.61881691672661254</v>
      </c>
    </row>
    <row r="5" spans="1:9" x14ac:dyDescent="0.35">
      <c r="A5" s="12" t="s">
        <v>27</v>
      </c>
      <c r="B5" s="16">
        <v>0.38293437642703138</v>
      </c>
    </row>
    <row r="6" spans="1:9" x14ac:dyDescent="0.35">
      <c r="A6" s="12" t="s">
        <v>28</v>
      </c>
      <c r="B6" s="12">
        <v>0.38246619310110352</v>
      </c>
    </row>
    <row r="7" spans="1:9" x14ac:dyDescent="0.35">
      <c r="A7" s="12" t="s">
        <v>29</v>
      </c>
      <c r="B7" s="12">
        <v>1.7454564160926028E-2</v>
      </c>
    </row>
    <row r="8" spans="1:9" ht="15" thickBot="1" x14ac:dyDescent="0.4">
      <c r="A8" s="13" t="s">
        <v>30</v>
      </c>
      <c r="B8" s="13">
        <v>1320</v>
      </c>
    </row>
    <row r="10" spans="1:9" ht="15" thickBot="1" x14ac:dyDescent="0.4">
      <c r="A10" t="s">
        <v>31</v>
      </c>
    </row>
    <row r="11" spans="1:9" x14ac:dyDescent="0.35">
      <c r="A11" s="14"/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40</v>
      </c>
    </row>
    <row r="12" spans="1:9" x14ac:dyDescent="0.35">
      <c r="A12" s="12" t="s">
        <v>32</v>
      </c>
      <c r="B12" s="12">
        <v>1</v>
      </c>
      <c r="C12" s="12">
        <v>0.24918760193049677</v>
      </c>
      <c r="D12" s="12">
        <v>0.24918760193049677</v>
      </c>
      <c r="E12" s="12">
        <v>817.91545153405423</v>
      </c>
      <c r="F12" s="12">
        <v>2.3887499900124061E-140</v>
      </c>
    </row>
    <row r="13" spans="1:9" x14ac:dyDescent="0.35">
      <c r="A13" s="12" t="s">
        <v>33</v>
      </c>
      <c r="B13" s="12">
        <v>1318</v>
      </c>
      <c r="C13" s="12">
        <v>0.40154426564311024</v>
      </c>
      <c r="D13" s="12">
        <v>3.0466181004788333E-4</v>
      </c>
      <c r="E13" s="12"/>
      <c r="F13" s="12"/>
    </row>
    <row r="14" spans="1:9" ht="15" thickBot="1" x14ac:dyDescent="0.4">
      <c r="A14" s="13" t="s">
        <v>34</v>
      </c>
      <c r="B14" s="13">
        <v>1319</v>
      </c>
      <c r="C14" s="13">
        <v>0.65073186757360701</v>
      </c>
      <c r="D14" s="13"/>
      <c r="E14" s="13"/>
      <c r="F14" s="13"/>
    </row>
    <row r="15" spans="1:9" ht="15" thickBot="1" x14ac:dyDescent="0.4"/>
    <row r="16" spans="1:9" x14ac:dyDescent="0.35">
      <c r="A16" s="14"/>
      <c r="B16" s="14" t="s">
        <v>41</v>
      </c>
      <c r="C16" s="14" t="s">
        <v>29</v>
      </c>
      <c r="D16" s="14" t="s">
        <v>42</v>
      </c>
      <c r="E16" s="14" t="s">
        <v>43</v>
      </c>
      <c r="F16" s="14" t="s">
        <v>44</v>
      </c>
      <c r="G16" s="14" t="s">
        <v>45</v>
      </c>
      <c r="H16" s="14" t="s">
        <v>46</v>
      </c>
      <c r="I16" s="14" t="s">
        <v>47</v>
      </c>
    </row>
    <row r="17" spans="1:9" x14ac:dyDescent="0.35">
      <c r="A17" s="12" t="s">
        <v>35</v>
      </c>
      <c r="B17" s="12">
        <v>-6.9752701957978699E-4</v>
      </c>
      <c r="C17" s="12">
        <v>4.8072084968456101E-4</v>
      </c>
      <c r="D17" s="12">
        <v>-1.4510022189332741</v>
      </c>
      <c r="E17" s="12">
        <v>0.14701719723955523</v>
      </c>
      <c r="F17" s="12">
        <v>-1.6405886037591743E-3</v>
      </c>
      <c r="G17" s="12">
        <v>2.4553456459960031E-4</v>
      </c>
      <c r="H17" s="12">
        <v>-1.6405886037591743E-3</v>
      </c>
      <c r="I17" s="12">
        <v>2.4553456459960031E-4</v>
      </c>
    </row>
    <row r="18" spans="1:9" ht="15" thickBot="1" x14ac:dyDescent="0.4">
      <c r="A18" s="13" t="s">
        <v>48</v>
      </c>
      <c r="B18" s="17">
        <v>1.028013356734599</v>
      </c>
      <c r="C18" s="13">
        <v>3.5945501824041971E-2</v>
      </c>
      <c r="D18" s="17">
        <v>28.599221170060765</v>
      </c>
      <c r="E18" s="17">
        <v>2.3887499900141732E-140</v>
      </c>
      <c r="F18" s="13">
        <v>0.95749671091707778</v>
      </c>
      <c r="G18" s="13">
        <v>1.0985300025521203</v>
      </c>
      <c r="H18" s="13">
        <v>0.95749671091707778</v>
      </c>
      <c r="I18" s="13">
        <v>1.0985300025521203</v>
      </c>
    </row>
    <row r="20" spans="1:9" x14ac:dyDescent="0.35">
      <c r="B20" t="s">
        <v>57</v>
      </c>
    </row>
    <row r="21" spans="1:9" x14ac:dyDescent="0.35">
      <c r="B21" t="s">
        <v>69</v>
      </c>
      <c r="C21" s="8">
        <f>B5</f>
        <v>0.38293437642703138</v>
      </c>
      <c r="D21" t="s">
        <v>70</v>
      </c>
    </row>
    <row r="22" spans="1:9" x14ac:dyDescent="0.35">
      <c r="B22" t="s">
        <v>71</v>
      </c>
    </row>
    <row r="23" spans="1:9" x14ac:dyDescent="0.35">
      <c r="C23" t="s">
        <v>72</v>
      </c>
    </row>
    <row r="24" spans="1:9" x14ac:dyDescent="0.35">
      <c r="B24" t="s">
        <v>73</v>
      </c>
    </row>
    <row r="25" spans="1:9" x14ac:dyDescent="0.35">
      <c r="B25" t="s">
        <v>62</v>
      </c>
      <c r="C25">
        <f>B18</f>
        <v>1.028013356734599</v>
      </c>
      <c r="D25" t="s">
        <v>74</v>
      </c>
    </row>
    <row r="26" spans="1:9" x14ac:dyDescent="0.35">
      <c r="C26" t="s">
        <v>75</v>
      </c>
    </row>
    <row r="27" spans="1:9" x14ac:dyDescent="0.35">
      <c r="B27" t="s">
        <v>76</v>
      </c>
      <c r="D27">
        <f>C25</f>
        <v>1.028013356734599</v>
      </c>
    </row>
    <row r="29" spans="1:9" x14ac:dyDescent="0.35">
      <c r="C29" t="s">
        <v>77</v>
      </c>
    </row>
    <row r="30" spans="1:9" x14ac:dyDescent="0.35">
      <c r="C30" t="s">
        <v>78</v>
      </c>
    </row>
    <row r="32" spans="1:9" x14ac:dyDescent="0.35">
      <c r="B32" t="s">
        <v>79</v>
      </c>
    </row>
    <row r="33" spans="2:8" x14ac:dyDescent="0.35">
      <c r="B33" t="s">
        <v>80</v>
      </c>
    </row>
    <row r="34" spans="2:8" x14ac:dyDescent="0.35">
      <c r="B34" t="s">
        <v>81</v>
      </c>
    </row>
    <row r="36" spans="2:8" x14ac:dyDescent="0.35">
      <c r="B36" t="s">
        <v>82</v>
      </c>
      <c r="G36" t="s">
        <v>86</v>
      </c>
    </row>
    <row r="37" spans="2:8" x14ac:dyDescent="0.35">
      <c r="G37" t="s">
        <v>87</v>
      </c>
    </row>
    <row r="38" spans="2:8" x14ac:dyDescent="0.35">
      <c r="B38" t="s">
        <v>83</v>
      </c>
    </row>
    <row r="39" spans="2:8" x14ac:dyDescent="0.35">
      <c r="B39" t="s">
        <v>84</v>
      </c>
      <c r="G39" t="s">
        <v>89</v>
      </c>
    </row>
    <row r="40" spans="2:8" x14ac:dyDescent="0.35">
      <c r="B40" t="s">
        <v>85</v>
      </c>
    </row>
    <row r="42" spans="2:8" x14ac:dyDescent="0.35">
      <c r="B42" t="s">
        <v>90</v>
      </c>
    </row>
    <row r="43" spans="2:8" x14ac:dyDescent="0.35">
      <c r="B43" t="s">
        <v>91</v>
      </c>
    </row>
    <row r="44" spans="2:8" x14ac:dyDescent="0.35">
      <c r="B44" t="s">
        <v>92</v>
      </c>
    </row>
    <row r="45" spans="2:8" x14ac:dyDescent="0.35">
      <c r="B45" t="s">
        <v>93</v>
      </c>
    </row>
    <row r="46" spans="2:8" x14ac:dyDescent="0.35">
      <c r="B46" t="s">
        <v>94</v>
      </c>
    </row>
    <row r="47" spans="2:8" x14ac:dyDescent="0.35">
      <c r="B47" t="s">
        <v>95</v>
      </c>
      <c r="H47" t="s">
        <v>100</v>
      </c>
    </row>
    <row r="48" spans="2:8" x14ac:dyDescent="0.35">
      <c r="B48" t="s">
        <v>96</v>
      </c>
      <c r="H48" t="s">
        <v>101</v>
      </c>
    </row>
    <row r="49" spans="2:8" x14ac:dyDescent="0.35">
      <c r="B49" t="s">
        <v>97</v>
      </c>
      <c r="H49" t="s">
        <v>102</v>
      </c>
    </row>
    <row r="50" spans="2:8" x14ac:dyDescent="0.35">
      <c r="B50" t="s">
        <v>98</v>
      </c>
      <c r="H50" t="s">
        <v>103</v>
      </c>
    </row>
    <row r="51" spans="2:8" x14ac:dyDescent="0.35">
      <c r="B51" t="s">
        <v>99</v>
      </c>
      <c r="H51" t="s">
        <v>104</v>
      </c>
    </row>
    <row r="52" spans="2:8" x14ac:dyDescent="0.35">
      <c r="H52" t="s">
        <v>105</v>
      </c>
    </row>
    <row r="53" spans="2:8" x14ac:dyDescent="0.35">
      <c r="B53" t="s">
        <v>106</v>
      </c>
      <c r="C53" s="18">
        <v>0.04</v>
      </c>
      <c r="D53" t="s">
        <v>107</v>
      </c>
    </row>
    <row r="54" spans="2:8" x14ac:dyDescent="0.35">
      <c r="B54" t="s">
        <v>108</v>
      </c>
      <c r="C54">
        <f>B18</f>
        <v>1.028013356734599</v>
      </c>
    </row>
    <row r="55" spans="2:8" x14ac:dyDescent="0.35">
      <c r="B55" t="s">
        <v>109</v>
      </c>
      <c r="C55" s="19">
        <f>AVERAGE(daily!E3:E1322)</f>
        <v>4.7222886499169296E-4</v>
      </c>
      <c r="D55" s="10">
        <f>C55*252</f>
        <v>0.11900167397790662</v>
      </c>
      <c r="G55" t="s">
        <v>110</v>
      </c>
    </row>
    <row r="56" spans="2:8" x14ac:dyDescent="0.35">
      <c r="B56" t="s">
        <v>112</v>
      </c>
      <c r="C56" s="19">
        <f>D55-C53</f>
        <v>7.9001673977906611E-2</v>
      </c>
    </row>
    <row r="57" spans="2:8" x14ac:dyDescent="0.35">
      <c r="G57">
        <v>1000</v>
      </c>
      <c r="H57" t="s">
        <v>111</v>
      </c>
    </row>
    <row r="58" spans="2:8" x14ac:dyDescent="0.35">
      <c r="B58" t="s">
        <v>113</v>
      </c>
      <c r="C58" s="19">
        <f>C53+C54*C56</f>
        <v>0.1212147760536802</v>
      </c>
      <c r="D58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CAA7-BC51-45EF-853B-7A0215175828}">
  <dimension ref="A1:I26"/>
  <sheetViews>
    <sheetView topLeftCell="A12" zoomScale="127" workbookViewId="0">
      <selection activeCell="H27" sqref="H27"/>
    </sheetView>
  </sheetViews>
  <sheetFormatPr defaultRowHeight="14.5" x14ac:dyDescent="0.35"/>
  <sheetData>
    <row r="1" spans="1:9" x14ac:dyDescent="0.35">
      <c r="A1" t="s">
        <v>24</v>
      </c>
    </row>
    <row r="2" spans="1:9" ht="15" thickBot="1" x14ac:dyDescent="0.4"/>
    <row r="3" spans="1:9" x14ac:dyDescent="0.35">
      <c r="A3" s="15" t="s">
        <v>25</v>
      </c>
      <c r="B3" s="15"/>
    </row>
    <row r="4" spans="1:9" x14ac:dyDescent="0.35">
      <c r="A4" s="12" t="s">
        <v>26</v>
      </c>
      <c r="B4" s="12">
        <v>0.61757715563414228</v>
      </c>
    </row>
    <row r="5" spans="1:9" x14ac:dyDescent="0.35">
      <c r="A5" s="12" t="s">
        <v>27</v>
      </c>
      <c r="B5" s="16">
        <v>0.3814015431611576</v>
      </c>
    </row>
    <row r="6" spans="1:9" x14ac:dyDescent="0.35">
      <c r="A6" s="12" t="s">
        <v>28</v>
      </c>
      <c r="B6" s="12">
        <v>0.38093219683578672</v>
      </c>
    </row>
    <row r="7" spans="1:9" x14ac:dyDescent="0.35">
      <c r="A7" s="12" t="s">
        <v>29</v>
      </c>
      <c r="B7" s="12">
        <v>2.1385243804129123E-2</v>
      </c>
    </row>
    <row r="8" spans="1:9" ht="15" thickBot="1" x14ac:dyDescent="0.4">
      <c r="A8" s="13" t="s">
        <v>30</v>
      </c>
      <c r="B8" s="13">
        <v>1320</v>
      </c>
    </row>
    <row r="10" spans="1:9" ht="15" thickBot="1" x14ac:dyDescent="0.4">
      <c r="A10" t="s">
        <v>31</v>
      </c>
    </row>
    <row r="11" spans="1:9" x14ac:dyDescent="0.35">
      <c r="A11" s="14"/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40</v>
      </c>
    </row>
    <row r="12" spans="1:9" x14ac:dyDescent="0.35">
      <c r="A12" s="12" t="s">
        <v>32</v>
      </c>
      <c r="B12" s="12">
        <v>1</v>
      </c>
      <c r="C12" s="12">
        <v>0.37163570777109523</v>
      </c>
      <c r="D12" s="12">
        <v>0.37163570777109523</v>
      </c>
      <c r="E12" s="12">
        <v>812.62283849726123</v>
      </c>
      <c r="F12" s="12">
        <v>1.2277140470135473E-139</v>
      </c>
    </row>
    <row r="13" spans="1:9" x14ac:dyDescent="0.35">
      <c r="A13" s="12" t="s">
        <v>33</v>
      </c>
      <c r="B13" s="12">
        <v>1318</v>
      </c>
      <c r="C13" s="12">
        <v>0.60275916407677277</v>
      </c>
      <c r="D13" s="12">
        <v>4.5732865256204309E-4</v>
      </c>
      <c r="E13" s="12"/>
      <c r="F13" s="12"/>
    </row>
    <row r="14" spans="1:9" ht="15" thickBot="1" x14ac:dyDescent="0.4">
      <c r="A14" s="13" t="s">
        <v>34</v>
      </c>
      <c r="B14" s="13">
        <v>1319</v>
      </c>
      <c r="C14" s="13">
        <v>0.97439487184786799</v>
      </c>
      <c r="D14" s="13"/>
      <c r="E14" s="13"/>
      <c r="F14" s="13"/>
    </row>
    <row r="15" spans="1:9" ht="15" thickBot="1" x14ac:dyDescent="0.4"/>
    <row r="16" spans="1:9" x14ac:dyDescent="0.35">
      <c r="A16" s="14"/>
      <c r="B16" s="14" t="s">
        <v>41</v>
      </c>
      <c r="C16" s="14" t="s">
        <v>29</v>
      </c>
      <c r="D16" s="14" t="s">
        <v>42</v>
      </c>
      <c r="E16" s="14" t="s">
        <v>43</v>
      </c>
      <c r="F16" s="14" t="s">
        <v>44</v>
      </c>
      <c r="G16" s="14" t="s">
        <v>45</v>
      </c>
      <c r="H16" s="14" t="s">
        <v>46</v>
      </c>
      <c r="I16" s="14" t="s">
        <v>47</v>
      </c>
    </row>
    <row r="17" spans="1:9" x14ac:dyDescent="0.35">
      <c r="A17" s="12" t="s">
        <v>35</v>
      </c>
      <c r="B17" s="12">
        <v>-6.7622980727708175E-5</v>
      </c>
      <c r="C17" s="12">
        <v>5.889767557328133E-4</v>
      </c>
      <c r="D17" s="12">
        <v>-0.11481434550599658</v>
      </c>
      <c r="E17" s="12">
        <v>0.90860976635280588</v>
      </c>
      <c r="F17" s="12">
        <v>-1.2230572679459389E-3</v>
      </c>
      <c r="G17" s="12">
        <v>1.0878113064905224E-3</v>
      </c>
      <c r="H17" s="12">
        <v>-1.2230572679459389E-3</v>
      </c>
      <c r="I17" s="12">
        <v>1.0878113064905224E-3</v>
      </c>
    </row>
    <row r="18" spans="1:9" ht="15" thickBot="1" x14ac:dyDescent="0.4">
      <c r="A18" s="13" t="s">
        <v>48</v>
      </c>
      <c r="B18" s="17">
        <v>1.255435080161472</v>
      </c>
      <c r="C18" s="13">
        <v>4.4040247185875486E-2</v>
      </c>
      <c r="D18" s="17">
        <v>28.50654027582554</v>
      </c>
      <c r="E18" s="17">
        <v>1.2277140470126388E-139</v>
      </c>
      <c r="F18" s="13">
        <v>1.1690384420584723</v>
      </c>
      <c r="G18" s="13">
        <v>1.3418317182644717</v>
      </c>
      <c r="H18" s="13">
        <v>1.1690384420584723</v>
      </c>
      <c r="I18" s="13">
        <v>1.3418317182644717</v>
      </c>
    </row>
    <row r="20" spans="1:9" x14ac:dyDescent="0.35">
      <c r="C20" t="s">
        <v>115</v>
      </c>
      <c r="D20">
        <f>B18</f>
        <v>1.255435080161472</v>
      </c>
      <c r="E20" t="s">
        <v>3</v>
      </c>
      <c r="F20" t="s">
        <v>116</v>
      </c>
    </row>
    <row r="21" spans="1:9" x14ac:dyDescent="0.35">
      <c r="D21">
        <f>Sheet2!C54</f>
        <v>1.028013356734599</v>
      </c>
      <c r="E21" t="s">
        <v>2</v>
      </c>
      <c r="F21" t="s">
        <v>117</v>
      </c>
    </row>
    <row r="23" spans="1:9" x14ac:dyDescent="0.35">
      <c r="C23" t="s">
        <v>90</v>
      </c>
    </row>
    <row r="24" spans="1:9" x14ac:dyDescent="0.35">
      <c r="C24" t="s">
        <v>118</v>
      </c>
      <c r="D24" s="19">
        <f>4%+D20*(Sheet2!C56-4%)</f>
        <v>8.8964069696884779E-2</v>
      </c>
      <c r="G24" t="s">
        <v>119</v>
      </c>
    </row>
    <row r="25" spans="1:9" x14ac:dyDescent="0.35">
      <c r="G25" t="s">
        <v>108</v>
      </c>
      <c r="H25" t="s">
        <v>3</v>
      </c>
    </row>
    <row r="26" spans="1:9" x14ac:dyDescent="0.35">
      <c r="H26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D3A0-A6DD-4D35-8EAC-57AE9923F88D}">
  <dimension ref="A1:M1322"/>
  <sheetViews>
    <sheetView zoomScale="130" zoomScaleNormal="130" workbookViewId="0">
      <selection activeCell="F1" sqref="F1:G1048576"/>
    </sheetView>
  </sheetViews>
  <sheetFormatPr defaultRowHeight="14.5" x14ac:dyDescent="0.35"/>
  <cols>
    <col min="1" max="1" width="12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I1" s="11" t="s">
        <v>21</v>
      </c>
    </row>
    <row r="2" spans="1:13" x14ac:dyDescent="0.35">
      <c r="A2" s="2">
        <v>43832</v>
      </c>
      <c r="B2" s="3">
        <v>3257.85</v>
      </c>
      <c r="C2" s="3">
        <v>102.2</v>
      </c>
      <c r="D2" s="3">
        <v>37.380000000000003</v>
      </c>
      <c r="H2" t="s">
        <v>20</v>
      </c>
      <c r="I2" s="9">
        <f>CORREL(C2:C1322,D2:D1322)</f>
        <v>0.42727822534711646</v>
      </c>
      <c r="J2" s="9"/>
      <c r="K2" t="s">
        <v>4</v>
      </c>
    </row>
    <row r="3" spans="1:13" x14ac:dyDescent="0.35">
      <c r="A3" s="2">
        <v>43833</v>
      </c>
      <c r="B3" s="3">
        <v>3234.85</v>
      </c>
      <c r="C3" s="3">
        <v>101.92</v>
      </c>
      <c r="D3" s="3">
        <v>36.32</v>
      </c>
      <c r="E3" s="10">
        <f>(B3-B2)/B2</f>
        <v>-7.0598707736697517E-3</v>
      </c>
      <c r="F3" s="10">
        <f t="shared" ref="F3:G3" si="0">(C3-C2)/C2</f>
        <v>-2.7397260273972711E-3</v>
      </c>
      <c r="G3" s="10">
        <f t="shared" si="0"/>
        <v>-2.8357410379882347E-2</v>
      </c>
      <c r="H3" t="s">
        <v>22</v>
      </c>
      <c r="I3" s="9">
        <f>CORREL(F3:F1322,G3:G1322)</f>
        <v>0.45578345062913789</v>
      </c>
      <c r="K3" t="s">
        <v>5</v>
      </c>
    </row>
    <row r="4" spans="1:13" x14ac:dyDescent="0.35">
      <c r="A4" s="2">
        <v>43836</v>
      </c>
      <c r="B4" s="3">
        <v>3246.28</v>
      </c>
      <c r="C4" s="3">
        <v>101.83</v>
      </c>
      <c r="D4" s="3">
        <v>35.840000000000003</v>
      </c>
      <c r="E4" s="10">
        <f t="shared" ref="E4:E67" si="1">(B4-B3)/B3</f>
        <v>3.5333941295578749E-3</v>
      </c>
      <c r="F4" s="10">
        <f t="shared" ref="F4:F67" si="2">(C4-C3)/C3</f>
        <v>-8.8304552590270219E-4</v>
      </c>
      <c r="G4" s="10">
        <f t="shared" ref="G4:G67" si="3">(D4-D3)/D3</f>
        <v>-1.3215859030836918E-2</v>
      </c>
      <c r="K4" t="s">
        <v>6</v>
      </c>
    </row>
    <row r="5" spans="1:13" x14ac:dyDescent="0.35">
      <c r="A5" s="2">
        <v>43837</v>
      </c>
      <c r="B5" s="3">
        <v>3237.18</v>
      </c>
      <c r="C5" s="3">
        <v>101.78</v>
      </c>
      <c r="D5" s="3">
        <v>35.15</v>
      </c>
      <c r="E5" s="10">
        <f t="shared" si="1"/>
        <v>-2.8032085956850188E-3</v>
      </c>
      <c r="F5" s="10">
        <f t="shared" si="2"/>
        <v>-4.9101443582438538E-4</v>
      </c>
      <c r="G5" s="10">
        <f t="shared" si="3"/>
        <v>-1.9252232142857276E-2</v>
      </c>
      <c r="K5" t="s">
        <v>7</v>
      </c>
    </row>
    <row r="6" spans="1:13" x14ac:dyDescent="0.35">
      <c r="A6" s="2">
        <v>43838</v>
      </c>
      <c r="B6" s="3">
        <v>3253.05</v>
      </c>
      <c r="C6" s="3">
        <v>101.55</v>
      </c>
      <c r="D6" s="3">
        <v>34.65</v>
      </c>
      <c r="E6" s="10">
        <f t="shared" si="1"/>
        <v>4.9024150649640569E-3</v>
      </c>
      <c r="F6" s="10">
        <f t="shared" si="2"/>
        <v>-2.2597759874238943E-3</v>
      </c>
      <c r="G6" s="10">
        <f t="shared" si="3"/>
        <v>-1.422475106685633E-2</v>
      </c>
      <c r="K6" t="s">
        <v>8</v>
      </c>
    </row>
    <row r="7" spans="1:13" x14ac:dyDescent="0.35">
      <c r="A7" s="2">
        <v>43839</v>
      </c>
      <c r="B7" s="3">
        <v>3274.7</v>
      </c>
      <c r="C7" s="3">
        <v>101.48</v>
      </c>
      <c r="D7" s="3">
        <v>35.08</v>
      </c>
      <c r="E7" s="10">
        <f t="shared" si="1"/>
        <v>6.6552927252884631E-3</v>
      </c>
      <c r="F7" s="10">
        <f t="shared" si="2"/>
        <v>-6.8931560807477285E-4</v>
      </c>
      <c r="G7" s="10">
        <f t="shared" si="3"/>
        <v>1.2409812409812402E-2</v>
      </c>
      <c r="I7" t="s">
        <v>88</v>
      </c>
      <c r="K7" t="s">
        <v>9</v>
      </c>
    </row>
    <row r="8" spans="1:13" x14ac:dyDescent="0.35">
      <c r="A8" s="2">
        <v>43840</v>
      </c>
      <c r="B8" s="3">
        <v>3265.35</v>
      </c>
      <c r="C8" s="3">
        <v>100.9</v>
      </c>
      <c r="D8" s="3">
        <v>34.65</v>
      </c>
      <c r="E8" s="10">
        <f t="shared" si="1"/>
        <v>-2.8552233792408189E-3</v>
      </c>
      <c r="F8" s="10">
        <f t="shared" si="2"/>
        <v>-5.7154119038233964E-3</v>
      </c>
      <c r="G8" s="10">
        <f t="shared" si="3"/>
        <v>-1.2257696693272513E-2</v>
      </c>
    </row>
    <row r="9" spans="1:13" x14ac:dyDescent="0.35">
      <c r="A9" s="2">
        <v>43843</v>
      </c>
      <c r="B9" s="3">
        <v>3288.13</v>
      </c>
      <c r="C9" s="3">
        <v>102.16</v>
      </c>
      <c r="D9" s="3">
        <v>34.979999999999997</v>
      </c>
      <c r="E9" s="10">
        <f t="shared" si="1"/>
        <v>6.9762812562206809E-3</v>
      </c>
      <c r="F9" s="10">
        <f t="shared" si="2"/>
        <v>1.2487611496531128E-2</v>
      </c>
      <c r="G9" s="10">
        <f t="shared" si="3"/>
        <v>9.5238095238094744E-3</v>
      </c>
      <c r="K9" t="s">
        <v>11</v>
      </c>
    </row>
    <row r="10" spans="1:13" x14ac:dyDescent="0.35">
      <c r="A10" s="2">
        <v>43844</v>
      </c>
      <c r="B10" s="3">
        <v>3283.15</v>
      </c>
      <c r="C10" s="3">
        <v>102.92</v>
      </c>
      <c r="D10" s="3">
        <v>35.15</v>
      </c>
      <c r="E10" s="10">
        <f t="shared" si="1"/>
        <v>-1.5145386587513323E-3</v>
      </c>
      <c r="F10" s="10">
        <f t="shared" si="2"/>
        <v>7.4393108848865028E-3</v>
      </c>
      <c r="G10" s="10">
        <f t="shared" si="3"/>
        <v>4.8599199542596261E-3</v>
      </c>
      <c r="K10" t="s">
        <v>10</v>
      </c>
    </row>
    <row r="11" spans="1:13" x14ac:dyDescent="0.35">
      <c r="A11" s="2">
        <v>43845</v>
      </c>
      <c r="B11" s="3">
        <v>3289.29</v>
      </c>
      <c r="C11" s="3">
        <v>102.79</v>
      </c>
      <c r="D11" s="3">
        <v>35.15</v>
      </c>
      <c r="E11" s="10">
        <f t="shared" si="1"/>
        <v>1.8701551863301623E-3</v>
      </c>
      <c r="F11" s="10">
        <f t="shared" si="2"/>
        <v>-1.2631169840652493E-3</v>
      </c>
      <c r="G11" s="10">
        <f t="shared" si="3"/>
        <v>0</v>
      </c>
    </row>
    <row r="12" spans="1:13" x14ac:dyDescent="0.35">
      <c r="A12" s="2">
        <v>43846</v>
      </c>
      <c r="B12" s="3">
        <v>3316.81</v>
      </c>
      <c r="C12" s="3">
        <v>103.37</v>
      </c>
      <c r="D12" s="3">
        <v>35.549999999999997</v>
      </c>
      <c r="E12" s="10">
        <f t="shared" si="1"/>
        <v>8.3665471879949722E-3</v>
      </c>
      <c r="F12" s="10">
        <f t="shared" si="2"/>
        <v>5.6425722346531591E-3</v>
      </c>
      <c r="G12" s="10">
        <f t="shared" si="3"/>
        <v>1.1379800853485025E-2</v>
      </c>
      <c r="K12" t="s">
        <v>12</v>
      </c>
    </row>
    <row r="13" spans="1:13" x14ac:dyDescent="0.35">
      <c r="A13" s="2">
        <v>43847</v>
      </c>
      <c r="B13" s="3">
        <v>3329.62</v>
      </c>
      <c r="C13" s="3">
        <v>104.53</v>
      </c>
      <c r="D13" s="3">
        <v>35.6</v>
      </c>
      <c r="E13" s="10">
        <f t="shared" si="1"/>
        <v>3.8621446510351651E-3</v>
      </c>
      <c r="F13" s="10">
        <f t="shared" si="2"/>
        <v>1.1221824513882137E-2</v>
      </c>
      <c r="G13" s="10">
        <f t="shared" si="3"/>
        <v>1.4064697609002606E-3</v>
      </c>
      <c r="K13" t="s">
        <v>13</v>
      </c>
    </row>
    <row r="14" spans="1:13" x14ac:dyDescent="0.35">
      <c r="A14" s="2">
        <v>43851</v>
      </c>
      <c r="B14" s="3">
        <v>3320.79</v>
      </c>
      <c r="C14" s="3">
        <v>104.58</v>
      </c>
      <c r="D14" s="3">
        <v>34.99</v>
      </c>
      <c r="E14" s="10">
        <f t="shared" si="1"/>
        <v>-2.6519542770646284E-3</v>
      </c>
      <c r="F14" s="10">
        <f t="shared" si="2"/>
        <v>4.7833157945084817E-4</v>
      </c>
      <c r="G14" s="10">
        <f t="shared" si="3"/>
        <v>-1.7134831460674141E-2</v>
      </c>
      <c r="K14">
        <v>10</v>
      </c>
      <c r="L14">
        <v>10</v>
      </c>
      <c r="M14" s="8">
        <f>(20-10)/L14</f>
        <v>1</v>
      </c>
    </row>
    <row r="15" spans="1:13" x14ac:dyDescent="0.35">
      <c r="A15" s="2">
        <v>43852</v>
      </c>
      <c r="B15" s="3">
        <v>3321.75</v>
      </c>
      <c r="C15" s="3">
        <v>104.49</v>
      </c>
      <c r="D15" s="3">
        <v>34.909999999999997</v>
      </c>
      <c r="E15" s="10">
        <f t="shared" si="1"/>
        <v>2.8908783753264626E-4</v>
      </c>
      <c r="F15" s="10">
        <f t="shared" si="2"/>
        <v>-8.6058519793462819E-4</v>
      </c>
      <c r="G15" s="10">
        <f t="shared" si="3"/>
        <v>-2.2863675335811772E-3</v>
      </c>
      <c r="L15">
        <v>100</v>
      </c>
      <c r="M15" s="8">
        <f>K14/L15</f>
        <v>0.1</v>
      </c>
    </row>
    <row r="16" spans="1:13" x14ac:dyDescent="0.35">
      <c r="A16" s="2">
        <v>43853</v>
      </c>
      <c r="B16" s="3">
        <v>3325.54</v>
      </c>
      <c r="C16" s="3">
        <v>103.02</v>
      </c>
      <c r="D16" s="3">
        <v>34.880000000000003</v>
      </c>
      <c r="E16" s="10">
        <f t="shared" si="1"/>
        <v>1.1409648528636904E-3</v>
      </c>
      <c r="F16" s="10">
        <f t="shared" si="2"/>
        <v>-1.4068331897789253E-2</v>
      </c>
      <c r="G16" s="10">
        <f t="shared" si="3"/>
        <v>-8.5935262102532326E-4</v>
      </c>
      <c r="L16">
        <v>1000</v>
      </c>
      <c r="M16" s="8">
        <f>K14/L16</f>
        <v>0.01</v>
      </c>
    </row>
    <row r="17" spans="1:11" x14ac:dyDescent="0.35">
      <c r="A17" s="2">
        <v>43854</v>
      </c>
      <c r="B17" s="3">
        <v>3295.47</v>
      </c>
      <c r="C17" s="3">
        <v>102.03</v>
      </c>
      <c r="D17" s="3">
        <v>34.31</v>
      </c>
      <c r="E17" s="10">
        <f t="shared" si="1"/>
        <v>-9.0421405245464381E-3</v>
      </c>
      <c r="F17" s="10">
        <f t="shared" si="2"/>
        <v>-9.6097845078625017E-3</v>
      </c>
      <c r="G17" s="10">
        <f t="shared" si="3"/>
        <v>-1.6341743119266061E-2</v>
      </c>
      <c r="K17" t="s">
        <v>14</v>
      </c>
    </row>
    <row r="18" spans="1:11" x14ac:dyDescent="0.35">
      <c r="A18" s="2">
        <v>43857</v>
      </c>
      <c r="B18" s="3">
        <v>3243.63</v>
      </c>
      <c r="C18" s="3">
        <v>100.24</v>
      </c>
      <c r="D18" s="3">
        <v>33.409999999999997</v>
      </c>
      <c r="E18" s="10">
        <f t="shared" si="1"/>
        <v>-1.5730684849201995E-2</v>
      </c>
      <c r="F18" s="10">
        <f t="shared" si="2"/>
        <v>-1.7543859649122868E-2</v>
      </c>
      <c r="G18" s="10">
        <f t="shared" si="3"/>
        <v>-2.6231419411250529E-2</v>
      </c>
      <c r="K18" t="s">
        <v>15</v>
      </c>
    </row>
    <row r="19" spans="1:11" x14ac:dyDescent="0.35">
      <c r="A19" s="2">
        <v>43858</v>
      </c>
      <c r="B19" s="3">
        <v>3276.24</v>
      </c>
      <c r="C19" s="3">
        <v>100.41</v>
      </c>
      <c r="D19" s="3">
        <v>33.64</v>
      </c>
      <c r="E19" s="10">
        <f t="shared" si="1"/>
        <v>1.0053551114029551E-2</v>
      </c>
      <c r="F19" s="10">
        <f t="shared" si="2"/>
        <v>1.6959297685554839E-3</v>
      </c>
      <c r="G19" s="10">
        <f t="shared" si="3"/>
        <v>6.8841664172404667E-3</v>
      </c>
      <c r="K19" t="s">
        <v>16</v>
      </c>
    </row>
    <row r="20" spans="1:11" x14ac:dyDescent="0.35">
      <c r="A20" s="2">
        <v>43859</v>
      </c>
      <c r="B20" s="3">
        <v>3273.4</v>
      </c>
      <c r="C20" s="3">
        <v>99.84</v>
      </c>
      <c r="D20" s="3">
        <v>33.6</v>
      </c>
      <c r="E20" s="10">
        <f t="shared" si="1"/>
        <v>-8.6684736160955579E-4</v>
      </c>
      <c r="F20" s="10">
        <f t="shared" si="2"/>
        <v>-5.6767254257543394E-3</v>
      </c>
      <c r="G20" s="10">
        <f t="shared" si="3"/>
        <v>-1.1890606420927215E-3</v>
      </c>
      <c r="K20" t="s">
        <v>17</v>
      </c>
    </row>
    <row r="21" spans="1:11" x14ac:dyDescent="0.35">
      <c r="A21" s="2">
        <v>43860</v>
      </c>
      <c r="B21" s="3">
        <v>3283.66</v>
      </c>
      <c r="C21" s="3">
        <v>98.19</v>
      </c>
      <c r="D21" s="3">
        <v>33.33</v>
      </c>
      <c r="E21" s="10">
        <f t="shared" si="1"/>
        <v>3.1343557157694638E-3</v>
      </c>
      <c r="F21" s="10">
        <f t="shared" si="2"/>
        <v>-1.6526442307692363E-2</v>
      </c>
      <c r="G21" s="10">
        <f t="shared" si="3"/>
        <v>-8.0357142857143786E-3</v>
      </c>
    </row>
    <row r="22" spans="1:11" x14ac:dyDescent="0.35">
      <c r="A22" s="2">
        <v>43861</v>
      </c>
      <c r="B22" s="3">
        <v>3225.52</v>
      </c>
      <c r="C22" s="3">
        <v>96.3</v>
      </c>
      <c r="D22" s="3">
        <v>33.39</v>
      </c>
      <c r="E22" s="10">
        <f t="shared" si="1"/>
        <v>-1.7705852615678808E-2</v>
      </c>
      <c r="F22" s="10">
        <f t="shared" si="2"/>
        <v>-1.9248395967002757E-2</v>
      </c>
      <c r="G22" s="10">
        <f t="shared" si="3"/>
        <v>1.8001800180018684E-3</v>
      </c>
      <c r="K22" t="s">
        <v>18</v>
      </c>
    </row>
    <row r="23" spans="1:11" x14ac:dyDescent="0.35">
      <c r="A23" s="2">
        <v>43864</v>
      </c>
      <c r="B23" s="3">
        <v>3248.92</v>
      </c>
      <c r="C23" s="3">
        <v>99.27</v>
      </c>
      <c r="D23" s="3">
        <v>33.72</v>
      </c>
      <c r="E23" s="10">
        <f t="shared" si="1"/>
        <v>7.2546442124060903E-3</v>
      </c>
      <c r="F23" s="10">
        <f t="shared" si="2"/>
        <v>3.0841121495327091E-2</v>
      </c>
      <c r="G23" s="10">
        <f t="shared" si="3"/>
        <v>9.883198562443794E-3</v>
      </c>
      <c r="K23" t="s">
        <v>19</v>
      </c>
    </row>
    <row r="24" spans="1:11" x14ac:dyDescent="0.35">
      <c r="A24" s="2">
        <v>43865</v>
      </c>
      <c r="B24" s="3">
        <v>3297.59</v>
      </c>
      <c r="C24" s="3">
        <v>101.38</v>
      </c>
      <c r="D24" s="3">
        <v>34.369999999999997</v>
      </c>
      <c r="E24" s="10">
        <f t="shared" si="1"/>
        <v>1.4980362705145116E-2</v>
      </c>
      <c r="F24" s="10">
        <f t="shared" si="2"/>
        <v>2.1255162687619619E-2</v>
      </c>
      <c r="G24" s="10">
        <f t="shared" si="3"/>
        <v>1.9276393831553933E-2</v>
      </c>
    </row>
    <row r="25" spans="1:11" x14ac:dyDescent="0.35">
      <c r="A25" s="2">
        <v>43866</v>
      </c>
      <c r="B25" s="3">
        <v>3334.69</v>
      </c>
      <c r="C25" s="3">
        <v>100.54</v>
      </c>
      <c r="D25" s="3">
        <v>35.03</v>
      </c>
      <c r="E25" s="10">
        <f t="shared" si="1"/>
        <v>1.1250640619361384E-2</v>
      </c>
      <c r="F25" s="10">
        <f t="shared" si="2"/>
        <v>-8.2856579206943108E-3</v>
      </c>
      <c r="G25" s="10">
        <f t="shared" si="3"/>
        <v>1.9202793133546808E-2</v>
      </c>
      <c r="K25" t="s">
        <v>23</v>
      </c>
    </row>
    <row r="26" spans="1:11" x14ac:dyDescent="0.35">
      <c r="A26" s="2">
        <v>43867</v>
      </c>
      <c r="B26" s="3">
        <v>3345.78</v>
      </c>
      <c r="C26" s="3">
        <v>100.27</v>
      </c>
      <c r="D26" s="3">
        <v>34.33</v>
      </c>
      <c r="E26" s="10">
        <f t="shared" si="1"/>
        <v>3.3256464618900542E-3</v>
      </c>
      <c r="F26" s="10">
        <f t="shared" si="2"/>
        <v>-2.6854983091307958E-3</v>
      </c>
      <c r="G26" s="10">
        <f t="shared" si="3"/>
        <v>-1.9982871824150809E-2</v>
      </c>
    </row>
    <row r="27" spans="1:11" x14ac:dyDescent="0.35">
      <c r="A27" s="2">
        <v>43868</v>
      </c>
      <c r="B27" s="3">
        <v>3327.71</v>
      </c>
      <c r="C27" s="3">
        <v>99.44</v>
      </c>
      <c r="D27" s="3">
        <v>33.630000000000003</v>
      </c>
      <c r="E27" s="10">
        <f t="shared" si="1"/>
        <v>-5.4008332885007865E-3</v>
      </c>
      <c r="F27" s="10">
        <f t="shared" si="2"/>
        <v>-8.2776503440709914E-3</v>
      </c>
      <c r="G27" s="10">
        <f t="shared" si="3"/>
        <v>-2.0390329158170573E-2</v>
      </c>
    </row>
    <row r="28" spans="1:11" x14ac:dyDescent="0.35">
      <c r="A28" s="2">
        <v>43871</v>
      </c>
      <c r="B28" s="3">
        <v>3352.09</v>
      </c>
      <c r="C28" s="3">
        <v>100.02</v>
      </c>
      <c r="D28" s="3">
        <v>34.25</v>
      </c>
      <c r="E28" s="10">
        <f t="shared" si="1"/>
        <v>7.3263595685922481E-3</v>
      </c>
      <c r="F28" s="10">
        <f t="shared" si="2"/>
        <v>5.8326629123089131E-3</v>
      </c>
      <c r="G28" s="10">
        <f t="shared" si="3"/>
        <v>1.8435920309247619E-2</v>
      </c>
    </row>
    <row r="29" spans="1:11" x14ac:dyDescent="0.35">
      <c r="A29" s="2">
        <v>43872</v>
      </c>
      <c r="B29" s="3">
        <v>3357.75</v>
      </c>
      <c r="C29" s="3">
        <v>100.02</v>
      </c>
      <c r="D29" s="3">
        <v>35.01</v>
      </c>
      <c r="E29" s="10">
        <f t="shared" si="1"/>
        <v>1.6884988171558205E-3</v>
      </c>
      <c r="F29" s="10">
        <f t="shared" si="2"/>
        <v>0</v>
      </c>
      <c r="G29" s="10">
        <f t="shared" si="3"/>
        <v>2.2189781021897753E-2</v>
      </c>
    </row>
    <row r="30" spans="1:11" x14ac:dyDescent="0.35">
      <c r="A30" s="2">
        <v>43873</v>
      </c>
      <c r="B30" s="3">
        <v>3379.45</v>
      </c>
      <c r="C30" s="3">
        <v>103</v>
      </c>
      <c r="D30" s="3">
        <v>35.49</v>
      </c>
      <c r="E30" s="10">
        <f t="shared" si="1"/>
        <v>6.4626610081154993E-3</v>
      </c>
      <c r="F30" s="10">
        <f t="shared" si="2"/>
        <v>2.979404119176169E-2</v>
      </c>
      <c r="G30" s="10">
        <f t="shared" si="3"/>
        <v>1.3710368466152643E-2</v>
      </c>
    </row>
    <row r="31" spans="1:11" x14ac:dyDescent="0.35">
      <c r="A31" s="2">
        <v>43874</v>
      </c>
      <c r="B31" s="3">
        <v>3373.94</v>
      </c>
      <c r="C31" s="3">
        <v>103.37</v>
      </c>
      <c r="D31" s="3">
        <v>35.29</v>
      </c>
      <c r="E31" s="10">
        <f t="shared" si="1"/>
        <v>-1.6304428235363044E-3</v>
      </c>
      <c r="F31" s="10">
        <f t="shared" si="2"/>
        <v>3.5922330097087822E-3</v>
      </c>
      <c r="G31" s="10">
        <f t="shared" si="3"/>
        <v>-5.6353902507749456E-3</v>
      </c>
    </row>
    <row r="32" spans="1:11" x14ac:dyDescent="0.35">
      <c r="A32" s="2">
        <v>43875</v>
      </c>
      <c r="B32" s="3">
        <v>3380.16</v>
      </c>
      <c r="C32" s="3">
        <v>103.54</v>
      </c>
      <c r="D32" s="3">
        <v>34.76</v>
      </c>
      <c r="E32" s="10">
        <f t="shared" si="1"/>
        <v>1.8435419717006821E-3</v>
      </c>
      <c r="F32" s="10">
        <f t="shared" si="2"/>
        <v>1.6445777304827484E-3</v>
      </c>
      <c r="G32" s="10">
        <f t="shared" si="3"/>
        <v>-1.5018418815528511E-2</v>
      </c>
    </row>
    <row r="33" spans="1:7" x14ac:dyDescent="0.35">
      <c r="A33" s="2">
        <v>43879</v>
      </c>
      <c r="B33" s="3">
        <v>3370.29</v>
      </c>
      <c r="C33" s="3">
        <v>102</v>
      </c>
      <c r="D33" s="3">
        <v>34.409999999999997</v>
      </c>
      <c r="E33" s="10">
        <f t="shared" si="1"/>
        <v>-2.9199801192842621E-3</v>
      </c>
      <c r="F33" s="10">
        <f t="shared" si="2"/>
        <v>-1.4873478848754165E-2</v>
      </c>
      <c r="G33" s="10">
        <f t="shared" si="3"/>
        <v>-1.0069044879171502E-2</v>
      </c>
    </row>
    <row r="34" spans="1:7" x14ac:dyDescent="0.35">
      <c r="A34" s="2">
        <v>43880</v>
      </c>
      <c r="B34" s="3">
        <v>3386.15</v>
      </c>
      <c r="C34" s="3">
        <v>102.46</v>
      </c>
      <c r="D34" s="3">
        <v>34.92</v>
      </c>
      <c r="E34" s="10">
        <f t="shared" si="1"/>
        <v>4.7058265015770531E-3</v>
      </c>
      <c r="F34" s="10">
        <f t="shared" si="2"/>
        <v>4.509803921568566E-3</v>
      </c>
      <c r="G34" s="10">
        <f t="shared" si="3"/>
        <v>1.4821272885789164E-2</v>
      </c>
    </row>
    <row r="35" spans="1:7" x14ac:dyDescent="0.35">
      <c r="A35" s="2">
        <v>43881</v>
      </c>
      <c r="B35" s="3">
        <v>3373.23</v>
      </c>
      <c r="C35" s="3">
        <v>102.53</v>
      </c>
      <c r="D35" s="3">
        <v>35.29</v>
      </c>
      <c r="E35" s="10">
        <f t="shared" si="1"/>
        <v>-3.8155427255142484E-3</v>
      </c>
      <c r="F35" s="10">
        <f t="shared" si="2"/>
        <v>6.8319344134303527E-4</v>
      </c>
      <c r="G35" s="10">
        <f t="shared" si="3"/>
        <v>1.0595647193585264E-2</v>
      </c>
    </row>
    <row r="36" spans="1:7" x14ac:dyDescent="0.35">
      <c r="A36" s="2">
        <v>43882</v>
      </c>
      <c r="B36" s="3">
        <v>3337.75</v>
      </c>
      <c r="C36" s="3">
        <v>100.25</v>
      </c>
      <c r="D36" s="3">
        <v>34.65</v>
      </c>
      <c r="E36" s="10">
        <f t="shared" si="1"/>
        <v>-1.0518108756295899E-2</v>
      </c>
      <c r="F36" s="10">
        <f t="shared" si="2"/>
        <v>-2.2237393933482893E-2</v>
      </c>
      <c r="G36" s="10">
        <f t="shared" si="3"/>
        <v>-1.813544913573252E-2</v>
      </c>
    </row>
    <row r="37" spans="1:7" x14ac:dyDescent="0.35">
      <c r="A37" s="2">
        <v>43885</v>
      </c>
      <c r="B37" s="3">
        <v>3225.89</v>
      </c>
      <c r="C37" s="3">
        <v>95.91</v>
      </c>
      <c r="D37" s="3">
        <v>33.090000000000003</v>
      </c>
      <c r="E37" s="10">
        <f t="shared" si="1"/>
        <v>-3.3513594487304357E-2</v>
      </c>
      <c r="F37" s="10">
        <f t="shared" si="2"/>
        <v>-4.3291770573566118E-2</v>
      </c>
      <c r="G37" s="10">
        <f t="shared" si="3"/>
        <v>-4.5021645021644886E-2</v>
      </c>
    </row>
    <row r="38" spans="1:7" x14ac:dyDescent="0.35">
      <c r="A38" s="2">
        <v>43886</v>
      </c>
      <c r="B38" s="3">
        <v>3128.21</v>
      </c>
      <c r="C38" s="3">
        <v>92.9</v>
      </c>
      <c r="D38" s="3">
        <v>31.75</v>
      </c>
      <c r="E38" s="10">
        <f t="shared" si="1"/>
        <v>-3.0280015747592089E-2</v>
      </c>
      <c r="F38" s="10">
        <f t="shared" si="2"/>
        <v>-3.1383588781148899E-2</v>
      </c>
      <c r="G38" s="10">
        <f t="shared" si="3"/>
        <v>-4.0495618011483929E-2</v>
      </c>
    </row>
    <row r="39" spans="1:7" x14ac:dyDescent="0.35">
      <c r="A39" s="2">
        <v>43887</v>
      </c>
      <c r="B39" s="3">
        <v>3116.39</v>
      </c>
      <c r="C39" s="3">
        <v>92</v>
      </c>
      <c r="D39" s="3">
        <v>32</v>
      </c>
      <c r="E39" s="10">
        <f t="shared" si="1"/>
        <v>-3.7785187055856748E-3</v>
      </c>
      <c r="F39" s="10">
        <f t="shared" si="2"/>
        <v>-9.687836383207811E-3</v>
      </c>
      <c r="G39" s="10">
        <f t="shared" si="3"/>
        <v>7.874015748031496E-3</v>
      </c>
    </row>
    <row r="40" spans="1:7" x14ac:dyDescent="0.35">
      <c r="A40" s="2">
        <v>43888</v>
      </c>
      <c r="B40" s="3">
        <v>2978.76</v>
      </c>
      <c r="C40" s="3">
        <v>88.55</v>
      </c>
      <c r="D40" s="3">
        <v>30.71</v>
      </c>
      <c r="E40" s="10">
        <f t="shared" si="1"/>
        <v>-4.4163278665378745E-2</v>
      </c>
      <c r="F40" s="10">
        <f t="shared" si="2"/>
        <v>-3.7500000000000033E-2</v>
      </c>
      <c r="G40" s="10">
        <f t="shared" si="3"/>
        <v>-4.0312499999999973E-2</v>
      </c>
    </row>
    <row r="41" spans="1:7" x14ac:dyDescent="0.35">
      <c r="A41" s="2">
        <v>43889</v>
      </c>
      <c r="B41" s="3">
        <v>2954.22</v>
      </c>
      <c r="C41" s="3">
        <v>89.38</v>
      </c>
      <c r="D41" s="3">
        <v>30.5</v>
      </c>
      <c r="E41" s="10">
        <f t="shared" si="1"/>
        <v>-8.2383273576926031E-3</v>
      </c>
      <c r="F41" s="10">
        <f t="shared" si="2"/>
        <v>9.3732354601919633E-3</v>
      </c>
      <c r="G41" s="10">
        <f t="shared" si="3"/>
        <v>-6.8381634646695159E-3</v>
      </c>
    </row>
    <row r="42" spans="1:7" x14ac:dyDescent="0.35">
      <c r="A42" s="2">
        <v>43892</v>
      </c>
      <c r="B42" s="3">
        <v>3090.23</v>
      </c>
      <c r="C42" s="3">
        <v>92.68</v>
      </c>
      <c r="D42" s="3">
        <v>31.42</v>
      </c>
      <c r="E42" s="10">
        <f t="shared" si="1"/>
        <v>4.6039225243888482E-2</v>
      </c>
      <c r="F42" s="10">
        <f t="shared" si="2"/>
        <v>3.692101141194911E-2</v>
      </c>
      <c r="G42" s="10">
        <f t="shared" si="3"/>
        <v>3.0163934426229565E-2</v>
      </c>
    </row>
    <row r="43" spans="1:7" x14ac:dyDescent="0.35">
      <c r="A43" s="2">
        <v>43893</v>
      </c>
      <c r="B43" s="3">
        <v>3003.37</v>
      </c>
      <c r="C43" s="3">
        <v>90.93</v>
      </c>
      <c r="D43" s="3">
        <v>30.52</v>
      </c>
      <c r="E43" s="10">
        <f t="shared" si="1"/>
        <v>-2.8107940185682013E-2</v>
      </c>
      <c r="F43" s="10">
        <f t="shared" si="2"/>
        <v>-1.8882175226586102E-2</v>
      </c>
      <c r="G43" s="10">
        <f t="shared" si="3"/>
        <v>-2.8644175684277597E-2</v>
      </c>
    </row>
    <row r="44" spans="1:7" x14ac:dyDescent="0.35">
      <c r="A44" s="2">
        <v>43894</v>
      </c>
      <c r="B44" s="3">
        <v>3130.12</v>
      </c>
      <c r="C44" s="3">
        <v>93.79</v>
      </c>
      <c r="D44" s="3">
        <v>31.53</v>
      </c>
      <c r="E44" s="10">
        <f t="shared" si="1"/>
        <v>4.2202592421180206E-2</v>
      </c>
      <c r="F44" s="10">
        <f t="shared" si="2"/>
        <v>3.1452765863851304E-2</v>
      </c>
      <c r="G44" s="10">
        <f t="shared" si="3"/>
        <v>3.3093053735255624E-2</v>
      </c>
    </row>
    <row r="45" spans="1:7" x14ac:dyDescent="0.35">
      <c r="A45" s="2">
        <v>43895</v>
      </c>
      <c r="B45" s="3">
        <v>3023.94</v>
      </c>
      <c r="C45" s="3">
        <v>90.58</v>
      </c>
      <c r="D45" s="3">
        <v>30.1</v>
      </c>
      <c r="E45" s="10">
        <f t="shared" si="1"/>
        <v>-3.3922022158894817E-2</v>
      </c>
      <c r="F45" s="10">
        <f t="shared" si="2"/>
        <v>-3.4225397163876826E-2</v>
      </c>
      <c r="G45" s="10">
        <f t="shared" si="3"/>
        <v>-4.5353631462099579E-2</v>
      </c>
    </row>
    <row r="46" spans="1:7" x14ac:dyDescent="0.35">
      <c r="A46" s="2">
        <v>43896</v>
      </c>
      <c r="B46" s="3">
        <v>2972.37</v>
      </c>
      <c r="C46" s="3">
        <v>88.36</v>
      </c>
      <c r="D46" s="3">
        <v>28.69</v>
      </c>
      <c r="E46" s="10">
        <f t="shared" si="1"/>
        <v>-1.7053909799797668E-2</v>
      </c>
      <c r="F46" s="10">
        <f t="shared" si="2"/>
        <v>-2.4508721572090959E-2</v>
      </c>
      <c r="G46" s="10">
        <f t="shared" si="3"/>
        <v>-4.6843853820598011E-2</v>
      </c>
    </row>
    <row r="47" spans="1:7" x14ac:dyDescent="0.35">
      <c r="A47" s="2">
        <v>43899</v>
      </c>
      <c r="B47" s="3">
        <v>2746.56</v>
      </c>
      <c r="C47" s="3">
        <v>84.11</v>
      </c>
      <c r="D47" s="3">
        <v>24.69</v>
      </c>
      <c r="E47" s="10">
        <f t="shared" si="1"/>
        <v>-7.5969680759797723E-2</v>
      </c>
      <c r="F47" s="10">
        <f t="shared" si="2"/>
        <v>-4.80986871887732E-2</v>
      </c>
      <c r="G47" s="10">
        <f t="shared" si="3"/>
        <v>-0.13942140118508189</v>
      </c>
    </row>
    <row r="48" spans="1:7" x14ac:dyDescent="0.35">
      <c r="A48" s="2">
        <v>43900</v>
      </c>
      <c r="B48" s="3">
        <v>2882.23</v>
      </c>
      <c r="C48" s="3">
        <v>88.3</v>
      </c>
      <c r="D48" s="3">
        <v>27.12</v>
      </c>
      <c r="E48" s="10">
        <f t="shared" si="1"/>
        <v>4.9396335780030318E-2</v>
      </c>
      <c r="F48" s="10">
        <f t="shared" si="2"/>
        <v>4.9815717512780855E-2</v>
      </c>
      <c r="G48" s="10">
        <f t="shared" si="3"/>
        <v>9.8420413122721734E-2</v>
      </c>
    </row>
    <row r="49" spans="1:7" x14ac:dyDescent="0.35">
      <c r="A49" s="2">
        <v>43901</v>
      </c>
      <c r="B49" s="3">
        <v>2741.38</v>
      </c>
      <c r="C49" s="3">
        <v>84</v>
      </c>
      <c r="D49" s="3">
        <v>26</v>
      </c>
      <c r="E49" s="10">
        <f t="shared" si="1"/>
        <v>-4.8868410917935041E-2</v>
      </c>
      <c r="F49" s="10">
        <f t="shared" si="2"/>
        <v>-4.8697621744054329E-2</v>
      </c>
      <c r="G49" s="10">
        <f t="shared" si="3"/>
        <v>-4.1297935103244872E-2</v>
      </c>
    </row>
    <row r="50" spans="1:7" x14ac:dyDescent="0.35">
      <c r="A50" s="2">
        <v>43902</v>
      </c>
      <c r="B50" s="3">
        <v>2480.64</v>
      </c>
      <c r="C50" s="3">
        <v>74.2</v>
      </c>
      <c r="D50" s="3">
        <v>23.04</v>
      </c>
      <c r="E50" s="10">
        <f t="shared" si="1"/>
        <v>-9.5112680474797442E-2</v>
      </c>
      <c r="F50" s="10">
        <f t="shared" si="2"/>
        <v>-0.11666666666666663</v>
      </c>
      <c r="G50" s="10">
        <f t="shared" si="3"/>
        <v>-0.11384615384615387</v>
      </c>
    </row>
    <row r="51" spans="1:7" x14ac:dyDescent="0.35">
      <c r="A51" s="2">
        <v>43903</v>
      </c>
      <c r="B51" s="3">
        <v>2711.02</v>
      </c>
      <c r="C51" s="3">
        <v>75.58</v>
      </c>
      <c r="D51" s="3">
        <v>24.71</v>
      </c>
      <c r="E51" s="10">
        <f t="shared" si="1"/>
        <v>9.2871194530443804E-2</v>
      </c>
      <c r="F51" s="10">
        <f t="shared" si="2"/>
        <v>1.8598382749326084E-2</v>
      </c>
      <c r="G51" s="10">
        <f t="shared" si="3"/>
        <v>7.2482638888888964E-2</v>
      </c>
    </row>
    <row r="52" spans="1:7" x14ac:dyDescent="0.35">
      <c r="A52" s="2">
        <v>43906</v>
      </c>
      <c r="B52" s="3">
        <v>2386.13</v>
      </c>
      <c r="C52" s="3">
        <v>66.790000000000006</v>
      </c>
      <c r="D52" s="3">
        <v>21</v>
      </c>
      <c r="E52" s="10">
        <f t="shared" si="1"/>
        <v>-0.11984050283657069</v>
      </c>
      <c r="F52" s="10">
        <f t="shared" si="2"/>
        <v>-0.1163006086266207</v>
      </c>
      <c r="G52" s="10">
        <f t="shared" si="3"/>
        <v>-0.15014164305949013</v>
      </c>
    </row>
    <row r="53" spans="1:7" x14ac:dyDescent="0.35">
      <c r="A53" s="2">
        <v>43907</v>
      </c>
      <c r="B53" s="3">
        <v>2529.19</v>
      </c>
      <c r="C53" s="3">
        <v>69.84</v>
      </c>
      <c r="D53" s="3">
        <v>20.32</v>
      </c>
      <c r="E53" s="10">
        <f t="shared" si="1"/>
        <v>5.9954822243549151E-2</v>
      </c>
      <c r="F53" s="10">
        <f t="shared" si="2"/>
        <v>4.5665518790238016E-2</v>
      </c>
      <c r="G53" s="10">
        <f t="shared" si="3"/>
        <v>-3.2380952380952364E-2</v>
      </c>
    </row>
    <row r="54" spans="1:7" x14ac:dyDescent="0.35">
      <c r="A54" s="2">
        <v>43908</v>
      </c>
      <c r="B54" s="3">
        <v>2398.1</v>
      </c>
      <c r="C54" s="3">
        <v>68.040000000000006</v>
      </c>
      <c r="D54" s="3">
        <v>16.8</v>
      </c>
      <c r="E54" s="10">
        <f t="shared" si="1"/>
        <v>-5.1830823307066745E-2</v>
      </c>
      <c r="F54" s="10">
        <f t="shared" si="2"/>
        <v>-2.5773195876288617E-2</v>
      </c>
      <c r="G54" s="10">
        <f t="shared" si="3"/>
        <v>-0.17322834645669288</v>
      </c>
    </row>
    <row r="55" spans="1:7" x14ac:dyDescent="0.35">
      <c r="A55" s="2">
        <v>43909</v>
      </c>
      <c r="B55" s="3">
        <v>2409.39</v>
      </c>
      <c r="C55" s="3">
        <v>70.34</v>
      </c>
      <c r="D55" s="3">
        <v>17.71</v>
      </c>
      <c r="E55" s="10">
        <f t="shared" si="1"/>
        <v>4.7078937492181158E-3</v>
      </c>
      <c r="F55" s="10">
        <f t="shared" si="2"/>
        <v>3.380364491475598E-2</v>
      </c>
      <c r="G55" s="10">
        <f t="shared" si="3"/>
        <v>5.4166666666666675E-2</v>
      </c>
    </row>
    <row r="56" spans="1:7" x14ac:dyDescent="0.35">
      <c r="A56" s="2">
        <v>43910</v>
      </c>
      <c r="B56" s="3">
        <v>2304.92</v>
      </c>
      <c r="C56" s="3">
        <v>67.45</v>
      </c>
      <c r="D56" s="3">
        <v>18.14</v>
      </c>
      <c r="E56" s="10">
        <f t="shared" si="1"/>
        <v>-4.3359522534749381E-2</v>
      </c>
      <c r="F56" s="10">
        <f t="shared" si="2"/>
        <v>-4.1086152971282347E-2</v>
      </c>
      <c r="G56" s="10">
        <f t="shared" si="3"/>
        <v>2.4280067758328611E-2</v>
      </c>
    </row>
    <row r="57" spans="1:7" x14ac:dyDescent="0.35">
      <c r="A57" s="2">
        <v>43913</v>
      </c>
      <c r="B57" s="3">
        <v>2237.4</v>
      </c>
      <c r="C57" s="3">
        <v>62.8</v>
      </c>
      <c r="D57" s="3">
        <v>17.600000000000001</v>
      </c>
      <c r="E57" s="10">
        <f t="shared" si="1"/>
        <v>-2.929385835517067E-2</v>
      </c>
      <c r="F57" s="10">
        <f t="shared" si="2"/>
        <v>-6.8939955522609425E-2</v>
      </c>
      <c r="G57" s="10">
        <f t="shared" si="3"/>
        <v>-2.9768467475192895E-2</v>
      </c>
    </row>
    <row r="58" spans="1:7" x14ac:dyDescent="0.35">
      <c r="A58" s="2">
        <v>43914</v>
      </c>
      <c r="B58" s="3">
        <v>2447.33</v>
      </c>
      <c r="C58" s="3">
        <v>72.33</v>
      </c>
      <c r="D58" s="3">
        <v>21.11</v>
      </c>
      <c r="E58" s="10">
        <f t="shared" si="1"/>
        <v>9.3827657101993311E-2</v>
      </c>
      <c r="F58" s="10">
        <f t="shared" si="2"/>
        <v>0.15175159235668792</v>
      </c>
      <c r="G58" s="10">
        <f t="shared" si="3"/>
        <v>0.19943181818181804</v>
      </c>
    </row>
    <row r="59" spans="1:7" x14ac:dyDescent="0.35">
      <c r="A59" s="2">
        <v>43915</v>
      </c>
      <c r="B59" s="3">
        <v>2475.56</v>
      </c>
      <c r="C59" s="3">
        <v>79.010000000000005</v>
      </c>
      <c r="D59" s="3">
        <v>21.49</v>
      </c>
      <c r="E59" s="10">
        <f t="shared" si="1"/>
        <v>1.1535019797084994E-2</v>
      </c>
      <c r="F59" s="10">
        <f t="shared" si="2"/>
        <v>9.2354486381861015E-2</v>
      </c>
      <c r="G59" s="10">
        <f t="shared" si="3"/>
        <v>1.8000947418285125E-2</v>
      </c>
    </row>
    <row r="60" spans="1:7" x14ac:dyDescent="0.35">
      <c r="A60" s="2">
        <v>43916</v>
      </c>
      <c r="B60" s="3">
        <v>2630.07</v>
      </c>
      <c r="C60" s="3">
        <v>84.3</v>
      </c>
      <c r="D60" s="3">
        <v>22.56</v>
      </c>
      <c r="E60" s="10">
        <f t="shared" si="1"/>
        <v>6.2414160836336108E-2</v>
      </c>
      <c r="F60" s="10">
        <f t="shared" si="2"/>
        <v>6.6953550183520963E-2</v>
      </c>
      <c r="G60" s="10">
        <f t="shared" si="3"/>
        <v>4.9790600279199647E-2</v>
      </c>
    </row>
    <row r="61" spans="1:7" x14ac:dyDescent="0.35">
      <c r="A61" s="2">
        <v>43917</v>
      </c>
      <c r="B61" s="3">
        <v>2541.4699999999998</v>
      </c>
      <c r="C61" s="3">
        <v>83.23</v>
      </c>
      <c r="D61" s="3">
        <v>21.38</v>
      </c>
      <c r="E61" s="10">
        <f t="shared" si="1"/>
        <v>-3.3687316307170666E-2</v>
      </c>
      <c r="F61" s="10">
        <f t="shared" si="2"/>
        <v>-1.2692763938315459E-2</v>
      </c>
      <c r="G61" s="10">
        <f t="shared" si="3"/>
        <v>-5.2304964539007084E-2</v>
      </c>
    </row>
    <row r="62" spans="1:7" x14ac:dyDescent="0.35">
      <c r="A62" s="2">
        <v>43920</v>
      </c>
      <c r="B62" s="3">
        <v>2626.65</v>
      </c>
      <c r="C62" s="3">
        <v>85.38</v>
      </c>
      <c r="D62" s="3">
        <v>21.32</v>
      </c>
      <c r="E62" s="10">
        <f t="shared" si="1"/>
        <v>3.3516035994916447E-2</v>
      </c>
      <c r="F62" s="10">
        <f t="shared" si="2"/>
        <v>2.5832031719331867E-2</v>
      </c>
      <c r="G62" s="10">
        <f t="shared" si="3"/>
        <v>-2.8063610851262267E-3</v>
      </c>
    </row>
    <row r="63" spans="1:7" x14ac:dyDescent="0.35">
      <c r="A63" s="2">
        <v>43921</v>
      </c>
      <c r="B63" s="3">
        <v>2584.59</v>
      </c>
      <c r="C63" s="3">
        <v>82.74</v>
      </c>
      <c r="D63" s="3">
        <v>20.78</v>
      </c>
      <c r="E63" s="10">
        <f t="shared" si="1"/>
        <v>-1.6012791959339821E-2</v>
      </c>
      <c r="F63" s="10">
        <f t="shared" si="2"/>
        <v>-3.0920590302178506E-2</v>
      </c>
      <c r="G63" s="10">
        <f t="shared" si="3"/>
        <v>-2.5328330206378948E-2</v>
      </c>
    </row>
    <row r="64" spans="1:7" x14ac:dyDescent="0.35">
      <c r="A64" s="2">
        <v>43922</v>
      </c>
      <c r="B64" s="3">
        <v>2470.5</v>
      </c>
      <c r="C64" s="3">
        <v>79.23</v>
      </c>
      <c r="D64" s="3">
        <v>19.260000000000002</v>
      </c>
      <c r="E64" s="10">
        <f t="shared" si="1"/>
        <v>-4.4142397827121573E-2</v>
      </c>
      <c r="F64" s="10">
        <f t="shared" si="2"/>
        <v>-4.2422044960115916E-2</v>
      </c>
      <c r="G64" s="10">
        <f t="shared" si="3"/>
        <v>-7.3147256977863312E-2</v>
      </c>
    </row>
    <row r="65" spans="1:7" x14ac:dyDescent="0.35">
      <c r="A65" s="2">
        <v>43923</v>
      </c>
      <c r="B65" s="3">
        <v>2526.9</v>
      </c>
      <c r="C65" s="3">
        <v>80.14</v>
      </c>
      <c r="D65" s="3">
        <v>18.190000000000001</v>
      </c>
      <c r="E65" s="10">
        <f t="shared" si="1"/>
        <v>2.282938676381303E-2</v>
      </c>
      <c r="F65" s="10">
        <f t="shared" si="2"/>
        <v>1.1485548403382513E-2</v>
      </c>
      <c r="G65" s="10">
        <f t="shared" si="3"/>
        <v>-5.5555555555555566E-2</v>
      </c>
    </row>
    <row r="66" spans="1:7" x14ac:dyDescent="0.35">
      <c r="A66" s="2">
        <v>43924</v>
      </c>
      <c r="B66" s="3">
        <v>2488.65</v>
      </c>
      <c r="C66" s="3">
        <v>78.86</v>
      </c>
      <c r="D66" s="3">
        <v>18.04</v>
      </c>
      <c r="E66" s="10">
        <f t="shared" si="1"/>
        <v>-1.5137124539950137E-2</v>
      </c>
      <c r="F66" s="10">
        <f t="shared" si="2"/>
        <v>-1.5972048914399815E-2</v>
      </c>
      <c r="G66" s="10">
        <f t="shared" si="3"/>
        <v>-8.2462891698736728E-3</v>
      </c>
    </row>
    <row r="67" spans="1:7" x14ac:dyDescent="0.35">
      <c r="A67" s="2">
        <v>43927</v>
      </c>
      <c r="B67" s="3">
        <v>2663.68</v>
      </c>
      <c r="C67" s="3">
        <v>84.63</v>
      </c>
      <c r="D67" s="3">
        <v>19.55</v>
      </c>
      <c r="E67" s="10">
        <f t="shared" si="1"/>
        <v>7.0331304120707913E-2</v>
      </c>
      <c r="F67" s="10">
        <f t="shared" si="2"/>
        <v>7.3167638853664674E-2</v>
      </c>
      <c r="G67" s="10">
        <f t="shared" si="3"/>
        <v>8.3702882483370378E-2</v>
      </c>
    </row>
    <row r="68" spans="1:7" x14ac:dyDescent="0.35">
      <c r="A68" s="2">
        <v>43928</v>
      </c>
      <c r="B68" s="3">
        <v>2659.41</v>
      </c>
      <c r="C68" s="3">
        <v>84.16</v>
      </c>
      <c r="D68" s="3">
        <v>21.3</v>
      </c>
      <c r="E68" s="10">
        <f t="shared" ref="E68:E131" si="4">(B68-B67)/B67</f>
        <v>-1.6030454108601567E-3</v>
      </c>
      <c r="F68" s="10">
        <f t="shared" ref="F68:F131" si="5">(C68-C67)/C67</f>
        <v>-5.5535861987474761E-3</v>
      </c>
      <c r="G68" s="10">
        <f t="shared" ref="G68:G131" si="6">(D68-D67)/D67</f>
        <v>8.9514066496163683E-2</v>
      </c>
    </row>
    <row r="69" spans="1:7" x14ac:dyDescent="0.35">
      <c r="A69" s="2">
        <v>43929</v>
      </c>
      <c r="B69" s="3">
        <v>2749.98</v>
      </c>
      <c r="C69" s="3">
        <v>85.3</v>
      </c>
      <c r="D69" s="3">
        <v>23.13</v>
      </c>
      <c r="E69" s="10">
        <f t="shared" si="4"/>
        <v>3.4056426049386961E-2</v>
      </c>
      <c r="F69" s="10">
        <f t="shared" si="5"/>
        <v>1.3545627376425862E-2</v>
      </c>
      <c r="G69" s="10">
        <f t="shared" si="6"/>
        <v>8.5915492957746392E-2</v>
      </c>
    </row>
    <row r="70" spans="1:7" x14ac:dyDescent="0.35">
      <c r="A70" s="2">
        <v>43930</v>
      </c>
      <c r="B70" s="3">
        <v>2789.82</v>
      </c>
      <c r="C70" s="3">
        <v>86.79</v>
      </c>
      <c r="D70" s="3">
        <v>24.06</v>
      </c>
      <c r="E70" s="10">
        <f t="shared" si="4"/>
        <v>1.4487378090022526E-2</v>
      </c>
      <c r="F70" s="10">
        <f t="shared" si="5"/>
        <v>1.7467760844079826E-2</v>
      </c>
      <c r="G70" s="10">
        <f t="shared" si="6"/>
        <v>4.020752269779506E-2</v>
      </c>
    </row>
    <row r="71" spans="1:7" x14ac:dyDescent="0.35">
      <c r="A71" s="2">
        <v>43934</v>
      </c>
      <c r="B71" s="3">
        <v>2761.63</v>
      </c>
      <c r="C71" s="3">
        <v>84.46</v>
      </c>
      <c r="D71" s="3">
        <v>23.01</v>
      </c>
      <c r="E71" s="10">
        <f t="shared" si="4"/>
        <v>-1.0104594561656327E-2</v>
      </c>
      <c r="F71" s="10">
        <f t="shared" si="5"/>
        <v>-2.684641087682927E-2</v>
      </c>
      <c r="G71" s="10">
        <f t="shared" si="6"/>
        <v>-4.3640897755610857E-2</v>
      </c>
    </row>
    <row r="72" spans="1:7" x14ac:dyDescent="0.35">
      <c r="A72" s="2">
        <v>43935</v>
      </c>
      <c r="B72" s="3">
        <v>2846.06</v>
      </c>
      <c r="C72" s="3">
        <v>87.47</v>
      </c>
      <c r="D72" s="3">
        <v>22.98</v>
      </c>
      <c r="E72" s="10">
        <f t="shared" si="4"/>
        <v>3.0572524197665811E-2</v>
      </c>
      <c r="F72" s="10">
        <f t="shared" si="5"/>
        <v>3.5638171915699804E-2</v>
      </c>
      <c r="G72" s="10">
        <f t="shared" si="6"/>
        <v>-1.3037809647979634E-3</v>
      </c>
    </row>
    <row r="73" spans="1:7" x14ac:dyDescent="0.35">
      <c r="A73" s="2">
        <v>43936</v>
      </c>
      <c r="B73" s="3">
        <v>2783.36</v>
      </c>
      <c r="C73" s="3">
        <v>85.04</v>
      </c>
      <c r="D73" s="3">
        <v>21.66</v>
      </c>
      <c r="E73" s="10">
        <f t="shared" si="4"/>
        <v>-2.2030456139364531E-2</v>
      </c>
      <c r="F73" s="10">
        <f t="shared" si="5"/>
        <v>-2.7780953469760977E-2</v>
      </c>
      <c r="G73" s="10">
        <f t="shared" si="6"/>
        <v>-5.7441253263707581E-2</v>
      </c>
    </row>
    <row r="74" spans="1:7" x14ac:dyDescent="0.35">
      <c r="A74" s="2">
        <v>43937</v>
      </c>
      <c r="B74" s="3">
        <v>2799.55</v>
      </c>
      <c r="C74" s="3">
        <v>86.3</v>
      </c>
      <c r="D74" s="3">
        <v>20.87</v>
      </c>
      <c r="E74" s="10">
        <f t="shared" si="4"/>
        <v>5.8167107381007326E-3</v>
      </c>
      <c r="F74" s="10">
        <f t="shared" si="5"/>
        <v>1.4816556914393118E-2</v>
      </c>
      <c r="G74" s="10">
        <f t="shared" si="6"/>
        <v>-3.6472760849492109E-2</v>
      </c>
    </row>
    <row r="75" spans="1:7" x14ac:dyDescent="0.35">
      <c r="A75" s="2">
        <v>43938</v>
      </c>
      <c r="B75" s="3">
        <v>2874.56</v>
      </c>
      <c r="C75" s="3">
        <v>89.91</v>
      </c>
      <c r="D75" s="3">
        <v>22.48</v>
      </c>
      <c r="E75" s="10">
        <f t="shared" si="4"/>
        <v>2.6793591827257865E-2</v>
      </c>
      <c r="F75" s="10">
        <f t="shared" si="5"/>
        <v>4.1830822711471607E-2</v>
      </c>
      <c r="G75" s="10">
        <f t="shared" si="6"/>
        <v>7.7144226161954932E-2</v>
      </c>
    </row>
    <row r="76" spans="1:7" x14ac:dyDescent="0.35">
      <c r="A76" s="2">
        <v>43941</v>
      </c>
      <c r="B76" s="3">
        <v>2823.16</v>
      </c>
      <c r="C76" s="3">
        <v>87.9</v>
      </c>
      <c r="D76" s="3">
        <v>22.38</v>
      </c>
      <c r="E76" s="10">
        <f t="shared" si="4"/>
        <v>-1.7880997439608182E-2</v>
      </c>
      <c r="F76" s="10">
        <f t="shared" si="5"/>
        <v>-2.2355689022355588E-2</v>
      </c>
      <c r="G76" s="10">
        <f t="shared" si="6"/>
        <v>-4.4483985765125184E-3</v>
      </c>
    </row>
    <row r="77" spans="1:7" x14ac:dyDescent="0.35">
      <c r="A77" s="2">
        <v>43942</v>
      </c>
      <c r="B77" s="3">
        <v>2736.56</v>
      </c>
      <c r="C77" s="3">
        <v>85.2</v>
      </c>
      <c r="D77" s="3">
        <v>21.24</v>
      </c>
      <c r="E77" s="10">
        <f t="shared" si="4"/>
        <v>-3.067484662576684E-2</v>
      </c>
      <c r="F77" s="10">
        <f t="shared" si="5"/>
        <v>-3.0716723549488085E-2</v>
      </c>
      <c r="G77" s="10">
        <f t="shared" si="6"/>
        <v>-5.0938337801608606E-2</v>
      </c>
    </row>
    <row r="78" spans="1:7" x14ac:dyDescent="0.35">
      <c r="A78" s="2">
        <v>43943</v>
      </c>
      <c r="B78" s="3">
        <v>2799.31</v>
      </c>
      <c r="C78" s="3">
        <v>88.77</v>
      </c>
      <c r="D78" s="3">
        <v>21.3</v>
      </c>
      <c r="E78" s="10">
        <f t="shared" si="4"/>
        <v>2.2930248194813926E-2</v>
      </c>
      <c r="F78" s="10">
        <f t="shared" si="5"/>
        <v>4.1901408450704142E-2</v>
      </c>
      <c r="G78" s="10">
        <f t="shared" si="6"/>
        <v>2.824858757062254E-3</v>
      </c>
    </row>
    <row r="79" spans="1:7" x14ac:dyDescent="0.35">
      <c r="A79" s="2">
        <v>43944</v>
      </c>
      <c r="B79" s="3">
        <v>2797.8</v>
      </c>
      <c r="C79" s="3">
        <v>87.35</v>
      </c>
      <c r="D79" s="3">
        <v>21.52</v>
      </c>
      <c r="E79" s="10">
        <f t="shared" si="4"/>
        <v>-5.3941864245109097E-4</v>
      </c>
      <c r="F79" s="10">
        <f t="shared" si="5"/>
        <v>-1.5996395178551333E-2</v>
      </c>
      <c r="G79" s="10">
        <f t="shared" si="6"/>
        <v>1.0328638497652528E-2</v>
      </c>
    </row>
    <row r="80" spans="1:7" x14ac:dyDescent="0.35">
      <c r="A80" s="2">
        <v>43945</v>
      </c>
      <c r="B80" s="3">
        <v>2836.74</v>
      </c>
      <c r="C80" s="3">
        <v>88.37</v>
      </c>
      <c r="D80" s="3">
        <v>21.95</v>
      </c>
      <c r="E80" s="10">
        <f t="shared" si="4"/>
        <v>1.3918078490242189E-2</v>
      </c>
      <c r="F80" s="10">
        <f t="shared" si="5"/>
        <v>1.167716084716669E-2</v>
      </c>
      <c r="G80" s="10">
        <f t="shared" si="6"/>
        <v>1.9981412639405192E-2</v>
      </c>
    </row>
    <row r="81" spans="1:7" x14ac:dyDescent="0.35">
      <c r="A81" s="2">
        <v>43948</v>
      </c>
      <c r="B81" s="3">
        <v>2878.48</v>
      </c>
      <c r="C81" s="3">
        <v>89.37</v>
      </c>
      <c r="D81" s="3">
        <v>22.45</v>
      </c>
      <c r="E81" s="10">
        <f t="shared" si="4"/>
        <v>1.4714073196697703E-2</v>
      </c>
      <c r="F81" s="10">
        <f t="shared" si="5"/>
        <v>1.1316057485572026E-2</v>
      </c>
      <c r="G81" s="10">
        <f t="shared" si="6"/>
        <v>2.2779043280182234E-2</v>
      </c>
    </row>
    <row r="82" spans="1:7" x14ac:dyDescent="0.35">
      <c r="A82" s="2">
        <v>43949</v>
      </c>
      <c r="B82" s="3">
        <v>2863.39</v>
      </c>
      <c r="C82" s="3">
        <v>88.8</v>
      </c>
      <c r="D82" s="3">
        <v>22.18</v>
      </c>
      <c r="E82" s="10">
        <f t="shared" si="4"/>
        <v>-5.2423501292349246E-3</v>
      </c>
      <c r="F82" s="10">
        <f t="shared" si="5"/>
        <v>-6.3779791876469438E-3</v>
      </c>
      <c r="G82" s="10">
        <f t="shared" si="6"/>
        <v>-1.202672605790644E-2</v>
      </c>
    </row>
    <row r="83" spans="1:7" x14ac:dyDescent="0.35">
      <c r="A83" s="2">
        <v>43950</v>
      </c>
      <c r="B83" s="3">
        <v>2939.51</v>
      </c>
      <c r="C83" s="3">
        <v>88.07</v>
      </c>
      <c r="D83" s="3">
        <v>23.78</v>
      </c>
      <c r="E83" s="10">
        <f t="shared" si="4"/>
        <v>2.6583874358714791E-2</v>
      </c>
      <c r="F83" s="10">
        <f t="shared" si="5"/>
        <v>-8.2207207207207651E-3</v>
      </c>
      <c r="G83" s="10">
        <f t="shared" si="6"/>
        <v>7.2137060414788165E-2</v>
      </c>
    </row>
    <row r="84" spans="1:7" x14ac:dyDescent="0.35">
      <c r="A84" s="2">
        <v>43951</v>
      </c>
      <c r="B84" s="3">
        <v>2912.43</v>
      </c>
      <c r="C84" s="3">
        <v>87.18</v>
      </c>
      <c r="D84" s="3">
        <v>22.29</v>
      </c>
      <c r="E84" s="10">
        <f t="shared" si="4"/>
        <v>-9.2124197570344641E-3</v>
      </c>
      <c r="F84" s="10">
        <f t="shared" si="5"/>
        <v>-1.0105597819915822E-2</v>
      </c>
      <c r="G84" s="10">
        <f t="shared" si="6"/>
        <v>-6.2657695542472747E-2</v>
      </c>
    </row>
    <row r="85" spans="1:7" x14ac:dyDescent="0.35">
      <c r="A85" s="2">
        <v>43952</v>
      </c>
      <c r="B85" s="3">
        <v>2830.71</v>
      </c>
      <c r="C85" s="3">
        <v>85.54</v>
      </c>
      <c r="D85" s="3">
        <v>20.9</v>
      </c>
      <c r="E85" s="10">
        <f t="shared" si="4"/>
        <v>-2.8059043479156512E-2</v>
      </c>
      <c r="F85" s="10">
        <f t="shared" si="5"/>
        <v>-1.8811654049093834E-2</v>
      </c>
      <c r="G85" s="10">
        <f t="shared" si="6"/>
        <v>-6.2359802602063731E-2</v>
      </c>
    </row>
    <row r="86" spans="1:7" x14ac:dyDescent="0.35">
      <c r="A86" s="2">
        <v>43955</v>
      </c>
      <c r="B86" s="3">
        <v>2842.74</v>
      </c>
      <c r="C86" s="3">
        <v>85.75</v>
      </c>
      <c r="D86" s="3">
        <v>20.75</v>
      </c>
      <c r="E86" s="10">
        <f t="shared" si="4"/>
        <v>4.2498171836746774E-3</v>
      </c>
      <c r="F86" s="10">
        <f t="shared" si="5"/>
        <v>2.4549918166938711E-3</v>
      </c>
      <c r="G86" s="10">
        <f t="shared" si="6"/>
        <v>-7.177033492822899E-3</v>
      </c>
    </row>
    <row r="87" spans="1:7" x14ac:dyDescent="0.35">
      <c r="A87" s="2">
        <v>43956</v>
      </c>
      <c r="B87" s="3">
        <v>2868.44</v>
      </c>
      <c r="C87" s="3">
        <v>87.2</v>
      </c>
      <c r="D87" s="3">
        <v>21.26</v>
      </c>
      <c r="E87" s="10">
        <f t="shared" si="4"/>
        <v>9.0405735311707286E-3</v>
      </c>
      <c r="F87" s="10">
        <f t="shared" si="5"/>
        <v>1.6909620991253677E-2</v>
      </c>
      <c r="G87" s="10">
        <f t="shared" si="6"/>
        <v>2.4578313253012123E-2</v>
      </c>
    </row>
    <row r="88" spans="1:7" x14ac:dyDescent="0.35">
      <c r="A88" s="2">
        <v>43957</v>
      </c>
      <c r="B88" s="3">
        <v>2848.42</v>
      </c>
      <c r="C88" s="3">
        <v>88.44</v>
      </c>
      <c r="D88" s="3">
        <v>21.89</v>
      </c>
      <c r="E88" s="10">
        <f t="shared" si="4"/>
        <v>-6.9794034388029665E-3</v>
      </c>
      <c r="F88" s="10">
        <f t="shared" si="5"/>
        <v>1.4220183486238472E-2</v>
      </c>
      <c r="G88" s="10">
        <f t="shared" si="6"/>
        <v>2.9633113828786403E-2</v>
      </c>
    </row>
    <row r="89" spans="1:7" x14ac:dyDescent="0.35">
      <c r="A89" s="2">
        <v>43958</v>
      </c>
      <c r="B89" s="3">
        <v>2881.19</v>
      </c>
      <c r="C89" s="3">
        <v>88.56</v>
      </c>
      <c r="D89" s="3">
        <v>22.44</v>
      </c>
      <c r="E89" s="10">
        <f t="shared" si="4"/>
        <v>1.1504623615899334E-2</v>
      </c>
      <c r="F89" s="10">
        <f t="shared" si="5"/>
        <v>1.3568521031208113E-3</v>
      </c>
      <c r="G89" s="10">
        <f t="shared" si="6"/>
        <v>2.512562814070355E-2</v>
      </c>
    </row>
    <row r="90" spans="1:7" x14ac:dyDescent="0.35">
      <c r="A90" s="2">
        <v>43959</v>
      </c>
      <c r="B90" s="3">
        <v>2929.8</v>
      </c>
      <c r="C90" s="3">
        <v>90.46</v>
      </c>
      <c r="D90" s="3">
        <v>23.93</v>
      </c>
      <c r="E90" s="10">
        <f t="shared" si="4"/>
        <v>1.6871501011734777E-2</v>
      </c>
      <c r="F90" s="10">
        <f t="shared" si="5"/>
        <v>2.1454381210478674E-2</v>
      </c>
      <c r="G90" s="10">
        <f t="shared" si="6"/>
        <v>6.6399286987522205E-2</v>
      </c>
    </row>
    <row r="91" spans="1:7" x14ac:dyDescent="0.35">
      <c r="A91" s="2">
        <v>43962</v>
      </c>
      <c r="B91" s="3">
        <v>2930.32</v>
      </c>
      <c r="C91" s="3">
        <v>90.93</v>
      </c>
      <c r="D91" s="3">
        <v>22.8</v>
      </c>
      <c r="E91" s="10">
        <f t="shared" si="4"/>
        <v>1.7748651785104164E-4</v>
      </c>
      <c r="F91" s="10">
        <f t="shared" si="5"/>
        <v>5.195666592969413E-3</v>
      </c>
      <c r="G91" s="10">
        <f t="shared" si="6"/>
        <v>-4.7221061429168369E-2</v>
      </c>
    </row>
    <row r="92" spans="1:7" x14ac:dyDescent="0.35">
      <c r="A92" s="2">
        <v>43963</v>
      </c>
      <c r="B92" s="3">
        <v>2870.12</v>
      </c>
      <c r="C92" s="3">
        <v>88.26</v>
      </c>
      <c r="D92" s="3">
        <v>22.56</v>
      </c>
      <c r="E92" s="10">
        <f t="shared" si="4"/>
        <v>-2.0543831390428442E-2</v>
      </c>
      <c r="F92" s="10">
        <f t="shared" si="5"/>
        <v>-2.9363246453315756E-2</v>
      </c>
      <c r="G92" s="10">
        <f t="shared" si="6"/>
        <v>-1.0526315789473771E-2</v>
      </c>
    </row>
    <row r="93" spans="1:7" x14ac:dyDescent="0.35">
      <c r="A93" s="2">
        <v>43964</v>
      </c>
      <c r="B93" s="3">
        <v>2820</v>
      </c>
      <c r="C93" s="3">
        <v>86.02</v>
      </c>
      <c r="D93" s="3">
        <v>21.46</v>
      </c>
      <c r="E93" s="10">
        <f t="shared" si="4"/>
        <v>-1.7462684487059735E-2</v>
      </c>
      <c r="F93" s="10">
        <f t="shared" si="5"/>
        <v>-2.5379560389757635E-2</v>
      </c>
      <c r="G93" s="10">
        <f t="shared" si="6"/>
        <v>-4.8758865248226861E-2</v>
      </c>
    </row>
    <row r="94" spans="1:7" x14ac:dyDescent="0.35">
      <c r="A94" s="2">
        <v>43965</v>
      </c>
      <c r="B94" s="3">
        <v>2852.5</v>
      </c>
      <c r="C94" s="3">
        <v>86.55</v>
      </c>
      <c r="D94" s="3">
        <v>22.31</v>
      </c>
      <c r="E94" s="10">
        <f t="shared" si="4"/>
        <v>1.152482269503546E-2</v>
      </c>
      <c r="F94" s="10">
        <f t="shared" si="5"/>
        <v>6.1613578237619294E-3</v>
      </c>
      <c r="G94" s="10">
        <f t="shared" si="6"/>
        <v>3.9608574091332609E-2</v>
      </c>
    </row>
    <row r="95" spans="1:7" x14ac:dyDescent="0.35">
      <c r="A95" s="2">
        <v>43966</v>
      </c>
      <c r="B95" s="3">
        <v>2863.7</v>
      </c>
      <c r="C95" s="3">
        <v>86.99</v>
      </c>
      <c r="D95" s="3">
        <v>22.63</v>
      </c>
      <c r="E95" s="10">
        <f t="shared" si="4"/>
        <v>3.9263803680980956E-3</v>
      </c>
      <c r="F95" s="10">
        <f t="shared" si="5"/>
        <v>5.0837666088965651E-3</v>
      </c>
      <c r="G95" s="10">
        <f t="shared" si="6"/>
        <v>1.4343343792021528E-2</v>
      </c>
    </row>
    <row r="96" spans="1:7" x14ac:dyDescent="0.35">
      <c r="A96" s="2">
        <v>43969</v>
      </c>
      <c r="B96" s="3">
        <v>2953.91</v>
      </c>
      <c r="C96" s="3">
        <v>91.04</v>
      </c>
      <c r="D96" s="3">
        <v>24.81</v>
      </c>
      <c r="E96" s="10">
        <f t="shared" si="4"/>
        <v>3.1501204735132883E-2</v>
      </c>
      <c r="F96" s="10">
        <f t="shared" si="5"/>
        <v>4.6557075525922656E-2</v>
      </c>
      <c r="G96" s="10">
        <f t="shared" si="6"/>
        <v>9.6332302253645599E-2</v>
      </c>
    </row>
    <row r="97" spans="1:7" x14ac:dyDescent="0.35">
      <c r="A97" s="2">
        <v>43970</v>
      </c>
      <c r="B97" s="3">
        <v>2922.94</v>
      </c>
      <c r="C97" s="3">
        <v>91.51</v>
      </c>
      <c r="D97" s="3">
        <v>24.69</v>
      </c>
      <c r="E97" s="10">
        <f t="shared" si="4"/>
        <v>-1.0484408800538879E-2</v>
      </c>
      <c r="F97" s="10">
        <f t="shared" si="5"/>
        <v>5.1625659050966478E-3</v>
      </c>
      <c r="G97" s="10">
        <f t="shared" si="6"/>
        <v>-4.8367593712211792E-3</v>
      </c>
    </row>
    <row r="98" spans="1:7" x14ac:dyDescent="0.35">
      <c r="A98" s="2">
        <v>43971</v>
      </c>
      <c r="B98" s="3">
        <v>2971.61</v>
      </c>
      <c r="C98" s="3">
        <v>92.95</v>
      </c>
      <c r="D98" s="3">
        <v>25.48</v>
      </c>
      <c r="E98" s="10">
        <f t="shared" si="4"/>
        <v>1.6651043127809694E-2</v>
      </c>
      <c r="F98" s="10">
        <f t="shared" si="5"/>
        <v>1.5735985138236232E-2</v>
      </c>
      <c r="G98" s="10">
        <f t="shared" si="6"/>
        <v>3.1996759821790163E-2</v>
      </c>
    </row>
    <row r="99" spans="1:7" x14ac:dyDescent="0.35">
      <c r="A99" s="2">
        <v>43972</v>
      </c>
      <c r="B99" s="3">
        <v>2948.51</v>
      </c>
      <c r="C99" s="3">
        <v>94.26</v>
      </c>
      <c r="D99" s="3">
        <v>25.8</v>
      </c>
      <c r="E99" s="10">
        <f t="shared" si="4"/>
        <v>-7.7735638256702282E-3</v>
      </c>
      <c r="F99" s="10">
        <f t="shared" si="5"/>
        <v>1.4093598708983348E-2</v>
      </c>
      <c r="G99" s="10">
        <f t="shared" si="6"/>
        <v>1.2558869701726856E-2</v>
      </c>
    </row>
    <row r="100" spans="1:7" x14ac:dyDescent="0.35">
      <c r="A100" s="2">
        <v>43973</v>
      </c>
      <c r="B100" s="3">
        <v>2955.45</v>
      </c>
      <c r="C100" s="3">
        <v>93.75</v>
      </c>
      <c r="D100" s="3">
        <v>25.98</v>
      </c>
      <c r="E100" s="10">
        <f t="shared" si="4"/>
        <v>2.3537312066093043E-3</v>
      </c>
      <c r="F100" s="10">
        <f t="shared" si="5"/>
        <v>-5.4105665181413652E-3</v>
      </c>
      <c r="G100" s="10">
        <f t="shared" si="6"/>
        <v>6.9767441860465003E-3</v>
      </c>
    </row>
    <row r="101" spans="1:7" x14ac:dyDescent="0.35">
      <c r="A101" s="2">
        <v>43977</v>
      </c>
      <c r="B101" s="3">
        <v>2991.77</v>
      </c>
      <c r="C101" s="3">
        <v>96.62</v>
      </c>
      <c r="D101" s="3">
        <v>27.4</v>
      </c>
      <c r="E101" s="10">
        <f t="shared" si="4"/>
        <v>1.2289160703107874E-2</v>
      </c>
      <c r="F101" s="10">
        <f t="shared" si="5"/>
        <v>3.0613333333333381E-2</v>
      </c>
      <c r="G101" s="10">
        <f t="shared" si="6"/>
        <v>5.4657428791377909E-2</v>
      </c>
    </row>
    <row r="102" spans="1:7" x14ac:dyDescent="0.35">
      <c r="A102" s="2">
        <v>43978</v>
      </c>
      <c r="B102" s="3">
        <v>3036.13</v>
      </c>
      <c r="C102" s="3">
        <v>99.87</v>
      </c>
      <c r="D102" s="3">
        <v>27.79</v>
      </c>
      <c r="E102" s="10">
        <f t="shared" si="4"/>
        <v>1.4827343010993534E-2</v>
      </c>
      <c r="F102" s="10">
        <f t="shared" si="5"/>
        <v>3.3636928172221067E-2</v>
      </c>
      <c r="G102" s="10">
        <f t="shared" si="6"/>
        <v>1.4233576642335788E-2</v>
      </c>
    </row>
    <row r="103" spans="1:7" x14ac:dyDescent="0.35">
      <c r="A103" s="2">
        <v>43979</v>
      </c>
      <c r="B103" s="3">
        <v>3029.73</v>
      </c>
      <c r="C103" s="3">
        <v>98.46</v>
      </c>
      <c r="D103" s="3">
        <v>26.68</v>
      </c>
      <c r="E103" s="10">
        <f t="shared" si="4"/>
        <v>-2.1079466294263061E-3</v>
      </c>
      <c r="F103" s="10">
        <f t="shared" si="5"/>
        <v>-1.4118353860018132E-2</v>
      </c>
      <c r="G103" s="10">
        <f t="shared" si="6"/>
        <v>-3.9942425332853526E-2</v>
      </c>
    </row>
    <row r="104" spans="1:7" x14ac:dyDescent="0.35">
      <c r="A104" s="2">
        <v>43980</v>
      </c>
      <c r="B104" s="3">
        <v>3044.31</v>
      </c>
      <c r="C104" s="3">
        <v>98.58</v>
      </c>
      <c r="D104" s="3">
        <v>25.88</v>
      </c>
      <c r="E104" s="10">
        <f t="shared" si="4"/>
        <v>4.8123100078224556E-3</v>
      </c>
      <c r="F104" s="10">
        <f t="shared" si="5"/>
        <v>1.2187690432663473E-3</v>
      </c>
      <c r="G104" s="10">
        <f t="shared" si="6"/>
        <v>-2.9985007496251902E-2</v>
      </c>
    </row>
    <row r="105" spans="1:7" x14ac:dyDescent="0.35">
      <c r="A105" s="2">
        <v>43983</v>
      </c>
      <c r="B105" s="3">
        <v>3055.73</v>
      </c>
      <c r="C105" s="3">
        <v>99.54</v>
      </c>
      <c r="D105" s="3">
        <v>26.94</v>
      </c>
      <c r="E105" s="10">
        <f t="shared" si="4"/>
        <v>3.7512605483673057E-3</v>
      </c>
      <c r="F105" s="10">
        <f t="shared" si="5"/>
        <v>9.738283627510733E-3</v>
      </c>
      <c r="G105" s="10">
        <f t="shared" si="6"/>
        <v>4.0958268933539502E-2</v>
      </c>
    </row>
    <row r="106" spans="1:7" x14ac:dyDescent="0.35">
      <c r="A106" s="2">
        <v>43984</v>
      </c>
      <c r="B106" s="3">
        <v>3080.82</v>
      </c>
      <c r="C106" s="3">
        <v>100.74</v>
      </c>
      <c r="D106" s="3">
        <v>27.41</v>
      </c>
      <c r="E106" s="10">
        <f t="shared" si="4"/>
        <v>8.210803965010045E-3</v>
      </c>
      <c r="F106" s="10">
        <f t="shared" si="5"/>
        <v>1.2055455093429661E-2</v>
      </c>
      <c r="G106" s="10">
        <f t="shared" si="6"/>
        <v>1.7446176688938338E-2</v>
      </c>
    </row>
    <row r="107" spans="1:7" x14ac:dyDescent="0.35">
      <c r="A107" s="2">
        <v>43985</v>
      </c>
      <c r="B107" s="3">
        <v>3122.87</v>
      </c>
      <c r="C107" s="3">
        <v>104.11</v>
      </c>
      <c r="D107" s="3">
        <v>29.07</v>
      </c>
      <c r="E107" s="10">
        <f t="shared" si="4"/>
        <v>1.3648963587616195E-2</v>
      </c>
      <c r="F107" s="10">
        <f t="shared" si="5"/>
        <v>3.3452451856263693E-2</v>
      </c>
      <c r="G107" s="10">
        <f t="shared" si="6"/>
        <v>6.0561838744983588E-2</v>
      </c>
    </row>
    <row r="108" spans="1:7" x14ac:dyDescent="0.35">
      <c r="A108" s="2">
        <v>43986</v>
      </c>
      <c r="B108" s="3">
        <v>3112.35</v>
      </c>
      <c r="C108" s="3">
        <v>101.28</v>
      </c>
      <c r="D108" s="3">
        <v>29.16</v>
      </c>
      <c r="E108" s="10">
        <f t="shared" si="4"/>
        <v>-3.368696103263979E-3</v>
      </c>
      <c r="F108" s="10">
        <f t="shared" si="5"/>
        <v>-2.7182787436365367E-2</v>
      </c>
      <c r="G108" s="10">
        <f t="shared" si="6"/>
        <v>3.0959752321981374E-3</v>
      </c>
    </row>
    <row r="109" spans="1:7" x14ac:dyDescent="0.35">
      <c r="A109" s="2">
        <v>43987</v>
      </c>
      <c r="B109" s="3">
        <v>3193.93</v>
      </c>
      <c r="C109" s="3">
        <v>102.71</v>
      </c>
      <c r="D109" s="3">
        <v>30.61</v>
      </c>
      <c r="E109" s="10">
        <f t="shared" si="4"/>
        <v>2.6211704981766167E-2</v>
      </c>
      <c r="F109" s="10">
        <f t="shared" si="5"/>
        <v>1.4119273301737683E-2</v>
      </c>
      <c r="G109" s="10">
        <f t="shared" si="6"/>
        <v>4.9725651577503402E-2</v>
      </c>
    </row>
    <row r="110" spans="1:7" x14ac:dyDescent="0.35">
      <c r="A110" s="2">
        <v>43990</v>
      </c>
      <c r="B110" s="3">
        <v>3232.39</v>
      </c>
      <c r="C110" s="3">
        <v>104.29</v>
      </c>
      <c r="D110" s="3">
        <v>30.68</v>
      </c>
      <c r="E110" s="10">
        <f t="shared" si="4"/>
        <v>1.2041591393674889E-2</v>
      </c>
      <c r="F110" s="10">
        <f t="shared" si="5"/>
        <v>1.538311751533456E-2</v>
      </c>
      <c r="G110" s="10">
        <f t="shared" si="6"/>
        <v>2.2868343678536518E-3</v>
      </c>
    </row>
    <row r="111" spans="1:7" x14ac:dyDescent="0.35">
      <c r="A111" s="2">
        <v>43991</v>
      </c>
      <c r="B111" s="3">
        <v>3207.18</v>
      </c>
      <c r="C111" s="3">
        <v>102.63</v>
      </c>
      <c r="D111" s="3">
        <v>29.86</v>
      </c>
      <c r="E111" s="10">
        <f t="shared" si="4"/>
        <v>-7.7991826481334358E-3</v>
      </c>
      <c r="F111" s="10">
        <f t="shared" si="5"/>
        <v>-1.5917154089558065E-2</v>
      </c>
      <c r="G111" s="10">
        <f t="shared" si="6"/>
        <v>-2.6727509778357247E-2</v>
      </c>
    </row>
    <row r="112" spans="1:7" x14ac:dyDescent="0.35">
      <c r="A112" s="2">
        <v>43992</v>
      </c>
      <c r="B112" s="3">
        <v>3190.14</v>
      </c>
      <c r="C112" s="3">
        <v>102.12</v>
      </c>
      <c r="D112" s="3">
        <v>28.75</v>
      </c>
      <c r="E112" s="10">
        <f t="shared" si="4"/>
        <v>-5.3130787794885117E-3</v>
      </c>
      <c r="F112" s="10">
        <f t="shared" si="5"/>
        <v>-4.9693072201109903E-3</v>
      </c>
      <c r="G112" s="10">
        <f t="shared" si="6"/>
        <v>-3.7173476222371049E-2</v>
      </c>
    </row>
    <row r="113" spans="1:7" x14ac:dyDescent="0.35">
      <c r="A113" s="2">
        <v>43993</v>
      </c>
      <c r="B113" s="3">
        <v>3002.1</v>
      </c>
      <c r="C113" s="3">
        <v>95.17</v>
      </c>
      <c r="D113" s="3">
        <v>26.5</v>
      </c>
      <c r="E113" s="10">
        <f t="shared" si="4"/>
        <v>-5.8944121574601729E-2</v>
      </c>
      <c r="F113" s="10">
        <f t="shared" si="5"/>
        <v>-6.8057187622405035E-2</v>
      </c>
      <c r="G113" s="10">
        <f t="shared" si="6"/>
        <v>-7.8260869565217397E-2</v>
      </c>
    </row>
    <row r="114" spans="1:7" x14ac:dyDescent="0.35">
      <c r="A114" s="2">
        <v>43994</v>
      </c>
      <c r="B114" s="3">
        <v>3041.31</v>
      </c>
      <c r="C114" s="3">
        <v>96.43</v>
      </c>
      <c r="D114" s="3">
        <v>27.96</v>
      </c>
      <c r="E114" s="10">
        <f t="shared" si="4"/>
        <v>1.3060857399820139E-2</v>
      </c>
      <c r="F114" s="10">
        <f t="shared" si="5"/>
        <v>1.3239466218346171E-2</v>
      </c>
      <c r="G114" s="10">
        <f t="shared" si="6"/>
        <v>5.5094339622641542E-2</v>
      </c>
    </row>
    <row r="115" spans="1:7" x14ac:dyDescent="0.35">
      <c r="A115" s="2">
        <v>43997</v>
      </c>
      <c r="B115" s="3">
        <v>3066.59</v>
      </c>
      <c r="C115" s="3">
        <v>97.84</v>
      </c>
      <c r="D115" s="3">
        <v>27.77</v>
      </c>
      <c r="E115" s="10">
        <f t="shared" si="4"/>
        <v>8.312207568449189E-3</v>
      </c>
      <c r="F115" s="10">
        <f t="shared" si="5"/>
        <v>1.4622005599917002E-2</v>
      </c>
      <c r="G115" s="10">
        <f t="shared" si="6"/>
        <v>-6.7954220314735796E-3</v>
      </c>
    </row>
    <row r="116" spans="1:7" x14ac:dyDescent="0.35">
      <c r="A116" s="2">
        <v>43998</v>
      </c>
      <c r="B116" s="3">
        <v>3124.74</v>
      </c>
      <c r="C116" s="3">
        <v>99.04</v>
      </c>
      <c r="D116" s="3">
        <v>27.78</v>
      </c>
      <c r="E116" s="10">
        <f t="shared" si="4"/>
        <v>1.8962430582503572E-2</v>
      </c>
      <c r="F116" s="10">
        <f t="shared" si="5"/>
        <v>1.2264922322158655E-2</v>
      </c>
      <c r="G116" s="10">
        <f t="shared" si="6"/>
        <v>3.6010082823196123E-4</v>
      </c>
    </row>
    <row r="117" spans="1:7" x14ac:dyDescent="0.35">
      <c r="A117" s="2">
        <v>43999</v>
      </c>
      <c r="B117" s="3">
        <v>3113.49</v>
      </c>
      <c r="C117" s="3">
        <v>99.21</v>
      </c>
      <c r="D117" s="3">
        <v>27.16</v>
      </c>
      <c r="E117" s="10">
        <f t="shared" si="4"/>
        <v>-3.6002995449221377E-3</v>
      </c>
      <c r="F117" s="10">
        <f t="shared" si="5"/>
        <v>1.716478190629922E-3</v>
      </c>
      <c r="G117" s="10">
        <f t="shared" si="6"/>
        <v>-2.2318214542836608E-2</v>
      </c>
    </row>
    <row r="118" spans="1:7" x14ac:dyDescent="0.35">
      <c r="A118" s="2">
        <v>44000</v>
      </c>
      <c r="B118" s="3">
        <v>3115.34</v>
      </c>
      <c r="C118" s="3">
        <v>98.45</v>
      </c>
      <c r="D118" s="3">
        <v>27.09</v>
      </c>
      <c r="E118" s="10">
        <f t="shared" si="4"/>
        <v>5.9418851513907674E-4</v>
      </c>
      <c r="F118" s="10">
        <f t="shared" si="5"/>
        <v>-7.6605180929340891E-3</v>
      </c>
      <c r="G118" s="10">
        <f t="shared" si="6"/>
        <v>-2.5773195876288763E-3</v>
      </c>
    </row>
    <row r="119" spans="1:7" x14ac:dyDescent="0.35">
      <c r="A119" s="2">
        <v>44001</v>
      </c>
      <c r="B119" s="3">
        <v>3097.74</v>
      </c>
      <c r="C119" s="3">
        <v>95.78</v>
      </c>
      <c r="D119" s="3">
        <v>26.59</v>
      </c>
      <c r="E119" s="10">
        <f t="shared" si="4"/>
        <v>-5.6494636219482823E-3</v>
      </c>
      <c r="F119" s="10">
        <f t="shared" si="5"/>
        <v>-2.7120365667851719E-2</v>
      </c>
      <c r="G119" s="10">
        <f t="shared" si="6"/>
        <v>-1.8456995201181249E-2</v>
      </c>
    </row>
    <row r="120" spans="1:7" x14ac:dyDescent="0.35">
      <c r="A120" s="2">
        <v>44004</v>
      </c>
      <c r="B120" s="3">
        <v>3117.86</v>
      </c>
      <c r="C120" s="3">
        <v>99.51</v>
      </c>
      <c r="D120" s="3">
        <v>26.37</v>
      </c>
      <c r="E120" s="10">
        <f t="shared" si="4"/>
        <v>6.4950576872172443E-3</v>
      </c>
      <c r="F120" s="10">
        <f t="shared" si="5"/>
        <v>3.8943411985800834E-2</v>
      </c>
      <c r="G120" s="10">
        <f t="shared" si="6"/>
        <v>-8.2737871380217706E-3</v>
      </c>
    </row>
    <row r="121" spans="1:7" x14ac:dyDescent="0.35">
      <c r="A121" s="2">
        <v>44005</v>
      </c>
      <c r="B121" s="3">
        <v>3131.29</v>
      </c>
      <c r="C121" s="3">
        <v>101.92</v>
      </c>
      <c r="D121" s="3">
        <v>26.25</v>
      </c>
      <c r="E121" s="10">
        <f t="shared" si="4"/>
        <v>4.307441642665109E-3</v>
      </c>
      <c r="F121" s="10">
        <f t="shared" si="5"/>
        <v>2.4218671490302445E-2</v>
      </c>
      <c r="G121" s="10">
        <f t="shared" si="6"/>
        <v>-4.5506257110353053E-3</v>
      </c>
    </row>
    <row r="122" spans="1:7" x14ac:dyDescent="0.35">
      <c r="A122" s="2">
        <v>44006</v>
      </c>
      <c r="B122" s="3">
        <v>3050.33</v>
      </c>
      <c r="C122" s="3">
        <v>100.08</v>
      </c>
      <c r="D122" s="3">
        <v>25.28</v>
      </c>
      <c r="E122" s="10">
        <f t="shared" si="4"/>
        <v>-2.5855158736495194E-2</v>
      </c>
      <c r="F122" s="10">
        <f t="shared" si="5"/>
        <v>-1.8053375196232371E-2</v>
      </c>
      <c r="G122" s="10">
        <f t="shared" si="6"/>
        <v>-3.695238095238091E-2</v>
      </c>
    </row>
    <row r="123" spans="1:7" x14ac:dyDescent="0.35">
      <c r="A123" s="2">
        <v>44007</v>
      </c>
      <c r="B123" s="3">
        <v>3083.76</v>
      </c>
      <c r="C123" s="3">
        <v>101.4</v>
      </c>
      <c r="D123" s="3">
        <v>25.23</v>
      </c>
      <c r="E123" s="10">
        <f t="shared" si="4"/>
        <v>1.095946995898814E-2</v>
      </c>
      <c r="F123" s="10">
        <f t="shared" si="5"/>
        <v>1.3189448441247077E-2</v>
      </c>
      <c r="G123" s="10">
        <f t="shared" si="6"/>
        <v>-1.9778481012658507E-3</v>
      </c>
    </row>
    <row r="124" spans="1:7" x14ac:dyDescent="0.35">
      <c r="A124" s="2">
        <v>44008</v>
      </c>
      <c r="B124" s="3">
        <v>3009.05</v>
      </c>
      <c r="C124" s="3">
        <v>93.67</v>
      </c>
      <c r="D124" s="3">
        <v>24.46</v>
      </c>
      <c r="E124" s="10">
        <f t="shared" si="4"/>
        <v>-2.4226917788673578E-2</v>
      </c>
      <c r="F124" s="10">
        <f t="shared" si="5"/>
        <v>-7.6232741617357033E-2</v>
      </c>
      <c r="G124" s="10">
        <f t="shared" si="6"/>
        <v>-3.051922314704715E-2</v>
      </c>
    </row>
    <row r="125" spans="1:7" x14ac:dyDescent="0.35">
      <c r="A125" s="2">
        <v>44011</v>
      </c>
      <c r="B125" s="3">
        <v>3053.24</v>
      </c>
      <c r="C125" s="3">
        <v>95.87</v>
      </c>
      <c r="D125" s="3">
        <v>25.3</v>
      </c>
      <c r="E125" s="10">
        <f t="shared" si="4"/>
        <v>1.4685698143932337E-2</v>
      </c>
      <c r="F125" s="10">
        <f t="shared" si="5"/>
        <v>2.3486708658054904E-2</v>
      </c>
      <c r="G125" s="10">
        <f t="shared" si="6"/>
        <v>3.4341782502044144E-2</v>
      </c>
    </row>
    <row r="126" spans="1:7" x14ac:dyDescent="0.35">
      <c r="A126" s="2">
        <v>44012</v>
      </c>
      <c r="B126" s="3">
        <v>3100.29</v>
      </c>
      <c r="C126" s="3">
        <v>98.05</v>
      </c>
      <c r="D126" s="3">
        <v>25.3</v>
      </c>
      <c r="E126" s="10">
        <f t="shared" si="4"/>
        <v>1.5409859690034253E-2</v>
      </c>
      <c r="F126" s="10">
        <f t="shared" si="5"/>
        <v>2.2739125899655706E-2</v>
      </c>
      <c r="G126" s="10">
        <f t="shared" si="6"/>
        <v>0</v>
      </c>
    </row>
    <row r="127" spans="1:7" x14ac:dyDescent="0.35">
      <c r="A127" s="2">
        <v>44013</v>
      </c>
      <c r="B127" s="3">
        <v>3115.86</v>
      </c>
      <c r="C127" s="3">
        <v>97.4</v>
      </c>
      <c r="D127" s="3">
        <v>24.96</v>
      </c>
      <c r="E127" s="10">
        <f t="shared" si="4"/>
        <v>5.0221108347929273E-3</v>
      </c>
      <c r="F127" s="10">
        <f t="shared" si="5"/>
        <v>-6.62927078021409E-3</v>
      </c>
      <c r="G127" s="10">
        <f t="shared" si="6"/>
        <v>-1.3438735177865606E-2</v>
      </c>
    </row>
    <row r="128" spans="1:7" x14ac:dyDescent="0.35">
      <c r="A128" s="2">
        <v>44014</v>
      </c>
      <c r="B128" s="3">
        <v>3130.01</v>
      </c>
      <c r="C128" s="3">
        <v>98.43</v>
      </c>
      <c r="D128" s="3">
        <v>25.24</v>
      </c>
      <c r="E128" s="10">
        <f t="shared" si="4"/>
        <v>4.541282342595653E-3</v>
      </c>
      <c r="F128" s="10">
        <f t="shared" si="5"/>
        <v>1.0574948665297752E-2</v>
      </c>
      <c r="G128" s="10">
        <f t="shared" si="6"/>
        <v>1.1217948717948621E-2</v>
      </c>
    </row>
    <row r="129" spans="1:7" x14ac:dyDescent="0.35">
      <c r="A129" s="2">
        <v>44018</v>
      </c>
      <c r="B129" s="3">
        <v>3179.72</v>
      </c>
      <c r="C129" s="3">
        <v>99.95</v>
      </c>
      <c r="D129" s="3">
        <v>25.73</v>
      </c>
      <c r="E129" s="10">
        <f t="shared" si="4"/>
        <v>1.5881738397001792E-2</v>
      </c>
      <c r="F129" s="10">
        <f t="shared" si="5"/>
        <v>1.5442446408615218E-2</v>
      </c>
      <c r="G129" s="10">
        <f t="shared" si="6"/>
        <v>1.9413629160063471E-2</v>
      </c>
    </row>
    <row r="130" spans="1:7" x14ac:dyDescent="0.35">
      <c r="A130" s="2">
        <v>44019</v>
      </c>
      <c r="B130" s="3">
        <v>3145.32</v>
      </c>
      <c r="C130" s="3">
        <v>97.07</v>
      </c>
      <c r="D130" s="3">
        <v>25.13</v>
      </c>
      <c r="E130" s="10">
        <f t="shared" si="4"/>
        <v>-1.0818562640735548E-2</v>
      </c>
      <c r="F130" s="10">
        <f t="shared" si="5"/>
        <v>-2.8814407203601896E-2</v>
      </c>
      <c r="G130" s="10">
        <f t="shared" si="6"/>
        <v>-2.3319082782743934E-2</v>
      </c>
    </row>
    <row r="131" spans="1:7" x14ac:dyDescent="0.35">
      <c r="A131" s="2">
        <v>44020</v>
      </c>
      <c r="B131" s="3">
        <v>3169.94</v>
      </c>
      <c r="C131" s="3">
        <v>98.84</v>
      </c>
      <c r="D131" s="3">
        <v>24.94</v>
      </c>
      <c r="E131" s="10">
        <f t="shared" si="4"/>
        <v>7.8275024480815598E-3</v>
      </c>
      <c r="F131" s="10">
        <f t="shared" si="5"/>
        <v>1.8234263933244156E-2</v>
      </c>
      <c r="G131" s="10">
        <f t="shared" si="6"/>
        <v>-7.5606844409071916E-3</v>
      </c>
    </row>
    <row r="132" spans="1:7" x14ac:dyDescent="0.35">
      <c r="A132" s="2">
        <v>44021</v>
      </c>
      <c r="B132" s="3">
        <v>3152.05</v>
      </c>
      <c r="C132" s="3">
        <v>96.99</v>
      </c>
      <c r="D132" s="3">
        <v>23.42</v>
      </c>
      <c r="E132" s="10">
        <f t="shared" ref="E132:E195" si="7">(B132-B131)/B131</f>
        <v>-5.6436399427118094E-3</v>
      </c>
      <c r="F132" s="10">
        <f t="shared" ref="F132:F195" si="8">(C132-C131)/C131</f>
        <v>-1.8717118575475603E-2</v>
      </c>
      <c r="G132" s="10">
        <f t="shared" ref="G132:G195" si="9">(D132-D131)/D131</f>
        <v>-6.0946271050521229E-2</v>
      </c>
    </row>
    <row r="133" spans="1:7" x14ac:dyDescent="0.35">
      <c r="A133" s="2">
        <v>44022</v>
      </c>
      <c r="B133" s="3">
        <v>3185.04</v>
      </c>
      <c r="C133" s="3">
        <v>97.99</v>
      </c>
      <c r="D133" s="3">
        <v>24.39</v>
      </c>
      <c r="E133" s="10">
        <f t="shared" si="7"/>
        <v>1.0466204533557457E-2</v>
      </c>
      <c r="F133" s="10">
        <f t="shared" si="8"/>
        <v>1.0310341272296113E-2</v>
      </c>
      <c r="G133" s="10">
        <f t="shared" si="9"/>
        <v>4.1417591801878685E-2</v>
      </c>
    </row>
    <row r="134" spans="1:7" x14ac:dyDescent="0.35">
      <c r="A134" s="2">
        <v>44025</v>
      </c>
      <c r="B134" s="3">
        <v>3155.22</v>
      </c>
      <c r="C134" s="3">
        <v>96.46</v>
      </c>
      <c r="D134" s="3">
        <v>24.86</v>
      </c>
      <c r="E134" s="10">
        <f t="shared" si="7"/>
        <v>-9.362519779971417E-3</v>
      </c>
      <c r="F134" s="10">
        <f t="shared" si="8"/>
        <v>-1.5613838146749682E-2</v>
      </c>
      <c r="G134" s="10">
        <f t="shared" si="9"/>
        <v>1.9270192701926973E-2</v>
      </c>
    </row>
    <row r="135" spans="1:7" x14ac:dyDescent="0.35">
      <c r="A135" s="2">
        <v>44026</v>
      </c>
      <c r="B135" s="3">
        <v>3197.52</v>
      </c>
      <c r="C135" s="3">
        <v>96.76</v>
      </c>
      <c r="D135" s="3">
        <v>25.64</v>
      </c>
      <c r="E135" s="10">
        <f t="shared" si="7"/>
        <v>1.3406355182839924E-2</v>
      </c>
      <c r="F135" s="10">
        <f t="shared" si="8"/>
        <v>3.1100974497202095E-3</v>
      </c>
      <c r="G135" s="10">
        <f t="shared" si="9"/>
        <v>3.1375703942075672E-2</v>
      </c>
    </row>
    <row r="136" spans="1:7" x14ac:dyDescent="0.35">
      <c r="A136" s="2">
        <v>44027</v>
      </c>
      <c r="B136" s="3">
        <v>3226.56</v>
      </c>
      <c r="C136" s="3">
        <v>98.54</v>
      </c>
      <c r="D136" s="3">
        <v>26.88</v>
      </c>
      <c r="E136" s="10">
        <f t="shared" si="7"/>
        <v>9.0820385798994104E-3</v>
      </c>
      <c r="F136" s="10">
        <f t="shared" si="8"/>
        <v>1.839603141794131E-2</v>
      </c>
      <c r="G136" s="10">
        <f t="shared" si="9"/>
        <v>4.8361934477379034E-2</v>
      </c>
    </row>
    <row r="137" spans="1:7" x14ac:dyDescent="0.35">
      <c r="A137" s="2">
        <v>44028</v>
      </c>
      <c r="B137" s="3">
        <v>3215.57</v>
      </c>
      <c r="C137" s="3">
        <v>97.26</v>
      </c>
      <c r="D137" s="3">
        <v>26.85</v>
      </c>
      <c r="E137" s="10">
        <f t="shared" si="7"/>
        <v>-3.4061043340275036E-3</v>
      </c>
      <c r="F137" s="10">
        <f t="shared" si="8"/>
        <v>-1.2989648873553897E-2</v>
      </c>
      <c r="G137" s="10">
        <f t="shared" si="9"/>
        <v>-1.1160714285713387E-3</v>
      </c>
    </row>
    <row r="138" spans="1:7" x14ac:dyDescent="0.35">
      <c r="A138" s="2">
        <v>44029</v>
      </c>
      <c r="B138" s="3">
        <v>3224.73</v>
      </c>
      <c r="C138" s="3">
        <v>96.28</v>
      </c>
      <c r="D138" s="3">
        <v>26.45</v>
      </c>
      <c r="E138" s="10">
        <f t="shared" si="7"/>
        <v>2.8486395880045695E-3</v>
      </c>
      <c r="F138" s="10">
        <f t="shared" si="8"/>
        <v>-1.0076084721365453E-2</v>
      </c>
      <c r="G138" s="10">
        <f t="shared" si="9"/>
        <v>-1.4897579143389277E-2</v>
      </c>
    </row>
    <row r="139" spans="1:7" x14ac:dyDescent="0.35">
      <c r="A139" s="2">
        <v>44032</v>
      </c>
      <c r="B139" s="3">
        <v>3251.84</v>
      </c>
      <c r="C139" s="3">
        <v>95.65</v>
      </c>
      <c r="D139" s="3">
        <v>26.01</v>
      </c>
      <c r="E139" s="10">
        <f t="shared" si="7"/>
        <v>8.4069053843267901E-3</v>
      </c>
      <c r="F139" s="10">
        <f t="shared" si="8"/>
        <v>-6.5434150394681704E-3</v>
      </c>
      <c r="G139" s="10">
        <f t="shared" si="9"/>
        <v>-1.6635160680529216E-2</v>
      </c>
    </row>
    <row r="140" spans="1:7" x14ac:dyDescent="0.35">
      <c r="A140" s="2">
        <v>44033</v>
      </c>
      <c r="B140" s="3">
        <v>3257.3</v>
      </c>
      <c r="C140" s="3">
        <v>98.36</v>
      </c>
      <c r="D140" s="3">
        <v>26.15</v>
      </c>
      <c r="E140" s="10">
        <f t="shared" si="7"/>
        <v>1.6790493997244748E-3</v>
      </c>
      <c r="F140" s="10">
        <f t="shared" si="8"/>
        <v>2.833246210141133E-2</v>
      </c>
      <c r="G140" s="10">
        <f t="shared" si="9"/>
        <v>5.382545174932603E-3</v>
      </c>
    </row>
    <row r="141" spans="1:7" x14ac:dyDescent="0.35">
      <c r="A141" s="2">
        <v>44034</v>
      </c>
      <c r="B141" s="3">
        <v>3276.02</v>
      </c>
      <c r="C141" s="3">
        <v>98.91</v>
      </c>
      <c r="D141" s="3">
        <v>26.3</v>
      </c>
      <c r="E141" s="10">
        <f t="shared" si="7"/>
        <v>5.7470911491111654E-3</v>
      </c>
      <c r="F141" s="10">
        <f t="shared" si="8"/>
        <v>5.5917039446929358E-3</v>
      </c>
      <c r="G141" s="10">
        <f t="shared" si="9"/>
        <v>5.7361376673040971E-3</v>
      </c>
    </row>
    <row r="142" spans="1:7" x14ac:dyDescent="0.35">
      <c r="A142" s="2">
        <v>44035</v>
      </c>
      <c r="B142" s="3">
        <v>3235.66</v>
      </c>
      <c r="C142" s="3">
        <v>98.3</v>
      </c>
      <c r="D142" s="3">
        <v>26.76</v>
      </c>
      <c r="E142" s="10">
        <f t="shared" si="7"/>
        <v>-1.2319827107282657E-2</v>
      </c>
      <c r="F142" s="10">
        <f t="shared" si="8"/>
        <v>-6.1672227277322763E-3</v>
      </c>
      <c r="G142" s="10">
        <f t="shared" si="9"/>
        <v>1.749049429657798E-2</v>
      </c>
    </row>
    <row r="143" spans="1:7" x14ac:dyDescent="0.35">
      <c r="A143" s="2">
        <v>44036</v>
      </c>
      <c r="B143" s="3">
        <v>3215.63</v>
      </c>
      <c r="C143" s="3">
        <v>98.43</v>
      </c>
      <c r="D143" s="3">
        <v>26.25</v>
      </c>
      <c r="E143" s="10">
        <f t="shared" si="7"/>
        <v>-6.1903908321639936E-3</v>
      </c>
      <c r="F143" s="10">
        <f t="shared" si="8"/>
        <v>1.322482197355134E-3</v>
      </c>
      <c r="G143" s="10">
        <f t="shared" si="9"/>
        <v>-1.9058295964125619E-2</v>
      </c>
    </row>
    <row r="144" spans="1:7" x14ac:dyDescent="0.35">
      <c r="A144" s="2">
        <v>44039</v>
      </c>
      <c r="B144" s="3">
        <v>3239.41</v>
      </c>
      <c r="C144" s="3">
        <v>97.21</v>
      </c>
      <c r="D144" s="3">
        <v>25.7</v>
      </c>
      <c r="E144" s="10">
        <f t="shared" si="7"/>
        <v>7.3951294147646786E-3</v>
      </c>
      <c r="F144" s="10">
        <f t="shared" si="8"/>
        <v>-1.2394595143757117E-2</v>
      </c>
      <c r="G144" s="10">
        <f t="shared" si="9"/>
        <v>-2.0952380952380979E-2</v>
      </c>
    </row>
    <row r="145" spans="1:7" x14ac:dyDescent="0.35">
      <c r="A145" s="2">
        <v>44040</v>
      </c>
      <c r="B145" s="3">
        <v>3218.44</v>
      </c>
      <c r="C145" s="3">
        <v>96.27</v>
      </c>
      <c r="D145" s="3">
        <v>26.33</v>
      </c>
      <c r="E145" s="10">
        <f t="shared" si="7"/>
        <v>-6.4734010205561507E-3</v>
      </c>
      <c r="F145" s="10">
        <f t="shared" si="8"/>
        <v>-9.6697870589445307E-3</v>
      </c>
      <c r="G145" s="10">
        <f t="shared" si="9"/>
        <v>2.4513618677042763E-2</v>
      </c>
    </row>
    <row r="146" spans="1:7" x14ac:dyDescent="0.35">
      <c r="A146" s="2">
        <v>44041</v>
      </c>
      <c r="B146" s="3">
        <v>3258.44</v>
      </c>
      <c r="C146" s="3">
        <v>96.97</v>
      </c>
      <c r="D146" s="3">
        <v>25.89</v>
      </c>
      <c r="E146" s="10">
        <f t="shared" si="7"/>
        <v>1.2428381451883521E-2</v>
      </c>
      <c r="F146" s="10">
        <f t="shared" si="8"/>
        <v>7.2712163706243156E-3</v>
      </c>
      <c r="G146" s="10">
        <f t="shared" si="9"/>
        <v>-1.6710976072920537E-2</v>
      </c>
    </row>
    <row r="147" spans="1:7" x14ac:dyDescent="0.35">
      <c r="A147" s="2">
        <v>44042</v>
      </c>
      <c r="B147" s="3">
        <v>3246.22</v>
      </c>
      <c r="C147" s="3">
        <v>96.82</v>
      </c>
      <c r="D147" s="3">
        <v>25.2</v>
      </c>
      <c r="E147" s="10">
        <f t="shared" si="7"/>
        <v>-3.7502608610255994E-3</v>
      </c>
      <c r="F147" s="10">
        <f t="shared" si="8"/>
        <v>-1.5468701660307897E-3</v>
      </c>
      <c r="G147" s="10">
        <f t="shared" si="9"/>
        <v>-2.6651216685979192E-2</v>
      </c>
    </row>
    <row r="148" spans="1:7" x14ac:dyDescent="0.35">
      <c r="A148" s="2">
        <v>44043</v>
      </c>
      <c r="B148" s="3">
        <v>3271.12</v>
      </c>
      <c r="C148" s="3">
        <v>97.61</v>
      </c>
      <c r="D148" s="3">
        <v>24.89</v>
      </c>
      <c r="E148" s="10">
        <f t="shared" si="7"/>
        <v>7.6704597963169752E-3</v>
      </c>
      <c r="F148" s="10">
        <f t="shared" si="8"/>
        <v>8.1594711836398097E-3</v>
      </c>
      <c r="G148" s="10">
        <f t="shared" si="9"/>
        <v>-1.2301587301587251E-2</v>
      </c>
    </row>
    <row r="149" spans="1:7" x14ac:dyDescent="0.35">
      <c r="A149" s="2">
        <v>44046</v>
      </c>
      <c r="B149" s="3">
        <v>3294.61</v>
      </c>
      <c r="C149" s="3">
        <v>98.33</v>
      </c>
      <c r="D149" s="3">
        <v>25.64</v>
      </c>
      <c r="E149" s="10">
        <f t="shared" si="7"/>
        <v>7.1810266819927844E-3</v>
      </c>
      <c r="F149" s="10">
        <f t="shared" si="8"/>
        <v>7.3762934125601769E-3</v>
      </c>
      <c r="G149" s="10">
        <f t="shared" si="9"/>
        <v>3.0132583366813979E-2</v>
      </c>
    </row>
    <row r="150" spans="1:7" x14ac:dyDescent="0.35">
      <c r="A150" s="2">
        <v>44047</v>
      </c>
      <c r="B150" s="3">
        <v>3306.51</v>
      </c>
      <c r="C150" s="3">
        <v>97.33</v>
      </c>
      <c r="D150" s="3">
        <v>25.8</v>
      </c>
      <c r="E150" s="10">
        <f t="shared" si="7"/>
        <v>3.6119601409575308E-3</v>
      </c>
      <c r="F150" s="10">
        <f t="shared" si="8"/>
        <v>-1.0169836265636124E-2</v>
      </c>
      <c r="G150" s="10">
        <f t="shared" si="9"/>
        <v>6.2402496099844048E-3</v>
      </c>
    </row>
    <row r="151" spans="1:7" x14ac:dyDescent="0.35">
      <c r="A151" s="2">
        <v>44048</v>
      </c>
      <c r="B151" s="3">
        <v>3327.77</v>
      </c>
      <c r="C151" s="3">
        <v>100.94</v>
      </c>
      <c r="D151" s="3">
        <v>26.33</v>
      </c>
      <c r="E151" s="10">
        <f t="shared" si="7"/>
        <v>6.4297401187353919E-3</v>
      </c>
      <c r="F151" s="10">
        <f t="shared" si="8"/>
        <v>3.7090311312031228E-2</v>
      </c>
      <c r="G151" s="10">
        <f t="shared" si="9"/>
        <v>2.0542635658914635E-2</v>
      </c>
    </row>
    <row r="152" spans="1:7" x14ac:dyDescent="0.35">
      <c r="A152" s="2">
        <v>44049</v>
      </c>
      <c r="B152" s="3">
        <v>3349.16</v>
      </c>
      <c r="C152" s="3">
        <v>100.45</v>
      </c>
      <c r="D152" s="3">
        <v>26.62</v>
      </c>
      <c r="E152" s="10">
        <f t="shared" si="7"/>
        <v>6.427727877828057E-3</v>
      </c>
      <c r="F152" s="10">
        <f t="shared" si="8"/>
        <v>-4.8543689320387842E-3</v>
      </c>
      <c r="G152" s="10">
        <f t="shared" si="9"/>
        <v>1.1014052411697787E-2</v>
      </c>
    </row>
    <row r="153" spans="1:7" x14ac:dyDescent="0.35">
      <c r="A153" s="2">
        <v>44050</v>
      </c>
      <c r="B153" s="3">
        <v>3351.28</v>
      </c>
      <c r="C153" s="3">
        <v>101.86</v>
      </c>
      <c r="D153" s="3">
        <v>26.72</v>
      </c>
      <c r="E153" s="10">
        <f t="shared" si="7"/>
        <v>6.3299454191509082E-4</v>
      </c>
      <c r="F153" s="10">
        <f t="shared" si="8"/>
        <v>1.4036834245893444E-2</v>
      </c>
      <c r="G153" s="10">
        <f t="shared" si="9"/>
        <v>3.7565740045078086E-3</v>
      </c>
    </row>
    <row r="154" spans="1:7" x14ac:dyDescent="0.35">
      <c r="A154" s="2">
        <v>44053</v>
      </c>
      <c r="B154" s="3">
        <v>3360.47</v>
      </c>
      <c r="C154" s="3">
        <v>105.41</v>
      </c>
      <c r="D154" s="3">
        <v>27.98</v>
      </c>
      <c r="E154" s="10">
        <f t="shared" si="7"/>
        <v>2.7422358024395454E-3</v>
      </c>
      <c r="F154" s="10">
        <f t="shared" si="8"/>
        <v>3.4851757313960313E-2</v>
      </c>
      <c r="G154" s="10">
        <f t="shared" si="9"/>
        <v>4.715568862275455E-2</v>
      </c>
    </row>
    <row r="155" spans="1:7" x14ac:dyDescent="0.35">
      <c r="A155" s="2">
        <v>44054</v>
      </c>
      <c r="B155" s="3">
        <v>3333.69</v>
      </c>
      <c r="C155" s="3">
        <v>105.12</v>
      </c>
      <c r="D155" s="3">
        <v>28.52</v>
      </c>
      <c r="E155" s="10">
        <f t="shared" si="7"/>
        <v>-7.969123366671849E-3</v>
      </c>
      <c r="F155" s="10">
        <f t="shared" si="8"/>
        <v>-2.7511621288302062E-3</v>
      </c>
      <c r="G155" s="10">
        <f t="shared" si="9"/>
        <v>1.9299499642601827E-2</v>
      </c>
    </row>
    <row r="156" spans="1:7" x14ac:dyDescent="0.35">
      <c r="A156" s="2">
        <v>44055</v>
      </c>
      <c r="B156" s="3">
        <v>3380.35</v>
      </c>
      <c r="C156" s="3">
        <v>105.22</v>
      </c>
      <c r="D156" s="3">
        <v>28.03</v>
      </c>
      <c r="E156" s="10">
        <f t="shared" si="7"/>
        <v>1.3996502374245911E-2</v>
      </c>
      <c r="F156" s="10">
        <f t="shared" si="8"/>
        <v>9.5129375951288344E-4</v>
      </c>
      <c r="G156" s="10">
        <f t="shared" si="9"/>
        <v>-1.7180925666199102E-2</v>
      </c>
    </row>
    <row r="157" spans="1:7" x14ac:dyDescent="0.35">
      <c r="A157" s="2">
        <v>44056</v>
      </c>
      <c r="B157" s="3">
        <v>3373.43</v>
      </c>
      <c r="C157" s="3">
        <v>106.52</v>
      </c>
      <c r="D157" s="3">
        <v>27.55</v>
      </c>
      <c r="E157" s="10">
        <f t="shared" si="7"/>
        <v>-2.0471252976762976E-3</v>
      </c>
      <c r="F157" s="10">
        <f t="shared" si="8"/>
        <v>1.2355065576886497E-2</v>
      </c>
      <c r="G157" s="10">
        <f t="shared" si="9"/>
        <v>-1.7124509454156275E-2</v>
      </c>
    </row>
    <row r="158" spans="1:7" x14ac:dyDescent="0.35">
      <c r="A158" s="2">
        <v>44057</v>
      </c>
      <c r="B158" s="3">
        <v>3372.85</v>
      </c>
      <c r="C158" s="3">
        <v>106.43</v>
      </c>
      <c r="D158" s="3">
        <v>27.86</v>
      </c>
      <c r="E158" s="10">
        <f t="shared" si="7"/>
        <v>-1.7193183199293516E-4</v>
      </c>
      <c r="F158" s="10">
        <f t="shared" si="8"/>
        <v>-8.4491175366118289E-4</v>
      </c>
      <c r="G158" s="10">
        <f t="shared" si="9"/>
        <v>1.1252268602540787E-2</v>
      </c>
    </row>
    <row r="159" spans="1:7" x14ac:dyDescent="0.35">
      <c r="A159" s="2">
        <v>44060</v>
      </c>
      <c r="B159" s="3">
        <v>3381.99</v>
      </c>
      <c r="C159" s="3">
        <v>105.66</v>
      </c>
      <c r="D159" s="3">
        <v>30.01</v>
      </c>
      <c r="E159" s="10">
        <f t="shared" si="7"/>
        <v>2.7098744385311746E-3</v>
      </c>
      <c r="F159" s="10">
        <f t="shared" si="8"/>
        <v>-7.2348022174199963E-3</v>
      </c>
      <c r="G159" s="10">
        <f t="shared" si="9"/>
        <v>7.7171572146446599E-2</v>
      </c>
    </row>
    <row r="160" spans="1:7" x14ac:dyDescent="0.35">
      <c r="A160" s="2">
        <v>44061</v>
      </c>
      <c r="B160" s="3">
        <v>3389.78</v>
      </c>
      <c r="C160" s="3">
        <v>106.97</v>
      </c>
      <c r="D160" s="3">
        <v>29.84</v>
      </c>
      <c r="E160" s="10">
        <f t="shared" si="7"/>
        <v>2.3033775972135986E-3</v>
      </c>
      <c r="F160" s="10">
        <f t="shared" si="8"/>
        <v>1.2398258565209184E-2</v>
      </c>
      <c r="G160" s="10">
        <f t="shared" si="9"/>
        <v>-5.6647784071976572E-3</v>
      </c>
    </row>
    <row r="161" spans="1:7" x14ac:dyDescent="0.35">
      <c r="A161" s="2">
        <v>44062</v>
      </c>
      <c r="B161" s="3">
        <v>3374.85</v>
      </c>
      <c r="C161" s="3">
        <v>108.39</v>
      </c>
      <c r="D161" s="3">
        <v>29.22</v>
      </c>
      <c r="E161" s="10">
        <f t="shared" si="7"/>
        <v>-4.4044156257929097E-3</v>
      </c>
      <c r="F161" s="10">
        <f t="shared" si="8"/>
        <v>1.3274749929886901E-2</v>
      </c>
      <c r="G161" s="10">
        <f t="shared" si="9"/>
        <v>-2.0777479892761429E-2</v>
      </c>
    </row>
    <row r="162" spans="1:7" x14ac:dyDescent="0.35">
      <c r="A162" s="2">
        <v>44063</v>
      </c>
      <c r="B162" s="3">
        <v>3385.51</v>
      </c>
      <c r="C162" s="3">
        <v>108.01</v>
      </c>
      <c r="D162" s="3">
        <v>28.83</v>
      </c>
      <c r="E162" s="10">
        <f t="shared" si="7"/>
        <v>3.1586589033587597E-3</v>
      </c>
      <c r="F162" s="10">
        <f t="shared" si="8"/>
        <v>-3.5058584740289274E-3</v>
      </c>
      <c r="G162" s="10">
        <f t="shared" si="9"/>
        <v>-1.3347022587269013E-2</v>
      </c>
    </row>
    <row r="163" spans="1:7" x14ac:dyDescent="0.35">
      <c r="A163" s="2">
        <v>44064</v>
      </c>
      <c r="B163" s="3">
        <v>3397.16</v>
      </c>
      <c r="C163" s="3">
        <v>109.75</v>
      </c>
      <c r="D163" s="3">
        <v>28.56</v>
      </c>
      <c r="E163" s="10">
        <f t="shared" si="7"/>
        <v>3.4411358997609325E-3</v>
      </c>
      <c r="F163" s="10">
        <f t="shared" si="8"/>
        <v>1.6109619479677758E-2</v>
      </c>
      <c r="G163" s="10">
        <f t="shared" si="9"/>
        <v>-9.3652445369406725E-3</v>
      </c>
    </row>
    <row r="164" spans="1:7" x14ac:dyDescent="0.35">
      <c r="A164" s="2">
        <v>44067</v>
      </c>
      <c r="B164" s="3">
        <v>3431.28</v>
      </c>
      <c r="C164" s="3">
        <v>111.83</v>
      </c>
      <c r="D164" s="3">
        <v>30.31</v>
      </c>
      <c r="E164" s="10">
        <f t="shared" si="7"/>
        <v>1.0043683547433841E-2</v>
      </c>
      <c r="F164" s="10">
        <f t="shared" si="8"/>
        <v>1.8952164009111601E-2</v>
      </c>
      <c r="G164" s="10">
        <f t="shared" si="9"/>
        <v>6.1274509803921573E-2</v>
      </c>
    </row>
    <row r="165" spans="1:7" x14ac:dyDescent="0.35">
      <c r="A165" s="2">
        <v>44068</v>
      </c>
      <c r="B165" s="3">
        <v>3443.62</v>
      </c>
      <c r="C165" s="3">
        <v>111.51</v>
      </c>
      <c r="D165" s="3">
        <v>29.69</v>
      </c>
      <c r="E165" s="10">
        <f t="shared" si="7"/>
        <v>3.5963255694666974E-3</v>
      </c>
      <c r="F165" s="10">
        <f t="shared" si="8"/>
        <v>-2.8614861843869552E-3</v>
      </c>
      <c r="G165" s="10">
        <f t="shared" si="9"/>
        <v>-2.0455295282085038E-2</v>
      </c>
    </row>
    <row r="166" spans="1:7" x14ac:dyDescent="0.35">
      <c r="A166" s="2">
        <v>44069</v>
      </c>
      <c r="B166" s="3">
        <v>3478.73</v>
      </c>
      <c r="C166" s="3">
        <v>111.53</v>
      </c>
      <c r="D166" s="3">
        <v>29.48</v>
      </c>
      <c r="E166" s="10">
        <f t="shared" si="7"/>
        <v>1.0195666188487733E-2</v>
      </c>
      <c r="F166" s="10">
        <f t="shared" si="8"/>
        <v>1.7935611155946569E-4</v>
      </c>
      <c r="G166" s="10">
        <f t="shared" si="9"/>
        <v>-7.0730885820141746E-3</v>
      </c>
    </row>
    <row r="167" spans="1:7" x14ac:dyDescent="0.35">
      <c r="A167" s="2">
        <v>44070</v>
      </c>
      <c r="B167" s="3">
        <v>3484.55</v>
      </c>
      <c r="C167" s="3">
        <v>110.84</v>
      </c>
      <c r="D167" s="3">
        <v>29.69</v>
      </c>
      <c r="E167" s="10">
        <f t="shared" si="7"/>
        <v>1.6730243508407275E-3</v>
      </c>
      <c r="F167" s="10">
        <f t="shared" si="8"/>
        <v>-6.1866762306105778E-3</v>
      </c>
      <c r="G167" s="10">
        <f t="shared" si="9"/>
        <v>7.1234735413840183E-3</v>
      </c>
    </row>
    <row r="168" spans="1:7" x14ac:dyDescent="0.35">
      <c r="A168" s="2">
        <v>44071</v>
      </c>
      <c r="B168" s="3">
        <v>3508.01</v>
      </c>
      <c r="C168" s="3">
        <v>112.29</v>
      </c>
      <c r="D168" s="3">
        <v>30.02</v>
      </c>
      <c r="E168" s="10">
        <f t="shared" si="7"/>
        <v>6.7325766598269601E-3</v>
      </c>
      <c r="F168" s="10">
        <f t="shared" si="8"/>
        <v>1.3081919884518249E-2</v>
      </c>
      <c r="G168" s="10">
        <f t="shared" si="9"/>
        <v>1.1114853486022171E-2</v>
      </c>
    </row>
    <row r="169" spans="1:7" x14ac:dyDescent="0.35">
      <c r="A169" s="2">
        <v>44074</v>
      </c>
      <c r="B169" s="3">
        <v>3500.31</v>
      </c>
      <c r="C169" s="3">
        <v>111.89</v>
      </c>
      <c r="D169" s="3">
        <v>29.63</v>
      </c>
      <c r="E169" s="10">
        <f t="shared" si="7"/>
        <v>-2.1949766391772749E-3</v>
      </c>
      <c r="F169" s="10">
        <f t="shared" si="8"/>
        <v>-3.5622050048980825E-3</v>
      </c>
      <c r="G169" s="10">
        <f t="shared" si="9"/>
        <v>-1.2991339107261845E-2</v>
      </c>
    </row>
    <row r="170" spans="1:7" x14ac:dyDescent="0.35">
      <c r="A170" s="2">
        <v>44075</v>
      </c>
      <c r="B170" s="3">
        <v>3526.65</v>
      </c>
      <c r="C170" s="3">
        <v>114.84</v>
      </c>
      <c r="D170" s="3">
        <v>29.79</v>
      </c>
      <c r="E170" s="10">
        <f t="shared" si="7"/>
        <v>7.525047781482253E-3</v>
      </c>
      <c r="F170" s="10">
        <f t="shared" si="8"/>
        <v>2.6365180087586048E-2</v>
      </c>
      <c r="G170" s="10">
        <f t="shared" si="9"/>
        <v>5.3999325008437446E-3</v>
      </c>
    </row>
    <row r="171" spans="1:7" x14ac:dyDescent="0.35">
      <c r="A171" s="2">
        <v>44076</v>
      </c>
      <c r="B171" s="3">
        <v>3580.84</v>
      </c>
      <c r="C171" s="3">
        <v>116.8</v>
      </c>
      <c r="D171" s="3">
        <v>30.96</v>
      </c>
      <c r="E171" s="10">
        <f t="shared" si="7"/>
        <v>1.5365857116527031E-2</v>
      </c>
      <c r="F171" s="10">
        <f t="shared" si="8"/>
        <v>1.7067223963775632E-2</v>
      </c>
      <c r="G171" s="10">
        <f t="shared" si="9"/>
        <v>3.9274924471299155E-2</v>
      </c>
    </row>
    <row r="172" spans="1:7" x14ac:dyDescent="0.35">
      <c r="A172" s="2">
        <v>44077</v>
      </c>
      <c r="B172" s="3">
        <v>3455.06</v>
      </c>
      <c r="C172" s="3">
        <v>112.85</v>
      </c>
      <c r="D172" s="3">
        <v>29.48</v>
      </c>
      <c r="E172" s="10">
        <f t="shared" si="7"/>
        <v>-3.5125836395929498E-2</v>
      </c>
      <c r="F172" s="10">
        <f t="shared" si="8"/>
        <v>-3.3818493150684956E-2</v>
      </c>
      <c r="G172" s="10">
        <f t="shared" si="9"/>
        <v>-4.7803617571059442E-2</v>
      </c>
    </row>
    <row r="173" spans="1:7" x14ac:dyDescent="0.35">
      <c r="A173" s="2">
        <v>44078</v>
      </c>
      <c r="B173" s="3">
        <v>3426.96</v>
      </c>
      <c r="C173" s="3">
        <v>112.4</v>
      </c>
      <c r="D173" s="3">
        <v>30</v>
      </c>
      <c r="E173" s="10">
        <f t="shared" si="7"/>
        <v>-8.132999137496863E-3</v>
      </c>
      <c r="F173" s="10">
        <f t="shared" si="8"/>
        <v>-3.987594151528477E-3</v>
      </c>
      <c r="G173" s="10">
        <f t="shared" si="9"/>
        <v>1.7639077340569864E-2</v>
      </c>
    </row>
    <row r="174" spans="1:7" x14ac:dyDescent="0.35">
      <c r="A174" s="2">
        <v>44082</v>
      </c>
      <c r="B174" s="3">
        <v>3331.84</v>
      </c>
      <c r="C174" s="3">
        <v>112.72</v>
      </c>
      <c r="D174" s="3">
        <v>32.380000000000003</v>
      </c>
      <c r="E174" s="10">
        <f t="shared" si="7"/>
        <v>-2.775637883138405E-2</v>
      </c>
      <c r="F174" s="10">
        <f t="shared" si="8"/>
        <v>2.8469750889679106E-3</v>
      </c>
      <c r="G174" s="10">
        <f t="shared" si="9"/>
        <v>7.9333333333333422E-2</v>
      </c>
    </row>
    <row r="175" spans="1:7" x14ac:dyDescent="0.35">
      <c r="A175" s="2">
        <v>44083</v>
      </c>
      <c r="B175" s="3">
        <v>3398.96</v>
      </c>
      <c r="C175" s="3">
        <v>114.9</v>
      </c>
      <c r="D175" s="3">
        <v>31.95</v>
      </c>
      <c r="E175" s="10">
        <f t="shared" si="7"/>
        <v>2.0145024971187059E-2</v>
      </c>
      <c r="F175" s="10">
        <f t="shared" si="8"/>
        <v>1.9339957416607583E-2</v>
      </c>
      <c r="G175" s="10">
        <f t="shared" si="9"/>
        <v>-1.3279802347127957E-2</v>
      </c>
    </row>
    <row r="176" spans="1:7" x14ac:dyDescent="0.35">
      <c r="A176" s="2">
        <v>44084</v>
      </c>
      <c r="B176" s="3">
        <v>3339.19</v>
      </c>
      <c r="C176" s="3">
        <v>114.79</v>
      </c>
      <c r="D176" s="3">
        <v>30.17</v>
      </c>
      <c r="E176" s="10">
        <f t="shared" si="7"/>
        <v>-1.7584790641843383E-2</v>
      </c>
      <c r="F176" s="10">
        <f t="shared" si="8"/>
        <v>-9.573542210617879E-4</v>
      </c>
      <c r="G176" s="10">
        <f t="shared" si="9"/>
        <v>-5.5712050078247186E-2</v>
      </c>
    </row>
    <row r="177" spans="1:7" x14ac:dyDescent="0.35">
      <c r="A177" s="2">
        <v>44085</v>
      </c>
      <c r="B177" s="3">
        <v>3340.97</v>
      </c>
      <c r="C177" s="3">
        <v>118</v>
      </c>
      <c r="D177" s="3">
        <v>30.46</v>
      </c>
      <c r="E177" s="10">
        <f t="shared" si="7"/>
        <v>5.3306340759278305E-4</v>
      </c>
      <c r="F177" s="10">
        <f t="shared" si="8"/>
        <v>2.7964108371809335E-2</v>
      </c>
      <c r="G177" s="10">
        <f t="shared" si="9"/>
        <v>9.6121975472323214E-3</v>
      </c>
    </row>
    <row r="178" spans="1:7" x14ac:dyDescent="0.35">
      <c r="A178" s="2">
        <v>44088</v>
      </c>
      <c r="B178" s="3">
        <v>3383.54</v>
      </c>
      <c r="C178" s="3">
        <v>119.28</v>
      </c>
      <c r="D178" s="3">
        <v>31.18</v>
      </c>
      <c r="E178" s="10">
        <f t="shared" si="7"/>
        <v>1.2741808516688317E-2</v>
      </c>
      <c r="F178" s="10">
        <f t="shared" si="8"/>
        <v>1.0847457627118653E-2</v>
      </c>
      <c r="G178" s="10">
        <f t="shared" si="9"/>
        <v>2.3637557452396547E-2</v>
      </c>
    </row>
    <row r="179" spans="1:7" x14ac:dyDescent="0.35">
      <c r="A179" s="2">
        <v>44089</v>
      </c>
      <c r="B179" s="3">
        <v>3401.2</v>
      </c>
      <c r="C179" s="3">
        <v>119.27</v>
      </c>
      <c r="D179" s="3">
        <v>31.58</v>
      </c>
      <c r="E179" s="10">
        <f t="shared" si="7"/>
        <v>5.219385613883641E-3</v>
      </c>
      <c r="F179" s="10">
        <f t="shared" si="8"/>
        <v>-8.3836351442028137E-5</v>
      </c>
      <c r="G179" s="10">
        <f t="shared" si="9"/>
        <v>1.2828736369467563E-2</v>
      </c>
    </row>
    <row r="180" spans="1:7" x14ac:dyDescent="0.35">
      <c r="A180" s="2">
        <v>44090</v>
      </c>
      <c r="B180" s="3">
        <v>3385.49</v>
      </c>
      <c r="C180" s="3">
        <v>118.59</v>
      </c>
      <c r="D180" s="3">
        <v>31.79</v>
      </c>
      <c r="E180" s="10">
        <f t="shared" si="7"/>
        <v>-4.61895801481831E-3</v>
      </c>
      <c r="F180" s="10">
        <f t="shared" si="8"/>
        <v>-5.7013498784270365E-3</v>
      </c>
      <c r="G180" s="10">
        <f t="shared" si="9"/>
        <v>6.649778340722003E-3</v>
      </c>
    </row>
    <row r="181" spans="1:7" x14ac:dyDescent="0.35">
      <c r="A181" s="2">
        <v>44091</v>
      </c>
      <c r="B181" s="3">
        <v>3357.01</v>
      </c>
      <c r="C181" s="3">
        <v>116.36</v>
      </c>
      <c r="D181" s="3">
        <v>31.92</v>
      </c>
      <c r="E181" s="10">
        <f t="shared" si="7"/>
        <v>-8.4123716212422921E-3</v>
      </c>
      <c r="F181" s="10">
        <f t="shared" si="8"/>
        <v>-1.8804283666413728E-2</v>
      </c>
      <c r="G181" s="10">
        <f t="shared" si="9"/>
        <v>4.0893362692671457E-3</v>
      </c>
    </row>
    <row r="182" spans="1:7" x14ac:dyDescent="0.35">
      <c r="A182" s="2">
        <v>44092</v>
      </c>
      <c r="B182" s="3">
        <v>3319.47</v>
      </c>
      <c r="C182" s="3">
        <v>114.66</v>
      </c>
      <c r="D182" s="3">
        <v>31.5</v>
      </c>
      <c r="E182" s="10">
        <f t="shared" si="7"/>
        <v>-1.1182570203842234E-2</v>
      </c>
      <c r="F182" s="10">
        <f t="shared" si="8"/>
        <v>-1.4609831557236188E-2</v>
      </c>
      <c r="G182" s="10">
        <f t="shared" si="9"/>
        <v>-1.3157894736842158E-2</v>
      </c>
    </row>
    <row r="183" spans="1:7" x14ac:dyDescent="0.35">
      <c r="A183" s="2">
        <v>44095</v>
      </c>
      <c r="B183" s="3">
        <v>3281.06</v>
      </c>
      <c r="C183" s="3">
        <v>113.37</v>
      </c>
      <c r="D183" s="3">
        <v>30</v>
      </c>
      <c r="E183" s="10">
        <f t="shared" si="7"/>
        <v>-1.1571124305988563E-2</v>
      </c>
      <c r="F183" s="10">
        <f t="shared" si="8"/>
        <v>-1.1250654107796895E-2</v>
      </c>
      <c r="G183" s="10">
        <f t="shared" si="9"/>
        <v>-4.7619047619047616E-2</v>
      </c>
    </row>
    <row r="184" spans="1:7" x14ac:dyDescent="0.35">
      <c r="A184" s="2">
        <v>44096</v>
      </c>
      <c r="B184" s="3">
        <v>3315.57</v>
      </c>
      <c r="C184" s="3">
        <v>116.87</v>
      </c>
      <c r="D184" s="3">
        <v>29.44</v>
      </c>
      <c r="E184" s="10">
        <f t="shared" si="7"/>
        <v>1.0517942372282195E-2</v>
      </c>
      <c r="F184" s="10">
        <f t="shared" si="8"/>
        <v>3.087236482314545E-2</v>
      </c>
      <c r="G184" s="10">
        <f t="shared" si="9"/>
        <v>-1.8666666666666623E-2</v>
      </c>
    </row>
    <row r="185" spans="1:7" x14ac:dyDescent="0.35">
      <c r="A185" s="2">
        <v>44097</v>
      </c>
      <c r="B185" s="3">
        <v>3236.92</v>
      </c>
      <c r="C185" s="3">
        <v>127.11</v>
      </c>
      <c r="D185" s="3">
        <v>29.34</v>
      </c>
      <c r="E185" s="10">
        <f t="shared" si="7"/>
        <v>-2.3721411401357861E-2</v>
      </c>
      <c r="F185" s="10">
        <f t="shared" si="8"/>
        <v>8.7618721656541415E-2</v>
      </c>
      <c r="G185" s="10">
        <f t="shared" si="9"/>
        <v>-3.3967391304348307E-3</v>
      </c>
    </row>
    <row r="186" spans="1:7" x14ac:dyDescent="0.35">
      <c r="A186" s="2">
        <v>44098</v>
      </c>
      <c r="B186" s="3">
        <v>3246.59</v>
      </c>
      <c r="C186" s="3">
        <v>124.75</v>
      </c>
      <c r="D186" s="3">
        <v>29.11</v>
      </c>
      <c r="E186" s="10">
        <f t="shared" si="7"/>
        <v>2.9874077827070403E-3</v>
      </c>
      <c r="F186" s="10">
        <f t="shared" si="8"/>
        <v>-1.8566595861851935E-2</v>
      </c>
      <c r="G186" s="10">
        <f t="shared" si="9"/>
        <v>-7.8391274710293262E-3</v>
      </c>
    </row>
    <row r="187" spans="1:7" x14ac:dyDescent="0.35">
      <c r="A187" s="2">
        <v>44099</v>
      </c>
      <c r="B187" s="3">
        <v>3298.46</v>
      </c>
      <c r="C187" s="3">
        <v>124.23</v>
      </c>
      <c r="D187" s="3">
        <v>29</v>
      </c>
      <c r="E187" s="10">
        <f t="shared" si="7"/>
        <v>1.5976763311659276E-2</v>
      </c>
      <c r="F187" s="10">
        <f t="shared" si="8"/>
        <v>-4.1683366733466613E-3</v>
      </c>
      <c r="G187" s="10">
        <f t="shared" si="9"/>
        <v>-3.7787701820679986E-3</v>
      </c>
    </row>
    <row r="188" spans="1:7" x14ac:dyDescent="0.35">
      <c r="A188" s="2">
        <v>44102</v>
      </c>
      <c r="B188" s="3">
        <v>3351.6</v>
      </c>
      <c r="C188" s="3">
        <v>124.32</v>
      </c>
      <c r="D188" s="3">
        <v>29.44</v>
      </c>
      <c r="E188" s="10">
        <f t="shared" si="7"/>
        <v>1.6110548559024475E-2</v>
      </c>
      <c r="F188" s="10">
        <f t="shared" si="8"/>
        <v>7.2446269017136921E-4</v>
      </c>
      <c r="G188" s="10">
        <f t="shared" si="9"/>
        <v>1.5172413793103492E-2</v>
      </c>
    </row>
    <row r="189" spans="1:7" x14ac:dyDescent="0.35">
      <c r="A189" s="2">
        <v>44103</v>
      </c>
      <c r="B189" s="3">
        <v>3335.47</v>
      </c>
      <c r="C189" s="3">
        <v>126.35</v>
      </c>
      <c r="D189" s="3">
        <v>28.74</v>
      </c>
      <c r="E189" s="10">
        <f t="shared" si="7"/>
        <v>-4.8126268051080405E-3</v>
      </c>
      <c r="F189" s="10">
        <f t="shared" si="8"/>
        <v>1.6328828828828839E-2</v>
      </c>
      <c r="G189" s="10">
        <f t="shared" si="9"/>
        <v>-2.3777173913043573E-2</v>
      </c>
    </row>
    <row r="190" spans="1:7" x14ac:dyDescent="0.35">
      <c r="A190" s="2">
        <v>44104</v>
      </c>
      <c r="B190" s="3">
        <v>3363</v>
      </c>
      <c r="C190" s="3">
        <v>125.54</v>
      </c>
      <c r="D190" s="3">
        <v>29.59</v>
      </c>
      <c r="E190" s="10">
        <f t="shared" si="7"/>
        <v>8.2537093722924205E-3</v>
      </c>
      <c r="F190" s="10">
        <f t="shared" si="8"/>
        <v>-6.4107637514838785E-3</v>
      </c>
      <c r="G190" s="10">
        <f t="shared" si="9"/>
        <v>2.9575504523312507E-2</v>
      </c>
    </row>
    <row r="191" spans="1:7" x14ac:dyDescent="0.35">
      <c r="A191" s="2">
        <v>44105</v>
      </c>
      <c r="B191" s="3">
        <v>3380.8</v>
      </c>
      <c r="C191" s="3">
        <v>126.64</v>
      </c>
      <c r="D191" s="3">
        <v>30.38</v>
      </c>
      <c r="E191" s="10">
        <f t="shared" si="7"/>
        <v>5.2928932500743925E-3</v>
      </c>
      <c r="F191" s="10">
        <f t="shared" si="8"/>
        <v>8.7621475227018814E-3</v>
      </c>
      <c r="G191" s="10">
        <f t="shared" si="9"/>
        <v>2.6698208854342653E-2</v>
      </c>
    </row>
    <row r="192" spans="1:7" x14ac:dyDescent="0.35">
      <c r="A192" s="2">
        <v>44106</v>
      </c>
      <c r="B192" s="3">
        <v>3348.44</v>
      </c>
      <c r="C192" s="3">
        <v>126.64</v>
      </c>
      <c r="D192" s="3">
        <v>30.46</v>
      </c>
      <c r="E192" s="10">
        <f t="shared" si="7"/>
        <v>-9.571699006152427E-3</v>
      </c>
      <c r="F192" s="10">
        <f t="shared" si="8"/>
        <v>0</v>
      </c>
      <c r="G192" s="10">
        <f t="shared" si="9"/>
        <v>2.6333113890718188E-3</v>
      </c>
    </row>
    <row r="193" spans="1:7" x14ac:dyDescent="0.35">
      <c r="A193" s="2">
        <v>44109</v>
      </c>
      <c r="B193" s="3">
        <v>3408.63</v>
      </c>
      <c r="C193" s="3">
        <v>127.91</v>
      </c>
      <c r="D193" s="3">
        <v>30.96</v>
      </c>
      <c r="E193" s="10">
        <f t="shared" si="7"/>
        <v>1.7975534875942247E-2</v>
      </c>
      <c r="F193" s="10">
        <f t="shared" si="8"/>
        <v>1.0028427037270972E-2</v>
      </c>
      <c r="G193" s="10">
        <f t="shared" si="9"/>
        <v>1.6414970453053183E-2</v>
      </c>
    </row>
    <row r="194" spans="1:7" x14ac:dyDescent="0.35">
      <c r="A194" s="2">
        <v>44110</v>
      </c>
      <c r="B194" s="3">
        <v>3360.95</v>
      </c>
      <c r="C194" s="3">
        <v>127.65</v>
      </c>
      <c r="D194" s="3">
        <v>30.4</v>
      </c>
      <c r="E194" s="10">
        <f t="shared" si="7"/>
        <v>-1.3988024514247745E-2</v>
      </c>
      <c r="F194" s="10">
        <f t="shared" si="8"/>
        <v>-2.0326792275818227E-3</v>
      </c>
      <c r="G194" s="10">
        <f t="shared" si="9"/>
        <v>-1.8087855297157694E-2</v>
      </c>
    </row>
    <row r="195" spans="1:7" x14ac:dyDescent="0.35">
      <c r="A195" s="2">
        <v>44111</v>
      </c>
      <c r="B195" s="3">
        <v>3419.45</v>
      </c>
      <c r="C195" s="3">
        <v>130.06</v>
      </c>
      <c r="D195" s="3">
        <v>31.62</v>
      </c>
      <c r="E195" s="10">
        <f t="shared" si="7"/>
        <v>1.7405793004953957E-2</v>
      </c>
      <c r="F195" s="10">
        <f t="shared" si="8"/>
        <v>1.8879749314531895E-2</v>
      </c>
      <c r="G195" s="10">
        <f t="shared" si="9"/>
        <v>4.0131578947368504E-2</v>
      </c>
    </row>
    <row r="196" spans="1:7" x14ac:dyDescent="0.35">
      <c r="A196" s="2">
        <v>44112</v>
      </c>
      <c r="B196" s="3">
        <v>3446.83</v>
      </c>
      <c r="C196" s="3">
        <v>129.71</v>
      </c>
      <c r="D196" s="3">
        <v>32.21</v>
      </c>
      <c r="E196" s="10">
        <f t="shared" ref="E196:E259" si="10">(B196-B195)/B195</f>
        <v>8.0071356504701364E-3</v>
      </c>
      <c r="F196" s="10">
        <f t="shared" ref="F196:F259" si="11">(C196-C195)/C195</f>
        <v>-2.6910656620021092E-3</v>
      </c>
      <c r="G196" s="10">
        <f t="shared" ref="G196:G259" si="12">(D196-D195)/D195</f>
        <v>1.8659076533839337E-2</v>
      </c>
    </row>
    <row r="197" spans="1:7" x14ac:dyDescent="0.35">
      <c r="A197" s="2">
        <v>44113</v>
      </c>
      <c r="B197" s="3">
        <v>3477.13</v>
      </c>
      <c r="C197" s="3">
        <v>130.97999999999999</v>
      </c>
      <c r="D197" s="3">
        <v>32.159999999999997</v>
      </c>
      <c r="E197" s="10">
        <f t="shared" si="10"/>
        <v>8.7906859346124355E-3</v>
      </c>
      <c r="F197" s="10">
        <f t="shared" si="11"/>
        <v>9.7910723922595162E-3</v>
      </c>
      <c r="G197" s="10">
        <f t="shared" si="12"/>
        <v>-1.5523129462901044E-3</v>
      </c>
    </row>
    <row r="198" spans="1:7" x14ac:dyDescent="0.35">
      <c r="A198" s="2">
        <v>44116</v>
      </c>
      <c r="B198" s="3">
        <v>3534.22</v>
      </c>
      <c r="C198" s="3">
        <v>129.46</v>
      </c>
      <c r="D198" s="3">
        <v>32.21</v>
      </c>
      <c r="E198" s="10">
        <f t="shared" si="10"/>
        <v>1.6418713134107636E-2</v>
      </c>
      <c r="F198" s="10">
        <f t="shared" si="11"/>
        <v>-1.160482516414706E-2</v>
      </c>
      <c r="G198" s="10">
        <f t="shared" si="12"/>
        <v>1.5547263681593368E-3</v>
      </c>
    </row>
    <row r="199" spans="1:7" x14ac:dyDescent="0.35">
      <c r="A199" s="2">
        <v>44117</v>
      </c>
      <c r="B199" s="3">
        <v>3511.93</v>
      </c>
      <c r="C199" s="3">
        <v>129.19999999999999</v>
      </c>
      <c r="D199" s="3">
        <v>31.87</v>
      </c>
      <c r="E199" s="10">
        <f t="shared" si="10"/>
        <v>-6.3069078891523347E-3</v>
      </c>
      <c r="F199" s="10">
        <f t="shared" si="11"/>
        <v>-2.0083423451260568E-3</v>
      </c>
      <c r="G199" s="10">
        <f t="shared" si="12"/>
        <v>-1.0555728034771806E-2</v>
      </c>
    </row>
    <row r="200" spans="1:7" x14ac:dyDescent="0.35">
      <c r="A200" s="2">
        <v>44118</v>
      </c>
      <c r="B200" s="3">
        <v>3488.67</v>
      </c>
      <c r="C200" s="3">
        <v>127.66</v>
      </c>
      <c r="D200" s="3">
        <v>31.67</v>
      </c>
      <c r="E200" s="10">
        <f t="shared" si="10"/>
        <v>-6.6231388438834958E-3</v>
      </c>
      <c r="F200" s="10">
        <f t="shared" si="11"/>
        <v>-1.1919504643962789E-2</v>
      </c>
      <c r="G200" s="10">
        <f t="shared" si="12"/>
        <v>-6.2754941951678467E-3</v>
      </c>
    </row>
    <row r="201" spans="1:7" x14ac:dyDescent="0.35">
      <c r="A201" s="2">
        <v>44119</v>
      </c>
      <c r="B201" s="3">
        <v>3483.34</v>
      </c>
      <c r="C201" s="3">
        <v>129</v>
      </c>
      <c r="D201" s="3">
        <v>32.590000000000003</v>
      </c>
      <c r="E201" s="10">
        <f t="shared" si="10"/>
        <v>-1.5278028589691564E-3</v>
      </c>
      <c r="F201" s="10">
        <f t="shared" si="11"/>
        <v>1.0496631677894434E-2</v>
      </c>
      <c r="G201" s="10">
        <f t="shared" si="12"/>
        <v>2.90495737290812E-2</v>
      </c>
    </row>
    <row r="202" spans="1:7" x14ac:dyDescent="0.35">
      <c r="A202" s="2">
        <v>44120</v>
      </c>
      <c r="B202" s="3">
        <v>3483.81</v>
      </c>
      <c r="C202" s="3">
        <v>128</v>
      </c>
      <c r="D202" s="3">
        <v>33.450000000000003</v>
      </c>
      <c r="E202" s="10">
        <f t="shared" si="10"/>
        <v>1.3492797142966231E-4</v>
      </c>
      <c r="F202" s="10">
        <f t="shared" si="11"/>
        <v>-7.7519379844961239E-3</v>
      </c>
      <c r="G202" s="10">
        <f t="shared" si="12"/>
        <v>2.6388462718625324E-2</v>
      </c>
    </row>
    <row r="203" spans="1:7" x14ac:dyDescent="0.35">
      <c r="A203" s="2">
        <v>44123</v>
      </c>
      <c r="B203" s="3">
        <v>3426.92</v>
      </c>
      <c r="C203" s="3">
        <v>127.43</v>
      </c>
      <c r="D203" s="3">
        <v>33.35</v>
      </c>
      <c r="E203" s="10">
        <f t="shared" si="10"/>
        <v>-1.6329822808936158E-2</v>
      </c>
      <c r="F203" s="10">
        <f t="shared" si="11"/>
        <v>-4.4531249999999467E-3</v>
      </c>
      <c r="G203" s="10">
        <f t="shared" si="12"/>
        <v>-2.9895366218236595E-3</v>
      </c>
    </row>
    <row r="204" spans="1:7" x14ac:dyDescent="0.35">
      <c r="A204" s="2">
        <v>44124</v>
      </c>
      <c r="B204" s="3">
        <v>3443.12</v>
      </c>
      <c r="C204" s="3">
        <v>128.49</v>
      </c>
      <c r="D204" s="3">
        <v>35.6</v>
      </c>
      <c r="E204" s="10">
        <f t="shared" si="10"/>
        <v>4.7272769717413357E-3</v>
      </c>
      <c r="F204" s="10">
        <f t="shared" si="11"/>
        <v>8.3182923958251762E-3</v>
      </c>
      <c r="G204" s="10">
        <f t="shared" si="12"/>
        <v>6.7466266866566718E-2</v>
      </c>
    </row>
    <row r="205" spans="1:7" x14ac:dyDescent="0.35">
      <c r="A205" s="2">
        <v>44125</v>
      </c>
      <c r="B205" s="3">
        <v>3435.56</v>
      </c>
      <c r="C205" s="3">
        <v>129.43</v>
      </c>
      <c r="D205" s="3">
        <v>35.770000000000003</v>
      </c>
      <c r="E205" s="10">
        <f t="shared" si="10"/>
        <v>-2.1956829851994546E-3</v>
      </c>
      <c r="F205" s="10">
        <f t="shared" si="11"/>
        <v>7.3157444159078341E-3</v>
      </c>
      <c r="G205" s="10">
        <f t="shared" si="12"/>
        <v>4.7752808988764522E-3</v>
      </c>
    </row>
    <row r="206" spans="1:7" x14ac:dyDescent="0.35">
      <c r="A206" s="2">
        <v>44126</v>
      </c>
      <c r="B206" s="3">
        <v>3453.49</v>
      </c>
      <c r="C206" s="3">
        <v>130.02000000000001</v>
      </c>
      <c r="D206" s="3">
        <v>37.409999999999997</v>
      </c>
      <c r="E206" s="10">
        <f t="shared" si="10"/>
        <v>5.2189453829942821E-3</v>
      </c>
      <c r="F206" s="10">
        <f t="shared" si="11"/>
        <v>4.5584485822452551E-3</v>
      </c>
      <c r="G206" s="10">
        <f t="shared" si="12"/>
        <v>4.5848476376851924E-2</v>
      </c>
    </row>
    <row r="207" spans="1:7" x14ac:dyDescent="0.35">
      <c r="A207" s="2">
        <v>44127</v>
      </c>
      <c r="B207" s="3">
        <v>3465.39</v>
      </c>
      <c r="C207" s="3">
        <v>129.99</v>
      </c>
      <c r="D207" s="3">
        <v>36.83</v>
      </c>
      <c r="E207" s="10">
        <f t="shared" si="10"/>
        <v>3.4457896215133363E-3</v>
      </c>
      <c r="F207" s="10">
        <f t="shared" si="11"/>
        <v>-2.3073373327181306E-4</v>
      </c>
      <c r="G207" s="10">
        <f t="shared" si="12"/>
        <v>-1.5503875968992204E-2</v>
      </c>
    </row>
    <row r="208" spans="1:7" x14ac:dyDescent="0.35">
      <c r="A208" s="2">
        <v>44130</v>
      </c>
      <c r="B208" s="3">
        <v>3400.97</v>
      </c>
      <c r="C208" s="3">
        <v>128.37</v>
      </c>
      <c r="D208" s="3">
        <v>35.82</v>
      </c>
      <c r="E208" s="10">
        <f t="shared" si="10"/>
        <v>-1.8589538262648669E-2</v>
      </c>
      <c r="F208" s="10">
        <f t="shared" si="11"/>
        <v>-1.2462497115162738E-2</v>
      </c>
      <c r="G208" s="10">
        <f t="shared" si="12"/>
        <v>-2.7423296225902744E-2</v>
      </c>
    </row>
    <row r="209" spans="1:7" x14ac:dyDescent="0.35">
      <c r="A209" s="2">
        <v>44131</v>
      </c>
      <c r="B209" s="3">
        <v>3390.68</v>
      </c>
      <c r="C209" s="3">
        <v>127.99</v>
      </c>
      <c r="D209" s="3">
        <v>34.89</v>
      </c>
      <c r="E209" s="10">
        <f t="shared" si="10"/>
        <v>-3.0256074002416853E-3</v>
      </c>
      <c r="F209" s="10">
        <f t="shared" si="11"/>
        <v>-2.9601931915557347E-3</v>
      </c>
      <c r="G209" s="10">
        <f t="shared" si="12"/>
        <v>-2.596314907872696E-2</v>
      </c>
    </row>
    <row r="210" spans="1:7" x14ac:dyDescent="0.35">
      <c r="A210" s="2">
        <v>44132</v>
      </c>
      <c r="B210" s="3">
        <v>3271.03</v>
      </c>
      <c r="C210" s="3">
        <v>122.08</v>
      </c>
      <c r="D210" s="3">
        <v>34.090000000000003</v>
      </c>
      <c r="E210" s="10">
        <f t="shared" si="10"/>
        <v>-3.5287906850543151E-2</v>
      </c>
      <c r="F210" s="10">
        <f t="shared" si="11"/>
        <v>-4.6175482459567131E-2</v>
      </c>
      <c r="G210" s="10">
        <f t="shared" si="12"/>
        <v>-2.2929206076239529E-2</v>
      </c>
    </row>
    <row r="211" spans="1:7" x14ac:dyDescent="0.35">
      <c r="A211" s="2">
        <v>44133</v>
      </c>
      <c r="B211" s="3">
        <v>3310.11</v>
      </c>
      <c r="C211" s="3">
        <v>122.86</v>
      </c>
      <c r="D211" s="3">
        <v>34.89</v>
      </c>
      <c r="E211" s="10">
        <f t="shared" si="10"/>
        <v>1.1947307117329992E-2</v>
      </c>
      <c r="F211" s="10">
        <f t="shared" si="11"/>
        <v>6.3892529488859861E-3</v>
      </c>
      <c r="G211" s="10">
        <f t="shared" si="12"/>
        <v>2.346729246113221E-2</v>
      </c>
    </row>
    <row r="212" spans="1:7" x14ac:dyDescent="0.35">
      <c r="A212" s="2">
        <v>44134</v>
      </c>
      <c r="B212" s="3">
        <v>3269.96</v>
      </c>
      <c r="C212" s="3">
        <v>120.08</v>
      </c>
      <c r="D212" s="3">
        <v>34.53</v>
      </c>
      <c r="E212" s="10">
        <f t="shared" si="10"/>
        <v>-1.2129506270184401E-2</v>
      </c>
      <c r="F212" s="10">
        <f t="shared" si="11"/>
        <v>-2.2627380758587019E-2</v>
      </c>
      <c r="G212" s="10">
        <f t="shared" si="12"/>
        <v>-1.0318142734307808E-2</v>
      </c>
    </row>
    <row r="213" spans="1:7" x14ac:dyDescent="0.35">
      <c r="A213" s="2">
        <v>44137</v>
      </c>
      <c r="B213" s="3">
        <v>3310.24</v>
      </c>
      <c r="C213" s="3">
        <v>122.39</v>
      </c>
      <c r="D213" s="3">
        <v>34.549999999999997</v>
      </c>
      <c r="E213" s="10">
        <f t="shared" si="10"/>
        <v>1.2318193494721569E-2</v>
      </c>
      <c r="F213" s="10">
        <f t="shared" si="11"/>
        <v>1.9237175216522337E-2</v>
      </c>
      <c r="G213" s="10">
        <f t="shared" si="12"/>
        <v>5.7920648711254038E-4</v>
      </c>
    </row>
    <row r="214" spans="1:7" x14ac:dyDescent="0.35">
      <c r="A214" s="2">
        <v>44138</v>
      </c>
      <c r="B214" s="3">
        <v>3369.16</v>
      </c>
      <c r="C214" s="3">
        <v>124.59</v>
      </c>
      <c r="D214" s="3">
        <v>35.35</v>
      </c>
      <c r="E214" s="10">
        <f t="shared" si="10"/>
        <v>1.7799313644932112E-2</v>
      </c>
      <c r="F214" s="10">
        <f t="shared" si="11"/>
        <v>1.7975324781436416E-2</v>
      </c>
      <c r="G214" s="10">
        <f t="shared" si="12"/>
        <v>2.3154848046309823E-2</v>
      </c>
    </row>
    <row r="215" spans="1:7" x14ac:dyDescent="0.35">
      <c r="A215" s="2">
        <v>44139</v>
      </c>
      <c r="B215" s="3">
        <v>3443.44</v>
      </c>
      <c r="C215" s="3">
        <v>127.34</v>
      </c>
      <c r="D215" s="3">
        <v>35.24</v>
      </c>
      <c r="E215" s="10">
        <f t="shared" si="10"/>
        <v>2.2047038430944271E-2</v>
      </c>
      <c r="F215" s="10">
        <f t="shared" si="11"/>
        <v>2.2072397463680872E-2</v>
      </c>
      <c r="G215" s="10">
        <f t="shared" si="12"/>
        <v>-3.1117397454030957E-3</v>
      </c>
    </row>
    <row r="216" spans="1:7" x14ac:dyDescent="0.35">
      <c r="A216" s="2">
        <v>44140</v>
      </c>
      <c r="B216" s="3">
        <v>3510.45</v>
      </c>
      <c r="C216" s="3">
        <v>129.69999999999999</v>
      </c>
      <c r="D216" s="3">
        <v>37.14</v>
      </c>
      <c r="E216" s="10">
        <f t="shared" si="10"/>
        <v>1.9460190971818808E-2</v>
      </c>
      <c r="F216" s="10">
        <f t="shared" si="11"/>
        <v>1.8533061096277566E-2</v>
      </c>
      <c r="G216" s="10">
        <f t="shared" si="12"/>
        <v>5.3916004540295076E-2</v>
      </c>
    </row>
    <row r="217" spans="1:7" x14ac:dyDescent="0.35">
      <c r="A217" s="2">
        <v>44141</v>
      </c>
      <c r="B217" s="3">
        <v>3509.44</v>
      </c>
      <c r="C217" s="3">
        <v>128.9</v>
      </c>
      <c r="D217" s="3">
        <v>37.47</v>
      </c>
      <c r="E217" s="10">
        <f t="shared" si="10"/>
        <v>-2.8771240154389424E-4</v>
      </c>
      <c r="F217" s="10">
        <f t="shared" si="11"/>
        <v>-6.1680801850422743E-3</v>
      </c>
      <c r="G217" s="10">
        <f t="shared" si="12"/>
        <v>8.8852988691437342E-3</v>
      </c>
    </row>
    <row r="218" spans="1:7" x14ac:dyDescent="0.35">
      <c r="A218" s="2">
        <v>44144</v>
      </c>
      <c r="B218" s="3">
        <v>3550.5</v>
      </c>
      <c r="C218" s="3">
        <v>128.94999999999999</v>
      </c>
      <c r="D218" s="3">
        <v>38.96</v>
      </c>
      <c r="E218" s="10">
        <f t="shared" si="10"/>
        <v>1.1699872344305629E-2</v>
      </c>
      <c r="F218" s="10">
        <f t="shared" si="11"/>
        <v>3.8789759503477845E-4</v>
      </c>
      <c r="G218" s="10">
        <f t="shared" si="12"/>
        <v>3.9765145449693146E-2</v>
      </c>
    </row>
    <row r="219" spans="1:7" x14ac:dyDescent="0.35">
      <c r="A219" s="2">
        <v>44145</v>
      </c>
      <c r="B219" s="3">
        <v>3545.53</v>
      </c>
      <c r="C219" s="3">
        <v>127.71</v>
      </c>
      <c r="D219" s="3">
        <v>41.08</v>
      </c>
      <c r="E219" s="10">
        <f t="shared" si="10"/>
        <v>-1.3998028446697084E-3</v>
      </c>
      <c r="F219" s="10">
        <f t="shared" si="11"/>
        <v>-9.6161302830554095E-3</v>
      </c>
      <c r="G219" s="10">
        <f t="shared" si="12"/>
        <v>5.4414784394250446E-2</v>
      </c>
    </row>
    <row r="220" spans="1:7" x14ac:dyDescent="0.35">
      <c r="A220" s="2">
        <v>44146</v>
      </c>
      <c r="B220" s="3">
        <v>3572.66</v>
      </c>
      <c r="C220" s="3">
        <v>127.66</v>
      </c>
      <c r="D220" s="3">
        <v>40.56</v>
      </c>
      <c r="E220" s="10">
        <f t="shared" si="10"/>
        <v>7.6518884341691233E-3</v>
      </c>
      <c r="F220" s="10">
        <f t="shared" si="11"/>
        <v>-3.9151201941897392E-4</v>
      </c>
      <c r="G220" s="10">
        <f t="shared" si="12"/>
        <v>-1.265822784810117E-2</v>
      </c>
    </row>
    <row r="221" spans="1:7" x14ac:dyDescent="0.35">
      <c r="A221" s="2">
        <v>44147</v>
      </c>
      <c r="B221" s="3">
        <v>3537.01</v>
      </c>
      <c r="C221" s="3">
        <v>126.64</v>
      </c>
      <c r="D221" s="3">
        <v>39.32</v>
      </c>
      <c r="E221" s="10">
        <f t="shared" si="10"/>
        <v>-9.9785593927212875E-3</v>
      </c>
      <c r="F221" s="10">
        <f t="shared" si="11"/>
        <v>-7.9899733667554134E-3</v>
      </c>
      <c r="G221" s="10">
        <f t="shared" si="12"/>
        <v>-3.0571992110453697E-2</v>
      </c>
    </row>
    <row r="222" spans="1:7" x14ac:dyDescent="0.35">
      <c r="A222" s="2">
        <v>44148</v>
      </c>
      <c r="B222" s="3">
        <v>3585.15</v>
      </c>
      <c r="C222" s="3">
        <v>128.28</v>
      </c>
      <c r="D222" s="3">
        <v>41.19</v>
      </c>
      <c r="E222" s="10">
        <f t="shared" si="10"/>
        <v>1.3610365817455949E-2</v>
      </c>
      <c r="F222" s="10">
        <f t="shared" si="11"/>
        <v>1.2950094756790908E-2</v>
      </c>
      <c r="G222" s="10">
        <f t="shared" si="12"/>
        <v>4.7558494404882946E-2</v>
      </c>
    </row>
    <row r="223" spans="1:7" x14ac:dyDescent="0.35">
      <c r="A223" s="2">
        <v>44151</v>
      </c>
      <c r="B223" s="3">
        <v>3626.91</v>
      </c>
      <c r="C223" s="3">
        <v>130.11000000000001</v>
      </c>
      <c r="D223" s="3">
        <v>42.13</v>
      </c>
      <c r="E223" s="10">
        <f t="shared" si="10"/>
        <v>1.1648048198820067E-2</v>
      </c>
      <c r="F223" s="10">
        <f t="shared" si="11"/>
        <v>1.4265668849392052E-2</v>
      </c>
      <c r="G223" s="10">
        <f t="shared" si="12"/>
        <v>2.2821073075989438E-2</v>
      </c>
    </row>
    <row r="224" spans="1:7" x14ac:dyDescent="0.35">
      <c r="A224" s="2">
        <v>44152</v>
      </c>
      <c r="B224" s="3">
        <v>3609.53</v>
      </c>
      <c r="C224" s="3">
        <v>132.21</v>
      </c>
      <c r="D224" s="3">
        <v>41.98</v>
      </c>
      <c r="E224" s="10">
        <f t="shared" si="10"/>
        <v>-4.791957892531013E-3</v>
      </c>
      <c r="F224" s="10">
        <f t="shared" si="11"/>
        <v>1.6140189070786213E-2</v>
      </c>
      <c r="G224" s="10">
        <f t="shared" si="12"/>
        <v>-3.5604082601472984E-3</v>
      </c>
    </row>
    <row r="225" spans="1:7" x14ac:dyDescent="0.35">
      <c r="A225" s="2">
        <v>44153</v>
      </c>
      <c r="B225" s="3">
        <v>3567.79</v>
      </c>
      <c r="C225" s="3">
        <v>131.63</v>
      </c>
      <c r="D225" s="3">
        <v>42.72</v>
      </c>
      <c r="E225" s="10">
        <f t="shared" si="10"/>
        <v>-1.1563832410313873E-2</v>
      </c>
      <c r="F225" s="10">
        <f t="shared" si="11"/>
        <v>-4.3869601391726227E-3</v>
      </c>
      <c r="G225" s="10">
        <f t="shared" si="12"/>
        <v>1.7627441638875703E-2</v>
      </c>
    </row>
    <row r="226" spans="1:7" x14ac:dyDescent="0.35">
      <c r="A226" s="2">
        <v>44154</v>
      </c>
      <c r="B226" s="3">
        <v>3581.87</v>
      </c>
      <c r="C226" s="3">
        <v>131.91</v>
      </c>
      <c r="D226" s="3">
        <v>42.82</v>
      </c>
      <c r="E226" s="10">
        <f t="shared" si="10"/>
        <v>3.9464206133208307E-3</v>
      </c>
      <c r="F226" s="10">
        <f t="shared" si="11"/>
        <v>2.12717465623339E-3</v>
      </c>
      <c r="G226" s="10">
        <f t="shared" si="12"/>
        <v>2.3408239700374867E-3</v>
      </c>
    </row>
    <row r="227" spans="1:7" x14ac:dyDescent="0.35">
      <c r="A227" s="2">
        <v>44155</v>
      </c>
      <c r="B227" s="3">
        <v>3557.54</v>
      </c>
      <c r="C227" s="3">
        <v>132.97999999999999</v>
      </c>
      <c r="D227" s="3">
        <v>43.04</v>
      </c>
      <c r="E227" s="10">
        <f t="shared" si="10"/>
        <v>-6.7925413261787637E-3</v>
      </c>
      <c r="F227" s="10">
        <f t="shared" si="11"/>
        <v>8.1115912364490422E-3</v>
      </c>
      <c r="G227" s="10">
        <f t="shared" si="12"/>
        <v>5.137786081270408E-3</v>
      </c>
    </row>
    <row r="228" spans="1:7" x14ac:dyDescent="0.35">
      <c r="A228" s="2">
        <v>44158</v>
      </c>
      <c r="B228" s="3">
        <v>3577.59</v>
      </c>
      <c r="C228" s="3">
        <v>134.13</v>
      </c>
      <c r="D228" s="3">
        <v>44.77</v>
      </c>
      <c r="E228" s="10">
        <f t="shared" si="10"/>
        <v>5.6359169538501832E-3</v>
      </c>
      <c r="F228" s="10">
        <f t="shared" si="11"/>
        <v>8.6479169799970352E-3</v>
      </c>
      <c r="G228" s="10">
        <f t="shared" si="12"/>
        <v>4.0195167286245448E-2</v>
      </c>
    </row>
    <row r="229" spans="1:7" x14ac:dyDescent="0.35">
      <c r="A229" s="2">
        <v>44159</v>
      </c>
      <c r="B229" s="3">
        <v>3635.41</v>
      </c>
      <c r="C229" s="3">
        <v>134.69999999999999</v>
      </c>
      <c r="D229" s="3">
        <v>46.46</v>
      </c>
      <c r="E229" s="10">
        <f t="shared" si="10"/>
        <v>1.6161717804443691E-2</v>
      </c>
      <c r="F229" s="10">
        <f t="shared" si="11"/>
        <v>4.2496085886825708E-3</v>
      </c>
      <c r="G229" s="10">
        <f t="shared" si="12"/>
        <v>3.7748492293946785E-2</v>
      </c>
    </row>
    <row r="230" spans="1:7" x14ac:dyDescent="0.35">
      <c r="A230" s="2">
        <v>44160</v>
      </c>
      <c r="B230" s="3">
        <v>3629.65</v>
      </c>
      <c r="C230" s="3">
        <v>135.54</v>
      </c>
      <c r="D230" s="3">
        <v>45.46</v>
      </c>
      <c r="E230" s="10">
        <f t="shared" si="10"/>
        <v>-1.5844155129682109E-3</v>
      </c>
      <c r="F230" s="10">
        <f t="shared" si="11"/>
        <v>6.2360801781737455E-3</v>
      </c>
      <c r="G230" s="10">
        <f t="shared" si="12"/>
        <v>-2.1523891519586742E-2</v>
      </c>
    </row>
    <row r="231" spans="1:7" x14ac:dyDescent="0.35">
      <c r="A231" s="2">
        <v>44162</v>
      </c>
      <c r="B231" s="3">
        <v>3638.35</v>
      </c>
      <c r="C231" s="3">
        <v>134.25</v>
      </c>
      <c r="D231" s="3">
        <v>45.06</v>
      </c>
      <c r="E231" s="10">
        <f t="shared" si="10"/>
        <v>2.3969253233782368E-3</v>
      </c>
      <c r="F231" s="10">
        <f t="shared" si="11"/>
        <v>-9.5174856131030848E-3</v>
      </c>
      <c r="G231" s="10">
        <f t="shared" si="12"/>
        <v>-8.7989441267047643E-3</v>
      </c>
    </row>
    <row r="232" spans="1:7" x14ac:dyDescent="0.35">
      <c r="A232" s="2">
        <v>44165</v>
      </c>
      <c r="B232" s="3">
        <v>3621.63</v>
      </c>
      <c r="C232" s="3">
        <v>134.69999999999999</v>
      </c>
      <c r="D232" s="3">
        <v>43.84</v>
      </c>
      <c r="E232" s="10">
        <f t="shared" si="10"/>
        <v>-4.5954897137438127E-3</v>
      </c>
      <c r="F232" s="10">
        <f t="shared" si="11"/>
        <v>3.3519553072624852E-3</v>
      </c>
      <c r="G232" s="10">
        <f t="shared" si="12"/>
        <v>-2.7075011096315996E-2</v>
      </c>
    </row>
    <row r="233" spans="1:7" x14ac:dyDescent="0.35">
      <c r="A233" s="2">
        <v>44166</v>
      </c>
      <c r="B233" s="3">
        <v>3662.45</v>
      </c>
      <c r="C233" s="3">
        <v>135.44</v>
      </c>
      <c r="D233" s="3">
        <v>44.68</v>
      </c>
      <c r="E233" s="10">
        <f t="shared" si="10"/>
        <v>1.1271167954760622E-2</v>
      </c>
      <c r="F233" s="10">
        <f t="shared" si="11"/>
        <v>5.4936896807721543E-3</v>
      </c>
      <c r="G233" s="10">
        <f t="shared" si="12"/>
        <v>1.9160583941605754E-2</v>
      </c>
    </row>
    <row r="234" spans="1:7" x14ac:dyDescent="0.35">
      <c r="A234" s="2">
        <v>44167</v>
      </c>
      <c r="B234" s="3">
        <v>3669.01</v>
      </c>
      <c r="C234" s="3">
        <v>135.58000000000001</v>
      </c>
      <c r="D234" s="3">
        <v>44.58</v>
      </c>
      <c r="E234" s="10">
        <f t="shared" si="10"/>
        <v>1.7911507324333167E-3</v>
      </c>
      <c r="F234" s="10">
        <f t="shared" si="11"/>
        <v>1.0336680448908356E-3</v>
      </c>
      <c r="G234" s="10">
        <f t="shared" si="12"/>
        <v>-2.2381378692927804E-3</v>
      </c>
    </row>
    <row r="235" spans="1:7" x14ac:dyDescent="0.35">
      <c r="A235" s="2">
        <v>44168</v>
      </c>
      <c r="B235" s="3">
        <v>3666.72</v>
      </c>
      <c r="C235" s="3">
        <v>136.96</v>
      </c>
      <c r="D235" s="3">
        <v>44.09</v>
      </c>
      <c r="E235" s="10">
        <f t="shared" si="10"/>
        <v>-6.2414656814792498E-4</v>
      </c>
      <c r="F235" s="10">
        <f t="shared" si="11"/>
        <v>1.0178492403009259E-2</v>
      </c>
      <c r="G235" s="10">
        <f t="shared" si="12"/>
        <v>-1.0991475998205359E-2</v>
      </c>
    </row>
    <row r="236" spans="1:7" x14ac:dyDescent="0.35">
      <c r="A236" s="2">
        <v>44169</v>
      </c>
      <c r="B236" s="3">
        <v>3699.12</v>
      </c>
      <c r="C236" s="3">
        <v>137.19</v>
      </c>
      <c r="D236" s="3">
        <v>44.4</v>
      </c>
      <c r="E236" s="10">
        <f t="shared" si="10"/>
        <v>8.8362351093075261E-3</v>
      </c>
      <c r="F236" s="10">
        <f t="shared" si="11"/>
        <v>1.6793224299064672E-3</v>
      </c>
      <c r="G236" s="10">
        <f t="shared" si="12"/>
        <v>7.0310728056247485E-3</v>
      </c>
    </row>
    <row r="237" spans="1:7" x14ac:dyDescent="0.35">
      <c r="A237" s="2">
        <v>44172</v>
      </c>
      <c r="B237" s="3">
        <v>3691.96</v>
      </c>
      <c r="C237" s="3">
        <v>138.75</v>
      </c>
      <c r="D237" s="3">
        <v>44.31</v>
      </c>
      <c r="E237" s="10">
        <f t="shared" si="10"/>
        <v>-1.9355954929820753E-3</v>
      </c>
      <c r="F237" s="10">
        <f t="shared" si="11"/>
        <v>1.1371091187404347E-2</v>
      </c>
      <c r="G237" s="10">
        <f t="shared" si="12"/>
        <v>-2.0270270270269439E-3</v>
      </c>
    </row>
    <row r="238" spans="1:7" x14ac:dyDescent="0.35">
      <c r="A238" s="2">
        <v>44173</v>
      </c>
      <c r="B238" s="3">
        <v>3702.25</v>
      </c>
      <c r="C238" s="3">
        <v>139.12</v>
      </c>
      <c r="D238" s="3">
        <v>43.8</v>
      </c>
      <c r="E238" s="10">
        <f t="shared" si="10"/>
        <v>2.7871374554437113E-3</v>
      </c>
      <c r="F238" s="10">
        <f t="shared" si="11"/>
        <v>2.6666666666666995E-3</v>
      </c>
      <c r="G238" s="10">
        <f t="shared" si="12"/>
        <v>-1.1509817197021103E-2</v>
      </c>
    </row>
    <row r="239" spans="1:7" x14ac:dyDescent="0.35">
      <c r="A239" s="2">
        <v>44174</v>
      </c>
      <c r="B239" s="3">
        <v>3672.82</v>
      </c>
      <c r="C239" s="3">
        <v>138.79</v>
      </c>
      <c r="D239" s="3">
        <v>44.43</v>
      </c>
      <c r="E239" s="10">
        <f t="shared" si="10"/>
        <v>-7.9492200688769908E-3</v>
      </c>
      <c r="F239" s="10">
        <f t="shared" si="11"/>
        <v>-2.3720529039678875E-3</v>
      </c>
      <c r="G239" s="10">
        <f t="shared" si="12"/>
        <v>1.4383561643835675E-2</v>
      </c>
    </row>
    <row r="240" spans="1:7" x14ac:dyDescent="0.35">
      <c r="A240" s="2">
        <v>44175</v>
      </c>
      <c r="B240" s="3">
        <v>3668.1</v>
      </c>
      <c r="C240" s="3">
        <v>137.58000000000001</v>
      </c>
      <c r="D240" s="3">
        <v>42.87</v>
      </c>
      <c r="E240" s="10">
        <f t="shared" si="10"/>
        <v>-1.2851160688517962E-3</v>
      </c>
      <c r="F240" s="10">
        <f t="shared" si="11"/>
        <v>-8.7182073636427673E-3</v>
      </c>
      <c r="G240" s="10">
        <f t="shared" si="12"/>
        <v>-3.5111411208642862E-2</v>
      </c>
    </row>
    <row r="241" spans="1:7" x14ac:dyDescent="0.35">
      <c r="A241" s="2">
        <v>44176</v>
      </c>
      <c r="B241" s="3">
        <v>3663.46</v>
      </c>
      <c r="C241" s="3">
        <v>137.41</v>
      </c>
      <c r="D241" s="3">
        <v>41.92</v>
      </c>
      <c r="E241" s="10">
        <f t="shared" si="10"/>
        <v>-1.2649600610670027E-3</v>
      </c>
      <c r="F241" s="10">
        <f t="shared" si="11"/>
        <v>-1.2356447158018309E-3</v>
      </c>
      <c r="G241" s="10">
        <f t="shared" si="12"/>
        <v>-2.2160018661068249E-2</v>
      </c>
    </row>
    <row r="242" spans="1:7" x14ac:dyDescent="0.35">
      <c r="A242" s="2">
        <v>44179</v>
      </c>
      <c r="B242" s="3">
        <v>3647.49</v>
      </c>
      <c r="C242" s="3">
        <v>136.28</v>
      </c>
      <c r="D242" s="3">
        <v>41.62</v>
      </c>
      <c r="E242" s="10">
        <f t="shared" si="10"/>
        <v>-4.359266922526861E-3</v>
      </c>
      <c r="F242" s="10">
        <f t="shared" si="11"/>
        <v>-8.2235645149552113E-3</v>
      </c>
      <c r="G242" s="10">
        <f t="shared" si="12"/>
        <v>-7.1564885496184219E-3</v>
      </c>
    </row>
    <row r="243" spans="1:7" x14ac:dyDescent="0.35">
      <c r="A243" s="2">
        <v>44180</v>
      </c>
      <c r="B243" s="3">
        <v>3694.62</v>
      </c>
      <c r="C243" s="3">
        <v>139.38999999999999</v>
      </c>
      <c r="D243" s="3">
        <v>41.66</v>
      </c>
      <c r="E243" s="10">
        <f t="shared" si="10"/>
        <v>1.2921214314501236E-2</v>
      </c>
      <c r="F243" s="10">
        <f t="shared" si="11"/>
        <v>2.282066334018187E-2</v>
      </c>
      <c r="G243" s="10">
        <f t="shared" si="12"/>
        <v>9.610764055742227E-4</v>
      </c>
    </row>
    <row r="244" spans="1:7" x14ac:dyDescent="0.35">
      <c r="A244" s="2">
        <v>44181</v>
      </c>
      <c r="B244" s="3">
        <v>3701.17</v>
      </c>
      <c r="C244" s="3">
        <v>138.34</v>
      </c>
      <c r="D244" s="3">
        <v>41.42</v>
      </c>
      <c r="E244" s="10">
        <f t="shared" si="10"/>
        <v>1.772848087218762E-3</v>
      </c>
      <c r="F244" s="10">
        <f t="shared" si="11"/>
        <v>-7.5328215797401754E-3</v>
      </c>
      <c r="G244" s="10">
        <f t="shared" si="12"/>
        <v>-5.7609217474794746E-3</v>
      </c>
    </row>
    <row r="245" spans="1:7" x14ac:dyDescent="0.35">
      <c r="A245" s="2">
        <v>44182</v>
      </c>
      <c r="B245" s="3">
        <v>3722.48</v>
      </c>
      <c r="C245" s="3">
        <v>140.5</v>
      </c>
      <c r="D245" s="3">
        <v>42.03</v>
      </c>
      <c r="E245" s="10">
        <f t="shared" si="10"/>
        <v>5.7576388007035467E-3</v>
      </c>
      <c r="F245" s="10">
        <f t="shared" si="11"/>
        <v>1.561370536359691E-2</v>
      </c>
      <c r="G245" s="10">
        <f t="shared" si="12"/>
        <v>1.4727184934814085E-2</v>
      </c>
    </row>
    <row r="246" spans="1:7" x14ac:dyDescent="0.35">
      <c r="A246" s="2">
        <v>44183</v>
      </c>
      <c r="B246" s="3">
        <v>3709.41</v>
      </c>
      <c r="C246" s="3">
        <v>137.28</v>
      </c>
      <c r="D246" s="3">
        <v>41.01</v>
      </c>
      <c r="E246" s="10">
        <f t="shared" si="10"/>
        <v>-3.5111001267972329E-3</v>
      </c>
      <c r="F246" s="10">
        <f t="shared" si="11"/>
        <v>-2.2918149466192164E-2</v>
      </c>
      <c r="G246" s="10">
        <f t="shared" si="12"/>
        <v>-2.4268379728765242E-2</v>
      </c>
    </row>
    <row r="247" spans="1:7" x14ac:dyDescent="0.35">
      <c r="A247" s="2">
        <v>44186</v>
      </c>
      <c r="B247" s="3">
        <v>3694.92</v>
      </c>
      <c r="C247" s="3">
        <v>144.02000000000001</v>
      </c>
      <c r="D247" s="3">
        <v>41.21</v>
      </c>
      <c r="E247" s="10">
        <f t="shared" si="10"/>
        <v>-3.9062815919512217E-3</v>
      </c>
      <c r="F247" s="10">
        <f t="shared" si="11"/>
        <v>4.9096736596736662E-2</v>
      </c>
      <c r="G247" s="10">
        <f t="shared" si="12"/>
        <v>4.8768593026091893E-3</v>
      </c>
    </row>
    <row r="248" spans="1:7" x14ac:dyDescent="0.35">
      <c r="A248" s="2">
        <v>44187</v>
      </c>
      <c r="B248" s="3">
        <v>3687.26</v>
      </c>
      <c r="C248" s="3">
        <v>142.44999999999999</v>
      </c>
      <c r="D248" s="3">
        <v>40.9</v>
      </c>
      <c r="E248" s="10">
        <f t="shared" si="10"/>
        <v>-2.0731166033364332E-3</v>
      </c>
      <c r="F248" s="10">
        <f t="shared" si="11"/>
        <v>-1.0901263713373292E-2</v>
      </c>
      <c r="G248" s="10">
        <f t="shared" si="12"/>
        <v>-7.5224460082504796E-3</v>
      </c>
    </row>
    <row r="249" spans="1:7" x14ac:dyDescent="0.35">
      <c r="A249" s="2">
        <v>44188</v>
      </c>
      <c r="B249" s="3">
        <v>3690.01</v>
      </c>
      <c r="C249" s="3">
        <v>141.76</v>
      </c>
      <c r="D249" s="3">
        <v>42.45</v>
      </c>
      <c r="E249" s="10">
        <f t="shared" si="10"/>
        <v>7.4581125280018224E-4</v>
      </c>
      <c r="F249" s="10">
        <f t="shared" si="11"/>
        <v>-4.8438048438048283E-3</v>
      </c>
      <c r="G249" s="10">
        <f t="shared" si="12"/>
        <v>3.7897310513447538E-2</v>
      </c>
    </row>
    <row r="250" spans="1:7" x14ac:dyDescent="0.35">
      <c r="A250" s="2">
        <v>44189</v>
      </c>
      <c r="B250" s="3">
        <v>3703.06</v>
      </c>
      <c r="C250" s="3">
        <v>141.6</v>
      </c>
      <c r="D250" s="3">
        <v>41.58</v>
      </c>
      <c r="E250" s="10">
        <f t="shared" si="10"/>
        <v>3.5365757816373739E-3</v>
      </c>
      <c r="F250" s="10">
        <f t="shared" si="11"/>
        <v>-1.1286681715575381E-3</v>
      </c>
      <c r="G250" s="10">
        <f t="shared" si="12"/>
        <v>-2.0494699646643216E-2</v>
      </c>
    </row>
    <row r="251" spans="1:7" x14ac:dyDescent="0.35">
      <c r="A251" s="2">
        <v>44193</v>
      </c>
      <c r="B251" s="3">
        <v>3735.36</v>
      </c>
      <c r="C251" s="3">
        <v>142.43</v>
      </c>
      <c r="D251" s="3">
        <v>41.66</v>
      </c>
      <c r="E251" s="10">
        <f t="shared" si="10"/>
        <v>8.7225159732762046E-3</v>
      </c>
      <c r="F251" s="10">
        <f t="shared" si="11"/>
        <v>5.8615819209040434E-3</v>
      </c>
      <c r="G251" s="10">
        <f t="shared" si="12"/>
        <v>1.9240019240018831E-3</v>
      </c>
    </row>
    <row r="252" spans="1:7" x14ac:dyDescent="0.35">
      <c r="A252" s="2">
        <v>44194</v>
      </c>
      <c r="B252" s="3">
        <v>3727.04</v>
      </c>
      <c r="C252" s="3">
        <v>141.57</v>
      </c>
      <c r="D252" s="3">
        <v>41.57</v>
      </c>
      <c r="E252" s="10">
        <f t="shared" si="10"/>
        <v>-2.2273622890431346E-3</v>
      </c>
      <c r="F252" s="10">
        <f t="shared" si="11"/>
        <v>-6.0380537808047011E-3</v>
      </c>
      <c r="G252" s="10">
        <f t="shared" si="12"/>
        <v>-2.1603456553047603E-3</v>
      </c>
    </row>
    <row r="253" spans="1:7" x14ac:dyDescent="0.35">
      <c r="A253" s="2">
        <v>44195</v>
      </c>
      <c r="B253" s="3">
        <v>3732.04</v>
      </c>
      <c r="C253" s="3">
        <v>141.58000000000001</v>
      </c>
      <c r="D253" s="3">
        <v>41.84</v>
      </c>
      <c r="E253" s="10">
        <f t="shared" si="10"/>
        <v>1.3415471795312098E-3</v>
      </c>
      <c r="F253" s="10">
        <f t="shared" si="11"/>
        <v>7.0636434272934432E-5</v>
      </c>
      <c r="G253" s="10">
        <f t="shared" si="12"/>
        <v>6.4950685590570876E-3</v>
      </c>
    </row>
    <row r="254" spans="1:7" x14ac:dyDescent="0.35">
      <c r="A254" s="2">
        <v>44196</v>
      </c>
      <c r="B254" s="3">
        <v>3756.07</v>
      </c>
      <c r="C254" s="3">
        <v>141.47</v>
      </c>
      <c r="D254" s="3">
        <v>41.64</v>
      </c>
      <c r="E254" s="10">
        <f t="shared" si="10"/>
        <v>6.4388377402172002E-3</v>
      </c>
      <c r="F254" s="10">
        <f t="shared" si="11"/>
        <v>-7.7694589631313485E-4</v>
      </c>
      <c r="G254" s="10">
        <f t="shared" si="12"/>
        <v>-4.7801147227534138E-3</v>
      </c>
    </row>
    <row r="255" spans="1:7" x14ac:dyDescent="0.35">
      <c r="A255" s="2">
        <v>44200</v>
      </c>
      <c r="B255" s="3">
        <v>3700.65</v>
      </c>
      <c r="C255" s="3">
        <v>140.1</v>
      </c>
      <c r="D255" s="3">
        <v>40.51</v>
      </c>
      <c r="E255" s="10">
        <f t="shared" si="10"/>
        <v>-1.4754783590295193E-2</v>
      </c>
      <c r="F255" s="10">
        <f t="shared" si="11"/>
        <v>-9.6840319502368311E-3</v>
      </c>
      <c r="G255" s="10">
        <f t="shared" si="12"/>
        <v>-2.7137367915465959E-2</v>
      </c>
    </row>
    <row r="256" spans="1:7" x14ac:dyDescent="0.35">
      <c r="A256" s="2">
        <v>44201</v>
      </c>
      <c r="B256" s="3">
        <v>3726.86</v>
      </c>
      <c r="C256" s="3">
        <v>141.22999999999999</v>
      </c>
      <c r="D256" s="3">
        <v>41.66</v>
      </c>
      <c r="E256" s="10">
        <f t="shared" si="10"/>
        <v>7.0825395538621693E-3</v>
      </c>
      <c r="F256" s="10">
        <f t="shared" si="11"/>
        <v>8.0656673804425094E-3</v>
      </c>
      <c r="G256" s="10">
        <f t="shared" si="12"/>
        <v>2.8388052332757312E-2</v>
      </c>
    </row>
    <row r="257" spans="1:7" x14ac:dyDescent="0.35">
      <c r="A257" s="2">
        <v>44202</v>
      </c>
      <c r="B257" s="3">
        <v>3748.14</v>
      </c>
      <c r="C257" s="3">
        <v>142.35</v>
      </c>
      <c r="D257" s="3">
        <v>42.98</v>
      </c>
      <c r="E257" s="10">
        <f t="shared" si="10"/>
        <v>5.7099005597204466E-3</v>
      </c>
      <c r="F257" s="10">
        <f t="shared" si="11"/>
        <v>7.9303264178999123E-3</v>
      </c>
      <c r="G257" s="10">
        <f t="shared" si="12"/>
        <v>3.1685069611137789E-2</v>
      </c>
    </row>
    <row r="258" spans="1:7" x14ac:dyDescent="0.35">
      <c r="A258" s="2">
        <v>44203</v>
      </c>
      <c r="B258" s="3">
        <v>3803.79</v>
      </c>
      <c r="C258" s="3">
        <v>144.94999999999999</v>
      </c>
      <c r="D258" s="3">
        <v>43.32</v>
      </c>
      <c r="E258" s="10">
        <f t="shared" si="10"/>
        <v>1.4847364292689199E-2</v>
      </c>
      <c r="F258" s="10">
        <f t="shared" si="11"/>
        <v>1.8264840182648363E-2</v>
      </c>
      <c r="G258" s="10">
        <f t="shared" si="12"/>
        <v>7.9106561191252551E-3</v>
      </c>
    </row>
    <row r="259" spans="1:7" x14ac:dyDescent="0.35">
      <c r="A259" s="2">
        <v>44204</v>
      </c>
      <c r="B259" s="3">
        <v>3824.68</v>
      </c>
      <c r="C259" s="3">
        <v>146.35</v>
      </c>
      <c r="D259" s="3">
        <v>43.06</v>
      </c>
      <c r="E259" s="10">
        <f t="shared" si="10"/>
        <v>5.4918909824148735E-3</v>
      </c>
      <c r="F259" s="10">
        <f t="shared" si="11"/>
        <v>9.6585029320455738E-3</v>
      </c>
      <c r="G259" s="10">
        <f t="shared" si="12"/>
        <v>-6.0018467220682827E-3</v>
      </c>
    </row>
    <row r="260" spans="1:7" x14ac:dyDescent="0.35">
      <c r="A260" s="2">
        <v>44207</v>
      </c>
      <c r="B260" s="3">
        <v>3799.61</v>
      </c>
      <c r="C260" s="3">
        <v>147.05000000000001</v>
      </c>
      <c r="D260" s="3">
        <v>45.01</v>
      </c>
      <c r="E260" s="10">
        <f t="shared" ref="E260:E323" si="13">(B260-B259)/B259</f>
        <v>-6.5547967411651985E-3</v>
      </c>
      <c r="F260" s="10">
        <f t="shared" ref="F260:F323" si="14">(C260-C259)/C259</f>
        <v>4.783054321831343E-3</v>
      </c>
      <c r="G260" s="10">
        <f t="shared" ref="G260:G323" si="15">(D260-D259)/D259</f>
        <v>4.5285647933116478E-2</v>
      </c>
    </row>
    <row r="261" spans="1:7" x14ac:dyDescent="0.35">
      <c r="A261" s="2">
        <v>44208</v>
      </c>
      <c r="B261" s="3">
        <v>3801.19</v>
      </c>
      <c r="C261" s="3">
        <v>145.05000000000001</v>
      </c>
      <c r="D261" s="3">
        <v>47.82</v>
      </c>
      <c r="E261" s="10">
        <f t="shared" si="13"/>
        <v>4.1583215119444551E-4</v>
      </c>
      <c r="F261" s="10">
        <f t="shared" si="14"/>
        <v>-1.3600816048962936E-2</v>
      </c>
      <c r="G261" s="10">
        <f t="shared" si="15"/>
        <v>6.2430570984225782E-2</v>
      </c>
    </row>
    <row r="262" spans="1:7" x14ac:dyDescent="0.35">
      <c r="A262" s="2">
        <v>44209</v>
      </c>
      <c r="B262" s="3">
        <v>3809.84</v>
      </c>
      <c r="C262" s="3">
        <v>143.04</v>
      </c>
      <c r="D262" s="3">
        <v>48.73</v>
      </c>
      <c r="E262" s="10">
        <f t="shared" si="13"/>
        <v>2.2756031663768691E-3</v>
      </c>
      <c r="F262" s="10">
        <f t="shared" si="14"/>
        <v>-1.3857290589452046E-2</v>
      </c>
      <c r="G262" s="10">
        <f t="shared" si="15"/>
        <v>1.9029694688414818E-2</v>
      </c>
    </row>
    <row r="263" spans="1:7" x14ac:dyDescent="0.35">
      <c r="A263" s="2">
        <v>44210</v>
      </c>
      <c r="B263" s="3">
        <v>3795.54</v>
      </c>
      <c r="C263" s="3">
        <v>141.30000000000001</v>
      </c>
      <c r="D263" s="3">
        <v>51.53</v>
      </c>
      <c r="E263" s="10">
        <f t="shared" si="13"/>
        <v>-3.7534384646074853E-3</v>
      </c>
      <c r="F263" s="10">
        <f t="shared" si="14"/>
        <v>-1.2164429530201208E-2</v>
      </c>
      <c r="G263" s="10">
        <f t="shared" si="15"/>
        <v>5.7459470552021434E-2</v>
      </c>
    </row>
    <row r="264" spans="1:7" x14ac:dyDescent="0.35">
      <c r="A264" s="2">
        <v>44211</v>
      </c>
      <c r="B264" s="3">
        <v>3768.25</v>
      </c>
      <c r="C264" s="3">
        <v>140.72</v>
      </c>
      <c r="D264" s="3">
        <v>49.97</v>
      </c>
      <c r="E264" s="10">
        <f t="shared" si="13"/>
        <v>-7.1900177576840092E-3</v>
      </c>
      <c r="F264" s="10">
        <f t="shared" si="14"/>
        <v>-4.1047416843596066E-3</v>
      </c>
      <c r="G264" s="10">
        <f t="shared" si="15"/>
        <v>-3.02736270133903E-2</v>
      </c>
    </row>
    <row r="265" spans="1:7" x14ac:dyDescent="0.35">
      <c r="A265" s="2">
        <v>44215</v>
      </c>
      <c r="B265" s="3">
        <v>3798.91</v>
      </c>
      <c r="C265" s="3">
        <v>139.27000000000001</v>
      </c>
      <c r="D265" s="3">
        <v>54.84</v>
      </c>
      <c r="E265" s="10">
        <f t="shared" si="13"/>
        <v>8.1364028395143253E-3</v>
      </c>
      <c r="F265" s="10">
        <f t="shared" si="14"/>
        <v>-1.0304150085275644E-2</v>
      </c>
      <c r="G265" s="10">
        <f t="shared" si="15"/>
        <v>9.7458475085051122E-2</v>
      </c>
    </row>
    <row r="266" spans="1:7" x14ac:dyDescent="0.35">
      <c r="A266" s="2">
        <v>44216</v>
      </c>
      <c r="B266" s="3">
        <v>3851.85</v>
      </c>
      <c r="C266" s="3">
        <v>142.80000000000001</v>
      </c>
      <c r="D266" s="3">
        <v>55.86</v>
      </c>
      <c r="E266" s="10">
        <f t="shared" si="13"/>
        <v>1.3935576257400164E-2</v>
      </c>
      <c r="F266" s="10">
        <f t="shared" si="14"/>
        <v>2.5346449343002807E-2</v>
      </c>
      <c r="G266" s="10">
        <f t="shared" si="15"/>
        <v>1.8599562363238439E-2</v>
      </c>
    </row>
    <row r="267" spans="1:7" x14ac:dyDescent="0.35">
      <c r="A267" s="2">
        <v>44217</v>
      </c>
      <c r="B267" s="3">
        <v>3853.07</v>
      </c>
      <c r="C267" s="3">
        <v>141.61000000000001</v>
      </c>
      <c r="D267" s="3">
        <v>55.08</v>
      </c>
      <c r="E267" s="10">
        <f t="shared" si="13"/>
        <v>3.1673092150531686E-4</v>
      </c>
      <c r="F267" s="10">
        <f t="shared" si="14"/>
        <v>-8.3333333333333176E-3</v>
      </c>
      <c r="G267" s="10">
        <f t="shared" si="15"/>
        <v>-1.3963480128893683E-2</v>
      </c>
    </row>
    <row r="268" spans="1:7" x14ac:dyDescent="0.35">
      <c r="A268" s="2">
        <v>44218</v>
      </c>
      <c r="B268" s="3">
        <v>3841.47</v>
      </c>
      <c r="C268" s="3">
        <v>139.35</v>
      </c>
      <c r="D268" s="3">
        <v>55.4</v>
      </c>
      <c r="E268" s="10">
        <f t="shared" si="13"/>
        <v>-3.0105863636010672E-3</v>
      </c>
      <c r="F268" s="10">
        <f t="shared" si="14"/>
        <v>-1.5959324906433297E-2</v>
      </c>
      <c r="G268" s="10">
        <f t="shared" si="15"/>
        <v>5.8097312999273835E-3</v>
      </c>
    </row>
    <row r="269" spans="1:7" x14ac:dyDescent="0.35">
      <c r="A269" s="2">
        <v>44221</v>
      </c>
      <c r="B269" s="3">
        <v>3855.36</v>
      </c>
      <c r="C269" s="3">
        <v>137.55000000000001</v>
      </c>
      <c r="D269" s="3">
        <v>53.39</v>
      </c>
      <c r="E269" s="10">
        <f t="shared" si="13"/>
        <v>3.6158033252896228E-3</v>
      </c>
      <c r="F269" s="10">
        <f t="shared" si="14"/>
        <v>-1.2917115177610211E-2</v>
      </c>
      <c r="G269" s="10">
        <f t="shared" si="15"/>
        <v>-3.6281588447653397E-2</v>
      </c>
    </row>
    <row r="270" spans="1:7" x14ac:dyDescent="0.35">
      <c r="A270" s="2">
        <v>44222</v>
      </c>
      <c r="B270" s="3">
        <v>3849.62</v>
      </c>
      <c r="C270" s="3">
        <v>135.1</v>
      </c>
      <c r="D270" s="3">
        <v>52.04</v>
      </c>
      <c r="E270" s="10">
        <f t="shared" si="13"/>
        <v>-1.4888363213812034E-3</v>
      </c>
      <c r="F270" s="10">
        <f t="shared" si="14"/>
        <v>-1.7811704834605719E-2</v>
      </c>
      <c r="G270" s="10">
        <f t="shared" si="15"/>
        <v>-2.52856340138603E-2</v>
      </c>
    </row>
    <row r="271" spans="1:7" x14ac:dyDescent="0.35">
      <c r="A271" s="2">
        <v>44223</v>
      </c>
      <c r="B271" s="3">
        <v>3750.77</v>
      </c>
      <c r="C271" s="3">
        <v>131.02000000000001</v>
      </c>
      <c r="D271" s="3">
        <v>49.34</v>
      </c>
      <c r="E271" s="10">
        <f t="shared" si="13"/>
        <v>-2.5677859113367011E-2</v>
      </c>
      <c r="F271" s="10">
        <f t="shared" si="14"/>
        <v>-3.0199851961509875E-2</v>
      </c>
      <c r="G271" s="10">
        <f t="shared" si="15"/>
        <v>-5.1883166794773172E-2</v>
      </c>
    </row>
    <row r="272" spans="1:7" x14ac:dyDescent="0.35">
      <c r="A272" s="2">
        <v>44224</v>
      </c>
      <c r="B272" s="3">
        <v>3787.38</v>
      </c>
      <c r="C272" s="3">
        <v>134.72</v>
      </c>
      <c r="D272" s="3">
        <v>51.04</v>
      </c>
      <c r="E272" s="10">
        <f t="shared" si="13"/>
        <v>9.7606624773046938E-3</v>
      </c>
      <c r="F272" s="10">
        <f t="shared" si="14"/>
        <v>2.8239963364371762E-2</v>
      </c>
      <c r="G272" s="10">
        <f t="shared" si="15"/>
        <v>3.4454803404945188E-2</v>
      </c>
    </row>
    <row r="273" spans="1:7" x14ac:dyDescent="0.35">
      <c r="A273" s="2">
        <v>44225</v>
      </c>
      <c r="B273" s="3">
        <v>3714.24</v>
      </c>
      <c r="C273" s="3">
        <v>133.59</v>
      </c>
      <c r="D273" s="3">
        <v>50.68</v>
      </c>
      <c r="E273" s="10">
        <f t="shared" si="13"/>
        <v>-1.9311502938707054E-2</v>
      </c>
      <c r="F273" s="10">
        <f t="shared" si="14"/>
        <v>-8.3877672209025783E-3</v>
      </c>
      <c r="G273" s="10">
        <f t="shared" si="15"/>
        <v>-7.0532915360501458E-3</v>
      </c>
    </row>
    <row r="274" spans="1:7" x14ac:dyDescent="0.35">
      <c r="A274" s="2">
        <v>44228</v>
      </c>
      <c r="B274" s="3">
        <v>3773.86</v>
      </c>
      <c r="C274" s="3">
        <v>135.71</v>
      </c>
      <c r="D274" s="3">
        <v>51.51</v>
      </c>
      <c r="E274" s="10">
        <f t="shared" si="13"/>
        <v>1.605173602136651E-2</v>
      </c>
      <c r="F274" s="10">
        <f t="shared" si="14"/>
        <v>1.586945130623553E-2</v>
      </c>
      <c r="G274" s="10">
        <f t="shared" si="15"/>
        <v>1.6377269139700047E-2</v>
      </c>
    </row>
    <row r="275" spans="1:7" x14ac:dyDescent="0.35">
      <c r="A275" s="2">
        <v>44229</v>
      </c>
      <c r="B275" s="3">
        <v>3826.31</v>
      </c>
      <c r="C275" s="3">
        <v>139.59</v>
      </c>
      <c r="D275" s="3">
        <v>52.72</v>
      </c>
      <c r="E275" s="10">
        <f t="shared" si="13"/>
        <v>1.3898236818535879E-2</v>
      </c>
      <c r="F275" s="10">
        <f t="shared" si="14"/>
        <v>2.8590376538206435E-2</v>
      </c>
      <c r="G275" s="10">
        <f t="shared" si="15"/>
        <v>2.3490584352552919E-2</v>
      </c>
    </row>
    <row r="276" spans="1:7" x14ac:dyDescent="0.35">
      <c r="A276" s="2">
        <v>44230</v>
      </c>
      <c r="B276" s="3">
        <v>3830.17</v>
      </c>
      <c r="C276" s="3">
        <v>138.63</v>
      </c>
      <c r="D276" s="3">
        <v>54.25</v>
      </c>
      <c r="E276" s="10">
        <f t="shared" si="13"/>
        <v>1.0088048276276954E-3</v>
      </c>
      <c r="F276" s="10">
        <f t="shared" si="14"/>
        <v>-6.8772834730282109E-3</v>
      </c>
      <c r="G276" s="10">
        <f t="shared" si="15"/>
        <v>2.9021244309559963E-2</v>
      </c>
    </row>
    <row r="277" spans="1:7" x14ac:dyDescent="0.35">
      <c r="A277" s="2">
        <v>44231</v>
      </c>
      <c r="B277" s="3">
        <v>3871.74</v>
      </c>
      <c r="C277" s="3">
        <v>140.63</v>
      </c>
      <c r="D277" s="3">
        <v>54.13</v>
      </c>
      <c r="E277" s="10">
        <f t="shared" si="13"/>
        <v>1.0853304161434011E-2</v>
      </c>
      <c r="F277" s="10">
        <f t="shared" si="14"/>
        <v>1.4426891726177596E-2</v>
      </c>
      <c r="G277" s="10">
        <f t="shared" si="15"/>
        <v>-2.2119815668202292E-3</v>
      </c>
    </row>
    <row r="278" spans="1:7" x14ac:dyDescent="0.35">
      <c r="A278" s="2">
        <v>44232</v>
      </c>
      <c r="B278" s="3">
        <v>3886.83</v>
      </c>
      <c r="C278" s="3">
        <v>145.11000000000001</v>
      </c>
      <c r="D278" s="3">
        <v>54.41</v>
      </c>
      <c r="E278" s="10">
        <f t="shared" si="13"/>
        <v>3.8974724542454159E-3</v>
      </c>
      <c r="F278" s="10">
        <f t="shared" si="14"/>
        <v>3.1856645097063346E-2</v>
      </c>
      <c r="G278" s="10">
        <f t="shared" si="15"/>
        <v>5.1727323111027896E-3</v>
      </c>
    </row>
    <row r="279" spans="1:7" x14ac:dyDescent="0.35">
      <c r="A279" s="2">
        <v>44235</v>
      </c>
      <c r="B279" s="3">
        <v>3915.59</v>
      </c>
      <c r="C279" s="3">
        <v>143.41</v>
      </c>
      <c r="D279" s="3">
        <v>56.88</v>
      </c>
      <c r="E279" s="10">
        <f t="shared" si="13"/>
        <v>7.399345996609118E-3</v>
      </c>
      <c r="F279" s="10">
        <f t="shared" si="14"/>
        <v>-1.1715250499621094E-2</v>
      </c>
      <c r="G279" s="10">
        <f t="shared" si="15"/>
        <v>4.5396066899467125E-2</v>
      </c>
    </row>
    <row r="280" spans="1:7" x14ac:dyDescent="0.35">
      <c r="A280" s="2">
        <v>44236</v>
      </c>
      <c r="B280" s="3">
        <v>3911.23</v>
      </c>
      <c r="C280" s="3">
        <v>141.79</v>
      </c>
      <c r="D280" s="3">
        <v>56.06</v>
      </c>
      <c r="E280" s="10">
        <f t="shared" si="13"/>
        <v>-1.1134975827397984E-3</v>
      </c>
      <c r="F280" s="10">
        <f t="shared" si="14"/>
        <v>-1.1296283383306635E-2</v>
      </c>
      <c r="G280" s="10">
        <f t="shared" si="15"/>
        <v>-1.4416315049226447E-2</v>
      </c>
    </row>
    <row r="281" spans="1:7" x14ac:dyDescent="0.35">
      <c r="A281" s="2">
        <v>44237</v>
      </c>
      <c r="B281" s="3">
        <v>3909.88</v>
      </c>
      <c r="C281" s="3">
        <v>142.46</v>
      </c>
      <c r="D281" s="3">
        <v>54.88</v>
      </c>
      <c r="E281" s="10">
        <f t="shared" si="13"/>
        <v>-3.4515996246702675E-4</v>
      </c>
      <c r="F281" s="10">
        <f t="shared" si="14"/>
        <v>4.7252979758799349E-3</v>
      </c>
      <c r="G281" s="10">
        <f t="shared" si="15"/>
        <v>-2.1048876204067066E-2</v>
      </c>
    </row>
    <row r="282" spans="1:7" x14ac:dyDescent="0.35">
      <c r="A282" s="2">
        <v>44238</v>
      </c>
      <c r="B282" s="3">
        <v>3916.38</v>
      </c>
      <c r="C282" s="3">
        <v>143.54</v>
      </c>
      <c r="D282" s="3">
        <v>53.5</v>
      </c>
      <c r="E282" s="10">
        <f t="shared" si="13"/>
        <v>1.6624551137119298E-3</v>
      </c>
      <c r="F282" s="10">
        <f t="shared" si="14"/>
        <v>7.5810753895829289E-3</v>
      </c>
      <c r="G282" s="10">
        <f t="shared" si="15"/>
        <v>-2.514577259475223E-2</v>
      </c>
    </row>
    <row r="283" spans="1:7" x14ac:dyDescent="0.35">
      <c r="A283" s="2">
        <v>44239</v>
      </c>
      <c r="B283" s="3">
        <v>3934.83</v>
      </c>
      <c r="C283" s="3">
        <v>142.12</v>
      </c>
      <c r="D283" s="3">
        <v>53.6</v>
      </c>
      <c r="E283" s="10">
        <f t="shared" si="13"/>
        <v>4.7109831017418677E-3</v>
      </c>
      <c r="F283" s="10">
        <f t="shared" si="14"/>
        <v>-9.8927128326597984E-3</v>
      </c>
      <c r="G283" s="10">
        <f t="shared" si="15"/>
        <v>1.8691588785046994E-3</v>
      </c>
    </row>
    <row r="284" spans="1:7" x14ac:dyDescent="0.35">
      <c r="A284" s="2">
        <v>44243</v>
      </c>
      <c r="B284" s="3">
        <v>3932.59</v>
      </c>
      <c r="C284" s="3">
        <v>141.71</v>
      </c>
      <c r="D284" s="3">
        <v>53.46</v>
      </c>
      <c r="E284" s="10">
        <f t="shared" si="13"/>
        <v>-5.6927491149548568E-4</v>
      </c>
      <c r="F284" s="10">
        <f t="shared" si="14"/>
        <v>-2.8848860118209723E-3</v>
      </c>
      <c r="G284" s="10">
        <f t="shared" si="15"/>
        <v>-2.6119402985074732E-3</v>
      </c>
    </row>
    <row r="285" spans="1:7" x14ac:dyDescent="0.35">
      <c r="A285" s="2">
        <v>44244</v>
      </c>
      <c r="B285" s="3">
        <v>3931.33</v>
      </c>
      <c r="C285" s="3">
        <v>143.99</v>
      </c>
      <c r="D285" s="3">
        <v>52.89</v>
      </c>
      <c r="E285" s="10">
        <f t="shared" si="13"/>
        <v>-3.2039953313216436E-4</v>
      </c>
      <c r="F285" s="10">
        <f t="shared" si="14"/>
        <v>1.6089196245854216E-2</v>
      </c>
      <c r="G285" s="10">
        <f t="shared" si="15"/>
        <v>-1.0662177328844001E-2</v>
      </c>
    </row>
    <row r="286" spans="1:7" x14ac:dyDescent="0.35">
      <c r="A286" s="2">
        <v>44245</v>
      </c>
      <c r="B286" s="3">
        <v>3913.97</v>
      </c>
      <c r="C286" s="3">
        <v>145.09</v>
      </c>
      <c r="D286" s="3">
        <v>52.16</v>
      </c>
      <c r="E286" s="10">
        <f t="shared" si="13"/>
        <v>-4.4158083905447079E-3</v>
      </c>
      <c r="F286" s="10">
        <f t="shared" si="14"/>
        <v>7.6394194041252469E-3</v>
      </c>
      <c r="G286" s="10">
        <f t="shared" si="15"/>
        <v>-1.3802231045566344E-2</v>
      </c>
    </row>
    <row r="287" spans="1:7" x14ac:dyDescent="0.35">
      <c r="A287" s="2">
        <v>44246</v>
      </c>
      <c r="B287" s="3">
        <v>3906.71</v>
      </c>
      <c r="C287" s="3">
        <v>142.02000000000001</v>
      </c>
      <c r="D287" s="3">
        <v>52.57</v>
      </c>
      <c r="E287" s="10">
        <f t="shared" si="13"/>
        <v>-1.8548941356218275E-3</v>
      </c>
      <c r="F287" s="10">
        <f t="shared" si="14"/>
        <v>-2.1159280446619293E-2</v>
      </c>
      <c r="G287" s="10">
        <f t="shared" si="15"/>
        <v>7.8604294478528316E-3</v>
      </c>
    </row>
    <row r="288" spans="1:7" x14ac:dyDescent="0.35">
      <c r="A288" s="2">
        <v>44249</v>
      </c>
      <c r="B288" s="3">
        <v>3876.5</v>
      </c>
      <c r="C288" s="3">
        <v>136.66999999999999</v>
      </c>
      <c r="D288" s="3">
        <v>51.98</v>
      </c>
      <c r="E288" s="10">
        <f t="shared" si="13"/>
        <v>-7.732849379657061E-3</v>
      </c>
      <c r="F288" s="10">
        <f t="shared" si="14"/>
        <v>-3.7670750598507413E-2</v>
      </c>
      <c r="G288" s="10">
        <f t="shared" si="15"/>
        <v>-1.1223131063344178E-2</v>
      </c>
    </row>
    <row r="289" spans="1:7" x14ac:dyDescent="0.35">
      <c r="A289" s="2">
        <v>44250</v>
      </c>
      <c r="B289" s="3">
        <v>3881.37</v>
      </c>
      <c r="C289" s="3">
        <v>136.13</v>
      </c>
      <c r="D289" s="3">
        <v>51.11</v>
      </c>
      <c r="E289" s="10">
        <f t="shared" si="13"/>
        <v>1.2562878885592392E-3</v>
      </c>
      <c r="F289" s="10">
        <f t="shared" si="14"/>
        <v>-3.9511231433379092E-3</v>
      </c>
      <c r="G289" s="10">
        <f t="shared" si="15"/>
        <v>-1.6737206617929924E-2</v>
      </c>
    </row>
    <row r="290" spans="1:7" x14ac:dyDescent="0.35">
      <c r="A290" s="2">
        <v>44251</v>
      </c>
      <c r="B290" s="3">
        <v>3925.43</v>
      </c>
      <c r="C290" s="3">
        <v>135.65</v>
      </c>
      <c r="D290" s="3">
        <v>52.9</v>
      </c>
      <c r="E290" s="10">
        <f t="shared" si="13"/>
        <v>1.1351661913190432E-2</v>
      </c>
      <c r="F290" s="10">
        <f t="shared" si="14"/>
        <v>-3.5260412840666258E-3</v>
      </c>
      <c r="G290" s="10">
        <f t="shared" si="15"/>
        <v>3.5022500489141052E-2</v>
      </c>
    </row>
    <row r="291" spans="1:7" x14ac:dyDescent="0.35">
      <c r="A291" s="2">
        <v>44252</v>
      </c>
      <c r="B291" s="3">
        <v>3829.34</v>
      </c>
      <c r="C291" s="3">
        <v>135.54</v>
      </c>
      <c r="D291" s="3">
        <v>50.6</v>
      </c>
      <c r="E291" s="10">
        <f t="shared" si="13"/>
        <v>-2.4478846903396492E-2</v>
      </c>
      <c r="F291" s="10">
        <f t="shared" si="14"/>
        <v>-8.1091043125701174E-4</v>
      </c>
      <c r="G291" s="10">
        <f t="shared" si="15"/>
        <v>-4.3478260869565168E-2</v>
      </c>
    </row>
    <row r="292" spans="1:7" x14ac:dyDescent="0.35">
      <c r="A292" s="2">
        <v>44253</v>
      </c>
      <c r="B292" s="3">
        <v>3811.15</v>
      </c>
      <c r="C292" s="3">
        <v>134.78</v>
      </c>
      <c r="D292" s="3">
        <v>51.33</v>
      </c>
      <c r="E292" s="10">
        <f t="shared" si="13"/>
        <v>-4.7501658249202352E-3</v>
      </c>
      <c r="F292" s="10">
        <f t="shared" si="14"/>
        <v>-5.6072008263242656E-3</v>
      </c>
      <c r="G292" s="10">
        <f t="shared" si="15"/>
        <v>1.4426877470355669E-2</v>
      </c>
    </row>
    <row r="293" spans="1:7" x14ac:dyDescent="0.35">
      <c r="A293" s="2">
        <v>44256</v>
      </c>
      <c r="B293" s="3">
        <v>3901.82</v>
      </c>
      <c r="C293" s="3">
        <v>137.65</v>
      </c>
      <c r="D293" s="3">
        <v>52.54</v>
      </c>
      <c r="E293" s="10">
        <f t="shared" si="13"/>
        <v>2.3790719336683173E-2</v>
      </c>
      <c r="F293" s="10">
        <f t="shared" si="14"/>
        <v>2.1293960528268322E-2</v>
      </c>
      <c r="G293" s="10">
        <f t="shared" si="15"/>
        <v>2.3572959283070346E-2</v>
      </c>
    </row>
    <row r="294" spans="1:7" x14ac:dyDescent="0.35">
      <c r="A294" s="2">
        <v>44257</v>
      </c>
      <c r="B294" s="3">
        <v>3870.29</v>
      </c>
      <c r="C294" s="3">
        <v>137.02000000000001</v>
      </c>
      <c r="D294" s="3">
        <v>54.11</v>
      </c>
      <c r="E294" s="10">
        <f t="shared" si="13"/>
        <v>-8.0808443239309344E-3</v>
      </c>
      <c r="F294" s="10">
        <f t="shared" si="14"/>
        <v>-4.5768252815110459E-3</v>
      </c>
      <c r="G294" s="10">
        <f t="shared" si="15"/>
        <v>2.988199467072707E-2</v>
      </c>
    </row>
    <row r="295" spans="1:7" x14ac:dyDescent="0.35">
      <c r="A295" s="2">
        <v>44258</v>
      </c>
      <c r="B295" s="3">
        <v>3819.72</v>
      </c>
      <c r="C295" s="3">
        <v>134.26</v>
      </c>
      <c r="D295" s="3">
        <v>52.67</v>
      </c>
      <c r="E295" s="10">
        <f t="shared" si="13"/>
        <v>-1.3066204341276795E-2</v>
      </c>
      <c r="F295" s="10">
        <f t="shared" si="14"/>
        <v>-2.0143044810976639E-2</v>
      </c>
      <c r="G295" s="10">
        <f t="shared" si="15"/>
        <v>-2.6612456107928253E-2</v>
      </c>
    </row>
    <row r="296" spans="1:7" x14ac:dyDescent="0.35">
      <c r="A296" s="2">
        <v>44259</v>
      </c>
      <c r="B296" s="3">
        <v>3768.47</v>
      </c>
      <c r="C296" s="3">
        <v>132.04</v>
      </c>
      <c r="D296" s="3">
        <v>51.83</v>
      </c>
      <c r="E296" s="10">
        <f t="shared" si="13"/>
        <v>-1.3417213827191523E-2</v>
      </c>
      <c r="F296" s="10">
        <f t="shared" si="14"/>
        <v>-1.6535081185758967E-2</v>
      </c>
      <c r="G296" s="10">
        <f t="shared" si="15"/>
        <v>-1.5948357698879881E-2</v>
      </c>
    </row>
    <row r="297" spans="1:7" x14ac:dyDescent="0.35">
      <c r="A297" s="2">
        <v>44260</v>
      </c>
      <c r="B297" s="3">
        <v>3841.94</v>
      </c>
      <c r="C297" s="3">
        <v>133.35</v>
      </c>
      <c r="D297" s="3">
        <v>53.75</v>
      </c>
      <c r="E297" s="10">
        <f t="shared" si="13"/>
        <v>1.9495975820425865E-2</v>
      </c>
      <c r="F297" s="10">
        <f t="shared" si="14"/>
        <v>9.9212359890942323E-3</v>
      </c>
      <c r="G297" s="10">
        <f t="shared" si="15"/>
        <v>3.7044182905653131E-2</v>
      </c>
    </row>
    <row r="298" spans="1:7" x14ac:dyDescent="0.35">
      <c r="A298" s="2">
        <v>44263</v>
      </c>
      <c r="B298" s="3">
        <v>3821.35</v>
      </c>
      <c r="C298" s="3">
        <v>134.56</v>
      </c>
      <c r="D298" s="3">
        <v>54.98</v>
      </c>
      <c r="E298" s="10">
        <f t="shared" si="13"/>
        <v>-5.3592716179847021E-3</v>
      </c>
      <c r="F298" s="10">
        <f t="shared" si="14"/>
        <v>9.0738657667792134E-3</v>
      </c>
      <c r="G298" s="10">
        <f t="shared" si="15"/>
        <v>2.2883720930232498E-2</v>
      </c>
    </row>
    <row r="299" spans="1:7" x14ac:dyDescent="0.35">
      <c r="A299" s="2">
        <v>44264</v>
      </c>
      <c r="B299" s="3">
        <v>3875.44</v>
      </c>
      <c r="C299" s="3">
        <v>135.94999999999999</v>
      </c>
      <c r="D299" s="3">
        <v>54.65</v>
      </c>
      <c r="E299" s="10">
        <f t="shared" si="13"/>
        <v>1.415468355424134E-2</v>
      </c>
      <c r="F299" s="10">
        <f t="shared" si="14"/>
        <v>1.0329964328180636E-2</v>
      </c>
      <c r="G299" s="10">
        <f t="shared" si="15"/>
        <v>-6.0021826118588275E-3</v>
      </c>
    </row>
    <row r="300" spans="1:7" x14ac:dyDescent="0.35">
      <c r="A300" s="2">
        <v>44265</v>
      </c>
      <c r="B300" s="3">
        <v>3898.81</v>
      </c>
      <c r="C300" s="3">
        <v>137.59</v>
      </c>
      <c r="D300" s="3">
        <v>56.83</v>
      </c>
      <c r="E300" s="10">
        <f t="shared" si="13"/>
        <v>6.0302830130255893E-3</v>
      </c>
      <c r="F300" s="10">
        <f t="shared" si="14"/>
        <v>1.2063258550937955E-2</v>
      </c>
      <c r="G300" s="10">
        <f t="shared" si="15"/>
        <v>3.9890210430009142E-2</v>
      </c>
    </row>
    <row r="301" spans="1:7" x14ac:dyDescent="0.35">
      <c r="A301" s="2">
        <v>44266</v>
      </c>
      <c r="B301" s="3">
        <v>3939.34</v>
      </c>
      <c r="C301" s="3">
        <v>141.19</v>
      </c>
      <c r="D301" s="3">
        <v>56.33</v>
      </c>
      <c r="E301" s="10">
        <f t="shared" si="13"/>
        <v>1.0395479646353683E-2</v>
      </c>
      <c r="F301" s="10">
        <f t="shared" si="14"/>
        <v>2.6164692201468089E-2</v>
      </c>
      <c r="G301" s="10">
        <f t="shared" si="15"/>
        <v>-8.7981699806440258E-3</v>
      </c>
    </row>
    <row r="302" spans="1:7" x14ac:dyDescent="0.35">
      <c r="A302" s="2">
        <v>44267</v>
      </c>
      <c r="B302" s="3">
        <v>3943.34</v>
      </c>
      <c r="C302" s="3">
        <v>140.44999999999999</v>
      </c>
      <c r="D302" s="3">
        <v>59.26</v>
      </c>
      <c r="E302" s="10">
        <f t="shared" si="13"/>
        <v>1.0153985185335614E-3</v>
      </c>
      <c r="F302" s="10">
        <f t="shared" si="14"/>
        <v>-5.2411643884128414E-3</v>
      </c>
      <c r="G302" s="10">
        <f t="shared" si="15"/>
        <v>5.2014912124977809E-2</v>
      </c>
    </row>
    <row r="303" spans="1:7" x14ac:dyDescent="0.35">
      <c r="A303" s="2">
        <v>44270</v>
      </c>
      <c r="B303" s="3">
        <v>3968.94</v>
      </c>
      <c r="C303" s="3">
        <v>144.94</v>
      </c>
      <c r="D303" s="3">
        <v>57.94</v>
      </c>
      <c r="E303" s="10">
        <f t="shared" si="13"/>
        <v>6.4919585934765725E-3</v>
      </c>
      <c r="F303" s="10">
        <f t="shared" si="14"/>
        <v>3.1968672125311563E-2</v>
      </c>
      <c r="G303" s="10">
        <f t="shared" si="15"/>
        <v>-2.227472156598043E-2</v>
      </c>
    </row>
    <row r="304" spans="1:7" x14ac:dyDescent="0.35">
      <c r="A304" s="2">
        <v>44271</v>
      </c>
      <c r="B304" s="3">
        <v>3962.71</v>
      </c>
      <c r="C304" s="3">
        <v>144.65</v>
      </c>
      <c r="D304" s="3">
        <v>57.12</v>
      </c>
      <c r="E304" s="10">
        <f t="shared" si="13"/>
        <v>-1.5696886322292647E-3</v>
      </c>
      <c r="F304" s="10">
        <f t="shared" si="14"/>
        <v>-2.0008279287980686E-3</v>
      </c>
      <c r="G304" s="10">
        <f t="shared" si="15"/>
        <v>-1.4152571625819819E-2</v>
      </c>
    </row>
    <row r="305" spans="1:7" x14ac:dyDescent="0.35">
      <c r="A305" s="2">
        <v>44272</v>
      </c>
      <c r="B305" s="3">
        <v>3974.12</v>
      </c>
      <c r="C305" s="3">
        <v>144.82</v>
      </c>
      <c r="D305" s="3">
        <v>60.05</v>
      </c>
      <c r="E305" s="10">
        <f t="shared" si="13"/>
        <v>2.8793426720602451E-3</v>
      </c>
      <c r="F305" s="10">
        <f t="shared" si="14"/>
        <v>1.1752506049083132E-3</v>
      </c>
      <c r="G305" s="10">
        <f t="shared" si="15"/>
        <v>5.1295518207282911E-2</v>
      </c>
    </row>
    <row r="306" spans="1:7" x14ac:dyDescent="0.35">
      <c r="A306" s="2">
        <v>44273</v>
      </c>
      <c r="B306" s="3">
        <v>3915.46</v>
      </c>
      <c r="C306" s="3">
        <v>143.16999999999999</v>
      </c>
      <c r="D306" s="3">
        <v>59.27</v>
      </c>
      <c r="E306" s="10">
        <f t="shared" si="13"/>
        <v>-1.4760500437832742E-2</v>
      </c>
      <c r="F306" s="10">
        <f t="shared" si="14"/>
        <v>-1.1393453942825616E-2</v>
      </c>
      <c r="G306" s="10">
        <f t="shared" si="15"/>
        <v>-1.2989175686927461E-2</v>
      </c>
    </row>
    <row r="307" spans="1:7" x14ac:dyDescent="0.35">
      <c r="A307" s="2">
        <v>44274</v>
      </c>
      <c r="B307" s="3">
        <v>3913.1</v>
      </c>
      <c r="C307" s="3">
        <v>137.49</v>
      </c>
      <c r="D307" s="3">
        <v>59.82</v>
      </c>
      <c r="E307" s="10">
        <f t="shared" si="13"/>
        <v>-6.0273888636332065E-4</v>
      </c>
      <c r="F307" s="10">
        <f t="shared" si="14"/>
        <v>-3.9673115876230909E-2</v>
      </c>
      <c r="G307" s="10">
        <f t="shared" si="15"/>
        <v>9.2795680782857617E-3</v>
      </c>
    </row>
    <row r="308" spans="1:7" x14ac:dyDescent="0.35">
      <c r="A308" s="2">
        <v>44277</v>
      </c>
      <c r="B308" s="3">
        <v>3940.59</v>
      </c>
      <c r="C308" s="3">
        <v>138.27000000000001</v>
      </c>
      <c r="D308" s="3">
        <v>58.1</v>
      </c>
      <c r="E308" s="10">
        <f t="shared" si="13"/>
        <v>7.0251207482559192E-3</v>
      </c>
      <c r="F308" s="10">
        <f t="shared" si="14"/>
        <v>5.6731398647174415E-3</v>
      </c>
      <c r="G308" s="10">
        <f t="shared" si="15"/>
        <v>-2.8752925442995635E-2</v>
      </c>
    </row>
    <row r="309" spans="1:7" x14ac:dyDescent="0.35">
      <c r="A309" s="2">
        <v>44278</v>
      </c>
      <c r="B309" s="3">
        <v>3910.52</v>
      </c>
      <c r="C309" s="3">
        <v>137.12</v>
      </c>
      <c r="D309" s="3">
        <v>56.16</v>
      </c>
      <c r="E309" s="10">
        <f t="shared" si="13"/>
        <v>-7.6308370066411786E-3</v>
      </c>
      <c r="F309" s="10">
        <f t="shared" si="14"/>
        <v>-8.3170608230274511E-3</v>
      </c>
      <c r="G309" s="10">
        <f t="shared" si="15"/>
        <v>-3.3390705679862388E-2</v>
      </c>
    </row>
    <row r="310" spans="1:7" x14ac:dyDescent="0.35">
      <c r="A310" s="2">
        <v>44279</v>
      </c>
      <c r="B310" s="3">
        <v>3889.14</v>
      </c>
      <c r="C310" s="3">
        <v>133.16</v>
      </c>
      <c r="D310" s="3">
        <v>55.81</v>
      </c>
      <c r="E310" s="10">
        <f t="shared" si="13"/>
        <v>-5.4673035811094459E-3</v>
      </c>
      <c r="F310" s="10">
        <f t="shared" si="14"/>
        <v>-2.8879813302217092E-2</v>
      </c>
      <c r="G310" s="10">
        <f t="shared" si="15"/>
        <v>-6.2321937321936317E-3</v>
      </c>
    </row>
    <row r="311" spans="1:7" x14ac:dyDescent="0.35">
      <c r="A311" s="2">
        <v>44280</v>
      </c>
      <c r="B311" s="3">
        <v>3909.52</v>
      </c>
      <c r="C311" s="3">
        <v>128.63999999999999</v>
      </c>
      <c r="D311" s="3">
        <v>56.6</v>
      </c>
      <c r="E311" s="10">
        <f t="shared" si="13"/>
        <v>5.2402330592367747E-3</v>
      </c>
      <c r="F311" s="10">
        <f t="shared" si="14"/>
        <v>-3.3944127365575325E-2</v>
      </c>
      <c r="G311" s="10">
        <f t="shared" si="15"/>
        <v>1.4155169324493802E-2</v>
      </c>
    </row>
    <row r="312" spans="1:7" x14ac:dyDescent="0.35">
      <c r="A312" s="2">
        <v>44281</v>
      </c>
      <c r="B312" s="3">
        <v>3974.54</v>
      </c>
      <c r="C312" s="3">
        <v>132.99</v>
      </c>
      <c r="D312" s="3">
        <v>56.52</v>
      </c>
      <c r="E312" s="10">
        <f t="shared" si="13"/>
        <v>1.6631197691788245E-2</v>
      </c>
      <c r="F312" s="10">
        <f t="shared" si="14"/>
        <v>3.3815298507462864E-2</v>
      </c>
      <c r="G312" s="10">
        <f t="shared" si="15"/>
        <v>-1.4134275618374256E-3</v>
      </c>
    </row>
    <row r="313" spans="1:7" x14ac:dyDescent="0.35">
      <c r="A313" s="2">
        <v>44284</v>
      </c>
      <c r="B313" s="3">
        <v>3971.09</v>
      </c>
      <c r="C313" s="3">
        <v>133.49</v>
      </c>
      <c r="D313" s="3">
        <v>55.94</v>
      </c>
      <c r="E313" s="10">
        <f t="shared" si="13"/>
        <v>-8.6802497899123368E-4</v>
      </c>
      <c r="F313" s="10">
        <f t="shared" si="14"/>
        <v>3.7596811790360173E-3</v>
      </c>
      <c r="G313" s="10">
        <f t="shared" si="15"/>
        <v>-1.0261854210898891E-2</v>
      </c>
    </row>
    <row r="314" spans="1:7" x14ac:dyDescent="0.35">
      <c r="A314" s="2">
        <v>44285</v>
      </c>
      <c r="B314" s="3">
        <v>3958.55</v>
      </c>
      <c r="C314" s="3">
        <v>132.94999999999999</v>
      </c>
      <c r="D314" s="3">
        <v>58.51</v>
      </c>
      <c r="E314" s="10">
        <f t="shared" si="13"/>
        <v>-3.1578231669390426E-3</v>
      </c>
      <c r="F314" s="10">
        <f t="shared" si="14"/>
        <v>-4.045246834969065E-3</v>
      </c>
      <c r="G314" s="10">
        <f t="shared" si="15"/>
        <v>4.5942080800858071E-2</v>
      </c>
    </row>
    <row r="315" spans="1:7" x14ac:dyDescent="0.35">
      <c r="A315" s="2">
        <v>44286</v>
      </c>
      <c r="B315" s="3">
        <v>3972.89</v>
      </c>
      <c r="C315" s="3">
        <v>132.88999999999999</v>
      </c>
      <c r="D315" s="3">
        <v>57.46</v>
      </c>
      <c r="E315" s="10">
        <f t="shared" si="13"/>
        <v>3.6225385557842366E-3</v>
      </c>
      <c r="F315" s="10">
        <f t="shared" si="14"/>
        <v>-4.512974802557524E-4</v>
      </c>
      <c r="G315" s="10">
        <f t="shared" si="15"/>
        <v>-1.7945650316185221E-2</v>
      </c>
    </row>
    <row r="316" spans="1:7" x14ac:dyDescent="0.35">
      <c r="A316" s="2">
        <v>44287</v>
      </c>
      <c r="B316" s="3">
        <v>4019.87</v>
      </c>
      <c r="C316" s="3">
        <v>132.53</v>
      </c>
      <c r="D316" s="3">
        <v>57.8</v>
      </c>
      <c r="E316" s="10">
        <f t="shared" si="13"/>
        <v>1.1825144919693225E-2</v>
      </c>
      <c r="F316" s="10">
        <f t="shared" si="14"/>
        <v>-2.7090074497703761E-3</v>
      </c>
      <c r="G316" s="10">
        <f t="shared" si="15"/>
        <v>5.9171597633135451E-3</v>
      </c>
    </row>
    <row r="317" spans="1:7" x14ac:dyDescent="0.35">
      <c r="A317" s="2">
        <v>44291</v>
      </c>
      <c r="B317" s="3">
        <v>4077.91</v>
      </c>
      <c r="C317" s="3">
        <v>135.12</v>
      </c>
      <c r="D317" s="3">
        <v>61.04</v>
      </c>
      <c r="E317" s="10">
        <f t="shared" si="13"/>
        <v>1.4438277854756489E-2</v>
      </c>
      <c r="F317" s="10">
        <f t="shared" si="14"/>
        <v>1.9542745038859152E-2</v>
      </c>
      <c r="G317" s="10">
        <f t="shared" si="15"/>
        <v>5.6055363321799348E-2</v>
      </c>
    </row>
    <row r="318" spans="1:7" x14ac:dyDescent="0.35">
      <c r="A318" s="2">
        <v>44292</v>
      </c>
      <c r="B318" s="3">
        <v>4073.94</v>
      </c>
      <c r="C318" s="3">
        <v>137.16</v>
      </c>
      <c r="D318" s="3">
        <v>61.94</v>
      </c>
      <c r="E318" s="10">
        <f t="shared" si="13"/>
        <v>-9.7353791525555983E-4</v>
      </c>
      <c r="F318" s="10">
        <f t="shared" si="14"/>
        <v>1.5097690941385376E-2</v>
      </c>
      <c r="G318" s="10">
        <f t="shared" si="15"/>
        <v>1.4744429882044538E-2</v>
      </c>
    </row>
    <row r="319" spans="1:7" x14ac:dyDescent="0.35">
      <c r="A319" s="2">
        <v>44293</v>
      </c>
      <c r="B319" s="3">
        <v>4079.95</v>
      </c>
      <c r="C319" s="3">
        <v>136.54</v>
      </c>
      <c r="D319" s="3">
        <v>60.83</v>
      </c>
      <c r="E319" s="10">
        <f t="shared" si="13"/>
        <v>1.4752303666720088E-3</v>
      </c>
      <c r="F319" s="10">
        <f t="shared" si="14"/>
        <v>-4.5202682997958921E-3</v>
      </c>
      <c r="G319" s="10">
        <f t="shared" si="15"/>
        <v>-1.7920568291895374E-2</v>
      </c>
    </row>
    <row r="320" spans="1:7" x14ac:dyDescent="0.35">
      <c r="A320" s="2">
        <v>44294</v>
      </c>
      <c r="B320" s="3">
        <v>4097.17</v>
      </c>
      <c r="C320" s="3">
        <v>133.68</v>
      </c>
      <c r="D320" s="3">
        <v>60.09</v>
      </c>
      <c r="E320" s="10">
        <f t="shared" si="13"/>
        <v>4.2206399588230878E-3</v>
      </c>
      <c r="F320" s="10">
        <f t="shared" si="14"/>
        <v>-2.094624285923528E-2</v>
      </c>
      <c r="G320" s="10">
        <f t="shared" si="15"/>
        <v>-1.21650501397336E-2</v>
      </c>
    </row>
    <row r="321" spans="1:7" x14ac:dyDescent="0.35">
      <c r="A321" s="2">
        <v>44295</v>
      </c>
      <c r="B321" s="3">
        <v>4128.8</v>
      </c>
      <c r="C321" s="3">
        <v>135.44999999999999</v>
      </c>
      <c r="D321" s="3">
        <v>60.16</v>
      </c>
      <c r="E321" s="10">
        <f t="shared" si="13"/>
        <v>7.7199628035937266E-3</v>
      </c>
      <c r="F321" s="10">
        <f t="shared" si="14"/>
        <v>1.3240574506283525E-2</v>
      </c>
      <c r="G321" s="10">
        <f t="shared" si="15"/>
        <v>1.1649192877349504E-3</v>
      </c>
    </row>
    <row r="322" spans="1:7" x14ac:dyDescent="0.35">
      <c r="A322" s="2">
        <v>44298</v>
      </c>
      <c r="B322" s="3">
        <v>4127.99</v>
      </c>
      <c r="C322" s="3">
        <v>136.63999999999999</v>
      </c>
      <c r="D322" s="3">
        <v>59.66</v>
      </c>
      <c r="E322" s="10">
        <f t="shared" si="13"/>
        <v>-1.9618291028880065E-4</v>
      </c>
      <c r="F322" s="10">
        <f t="shared" si="14"/>
        <v>8.785529715762257E-3</v>
      </c>
      <c r="G322" s="10">
        <f t="shared" si="15"/>
        <v>-8.3111702127659573E-3</v>
      </c>
    </row>
    <row r="323" spans="1:7" x14ac:dyDescent="0.35">
      <c r="A323" s="2">
        <v>44299</v>
      </c>
      <c r="B323" s="3">
        <v>4141.59</v>
      </c>
      <c r="C323" s="3">
        <v>133.54</v>
      </c>
      <c r="D323" s="3">
        <v>58.49</v>
      </c>
      <c r="E323" s="10">
        <f t="shared" si="13"/>
        <v>3.2945816244710777E-3</v>
      </c>
      <c r="F323" s="10">
        <f t="shared" si="14"/>
        <v>-2.268735362997654E-2</v>
      </c>
      <c r="G323" s="10">
        <f t="shared" si="15"/>
        <v>-1.961112973516585E-2</v>
      </c>
    </row>
    <row r="324" spans="1:7" x14ac:dyDescent="0.35">
      <c r="A324" s="2">
        <v>44300</v>
      </c>
      <c r="B324" s="3">
        <v>4124.66</v>
      </c>
      <c r="C324" s="3">
        <v>132.26</v>
      </c>
      <c r="D324" s="3">
        <v>58.48</v>
      </c>
      <c r="E324" s="10">
        <f t="shared" ref="E324:E387" si="16">(B324-B323)/B323</f>
        <v>-4.0878020277237224E-3</v>
      </c>
      <c r="F324" s="10">
        <f t="shared" ref="F324:F387" si="17">(C324-C323)/C323</f>
        <v>-9.5851430283061343E-3</v>
      </c>
      <c r="G324" s="10">
        <f t="shared" ref="G324:G387" si="18">(D324-D323)/D323</f>
        <v>-1.709693964781179E-4</v>
      </c>
    </row>
    <row r="325" spans="1:7" x14ac:dyDescent="0.35">
      <c r="A325" s="2">
        <v>44301</v>
      </c>
      <c r="B325" s="3">
        <v>4170.42</v>
      </c>
      <c r="C325" s="3">
        <v>133.66999999999999</v>
      </c>
      <c r="D325" s="3">
        <v>58.61</v>
      </c>
      <c r="E325" s="10">
        <f t="shared" si="16"/>
        <v>1.1094247768300956E-2</v>
      </c>
      <c r="F325" s="10">
        <f t="shared" si="17"/>
        <v>1.0660819597761958E-2</v>
      </c>
      <c r="G325" s="10">
        <f t="shared" si="18"/>
        <v>2.2229822161423146E-3</v>
      </c>
    </row>
    <row r="326" spans="1:7" x14ac:dyDescent="0.35">
      <c r="A326" s="2">
        <v>44302</v>
      </c>
      <c r="B326" s="3">
        <v>4185.47</v>
      </c>
      <c r="C326" s="3">
        <v>134.31</v>
      </c>
      <c r="D326" s="3">
        <v>58.71</v>
      </c>
      <c r="E326" s="10">
        <f t="shared" si="16"/>
        <v>3.6087492386858355E-3</v>
      </c>
      <c r="F326" s="10">
        <f t="shared" si="17"/>
        <v>4.7879105259221576E-3</v>
      </c>
      <c r="G326" s="10">
        <f t="shared" si="18"/>
        <v>1.7061934823409217E-3</v>
      </c>
    </row>
    <row r="327" spans="1:7" x14ac:dyDescent="0.35">
      <c r="A327" s="2">
        <v>44305</v>
      </c>
      <c r="B327" s="3">
        <v>4163.26</v>
      </c>
      <c r="C327" s="3">
        <v>132.57</v>
      </c>
      <c r="D327" s="3">
        <v>57.88</v>
      </c>
      <c r="E327" s="10">
        <f t="shared" si="16"/>
        <v>-5.3064530387268421E-3</v>
      </c>
      <c r="F327" s="10">
        <f t="shared" si="17"/>
        <v>-1.2955103864194841E-2</v>
      </c>
      <c r="G327" s="10">
        <f t="shared" si="18"/>
        <v>-1.4137284959972718E-2</v>
      </c>
    </row>
    <row r="328" spans="1:7" x14ac:dyDescent="0.35">
      <c r="A328" s="2">
        <v>44306</v>
      </c>
      <c r="B328" s="3">
        <v>4134.9399999999996</v>
      </c>
      <c r="C328" s="3">
        <v>127.11</v>
      </c>
      <c r="D328" s="3">
        <v>55.77</v>
      </c>
      <c r="E328" s="10">
        <f t="shared" si="16"/>
        <v>-6.8023616108531812E-3</v>
      </c>
      <c r="F328" s="10">
        <f t="shared" si="17"/>
        <v>-4.118578863996375E-2</v>
      </c>
      <c r="G328" s="10">
        <f t="shared" si="18"/>
        <v>-3.6454733932273657E-2</v>
      </c>
    </row>
    <row r="329" spans="1:7" x14ac:dyDescent="0.35">
      <c r="A329" s="2">
        <v>44307</v>
      </c>
      <c r="B329" s="3">
        <v>4173.42</v>
      </c>
      <c r="C329" s="3">
        <v>129.9</v>
      </c>
      <c r="D329" s="3">
        <v>57.49</v>
      </c>
      <c r="E329" s="10">
        <f t="shared" si="16"/>
        <v>9.3060600637495296E-3</v>
      </c>
      <c r="F329" s="10">
        <f t="shared" si="17"/>
        <v>2.1949492565494503E-2</v>
      </c>
      <c r="G329" s="10">
        <f t="shared" si="18"/>
        <v>3.0840953917876973E-2</v>
      </c>
    </row>
    <row r="330" spans="1:7" x14ac:dyDescent="0.35">
      <c r="A330" s="2">
        <v>44308</v>
      </c>
      <c r="B330" s="3">
        <v>4134.9799999999996</v>
      </c>
      <c r="C330" s="3">
        <v>129.18</v>
      </c>
      <c r="D330" s="3">
        <v>56.66</v>
      </c>
      <c r="E330" s="10">
        <f t="shared" si="16"/>
        <v>-9.2106713438859511E-3</v>
      </c>
      <c r="F330" s="10">
        <f t="shared" si="17"/>
        <v>-5.5427251732101529E-3</v>
      </c>
      <c r="G330" s="10">
        <f t="shared" si="18"/>
        <v>-1.4437293442337891E-2</v>
      </c>
    </row>
    <row r="331" spans="1:7" x14ac:dyDescent="0.35">
      <c r="A331" s="2">
        <v>44309</v>
      </c>
      <c r="B331" s="3">
        <v>4180.17</v>
      </c>
      <c r="C331" s="3">
        <v>130.19</v>
      </c>
      <c r="D331" s="3">
        <v>57.53</v>
      </c>
      <c r="E331" s="10">
        <f t="shared" si="16"/>
        <v>1.0928710658818305E-2</v>
      </c>
      <c r="F331" s="10">
        <f t="shared" si="17"/>
        <v>7.8185477628115105E-3</v>
      </c>
      <c r="G331" s="10">
        <f t="shared" si="18"/>
        <v>1.535474761736683E-2</v>
      </c>
    </row>
    <row r="332" spans="1:7" x14ac:dyDescent="0.35">
      <c r="A332" s="2">
        <v>44312</v>
      </c>
      <c r="B332" s="3">
        <v>4187.62</v>
      </c>
      <c r="C332" s="3">
        <v>131.6</v>
      </c>
      <c r="D332" s="3">
        <v>58.21</v>
      </c>
      <c r="E332" s="10">
        <f t="shared" si="16"/>
        <v>1.7822241679165724E-3</v>
      </c>
      <c r="F332" s="10">
        <f t="shared" si="17"/>
        <v>1.0830324909747266E-2</v>
      </c>
      <c r="G332" s="10">
        <f t="shared" si="18"/>
        <v>1.181992004171736E-2</v>
      </c>
    </row>
    <row r="333" spans="1:7" x14ac:dyDescent="0.35">
      <c r="A333" s="2">
        <v>44313</v>
      </c>
      <c r="B333" s="3">
        <v>4186.72</v>
      </c>
      <c r="C333" s="3">
        <v>132.11000000000001</v>
      </c>
      <c r="D333" s="3">
        <v>58.97</v>
      </c>
      <c r="E333" s="10">
        <f t="shared" si="16"/>
        <v>-2.1491921425526581E-4</v>
      </c>
      <c r="F333" s="10">
        <f t="shared" si="17"/>
        <v>3.8753799392098735E-3</v>
      </c>
      <c r="G333" s="10">
        <f t="shared" si="18"/>
        <v>1.3056175914791239E-2</v>
      </c>
    </row>
    <row r="334" spans="1:7" x14ac:dyDescent="0.35">
      <c r="A334" s="2">
        <v>44314</v>
      </c>
      <c r="B334" s="3">
        <v>4183.18</v>
      </c>
      <c r="C334" s="3">
        <v>130.71</v>
      </c>
      <c r="D334" s="3">
        <v>58.55</v>
      </c>
      <c r="E334" s="10">
        <f t="shared" si="16"/>
        <v>-8.455306301830462E-4</v>
      </c>
      <c r="F334" s="10">
        <f t="shared" si="17"/>
        <v>-1.0597229581409474E-2</v>
      </c>
      <c r="G334" s="10">
        <f t="shared" si="18"/>
        <v>-7.1222655587587199E-3</v>
      </c>
    </row>
    <row r="335" spans="1:7" x14ac:dyDescent="0.35">
      <c r="A335" s="2">
        <v>44315</v>
      </c>
      <c r="B335" s="3">
        <v>4211.47</v>
      </c>
      <c r="C335" s="3">
        <v>133.26</v>
      </c>
      <c r="D335" s="3">
        <v>56.57</v>
      </c>
      <c r="E335" s="10">
        <f t="shared" si="16"/>
        <v>6.7627976802336889E-3</v>
      </c>
      <c r="F335" s="10">
        <f t="shared" si="17"/>
        <v>1.9508836355290205E-2</v>
      </c>
      <c r="G335" s="10">
        <f t="shared" si="18"/>
        <v>-3.3817250213492689E-2</v>
      </c>
    </row>
    <row r="336" spans="1:7" x14ac:dyDescent="0.35">
      <c r="A336" s="2">
        <v>44316</v>
      </c>
      <c r="B336" s="3">
        <v>4181.17</v>
      </c>
      <c r="C336" s="3">
        <v>132.62</v>
      </c>
      <c r="D336" s="3">
        <v>57.22</v>
      </c>
      <c r="E336" s="10">
        <f t="shared" si="16"/>
        <v>-7.1946375018699365E-3</v>
      </c>
      <c r="F336" s="10">
        <f t="shared" si="17"/>
        <v>-4.8026414527989371E-3</v>
      </c>
      <c r="G336" s="10">
        <f t="shared" si="18"/>
        <v>1.1490189146190535E-2</v>
      </c>
    </row>
    <row r="337" spans="1:7" x14ac:dyDescent="0.35">
      <c r="A337" s="2">
        <v>44319</v>
      </c>
      <c r="B337" s="3">
        <v>4192.66</v>
      </c>
      <c r="C337" s="3">
        <v>133.03</v>
      </c>
      <c r="D337" s="3">
        <v>57.15</v>
      </c>
      <c r="E337" s="10">
        <f t="shared" si="16"/>
        <v>2.7480346410214801E-3</v>
      </c>
      <c r="F337" s="10">
        <f t="shared" si="17"/>
        <v>3.0915397375961134E-3</v>
      </c>
      <c r="G337" s="10">
        <f t="shared" si="18"/>
        <v>-1.223348479552609E-3</v>
      </c>
    </row>
    <row r="338" spans="1:7" x14ac:dyDescent="0.35">
      <c r="A338" s="2">
        <v>44320</v>
      </c>
      <c r="B338" s="3">
        <v>4164.66</v>
      </c>
      <c r="C338" s="3">
        <v>131.55000000000001</v>
      </c>
      <c r="D338" s="3">
        <v>55.34</v>
      </c>
      <c r="E338" s="10">
        <f t="shared" si="16"/>
        <v>-6.6783378571121915E-3</v>
      </c>
      <c r="F338" s="10">
        <f t="shared" si="17"/>
        <v>-1.1125310080432908E-2</v>
      </c>
      <c r="G338" s="10">
        <f t="shared" si="18"/>
        <v>-3.1671041119859931E-2</v>
      </c>
    </row>
    <row r="339" spans="1:7" x14ac:dyDescent="0.35">
      <c r="A339" s="2">
        <v>44321</v>
      </c>
      <c r="B339" s="3">
        <v>4167.59</v>
      </c>
      <c r="C339" s="3">
        <v>132.21</v>
      </c>
      <c r="D339" s="3">
        <v>57.58</v>
      </c>
      <c r="E339" s="10">
        <f t="shared" si="16"/>
        <v>7.0353882429785174E-4</v>
      </c>
      <c r="F339" s="10">
        <f t="shared" si="17"/>
        <v>5.0171037628277959E-3</v>
      </c>
      <c r="G339" s="10">
        <f t="shared" si="18"/>
        <v>4.0477050957715845E-2</v>
      </c>
    </row>
    <row r="340" spans="1:7" x14ac:dyDescent="0.35">
      <c r="A340" s="2">
        <v>44322</v>
      </c>
      <c r="B340" s="3">
        <v>4201.62</v>
      </c>
      <c r="C340" s="3">
        <v>133.49</v>
      </c>
      <c r="D340" s="3">
        <v>58.72</v>
      </c>
      <c r="E340" s="10">
        <f t="shared" si="16"/>
        <v>8.1653905494541799E-3</v>
      </c>
      <c r="F340" s="10">
        <f t="shared" si="17"/>
        <v>9.6815672036911059E-3</v>
      </c>
      <c r="G340" s="10">
        <f t="shared" si="18"/>
        <v>1.9798541160125055E-2</v>
      </c>
    </row>
    <row r="341" spans="1:7" x14ac:dyDescent="0.35">
      <c r="A341" s="2">
        <v>44323</v>
      </c>
      <c r="B341" s="3">
        <v>4232.6000000000004</v>
      </c>
      <c r="C341" s="3">
        <v>137.81</v>
      </c>
      <c r="D341" s="3">
        <v>58.99</v>
      </c>
      <c r="E341" s="10">
        <f t="shared" si="16"/>
        <v>7.3733464711231555E-3</v>
      </c>
      <c r="F341" s="10">
        <f t="shared" si="17"/>
        <v>3.2361974679751236E-2</v>
      </c>
      <c r="G341" s="10">
        <f t="shared" si="18"/>
        <v>4.5980926430518243E-3</v>
      </c>
    </row>
    <row r="342" spans="1:7" x14ac:dyDescent="0.35">
      <c r="A342" s="2">
        <v>44326</v>
      </c>
      <c r="B342" s="3">
        <v>4188.43</v>
      </c>
      <c r="C342" s="3">
        <v>136.4</v>
      </c>
      <c r="D342" s="3">
        <v>57.41</v>
      </c>
      <c r="E342" s="10">
        <f t="shared" si="16"/>
        <v>-1.0435666020885524E-2</v>
      </c>
      <c r="F342" s="10">
        <f t="shared" si="17"/>
        <v>-1.0231478122052075E-2</v>
      </c>
      <c r="G342" s="10">
        <f t="shared" si="18"/>
        <v>-2.6784200711985173E-2</v>
      </c>
    </row>
    <row r="343" spans="1:7" x14ac:dyDescent="0.35">
      <c r="A343" s="2">
        <v>44327</v>
      </c>
      <c r="B343" s="3">
        <v>4152.1000000000004</v>
      </c>
      <c r="C343" s="3">
        <v>137.12</v>
      </c>
      <c r="D343" s="3">
        <v>55.73</v>
      </c>
      <c r="E343" s="10">
        <f t="shared" si="16"/>
        <v>-8.6738945141735507E-3</v>
      </c>
      <c r="F343" s="10">
        <f t="shared" si="17"/>
        <v>5.2785923753665602E-3</v>
      </c>
      <c r="G343" s="10">
        <f t="shared" si="18"/>
        <v>-2.9263194565406721E-2</v>
      </c>
    </row>
    <row r="344" spans="1:7" x14ac:dyDescent="0.35">
      <c r="A344" s="2">
        <v>44328</v>
      </c>
      <c r="B344" s="3">
        <v>4063.04</v>
      </c>
      <c r="C344" s="3">
        <v>133.38999999999999</v>
      </c>
      <c r="D344" s="3">
        <v>53.76</v>
      </c>
      <c r="E344" s="10">
        <f t="shared" si="16"/>
        <v>-2.1449387057151898E-2</v>
      </c>
      <c r="F344" s="10">
        <f t="shared" si="17"/>
        <v>-2.7202450408401531E-2</v>
      </c>
      <c r="G344" s="10">
        <f t="shared" si="18"/>
        <v>-3.5349004127041075E-2</v>
      </c>
    </row>
    <row r="345" spans="1:7" x14ac:dyDescent="0.35">
      <c r="A345" s="2">
        <v>44329</v>
      </c>
      <c r="B345" s="3">
        <v>4112.5</v>
      </c>
      <c r="C345" s="3">
        <v>133.61000000000001</v>
      </c>
      <c r="D345" s="3">
        <v>54.6</v>
      </c>
      <c r="E345" s="10">
        <f t="shared" si="16"/>
        <v>1.2173151138064119E-2</v>
      </c>
      <c r="F345" s="10">
        <f t="shared" si="17"/>
        <v>1.6492990479048451E-3</v>
      </c>
      <c r="G345" s="10">
        <f t="shared" si="18"/>
        <v>1.5625000000000062E-2</v>
      </c>
    </row>
    <row r="346" spans="1:7" x14ac:dyDescent="0.35">
      <c r="A346" s="2">
        <v>44330</v>
      </c>
      <c r="B346" s="3">
        <v>4173.8500000000004</v>
      </c>
      <c r="C346" s="3">
        <v>135.93</v>
      </c>
      <c r="D346" s="3">
        <v>56</v>
      </c>
      <c r="E346" s="10">
        <f t="shared" si="16"/>
        <v>1.4917933130699177E-2</v>
      </c>
      <c r="F346" s="10">
        <f t="shared" si="17"/>
        <v>1.7363969762742258E-2</v>
      </c>
      <c r="G346" s="10">
        <f t="shared" si="18"/>
        <v>2.5641025641025616E-2</v>
      </c>
    </row>
    <row r="347" spans="1:7" x14ac:dyDescent="0.35">
      <c r="A347" s="2">
        <v>44333</v>
      </c>
      <c r="B347" s="3">
        <v>4163.29</v>
      </c>
      <c r="C347" s="3">
        <v>136.41</v>
      </c>
      <c r="D347" s="3">
        <v>56.04</v>
      </c>
      <c r="E347" s="10">
        <f t="shared" si="16"/>
        <v>-2.5300382141189549E-3</v>
      </c>
      <c r="F347" s="10">
        <f t="shared" si="17"/>
        <v>3.5312293092031911E-3</v>
      </c>
      <c r="G347" s="10">
        <f t="shared" si="18"/>
        <v>7.1428571428569911E-4</v>
      </c>
    </row>
    <row r="348" spans="1:7" x14ac:dyDescent="0.35">
      <c r="A348" s="2">
        <v>44334</v>
      </c>
      <c r="B348" s="3">
        <v>4127.83</v>
      </c>
      <c r="C348" s="3">
        <v>135.56</v>
      </c>
      <c r="D348" s="3">
        <v>55.89</v>
      </c>
      <c r="E348" s="10">
        <f t="shared" si="16"/>
        <v>-8.5173024218827033E-3</v>
      </c>
      <c r="F348" s="10">
        <f t="shared" si="17"/>
        <v>-6.23121472032838E-3</v>
      </c>
      <c r="G348" s="10">
        <f t="shared" si="18"/>
        <v>-2.6766595289078976E-3</v>
      </c>
    </row>
    <row r="349" spans="1:7" x14ac:dyDescent="0.35">
      <c r="A349" s="2">
        <v>44335</v>
      </c>
      <c r="B349" s="3">
        <v>4115.68</v>
      </c>
      <c r="C349" s="3">
        <v>132.96</v>
      </c>
      <c r="D349" s="3">
        <v>55.53</v>
      </c>
      <c r="E349" s="10">
        <f t="shared" si="16"/>
        <v>-2.9434351705374582E-3</v>
      </c>
      <c r="F349" s="10">
        <f t="shared" si="17"/>
        <v>-1.917969902626139E-2</v>
      </c>
      <c r="G349" s="10">
        <f t="shared" si="18"/>
        <v>-6.4412238325281699E-3</v>
      </c>
    </row>
    <row r="350" spans="1:7" x14ac:dyDescent="0.35">
      <c r="A350" s="2">
        <v>44336</v>
      </c>
      <c r="B350" s="3">
        <v>4159.12</v>
      </c>
      <c r="C350" s="3">
        <v>133.27000000000001</v>
      </c>
      <c r="D350" s="3">
        <v>55.51</v>
      </c>
      <c r="E350" s="10">
        <f t="shared" si="16"/>
        <v>1.0554756443649555E-2</v>
      </c>
      <c r="F350" s="10">
        <f t="shared" si="17"/>
        <v>2.3315282791817257E-3</v>
      </c>
      <c r="G350" s="10">
        <f t="shared" si="18"/>
        <v>-3.6016567621111338E-4</v>
      </c>
    </row>
    <row r="351" spans="1:7" x14ac:dyDescent="0.35">
      <c r="A351" s="2">
        <v>44337</v>
      </c>
      <c r="B351" s="3">
        <v>4155.8599999999997</v>
      </c>
      <c r="C351" s="3">
        <v>132.66</v>
      </c>
      <c r="D351" s="3">
        <v>56.72</v>
      </c>
      <c r="E351" s="10">
        <f t="shared" si="16"/>
        <v>-7.8381965415766277E-4</v>
      </c>
      <c r="F351" s="10">
        <f t="shared" si="17"/>
        <v>-4.5771741577250212E-3</v>
      </c>
      <c r="G351" s="10">
        <f t="shared" si="18"/>
        <v>2.1797874256890667E-2</v>
      </c>
    </row>
    <row r="352" spans="1:7" x14ac:dyDescent="0.35">
      <c r="A352" s="2">
        <v>44340</v>
      </c>
      <c r="B352" s="3">
        <v>4197.05</v>
      </c>
      <c r="C352" s="3">
        <v>134.06</v>
      </c>
      <c r="D352" s="3">
        <v>56.6</v>
      </c>
      <c r="E352" s="10">
        <f t="shared" si="16"/>
        <v>9.9113059631461397E-3</v>
      </c>
      <c r="F352" s="10">
        <f t="shared" si="17"/>
        <v>1.0553294135383732E-2</v>
      </c>
      <c r="G352" s="10">
        <f t="shared" si="18"/>
        <v>-2.1156558533144826E-3</v>
      </c>
    </row>
    <row r="353" spans="1:7" x14ac:dyDescent="0.35">
      <c r="A353" s="2">
        <v>44341</v>
      </c>
      <c r="B353" s="3">
        <v>4188.13</v>
      </c>
      <c r="C353" s="3">
        <v>134.32</v>
      </c>
      <c r="D353" s="3">
        <v>56.76</v>
      </c>
      <c r="E353" s="10">
        <f t="shared" si="16"/>
        <v>-2.1253022956600641E-3</v>
      </c>
      <c r="F353" s="10">
        <f t="shared" si="17"/>
        <v>1.9394301059226533E-3</v>
      </c>
      <c r="G353" s="10">
        <f t="shared" si="18"/>
        <v>2.8268551236748513E-3</v>
      </c>
    </row>
    <row r="354" spans="1:7" x14ac:dyDescent="0.35">
      <c r="A354" s="2">
        <v>44342</v>
      </c>
      <c r="B354" s="3">
        <v>4195.99</v>
      </c>
      <c r="C354" s="3">
        <v>136.88999999999999</v>
      </c>
      <c r="D354" s="3">
        <v>58.08</v>
      </c>
      <c r="E354" s="10">
        <f t="shared" si="16"/>
        <v>1.8767325751587636E-3</v>
      </c>
      <c r="F354" s="10">
        <f t="shared" si="17"/>
        <v>1.9133412745681904E-2</v>
      </c>
      <c r="G354" s="10">
        <f t="shared" si="18"/>
        <v>2.3255813953488379E-2</v>
      </c>
    </row>
    <row r="355" spans="1:7" x14ac:dyDescent="0.35">
      <c r="A355" s="2">
        <v>44343</v>
      </c>
      <c r="B355" s="3">
        <v>4200.88</v>
      </c>
      <c r="C355" s="3">
        <v>136.56</v>
      </c>
      <c r="D355" s="3">
        <v>59.77</v>
      </c>
      <c r="E355" s="10">
        <f t="shared" si="16"/>
        <v>1.1653983922746069E-3</v>
      </c>
      <c r="F355" s="10">
        <f t="shared" si="17"/>
        <v>-2.41069471838691E-3</v>
      </c>
      <c r="G355" s="10">
        <f t="shared" si="18"/>
        <v>2.9097796143250771E-2</v>
      </c>
    </row>
    <row r="356" spans="1:7" x14ac:dyDescent="0.35">
      <c r="A356" s="2">
        <v>44344</v>
      </c>
      <c r="B356" s="3">
        <v>4204.1099999999997</v>
      </c>
      <c r="C356" s="3">
        <v>136.46</v>
      </c>
      <c r="D356" s="3">
        <v>59.31</v>
      </c>
      <c r="E356" s="10">
        <f t="shared" si="16"/>
        <v>7.6888651901495957E-4</v>
      </c>
      <c r="F356" s="10">
        <f t="shared" si="17"/>
        <v>-7.3227885178671879E-4</v>
      </c>
      <c r="G356" s="10">
        <f t="shared" si="18"/>
        <v>-7.6961686464781798E-3</v>
      </c>
    </row>
    <row r="357" spans="1:7" x14ac:dyDescent="0.35">
      <c r="A357" s="2">
        <v>44348</v>
      </c>
      <c r="B357" s="3">
        <v>4202.04</v>
      </c>
      <c r="C357" s="3">
        <v>134.51</v>
      </c>
      <c r="D357" s="3">
        <v>59.65</v>
      </c>
      <c r="E357" s="10">
        <f t="shared" si="16"/>
        <v>-4.9237531843831605E-4</v>
      </c>
      <c r="F357" s="10">
        <f t="shared" si="17"/>
        <v>-1.4289901802726197E-2</v>
      </c>
      <c r="G357" s="10">
        <f t="shared" si="18"/>
        <v>5.7325914685549869E-3</v>
      </c>
    </row>
    <row r="358" spans="1:7" x14ac:dyDescent="0.35">
      <c r="A358" s="2">
        <v>44349</v>
      </c>
      <c r="B358" s="3">
        <v>4208.12</v>
      </c>
      <c r="C358" s="3">
        <v>134.16999999999999</v>
      </c>
      <c r="D358" s="3">
        <v>59.65</v>
      </c>
      <c r="E358" s="10">
        <f t="shared" si="16"/>
        <v>1.4469162597214513E-3</v>
      </c>
      <c r="F358" s="10">
        <f t="shared" si="17"/>
        <v>-2.5276931083191095E-3</v>
      </c>
      <c r="G358" s="10">
        <f t="shared" si="18"/>
        <v>0</v>
      </c>
    </row>
    <row r="359" spans="1:7" x14ac:dyDescent="0.35">
      <c r="A359" s="2">
        <v>44350</v>
      </c>
      <c r="B359" s="3">
        <v>4192.8500000000004</v>
      </c>
      <c r="C359" s="3">
        <v>134.16999999999999</v>
      </c>
      <c r="D359" s="3">
        <v>63.46</v>
      </c>
      <c r="E359" s="10">
        <f t="shared" si="16"/>
        <v>-3.6286988013648678E-3</v>
      </c>
      <c r="F359" s="10">
        <f t="shared" si="17"/>
        <v>0</v>
      </c>
      <c r="G359" s="10">
        <f t="shared" si="18"/>
        <v>6.3872590108969021E-2</v>
      </c>
    </row>
    <row r="360" spans="1:7" x14ac:dyDescent="0.35">
      <c r="A360" s="2">
        <v>44351</v>
      </c>
      <c r="B360" s="3">
        <v>4229.8900000000003</v>
      </c>
      <c r="C360" s="3">
        <v>133.74</v>
      </c>
      <c r="D360" s="3">
        <v>63.37</v>
      </c>
      <c r="E360" s="10">
        <f t="shared" si="16"/>
        <v>8.8340865998068046E-3</v>
      </c>
      <c r="F360" s="10">
        <f t="shared" si="17"/>
        <v>-3.2048893195198514E-3</v>
      </c>
      <c r="G360" s="10">
        <f t="shared" si="18"/>
        <v>-1.41821619918064E-3</v>
      </c>
    </row>
    <row r="361" spans="1:7" x14ac:dyDescent="0.35">
      <c r="A361" s="2">
        <v>44354</v>
      </c>
      <c r="B361" s="3">
        <v>4226.5200000000004</v>
      </c>
      <c r="C361" s="3">
        <v>133.94999999999999</v>
      </c>
      <c r="D361" s="3">
        <v>63.23</v>
      </c>
      <c r="E361" s="10">
        <f t="shared" si="16"/>
        <v>-7.9671102558219963E-4</v>
      </c>
      <c r="F361" s="10">
        <f t="shared" si="17"/>
        <v>1.570210856886343E-3</v>
      </c>
      <c r="G361" s="10">
        <f t="shared" si="18"/>
        <v>-2.2092472778917557E-3</v>
      </c>
    </row>
    <row r="362" spans="1:7" x14ac:dyDescent="0.35">
      <c r="A362" s="2">
        <v>44355</v>
      </c>
      <c r="B362" s="3">
        <v>4227.26</v>
      </c>
      <c r="C362" s="3">
        <v>133.35</v>
      </c>
      <c r="D362" s="3">
        <v>63.92</v>
      </c>
      <c r="E362" s="10">
        <f t="shared" si="16"/>
        <v>1.750849398559055E-4</v>
      </c>
      <c r="F362" s="10">
        <f t="shared" si="17"/>
        <v>-4.4792833146696104E-3</v>
      </c>
      <c r="G362" s="10">
        <f t="shared" si="18"/>
        <v>1.0912541515103668E-2</v>
      </c>
    </row>
    <row r="363" spans="1:7" x14ac:dyDescent="0.35">
      <c r="A363" s="2">
        <v>44356</v>
      </c>
      <c r="B363" s="3">
        <v>4219.55</v>
      </c>
      <c r="C363" s="3">
        <v>131.84</v>
      </c>
      <c r="D363" s="3">
        <v>62.77</v>
      </c>
      <c r="E363" s="10">
        <f t="shared" si="16"/>
        <v>-1.8238764589828958E-3</v>
      </c>
      <c r="F363" s="10">
        <f t="shared" si="17"/>
        <v>-1.1323584551930941E-2</v>
      </c>
      <c r="G363" s="10">
        <f t="shared" si="18"/>
        <v>-1.7991239048810993E-2</v>
      </c>
    </row>
    <row r="364" spans="1:7" x14ac:dyDescent="0.35">
      <c r="A364" s="2">
        <v>44357</v>
      </c>
      <c r="B364" s="3">
        <v>4239.18</v>
      </c>
      <c r="C364" s="3">
        <v>130.97999999999999</v>
      </c>
      <c r="D364" s="3">
        <v>61.34</v>
      </c>
      <c r="E364" s="10">
        <f t="shared" si="16"/>
        <v>4.6521548506357566E-3</v>
      </c>
      <c r="F364" s="10">
        <f t="shared" si="17"/>
        <v>-6.5230582524272874E-3</v>
      </c>
      <c r="G364" s="10">
        <f t="shared" si="18"/>
        <v>-2.2781583559025008E-2</v>
      </c>
    </row>
    <row r="365" spans="1:7" x14ac:dyDescent="0.35">
      <c r="A365" s="2">
        <v>44358</v>
      </c>
      <c r="B365" s="3">
        <v>4247.4399999999996</v>
      </c>
      <c r="C365" s="3">
        <v>131.94</v>
      </c>
      <c r="D365" s="3">
        <v>61.49</v>
      </c>
      <c r="E365" s="10">
        <f t="shared" si="16"/>
        <v>1.9484900381675956E-3</v>
      </c>
      <c r="F365" s="10">
        <f t="shared" si="17"/>
        <v>7.3293632615667129E-3</v>
      </c>
      <c r="G365" s="10">
        <f t="shared" si="18"/>
        <v>2.4453863710466022E-3</v>
      </c>
    </row>
    <row r="366" spans="1:7" x14ac:dyDescent="0.35">
      <c r="A366" s="2">
        <v>44361</v>
      </c>
      <c r="B366" s="3">
        <v>4255.1499999999996</v>
      </c>
      <c r="C366" s="3">
        <v>131.36000000000001</v>
      </c>
      <c r="D366" s="3">
        <v>60.79</v>
      </c>
      <c r="E366" s="10">
        <f t="shared" si="16"/>
        <v>1.8152110447705058E-3</v>
      </c>
      <c r="F366" s="10">
        <f t="shared" si="17"/>
        <v>-4.3959375473698959E-3</v>
      </c>
      <c r="G366" s="10">
        <f t="shared" si="18"/>
        <v>-1.1383964872337012E-2</v>
      </c>
    </row>
    <row r="367" spans="1:7" x14ac:dyDescent="0.35">
      <c r="A367" s="2">
        <v>44362</v>
      </c>
      <c r="B367" s="3">
        <v>4246.59</v>
      </c>
      <c r="C367" s="3">
        <v>130.29</v>
      </c>
      <c r="D367" s="3">
        <v>60.81</v>
      </c>
      <c r="E367" s="10">
        <f t="shared" si="16"/>
        <v>-2.0116799642784606E-3</v>
      </c>
      <c r="F367" s="10">
        <f t="shared" si="17"/>
        <v>-8.1455542021926126E-3</v>
      </c>
      <c r="G367" s="10">
        <f t="shared" si="18"/>
        <v>3.2900148050671373E-4</v>
      </c>
    </row>
    <row r="368" spans="1:7" x14ac:dyDescent="0.35">
      <c r="A368" s="2">
        <v>44363</v>
      </c>
      <c r="B368" s="3">
        <v>4223.7</v>
      </c>
      <c r="C368" s="3">
        <v>130.4</v>
      </c>
      <c r="D368" s="3">
        <v>61.76</v>
      </c>
      <c r="E368" s="10">
        <f t="shared" si="16"/>
        <v>-5.3902072015429622E-3</v>
      </c>
      <c r="F368" s="10">
        <f t="shared" si="17"/>
        <v>8.4427047355908858E-4</v>
      </c>
      <c r="G368" s="10">
        <f t="shared" si="18"/>
        <v>1.5622430521295768E-2</v>
      </c>
    </row>
    <row r="369" spans="1:7" x14ac:dyDescent="0.35">
      <c r="A369" s="2">
        <v>44364</v>
      </c>
      <c r="B369" s="3">
        <v>4221.8599999999997</v>
      </c>
      <c r="C369" s="3">
        <v>128.91999999999999</v>
      </c>
      <c r="D369" s="3">
        <v>60.08</v>
      </c>
      <c r="E369" s="10">
        <f t="shared" si="16"/>
        <v>-4.3563700073398812E-4</v>
      </c>
      <c r="F369" s="10">
        <f t="shared" si="17"/>
        <v>-1.1349693251533882E-2</v>
      </c>
      <c r="G369" s="10">
        <f t="shared" si="18"/>
        <v>-2.72020725388601E-2</v>
      </c>
    </row>
    <row r="370" spans="1:7" x14ac:dyDescent="0.35">
      <c r="A370" s="2">
        <v>44365</v>
      </c>
      <c r="B370" s="3">
        <v>4166.45</v>
      </c>
      <c r="C370" s="3">
        <v>128.41</v>
      </c>
      <c r="D370" s="3">
        <v>58.76</v>
      </c>
      <c r="E370" s="10">
        <f t="shared" si="16"/>
        <v>-1.3124547000611072E-2</v>
      </c>
      <c r="F370" s="10">
        <f t="shared" si="17"/>
        <v>-3.955941669252179E-3</v>
      </c>
      <c r="G370" s="10">
        <f t="shared" si="18"/>
        <v>-2.1970705725699074E-2</v>
      </c>
    </row>
    <row r="371" spans="1:7" x14ac:dyDescent="0.35">
      <c r="A371" s="2">
        <v>44368</v>
      </c>
      <c r="B371" s="3">
        <v>4224.79</v>
      </c>
      <c r="C371" s="3">
        <v>130.08000000000001</v>
      </c>
      <c r="D371" s="3">
        <v>59.3</v>
      </c>
      <c r="E371" s="10">
        <f t="shared" si="16"/>
        <v>1.400232812106233E-2</v>
      </c>
      <c r="F371" s="10">
        <f t="shared" si="17"/>
        <v>1.3005217662175968E-2</v>
      </c>
      <c r="G371" s="10">
        <f t="shared" si="18"/>
        <v>9.1899251191286443E-3</v>
      </c>
    </row>
    <row r="372" spans="1:7" x14ac:dyDescent="0.35">
      <c r="A372" s="2">
        <v>44369</v>
      </c>
      <c r="B372" s="3">
        <v>4246.4399999999996</v>
      </c>
      <c r="C372" s="3">
        <v>132.47999999999999</v>
      </c>
      <c r="D372" s="3">
        <v>59.24</v>
      </c>
      <c r="E372" s="10">
        <f t="shared" si="16"/>
        <v>5.1245150646540153E-3</v>
      </c>
      <c r="F372" s="10">
        <f t="shared" si="17"/>
        <v>1.8450184501844841E-2</v>
      </c>
      <c r="G372" s="10">
        <f t="shared" si="18"/>
        <v>-1.0118043844855847E-3</v>
      </c>
    </row>
    <row r="373" spans="1:7" x14ac:dyDescent="0.35">
      <c r="A373" s="2">
        <v>44370</v>
      </c>
      <c r="B373" s="3">
        <v>4241.84</v>
      </c>
      <c r="C373" s="3">
        <v>133.1</v>
      </c>
      <c r="D373" s="3">
        <v>60.12</v>
      </c>
      <c r="E373" s="10">
        <f t="shared" si="16"/>
        <v>-1.08326033100655E-3</v>
      </c>
      <c r="F373" s="10">
        <f t="shared" si="17"/>
        <v>4.6799516908212907E-3</v>
      </c>
      <c r="G373" s="10">
        <f t="shared" si="18"/>
        <v>1.4854827819041112E-2</v>
      </c>
    </row>
    <row r="374" spans="1:7" x14ac:dyDescent="0.35">
      <c r="A374" s="2">
        <v>44371</v>
      </c>
      <c r="B374" s="3">
        <v>4266.49</v>
      </c>
      <c r="C374" s="3">
        <v>133.6</v>
      </c>
      <c r="D374" s="3">
        <v>60.04</v>
      </c>
      <c r="E374" s="10">
        <f t="shared" si="16"/>
        <v>5.8111574222506355E-3</v>
      </c>
      <c r="F374" s="10">
        <f t="shared" si="17"/>
        <v>3.7565740045078888E-3</v>
      </c>
      <c r="G374" s="10">
        <f t="shared" si="18"/>
        <v>-1.3306719893545957E-3</v>
      </c>
    </row>
    <row r="375" spans="1:7" x14ac:dyDescent="0.35">
      <c r="A375" s="2">
        <v>44372</v>
      </c>
      <c r="B375" s="3">
        <v>4280.7</v>
      </c>
      <c r="C375" s="3">
        <v>154.35</v>
      </c>
      <c r="D375" s="3">
        <v>60.3</v>
      </c>
      <c r="E375" s="10">
        <f t="shared" si="16"/>
        <v>3.3306066579319388E-3</v>
      </c>
      <c r="F375" s="10">
        <f t="shared" si="17"/>
        <v>0.15531437125748504</v>
      </c>
      <c r="G375" s="10">
        <f t="shared" si="18"/>
        <v>4.3304463690872425E-3</v>
      </c>
    </row>
    <row r="376" spans="1:7" x14ac:dyDescent="0.35">
      <c r="A376" s="2">
        <v>44375</v>
      </c>
      <c r="B376" s="3">
        <v>4290.6099999999997</v>
      </c>
      <c r="C376" s="3">
        <v>152.36000000000001</v>
      </c>
      <c r="D376" s="3">
        <v>58.64</v>
      </c>
      <c r="E376" s="10">
        <f t="shared" si="16"/>
        <v>2.3150419323942008E-3</v>
      </c>
      <c r="F376" s="10">
        <f t="shared" si="17"/>
        <v>-1.2892776158082157E-2</v>
      </c>
      <c r="G376" s="10">
        <f t="shared" si="18"/>
        <v>-2.7529021558872251E-2</v>
      </c>
    </row>
    <row r="377" spans="1:7" x14ac:dyDescent="0.35">
      <c r="A377" s="2">
        <v>44376</v>
      </c>
      <c r="B377" s="3">
        <v>4291.8</v>
      </c>
      <c r="C377" s="3">
        <v>155.94999999999999</v>
      </c>
      <c r="D377" s="3">
        <v>58.83</v>
      </c>
      <c r="E377" s="10">
        <f t="shared" si="16"/>
        <v>2.7734984069876064E-4</v>
      </c>
      <c r="F377" s="10">
        <f t="shared" si="17"/>
        <v>2.3562614859543023E-2</v>
      </c>
      <c r="G377" s="10">
        <f t="shared" si="18"/>
        <v>3.2401091405183787E-3</v>
      </c>
    </row>
    <row r="378" spans="1:7" x14ac:dyDescent="0.35">
      <c r="A378" s="2">
        <v>44377</v>
      </c>
      <c r="B378" s="3">
        <v>4297.5</v>
      </c>
      <c r="C378" s="3">
        <v>154.49</v>
      </c>
      <c r="D378" s="3">
        <v>59.17</v>
      </c>
      <c r="E378" s="10">
        <f t="shared" si="16"/>
        <v>1.3281140780091844E-3</v>
      </c>
      <c r="F378" s="10">
        <f t="shared" si="17"/>
        <v>-9.3619749919844793E-3</v>
      </c>
      <c r="G378" s="10">
        <f t="shared" si="18"/>
        <v>5.7793642699303658E-3</v>
      </c>
    </row>
    <row r="379" spans="1:7" x14ac:dyDescent="0.35">
      <c r="A379" s="2">
        <v>44378</v>
      </c>
      <c r="B379" s="3">
        <v>4319.9399999999996</v>
      </c>
      <c r="C379" s="3">
        <v>158</v>
      </c>
      <c r="D379" s="3">
        <v>59.11</v>
      </c>
      <c r="E379" s="10">
        <f t="shared" si="16"/>
        <v>5.2216404886561022E-3</v>
      </c>
      <c r="F379" s="10">
        <f t="shared" si="17"/>
        <v>2.271991714674083E-2</v>
      </c>
      <c r="G379" s="10">
        <f t="shared" si="18"/>
        <v>-1.0140273787392644E-3</v>
      </c>
    </row>
    <row r="380" spans="1:7" x14ac:dyDescent="0.35">
      <c r="A380" s="2">
        <v>44379</v>
      </c>
      <c r="B380" s="3">
        <v>4352.34</v>
      </c>
      <c r="C380" s="3">
        <v>159.74</v>
      </c>
      <c r="D380" s="3">
        <v>58.96</v>
      </c>
      <c r="E380" s="10">
        <f t="shared" si="16"/>
        <v>7.500104168113573E-3</v>
      </c>
      <c r="F380" s="10">
        <f t="shared" si="17"/>
        <v>1.1012658227848159E-2</v>
      </c>
      <c r="G380" s="10">
        <f t="shared" si="18"/>
        <v>-2.5376416849940547E-3</v>
      </c>
    </row>
    <row r="381" spans="1:7" x14ac:dyDescent="0.35">
      <c r="A381" s="2">
        <v>44383</v>
      </c>
      <c r="B381" s="3">
        <v>4343.54</v>
      </c>
      <c r="C381" s="3">
        <v>160.11000000000001</v>
      </c>
      <c r="D381" s="3">
        <v>57.46</v>
      </c>
      <c r="E381" s="10">
        <f t="shared" si="16"/>
        <v>-2.0219008625245688E-3</v>
      </c>
      <c r="F381" s="10">
        <f t="shared" si="17"/>
        <v>2.3162639288844657E-3</v>
      </c>
      <c r="G381" s="10">
        <f t="shared" si="18"/>
        <v>-2.5440976933514246E-2</v>
      </c>
    </row>
    <row r="382" spans="1:7" x14ac:dyDescent="0.35">
      <c r="A382" s="2">
        <v>44384</v>
      </c>
      <c r="B382" s="3">
        <v>4358.13</v>
      </c>
      <c r="C382" s="3">
        <v>160.16</v>
      </c>
      <c r="D382" s="3">
        <v>56.59</v>
      </c>
      <c r="E382" s="10">
        <f t="shared" si="16"/>
        <v>3.3590113133527368E-3</v>
      </c>
      <c r="F382" s="10">
        <f t="shared" si="17"/>
        <v>3.1228530385349411E-4</v>
      </c>
      <c r="G382" s="10">
        <f t="shared" si="18"/>
        <v>-1.5140967629655368E-2</v>
      </c>
    </row>
    <row r="383" spans="1:7" x14ac:dyDescent="0.35">
      <c r="A383" s="2">
        <v>44385</v>
      </c>
      <c r="B383" s="3">
        <v>4320.82</v>
      </c>
      <c r="C383" s="3">
        <v>160.63</v>
      </c>
      <c r="D383" s="3">
        <v>56.06</v>
      </c>
      <c r="E383" s="10">
        <f t="shared" si="16"/>
        <v>-8.5610112594164001E-3</v>
      </c>
      <c r="F383" s="10">
        <f t="shared" si="17"/>
        <v>2.9345654345654276E-3</v>
      </c>
      <c r="G383" s="10">
        <f t="shared" si="18"/>
        <v>-9.3656122989927738E-3</v>
      </c>
    </row>
    <row r="384" spans="1:7" x14ac:dyDescent="0.35">
      <c r="A384" s="2">
        <v>44386</v>
      </c>
      <c r="B384" s="3">
        <v>4369.55</v>
      </c>
      <c r="C384" s="3">
        <v>161</v>
      </c>
      <c r="D384" s="3">
        <v>58.76</v>
      </c>
      <c r="E384" s="10">
        <f t="shared" si="16"/>
        <v>1.1277951870246961E-2</v>
      </c>
      <c r="F384" s="10">
        <f t="shared" si="17"/>
        <v>2.3034302434165759E-3</v>
      </c>
      <c r="G384" s="10">
        <f t="shared" si="18"/>
        <v>4.8162682839814404E-2</v>
      </c>
    </row>
    <row r="385" spans="1:7" x14ac:dyDescent="0.35">
      <c r="A385" s="2">
        <v>44389</v>
      </c>
      <c r="B385" s="3">
        <v>4384.63</v>
      </c>
      <c r="C385" s="3">
        <v>161.82</v>
      </c>
      <c r="D385" s="3">
        <v>58.97</v>
      </c>
      <c r="E385" s="10">
        <f t="shared" si="16"/>
        <v>3.4511562975592285E-3</v>
      </c>
      <c r="F385" s="10">
        <f t="shared" si="17"/>
        <v>5.0931677018633114E-3</v>
      </c>
      <c r="G385" s="10">
        <f t="shared" si="18"/>
        <v>3.5738597685500487E-3</v>
      </c>
    </row>
    <row r="386" spans="1:7" x14ac:dyDescent="0.35">
      <c r="A386" s="2">
        <v>44390</v>
      </c>
      <c r="B386" s="3">
        <v>4369.21</v>
      </c>
      <c r="C386" s="3">
        <v>161.59</v>
      </c>
      <c r="D386" s="3">
        <v>58.73</v>
      </c>
      <c r="E386" s="10">
        <f t="shared" si="16"/>
        <v>-3.5168303824952328E-3</v>
      </c>
      <c r="F386" s="10">
        <f t="shared" si="17"/>
        <v>-1.4213323445803347E-3</v>
      </c>
      <c r="G386" s="10">
        <f t="shared" si="18"/>
        <v>-4.0698660335764282E-3</v>
      </c>
    </row>
    <row r="387" spans="1:7" x14ac:dyDescent="0.35">
      <c r="A387" s="2">
        <v>44391</v>
      </c>
      <c r="B387" s="3">
        <v>4374.3</v>
      </c>
      <c r="C387" s="3">
        <v>161.54</v>
      </c>
      <c r="D387" s="3">
        <v>58</v>
      </c>
      <c r="E387" s="10">
        <f t="shared" si="16"/>
        <v>1.1649703264434864E-3</v>
      </c>
      <c r="F387" s="10">
        <f t="shared" si="17"/>
        <v>-3.0942508818622048E-4</v>
      </c>
      <c r="G387" s="10">
        <f t="shared" si="18"/>
        <v>-1.2429763323684607E-2</v>
      </c>
    </row>
    <row r="388" spans="1:7" x14ac:dyDescent="0.35">
      <c r="A388" s="2">
        <v>44392</v>
      </c>
      <c r="B388" s="3">
        <v>4360.03</v>
      </c>
      <c r="C388" s="3">
        <v>161.69</v>
      </c>
      <c r="D388" s="3">
        <v>56.95</v>
      </c>
      <c r="E388" s="10">
        <f t="shared" ref="E388:E451" si="19">(B388-B387)/B387</f>
        <v>-3.2622362435133475E-3</v>
      </c>
      <c r="F388" s="10">
        <f t="shared" ref="F388:F451" si="20">(C388-C387)/C387</f>
        <v>9.2856258511827216E-4</v>
      </c>
      <c r="G388" s="10">
        <f t="shared" ref="G388:G451" si="21">(D388-D387)/D387</f>
        <v>-1.8103448275862018E-2</v>
      </c>
    </row>
    <row r="389" spans="1:7" x14ac:dyDescent="0.35">
      <c r="A389" s="2">
        <v>44393</v>
      </c>
      <c r="B389" s="3">
        <v>4327.16</v>
      </c>
      <c r="C389" s="3">
        <v>159.85</v>
      </c>
      <c r="D389" s="3">
        <v>55.46</v>
      </c>
      <c r="E389" s="10">
        <f t="shared" si="19"/>
        <v>-7.5389389522548915E-3</v>
      </c>
      <c r="F389" s="10">
        <f t="shared" si="20"/>
        <v>-1.1379800853485085E-2</v>
      </c>
      <c r="G389" s="10">
        <f t="shared" si="21"/>
        <v>-2.6163301141352097E-2</v>
      </c>
    </row>
    <row r="390" spans="1:7" x14ac:dyDescent="0.35">
      <c r="A390" s="2">
        <v>44396</v>
      </c>
      <c r="B390" s="3">
        <v>4258.49</v>
      </c>
      <c r="C390" s="3">
        <v>157.87</v>
      </c>
      <c r="D390" s="3">
        <v>54.18</v>
      </c>
      <c r="E390" s="10">
        <f t="shared" si="19"/>
        <v>-1.5869531055010693E-2</v>
      </c>
      <c r="F390" s="10">
        <f t="shared" si="20"/>
        <v>-1.2386612449171034E-2</v>
      </c>
      <c r="G390" s="10">
        <f t="shared" si="21"/>
        <v>-2.307969707897586E-2</v>
      </c>
    </row>
    <row r="391" spans="1:7" x14ac:dyDescent="0.35">
      <c r="A391" s="2">
        <v>44397</v>
      </c>
      <c r="B391" s="3">
        <v>4323.0600000000004</v>
      </c>
      <c r="C391" s="3">
        <v>159.74</v>
      </c>
      <c r="D391" s="3">
        <v>56.15</v>
      </c>
      <c r="E391" s="10">
        <f t="shared" si="19"/>
        <v>1.5162651550197517E-2</v>
      </c>
      <c r="F391" s="10">
        <f t="shared" si="20"/>
        <v>1.1845189079622502E-2</v>
      </c>
      <c r="G391" s="10">
        <f t="shared" si="21"/>
        <v>3.6360280546327034E-2</v>
      </c>
    </row>
    <row r="392" spans="1:7" x14ac:dyDescent="0.35">
      <c r="A392" s="2">
        <v>44398</v>
      </c>
      <c r="B392" s="3">
        <v>4358.6899999999996</v>
      </c>
      <c r="C392" s="3">
        <v>161.08000000000001</v>
      </c>
      <c r="D392" s="3">
        <v>57.05</v>
      </c>
      <c r="E392" s="10">
        <f t="shared" si="19"/>
        <v>8.2418472100778614E-3</v>
      </c>
      <c r="F392" s="10">
        <f t="shared" si="20"/>
        <v>8.3886315262301451E-3</v>
      </c>
      <c r="G392" s="10">
        <f t="shared" si="21"/>
        <v>1.6028495102404249E-2</v>
      </c>
    </row>
    <row r="393" spans="1:7" x14ac:dyDescent="0.35">
      <c r="A393" s="2">
        <v>44399</v>
      </c>
      <c r="B393" s="3">
        <v>4367.4799999999996</v>
      </c>
      <c r="C393" s="3">
        <v>163.68</v>
      </c>
      <c r="D393" s="3">
        <v>55.64</v>
      </c>
      <c r="E393" s="10">
        <f t="shared" si="19"/>
        <v>2.0166609692361614E-3</v>
      </c>
      <c r="F393" s="10">
        <f t="shared" si="20"/>
        <v>1.6141047926496115E-2</v>
      </c>
      <c r="G393" s="10">
        <f t="shared" si="21"/>
        <v>-2.4715162138474963E-2</v>
      </c>
    </row>
    <row r="394" spans="1:7" x14ac:dyDescent="0.35">
      <c r="A394" s="2">
        <v>44400</v>
      </c>
      <c r="B394" s="3">
        <v>4411.79</v>
      </c>
      <c r="C394" s="3">
        <v>166.36</v>
      </c>
      <c r="D394" s="3">
        <v>54.94</v>
      </c>
      <c r="E394" s="10">
        <f t="shared" si="19"/>
        <v>1.0145438559535569E-2</v>
      </c>
      <c r="F394" s="10">
        <f t="shared" si="20"/>
        <v>1.6373411534701898E-2</v>
      </c>
      <c r="G394" s="10">
        <f t="shared" si="21"/>
        <v>-1.2580877066858426E-2</v>
      </c>
    </row>
    <row r="395" spans="1:7" x14ac:dyDescent="0.35">
      <c r="A395" s="2">
        <v>44403</v>
      </c>
      <c r="B395" s="3">
        <v>4422.3</v>
      </c>
      <c r="C395" s="3">
        <v>165.09</v>
      </c>
      <c r="D395" s="3">
        <v>55.77</v>
      </c>
      <c r="E395" s="10">
        <f t="shared" si="19"/>
        <v>2.3822530084161345E-3</v>
      </c>
      <c r="F395" s="10">
        <f t="shared" si="20"/>
        <v>-7.6340466458283849E-3</v>
      </c>
      <c r="G395" s="10">
        <f t="shared" si="21"/>
        <v>1.5107389879869046E-2</v>
      </c>
    </row>
    <row r="396" spans="1:7" x14ac:dyDescent="0.35">
      <c r="A396" s="2">
        <v>44404</v>
      </c>
      <c r="B396" s="3">
        <v>4401.46</v>
      </c>
      <c r="C396" s="3">
        <v>164.57</v>
      </c>
      <c r="D396" s="3">
        <v>55</v>
      </c>
      <c r="E396" s="10">
        <f t="shared" si="19"/>
        <v>-4.7124799312575228E-3</v>
      </c>
      <c r="F396" s="10">
        <f t="shared" si="20"/>
        <v>-3.1497970803804603E-3</v>
      </c>
      <c r="G396" s="10">
        <f t="shared" si="21"/>
        <v>-1.3806706114398477E-2</v>
      </c>
    </row>
    <row r="397" spans="1:7" x14ac:dyDescent="0.35">
      <c r="A397" s="2">
        <v>44405</v>
      </c>
      <c r="B397" s="3">
        <v>4400.6400000000003</v>
      </c>
      <c r="C397" s="3">
        <v>165.46</v>
      </c>
      <c r="D397" s="3">
        <v>55.49</v>
      </c>
      <c r="E397" s="10">
        <f t="shared" si="19"/>
        <v>-1.8630181803304106E-4</v>
      </c>
      <c r="F397" s="10">
        <f t="shared" si="20"/>
        <v>5.4080330558425888E-3</v>
      </c>
      <c r="G397" s="10">
        <f t="shared" si="21"/>
        <v>8.9090909090909446E-3</v>
      </c>
    </row>
    <row r="398" spans="1:7" x14ac:dyDescent="0.35">
      <c r="A398" s="2">
        <v>44406</v>
      </c>
      <c r="B398" s="3">
        <v>4419.1499999999996</v>
      </c>
      <c r="C398" s="3">
        <v>166.99</v>
      </c>
      <c r="D398" s="3">
        <v>57.28</v>
      </c>
      <c r="E398" s="10">
        <f t="shared" si="19"/>
        <v>4.2062063699823907E-3</v>
      </c>
      <c r="F398" s="10">
        <f t="shared" si="20"/>
        <v>9.2469479028163964E-3</v>
      </c>
      <c r="G398" s="10">
        <f t="shared" si="21"/>
        <v>3.2258064516129017E-2</v>
      </c>
    </row>
    <row r="399" spans="1:7" x14ac:dyDescent="0.35">
      <c r="A399" s="2">
        <v>44407</v>
      </c>
      <c r="B399" s="3">
        <v>4395.26</v>
      </c>
      <c r="C399" s="3">
        <v>167.51</v>
      </c>
      <c r="D399" s="3">
        <v>56.84</v>
      </c>
      <c r="E399" s="10">
        <f t="shared" si="19"/>
        <v>-5.4060169942182143E-3</v>
      </c>
      <c r="F399" s="10">
        <f t="shared" si="20"/>
        <v>3.1139589196956812E-3</v>
      </c>
      <c r="G399" s="10">
        <f t="shared" si="21"/>
        <v>-7.6815642458100157E-3</v>
      </c>
    </row>
    <row r="400" spans="1:7" x14ac:dyDescent="0.35">
      <c r="A400" s="2">
        <v>44410</v>
      </c>
      <c r="B400" s="3">
        <v>4387.16</v>
      </c>
      <c r="C400" s="3">
        <v>168.75</v>
      </c>
      <c r="D400" s="3">
        <v>57.03</v>
      </c>
      <c r="E400" s="10">
        <f t="shared" si="19"/>
        <v>-1.8428943907755999E-3</v>
      </c>
      <c r="F400" s="10">
        <f t="shared" si="20"/>
        <v>7.4025431317533827E-3</v>
      </c>
      <c r="G400" s="10">
        <f t="shared" si="21"/>
        <v>3.342716396903549E-3</v>
      </c>
    </row>
    <row r="401" spans="1:7" x14ac:dyDescent="0.35">
      <c r="A401" s="2">
        <v>44411</v>
      </c>
      <c r="B401" s="3">
        <v>4423.1499999999996</v>
      </c>
      <c r="C401" s="3">
        <v>171.23</v>
      </c>
      <c r="D401" s="3">
        <v>57.88</v>
      </c>
      <c r="E401" s="10">
        <f t="shared" si="19"/>
        <v>8.2034847144849474E-3</v>
      </c>
      <c r="F401" s="10">
        <f t="shared" si="20"/>
        <v>1.4696296296296235E-2</v>
      </c>
      <c r="G401" s="10">
        <f t="shared" si="21"/>
        <v>1.4904436261616718E-2</v>
      </c>
    </row>
    <row r="402" spans="1:7" x14ac:dyDescent="0.35">
      <c r="A402" s="2">
        <v>44412</v>
      </c>
      <c r="B402" s="3">
        <v>4402.66</v>
      </c>
      <c r="C402" s="3">
        <v>171.91</v>
      </c>
      <c r="D402" s="3">
        <v>52.72</v>
      </c>
      <c r="E402" s="10">
        <f t="shared" si="19"/>
        <v>-4.6324452030792043E-3</v>
      </c>
      <c r="F402" s="10">
        <f t="shared" si="20"/>
        <v>3.9712667172808903E-3</v>
      </c>
      <c r="G402" s="10">
        <f t="shared" si="21"/>
        <v>-8.9149965445749893E-2</v>
      </c>
    </row>
    <row r="403" spans="1:7" x14ac:dyDescent="0.35">
      <c r="A403" s="2">
        <v>44413</v>
      </c>
      <c r="B403" s="3">
        <v>4429.1000000000004</v>
      </c>
      <c r="C403" s="3">
        <v>173.85</v>
      </c>
      <c r="D403" s="3">
        <v>54.44</v>
      </c>
      <c r="E403" s="10">
        <f t="shared" si="19"/>
        <v>6.0054603353428401E-3</v>
      </c>
      <c r="F403" s="10">
        <f t="shared" si="20"/>
        <v>1.128497469606188E-2</v>
      </c>
      <c r="G403" s="10">
        <f t="shared" si="21"/>
        <v>3.2625189681335334E-2</v>
      </c>
    </row>
    <row r="404" spans="1:7" x14ac:dyDescent="0.35">
      <c r="A404" s="2">
        <v>44414</v>
      </c>
      <c r="B404" s="3">
        <v>4436.5200000000004</v>
      </c>
      <c r="C404" s="3">
        <v>172.8</v>
      </c>
      <c r="D404" s="3">
        <v>55.05</v>
      </c>
      <c r="E404" s="10">
        <f t="shared" si="19"/>
        <v>1.6752839177259652E-3</v>
      </c>
      <c r="F404" s="10">
        <f t="shared" si="20"/>
        <v>-6.0396893874028355E-3</v>
      </c>
      <c r="G404" s="10">
        <f t="shared" si="21"/>
        <v>1.1204996326230702E-2</v>
      </c>
    </row>
    <row r="405" spans="1:7" x14ac:dyDescent="0.35">
      <c r="A405" s="2">
        <v>44417</v>
      </c>
      <c r="B405" s="3">
        <v>4432.3500000000004</v>
      </c>
      <c r="C405" s="3">
        <v>171.77</v>
      </c>
      <c r="D405" s="3">
        <v>53.95</v>
      </c>
      <c r="E405" s="10">
        <f t="shared" si="19"/>
        <v>-9.3992588785806722E-4</v>
      </c>
      <c r="F405" s="10">
        <f t="shared" si="20"/>
        <v>-5.9606481481481541E-3</v>
      </c>
      <c r="G405" s="10">
        <f t="shared" si="21"/>
        <v>-1.998183469573105E-2</v>
      </c>
    </row>
    <row r="406" spans="1:7" x14ac:dyDescent="0.35">
      <c r="A406" s="2">
        <v>44418</v>
      </c>
      <c r="B406" s="3">
        <v>4436.75</v>
      </c>
      <c r="C406" s="3">
        <v>172.27</v>
      </c>
      <c r="D406" s="3">
        <v>54.26</v>
      </c>
      <c r="E406" s="10">
        <f t="shared" si="19"/>
        <v>9.9270138865379222E-4</v>
      </c>
      <c r="F406" s="10">
        <f t="shared" si="20"/>
        <v>2.9108691855388017E-3</v>
      </c>
      <c r="G406" s="10">
        <f t="shared" si="21"/>
        <v>5.7460611677478245E-3</v>
      </c>
    </row>
    <row r="407" spans="1:7" x14ac:dyDescent="0.35">
      <c r="A407" s="2">
        <v>44419</v>
      </c>
      <c r="B407" s="3">
        <v>4447.7</v>
      </c>
      <c r="C407" s="3">
        <v>171.27</v>
      </c>
      <c r="D407" s="3">
        <v>54.27</v>
      </c>
      <c r="E407" s="10">
        <f t="shared" si="19"/>
        <v>2.4680227644108452E-3</v>
      </c>
      <c r="F407" s="10">
        <f t="shared" si="20"/>
        <v>-5.8048412375921515E-3</v>
      </c>
      <c r="G407" s="10">
        <f t="shared" si="21"/>
        <v>1.8429782528575593E-4</v>
      </c>
    </row>
    <row r="408" spans="1:7" x14ac:dyDescent="0.35">
      <c r="A408" s="2">
        <v>44420</v>
      </c>
      <c r="B408" s="3">
        <v>4460.83</v>
      </c>
      <c r="C408" s="3">
        <v>170.64</v>
      </c>
      <c r="D408" s="3">
        <v>54.62</v>
      </c>
      <c r="E408" s="10">
        <f t="shared" si="19"/>
        <v>2.9520875958360749E-3</v>
      </c>
      <c r="F408" s="10">
        <f t="shared" si="20"/>
        <v>-3.6784025223332972E-3</v>
      </c>
      <c r="G408" s="10">
        <f t="shared" si="21"/>
        <v>6.4492353049565932E-3</v>
      </c>
    </row>
    <row r="409" spans="1:7" x14ac:dyDescent="0.35">
      <c r="A409" s="2">
        <v>44421</v>
      </c>
      <c r="B409" s="3">
        <v>4468</v>
      </c>
      <c r="C409" s="3">
        <v>171.69</v>
      </c>
      <c r="D409" s="3">
        <v>53.65</v>
      </c>
      <c r="E409" s="10">
        <f t="shared" si="19"/>
        <v>1.6073241975148285E-3</v>
      </c>
      <c r="F409" s="10">
        <f t="shared" si="20"/>
        <v>6.1533052039381827E-3</v>
      </c>
      <c r="G409" s="10">
        <f t="shared" si="21"/>
        <v>-1.7759062614426929E-2</v>
      </c>
    </row>
    <row r="410" spans="1:7" x14ac:dyDescent="0.35">
      <c r="A410" s="2">
        <v>44424</v>
      </c>
      <c r="B410" s="3">
        <v>4479.71</v>
      </c>
      <c r="C410" s="3">
        <v>172.36</v>
      </c>
      <c r="D410" s="3">
        <v>52.95</v>
      </c>
      <c r="E410" s="10">
        <f t="shared" si="19"/>
        <v>2.6208594449418166E-3</v>
      </c>
      <c r="F410" s="10">
        <f t="shared" si="20"/>
        <v>3.9023822004776976E-3</v>
      </c>
      <c r="G410" s="10">
        <f t="shared" si="21"/>
        <v>-1.3047530288909519E-2</v>
      </c>
    </row>
    <row r="411" spans="1:7" x14ac:dyDescent="0.35">
      <c r="A411" s="2">
        <v>44425</v>
      </c>
      <c r="B411" s="3">
        <v>4448.08</v>
      </c>
      <c r="C411" s="3">
        <v>170.66</v>
      </c>
      <c r="D411" s="3">
        <v>50.47</v>
      </c>
      <c r="E411" s="10">
        <f t="shared" si="19"/>
        <v>-7.0607249129966245E-3</v>
      </c>
      <c r="F411" s="10">
        <f t="shared" si="20"/>
        <v>-9.8630772801114926E-3</v>
      </c>
      <c r="G411" s="10">
        <f t="shared" si="21"/>
        <v>-4.6836638338054841E-2</v>
      </c>
    </row>
    <row r="412" spans="1:7" x14ac:dyDescent="0.35">
      <c r="A412" s="2">
        <v>44426</v>
      </c>
      <c r="B412" s="3">
        <v>4400.2700000000004</v>
      </c>
      <c r="C412" s="3">
        <v>168.81</v>
      </c>
      <c r="D412" s="3">
        <v>50.84</v>
      </c>
      <c r="E412" s="10">
        <f t="shared" si="19"/>
        <v>-1.0748457761550936E-2</v>
      </c>
      <c r="F412" s="10">
        <f t="shared" si="20"/>
        <v>-1.0840267197937386E-2</v>
      </c>
      <c r="G412" s="10">
        <f t="shared" si="21"/>
        <v>7.3310877749158815E-3</v>
      </c>
    </row>
    <row r="413" spans="1:7" x14ac:dyDescent="0.35">
      <c r="A413" s="2">
        <v>44427</v>
      </c>
      <c r="B413" s="3">
        <v>4405.8</v>
      </c>
      <c r="C413" s="3">
        <v>165.59</v>
      </c>
      <c r="D413" s="3">
        <v>49.08</v>
      </c>
      <c r="E413" s="10">
        <f t="shared" si="19"/>
        <v>1.2567410636164927E-3</v>
      </c>
      <c r="F413" s="10">
        <f t="shared" si="20"/>
        <v>-1.9074699366151287E-2</v>
      </c>
      <c r="G413" s="10">
        <f t="shared" si="21"/>
        <v>-3.4618410700236135E-2</v>
      </c>
    </row>
    <row r="414" spans="1:7" x14ac:dyDescent="0.35">
      <c r="A414" s="2">
        <v>44428</v>
      </c>
      <c r="B414" s="3">
        <v>4441.67</v>
      </c>
      <c r="C414" s="3">
        <v>167.79</v>
      </c>
      <c r="D414" s="3">
        <v>48.8</v>
      </c>
      <c r="E414" s="10">
        <f t="shared" si="19"/>
        <v>8.1415406963547803E-3</v>
      </c>
      <c r="F414" s="10">
        <f t="shared" si="20"/>
        <v>1.3285826438794545E-2</v>
      </c>
      <c r="G414" s="10">
        <f t="shared" si="21"/>
        <v>-5.704971475142648E-3</v>
      </c>
    </row>
    <row r="415" spans="1:7" x14ac:dyDescent="0.35">
      <c r="A415" s="2">
        <v>44431</v>
      </c>
      <c r="B415" s="3">
        <v>4479.53</v>
      </c>
      <c r="C415" s="3">
        <v>169.72</v>
      </c>
      <c r="D415" s="3">
        <v>48.18</v>
      </c>
      <c r="E415" s="10">
        <f t="shared" si="19"/>
        <v>8.5238209952562156E-3</v>
      </c>
      <c r="F415" s="10">
        <f t="shared" si="20"/>
        <v>1.1502473329757476E-2</v>
      </c>
      <c r="G415" s="10">
        <f t="shared" si="21"/>
        <v>-1.2704918032786833E-2</v>
      </c>
    </row>
    <row r="416" spans="1:7" x14ac:dyDescent="0.35">
      <c r="A416" s="2">
        <v>44432</v>
      </c>
      <c r="B416" s="3">
        <v>4486.2299999999996</v>
      </c>
      <c r="C416" s="3">
        <v>169.98</v>
      </c>
      <c r="D416" s="3">
        <v>49.57</v>
      </c>
      <c r="E416" s="10">
        <f t="shared" si="19"/>
        <v>1.4956926284676781E-3</v>
      </c>
      <c r="F416" s="10">
        <f t="shared" si="20"/>
        <v>1.5319349516850749E-3</v>
      </c>
      <c r="G416" s="10">
        <f t="shared" si="21"/>
        <v>2.8850145288501466E-2</v>
      </c>
    </row>
    <row r="417" spans="1:7" x14ac:dyDescent="0.35">
      <c r="A417" s="2">
        <v>44433</v>
      </c>
      <c r="B417" s="3">
        <v>4496.1899999999996</v>
      </c>
      <c r="C417" s="3">
        <v>169.84</v>
      </c>
      <c r="D417" s="3">
        <v>49.7</v>
      </c>
      <c r="E417" s="10">
        <f t="shared" si="19"/>
        <v>2.2201269217137858E-3</v>
      </c>
      <c r="F417" s="10">
        <f t="shared" si="20"/>
        <v>-8.2362630897744654E-4</v>
      </c>
      <c r="G417" s="10">
        <f t="shared" si="21"/>
        <v>2.6225539640912358E-3</v>
      </c>
    </row>
    <row r="418" spans="1:7" x14ac:dyDescent="0.35">
      <c r="A418" s="2">
        <v>44434</v>
      </c>
      <c r="B418" s="3">
        <v>4470</v>
      </c>
      <c r="C418" s="3">
        <v>166.92</v>
      </c>
      <c r="D418" s="3">
        <v>48.62</v>
      </c>
      <c r="E418" s="10">
        <f t="shared" si="19"/>
        <v>-5.8249317755698941E-3</v>
      </c>
      <c r="F418" s="10">
        <f t="shared" si="20"/>
        <v>-1.7192651907677908E-2</v>
      </c>
      <c r="G418" s="10">
        <f t="shared" si="21"/>
        <v>-2.1730382293762684E-2</v>
      </c>
    </row>
    <row r="419" spans="1:7" x14ac:dyDescent="0.35">
      <c r="A419" s="2">
        <v>44435</v>
      </c>
      <c r="B419" s="3">
        <v>4509.37</v>
      </c>
      <c r="C419" s="3">
        <v>167.58</v>
      </c>
      <c r="D419" s="3">
        <v>49.8</v>
      </c>
      <c r="E419" s="10">
        <f t="shared" si="19"/>
        <v>8.8076062639820783E-3</v>
      </c>
      <c r="F419" s="10">
        <f t="shared" si="20"/>
        <v>3.9539899352984964E-3</v>
      </c>
      <c r="G419" s="10">
        <f t="shared" si="21"/>
        <v>2.4269847799259558E-2</v>
      </c>
    </row>
    <row r="420" spans="1:7" x14ac:dyDescent="0.35">
      <c r="A420" s="2">
        <v>44438</v>
      </c>
      <c r="B420" s="3">
        <v>4528.79</v>
      </c>
      <c r="C420" s="3">
        <v>168.03</v>
      </c>
      <c r="D420" s="3">
        <v>49.17</v>
      </c>
      <c r="E420" s="10">
        <f t="shared" si="19"/>
        <v>4.306588281733385E-3</v>
      </c>
      <c r="F420" s="10">
        <f t="shared" si="20"/>
        <v>2.6852846401717902E-3</v>
      </c>
      <c r="G420" s="10">
        <f t="shared" si="21"/>
        <v>-1.2650602409638464E-2</v>
      </c>
    </row>
    <row r="421" spans="1:7" x14ac:dyDescent="0.35">
      <c r="A421" s="2">
        <v>44439</v>
      </c>
      <c r="B421" s="3">
        <v>4522.68</v>
      </c>
      <c r="C421" s="3">
        <v>164.74</v>
      </c>
      <c r="D421" s="3">
        <v>49.01</v>
      </c>
      <c r="E421" s="10">
        <f t="shared" si="19"/>
        <v>-1.3491462399448137E-3</v>
      </c>
      <c r="F421" s="10">
        <f t="shared" si="20"/>
        <v>-1.9579836933880806E-2</v>
      </c>
      <c r="G421" s="10">
        <f t="shared" si="21"/>
        <v>-3.254016676835544E-3</v>
      </c>
    </row>
    <row r="422" spans="1:7" x14ac:dyDescent="0.35">
      <c r="A422" s="2">
        <v>44440</v>
      </c>
      <c r="B422" s="3">
        <v>4524.09</v>
      </c>
      <c r="C422" s="3">
        <v>164.56</v>
      </c>
      <c r="D422" s="3">
        <v>49.11</v>
      </c>
      <c r="E422" s="10">
        <f t="shared" si="19"/>
        <v>3.1176205258825617E-4</v>
      </c>
      <c r="F422" s="10">
        <f t="shared" si="20"/>
        <v>-1.092630812188945E-3</v>
      </c>
      <c r="G422" s="10">
        <f t="shared" si="21"/>
        <v>2.0403999183840325E-3</v>
      </c>
    </row>
    <row r="423" spans="1:7" x14ac:dyDescent="0.35">
      <c r="A423" s="2">
        <v>44441</v>
      </c>
      <c r="B423" s="3">
        <v>4536.95</v>
      </c>
      <c r="C423" s="3">
        <v>163.66999999999999</v>
      </c>
      <c r="D423" s="3">
        <v>48.95</v>
      </c>
      <c r="E423" s="10">
        <f t="shared" si="19"/>
        <v>2.8425606033477832E-3</v>
      </c>
      <c r="F423" s="10">
        <f t="shared" si="20"/>
        <v>-5.4083616917842414E-3</v>
      </c>
      <c r="G423" s="10">
        <f t="shared" si="21"/>
        <v>-3.2579922622683077E-3</v>
      </c>
    </row>
    <row r="424" spans="1:7" x14ac:dyDescent="0.35">
      <c r="A424" s="2">
        <v>44442</v>
      </c>
      <c r="B424" s="3">
        <v>4535.43</v>
      </c>
      <c r="C424" s="3">
        <v>163.29</v>
      </c>
      <c r="D424" s="3">
        <v>48.82</v>
      </c>
      <c r="E424" s="10">
        <f t="shared" si="19"/>
        <v>-3.3502683520857118E-4</v>
      </c>
      <c r="F424" s="10">
        <f t="shared" si="20"/>
        <v>-2.3217449746440735E-3</v>
      </c>
      <c r="G424" s="10">
        <f t="shared" si="21"/>
        <v>-2.6557711950970899E-3</v>
      </c>
    </row>
    <row r="425" spans="1:7" x14ac:dyDescent="0.35">
      <c r="A425" s="2">
        <v>44446</v>
      </c>
      <c r="B425" s="3">
        <v>4520.03</v>
      </c>
      <c r="C425" s="3">
        <v>162.63999999999999</v>
      </c>
      <c r="D425" s="3">
        <v>48.72</v>
      </c>
      <c r="E425" s="10">
        <f t="shared" si="19"/>
        <v>-3.3954884101398421E-3</v>
      </c>
      <c r="F425" s="10">
        <f t="shared" si="20"/>
        <v>-3.9806479270010761E-3</v>
      </c>
      <c r="G425" s="10">
        <f t="shared" si="21"/>
        <v>-2.0483408439164567E-3</v>
      </c>
    </row>
    <row r="426" spans="1:7" x14ac:dyDescent="0.35">
      <c r="A426" s="2">
        <v>44447</v>
      </c>
      <c r="B426" s="3">
        <v>4514.07</v>
      </c>
      <c r="C426" s="3">
        <v>160.71</v>
      </c>
      <c r="D426" s="3">
        <v>48.97</v>
      </c>
      <c r="E426" s="10">
        <f t="shared" si="19"/>
        <v>-1.3185753191903675E-3</v>
      </c>
      <c r="F426" s="10">
        <f t="shared" si="20"/>
        <v>-1.1866699458927561E-2</v>
      </c>
      <c r="G426" s="10">
        <f t="shared" si="21"/>
        <v>5.1313628899835794E-3</v>
      </c>
    </row>
    <row r="427" spans="1:7" x14ac:dyDescent="0.35">
      <c r="A427" s="2">
        <v>44448</v>
      </c>
      <c r="B427" s="3">
        <v>4493.28</v>
      </c>
      <c r="C427" s="3">
        <v>163.34</v>
      </c>
      <c r="D427" s="3">
        <v>48.42</v>
      </c>
      <c r="E427" s="10">
        <f t="shared" si="19"/>
        <v>-4.6055998245485702E-3</v>
      </c>
      <c r="F427" s="10">
        <f t="shared" si="20"/>
        <v>1.636488084126685E-2</v>
      </c>
      <c r="G427" s="10">
        <f t="shared" si="21"/>
        <v>-1.1231366142536189E-2</v>
      </c>
    </row>
    <row r="428" spans="1:7" x14ac:dyDescent="0.35">
      <c r="A428" s="2">
        <v>44449</v>
      </c>
      <c r="B428" s="3">
        <v>4458.58</v>
      </c>
      <c r="C428" s="3">
        <v>163.59</v>
      </c>
      <c r="D428" s="3">
        <v>49.49</v>
      </c>
      <c r="E428" s="10">
        <f t="shared" si="19"/>
        <v>-7.7226435922087694E-3</v>
      </c>
      <c r="F428" s="10">
        <f t="shared" si="20"/>
        <v>1.5305497734786335E-3</v>
      </c>
      <c r="G428" s="10">
        <f t="shared" si="21"/>
        <v>2.2098306484923589E-2</v>
      </c>
    </row>
    <row r="429" spans="1:7" x14ac:dyDescent="0.35">
      <c r="A429" s="2">
        <v>44452</v>
      </c>
      <c r="B429" s="3">
        <v>4468.7299999999996</v>
      </c>
      <c r="C429" s="3">
        <v>159.52000000000001</v>
      </c>
      <c r="D429" s="3">
        <v>50.82</v>
      </c>
      <c r="E429" s="10">
        <f t="shared" si="19"/>
        <v>2.2765095613400759E-3</v>
      </c>
      <c r="F429" s="10">
        <f t="shared" si="20"/>
        <v>-2.4879271349104427E-2</v>
      </c>
      <c r="G429" s="10">
        <f t="shared" si="21"/>
        <v>2.6874115983026838E-2</v>
      </c>
    </row>
    <row r="430" spans="1:7" x14ac:dyDescent="0.35">
      <c r="A430" s="2">
        <v>44453</v>
      </c>
      <c r="B430" s="3">
        <v>4443.05</v>
      </c>
      <c r="C430" s="3">
        <v>158.76</v>
      </c>
      <c r="D430" s="3">
        <v>50.74</v>
      </c>
      <c r="E430" s="10">
        <f t="shared" si="19"/>
        <v>-5.7465991456184156E-3</v>
      </c>
      <c r="F430" s="10">
        <f t="shared" si="20"/>
        <v>-4.7642928786360283E-3</v>
      </c>
      <c r="G430" s="10">
        <f t="shared" si="21"/>
        <v>-1.5741833923651771E-3</v>
      </c>
    </row>
    <row r="431" spans="1:7" x14ac:dyDescent="0.35">
      <c r="A431" s="2">
        <v>44454</v>
      </c>
      <c r="B431" s="3">
        <v>4480.7</v>
      </c>
      <c r="C431" s="3">
        <v>157.91</v>
      </c>
      <c r="D431" s="3">
        <v>51.82</v>
      </c>
      <c r="E431" s="10">
        <f t="shared" si="19"/>
        <v>8.4739086888510444E-3</v>
      </c>
      <c r="F431" s="10">
        <f t="shared" si="20"/>
        <v>-5.3539934492315092E-3</v>
      </c>
      <c r="G431" s="10">
        <f t="shared" si="21"/>
        <v>2.1284982262514747E-2</v>
      </c>
    </row>
    <row r="432" spans="1:7" x14ac:dyDescent="0.35">
      <c r="A432" s="2">
        <v>44455</v>
      </c>
      <c r="B432" s="3">
        <v>4473.75</v>
      </c>
      <c r="C432" s="3">
        <v>157.6</v>
      </c>
      <c r="D432" s="3">
        <v>51.52</v>
      </c>
      <c r="E432" s="10">
        <f t="shared" si="19"/>
        <v>-1.5510969268194297E-3</v>
      </c>
      <c r="F432" s="10">
        <f t="shared" si="20"/>
        <v>-1.9631435627889449E-3</v>
      </c>
      <c r="G432" s="10">
        <f t="shared" si="21"/>
        <v>-5.7892705519104045E-3</v>
      </c>
    </row>
    <row r="433" spans="1:7" x14ac:dyDescent="0.35">
      <c r="A433" s="2">
        <v>44456</v>
      </c>
      <c r="B433" s="3">
        <v>4432.99</v>
      </c>
      <c r="C433" s="3">
        <v>156.41999999999999</v>
      </c>
      <c r="D433" s="3">
        <v>51.33</v>
      </c>
      <c r="E433" s="10">
        <f t="shared" si="19"/>
        <v>-9.1109248393406467E-3</v>
      </c>
      <c r="F433" s="10">
        <f t="shared" si="20"/>
        <v>-7.4873096446700944E-3</v>
      </c>
      <c r="G433" s="10">
        <f t="shared" si="21"/>
        <v>-3.6878881987578577E-3</v>
      </c>
    </row>
    <row r="434" spans="1:7" x14ac:dyDescent="0.35">
      <c r="A434" s="2">
        <v>44459</v>
      </c>
      <c r="B434" s="3">
        <v>4357.7299999999996</v>
      </c>
      <c r="C434" s="3">
        <v>154.25</v>
      </c>
      <c r="D434" s="3">
        <v>49.37</v>
      </c>
      <c r="E434" s="10">
        <f t="shared" si="19"/>
        <v>-1.6977254629493913E-2</v>
      </c>
      <c r="F434" s="10">
        <f t="shared" si="20"/>
        <v>-1.387290627796949E-2</v>
      </c>
      <c r="G434" s="10">
        <f t="shared" si="21"/>
        <v>-3.8184297681667659E-2</v>
      </c>
    </row>
    <row r="435" spans="1:7" x14ac:dyDescent="0.35">
      <c r="A435" s="2">
        <v>44460</v>
      </c>
      <c r="B435" s="3">
        <v>4354.1899999999996</v>
      </c>
      <c r="C435" s="3">
        <v>155.02000000000001</v>
      </c>
      <c r="D435" s="3">
        <v>49.37</v>
      </c>
      <c r="E435" s="10">
        <f t="shared" si="19"/>
        <v>-8.1234954896241022E-4</v>
      </c>
      <c r="F435" s="10">
        <f t="shared" si="20"/>
        <v>4.9918962722853176E-3</v>
      </c>
      <c r="G435" s="10">
        <f t="shared" si="21"/>
        <v>0</v>
      </c>
    </row>
    <row r="436" spans="1:7" x14ac:dyDescent="0.35">
      <c r="A436" s="2">
        <v>44461</v>
      </c>
      <c r="B436" s="3">
        <v>4395.6400000000003</v>
      </c>
      <c r="C436" s="3">
        <v>157.44</v>
      </c>
      <c r="D436" s="3">
        <v>50.78</v>
      </c>
      <c r="E436" s="10">
        <f t="shared" si="19"/>
        <v>9.5195662109372192E-3</v>
      </c>
      <c r="F436" s="10">
        <f t="shared" si="20"/>
        <v>1.5610888917558944E-2</v>
      </c>
      <c r="G436" s="10">
        <f t="shared" si="21"/>
        <v>2.8559854162446906E-2</v>
      </c>
    </row>
    <row r="437" spans="1:7" x14ac:dyDescent="0.35">
      <c r="A437" s="2">
        <v>44462</v>
      </c>
      <c r="B437" s="3">
        <v>4448.9799999999996</v>
      </c>
      <c r="C437" s="3">
        <v>159.58000000000001</v>
      </c>
      <c r="D437" s="3">
        <v>51.92</v>
      </c>
      <c r="E437" s="10">
        <f t="shared" si="19"/>
        <v>1.2134751708510987E-2</v>
      </c>
      <c r="F437" s="10">
        <f t="shared" si="20"/>
        <v>1.3592479674796843E-2</v>
      </c>
      <c r="G437" s="10">
        <f t="shared" si="21"/>
        <v>2.2449783379283193E-2</v>
      </c>
    </row>
    <row r="438" spans="1:7" x14ac:dyDescent="0.35">
      <c r="A438" s="2">
        <v>44463</v>
      </c>
      <c r="B438" s="3">
        <v>4455.4799999999996</v>
      </c>
      <c r="C438" s="3">
        <v>149.59</v>
      </c>
      <c r="D438" s="3">
        <v>52.23</v>
      </c>
      <c r="E438" s="10">
        <f t="shared" si="19"/>
        <v>1.4610090402744002E-3</v>
      </c>
      <c r="F438" s="10">
        <f t="shared" si="20"/>
        <v>-6.2601829803233547E-2</v>
      </c>
      <c r="G438" s="10">
        <f t="shared" si="21"/>
        <v>5.9707241910630805E-3</v>
      </c>
    </row>
    <row r="439" spans="1:7" x14ac:dyDescent="0.35">
      <c r="A439" s="2">
        <v>44466</v>
      </c>
      <c r="B439" s="3">
        <v>4443.1099999999997</v>
      </c>
      <c r="C439" s="3">
        <v>148.04</v>
      </c>
      <c r="D439" s="3">
        <v>53.24</v>
      </c>
      <c r="E439" s="10">
        <f t="shared" si="19"/>
        <v>-2.776356307288977E-3</v>
      </c>
      <c r="F439" s="10">
        <f t="shared" si="20"/>
        <v>-1.0361655190855079E-2</v>
      </c>
      <c r="G439" s="10">
        <f t="shared" si="21"/>
        <v>1.9337545471951084E-2</v>
      </c>
    </row>
    <row r="440" spans="1:7" x14ac:dyDescent="0.35">
      <c r="A440" s="2">
        <v>44467</v>
      </c>
      <c r="B440" s="3">
        <v>4352.63</v>
      </c>
      <c r="C440" s="3">
        <v>145.30000000000001</v>
      </c>
      <c r="D440" s="3">
        <v>52.85</v>
      </c>
      <c r="E440" s="10">
        <f t="shared" si="19"/>
        <v>-2.0364114325326081E-2</v>
      </c>
      <c r="F440" s="10">
        <f t="shared" si="20"/>
        <v>-1.8508511213185495E-2</v>
      </c>
      <c r="G440" s="10">
        <f t="shared" si="21"/>
        <v>-7.3253193087903937E-3</v>
      </c>
    </row>
    <row r="441" spans="1:7" x14ac:dyDescent="0.35">
      <c r="A441" s="2">
        <v>44468</v>
      </c>
      <c r="B441" s="3">
        <v>4359.46</v>
      </c>
      <c r="C441" s="3">
        <v>146.02000000000001</v>
      </c>
      <c r="D441" s="3">
        <v>52.93</v>
      </c>
      <c r="E441" s="10">
        <f t="shared" si="19"/>
        <v>1.5691662282344069E-3</v>
      </c>
      <c r="F441" s="10">
        <f t="shared" si="20"/>
        <v>4.9552649690295858E-3</v>
      </c>
      <c r="G441" s="10">
        <f t="shared" si="21"/>
        <v>1.5137180700094284E-3</v>
      </c>
    </row>
    <row r="442" spans="1:7" x14ac:dyDescent="0.35">
      <c r="A442" s="2">
        <v>44469</v>
      </c>
      <c r="B442" s="3">
        <v>4307.54</v>
      </c>
      <c r="C442" s="3">
        <v>145.22999999999999</v>
      </c>
      <c r="D442" s="3">
        <v>52.71</v>
      </c>
      <c r="E442" s="10">
        <f t="shared" si="19"/>
        <v>-1.1909731939276899E-2</v>
      </c>
      <c r="F442" s="10">
        <f t="shared" si="20"/>
        <v>-5.4102177783866626E-3</v>
      </c>
      <c r="G442" s="10">
        <f t="shared" si="21"/>
        <v>-4.1564330247496478E-3</v>
      </c>
    </row>
    <row r="443" spans="1:7" x14ac:dyDescent="0.35">
      <c r="A443" s="2">
        <v>44470</v>
      </c>
      <c r="B443" s="3">
        <v>4357.04</v>
      </c>
      <c r="C443" s="3">
        <v>147.06</v>
      </c>
      <c r="D443" s="3">
        <v>53.13</v>
      </c>
      <c r="E443" s="10">
        <f t="shared" si="19"/>
        <v>1.1491477734391324E-2</v>
      </c>
      <c r="F443" s="10">
        <f t="shared" si="20"/>
        <v>1.2600702334228553E-2</v>
      </c>
      <c r="G443" s="10">
        <f t="shared" si="21"/>
        <v>7.9681274900398735E-3</v>
      </c>
    </row>
    <row r="444" spans="1:7" x14ac:dyDescent="0.35">
      <c r="A444" s="2">
        <v>44473</v>
      </c>
      <c r="B444" s="3">
        <v>4300.46</v>
      </c>
      <c r="C444" s="3">
        <v>147.13999999999999</v>
      </c>
      <c r="D444" s="3">
        <v>53.98</v>
      </c>
      <c r="E444" s="10">
        <f t="shared" si="19"/>
        <v>-1.298588032242071E-2</v>
      </c>
      <c r="F444" s="10">
        <f t="shared" si="20"/>
        <v>5.4399564803470752E-4</v>
      </c>
      <c r="G444" s="10">
        <f t="shared" si="21"/>
        <v>1.5998494259363717E-2</v>
      </c>
    </row>
    <row r="445" spans="1:7" x14ac:dyDescent="0.35">
      <c r="A445" s="2">
        <v>44474</v>
      </c>
      <c r="B445" s="3">
        <v>4345.72</v>
      </c>
      <c r="C445" s="3">
        <v>149.46</v>
      </c>
      <c r="D445" s="3">
        <v>54.34</v>
      </c>
      <c r="E445" s="10">
        <f t="shared" si="19"/>
        <v>1.0524455523362668E-2</v>
      </c>
      <c r="F445" s="10">
        <f t="shared" si="20"/>
        <v>1.5767296452358446E-2</v>
      </c>
      <c r="G445" s="10">
        <f t="shared" si="21"/>
        <v>6.6691367173028265E-3</v>
      </c>
    </row>
    <row r="446" spans="1:7" x14ac:dyDescent="0.35">
      <c r="A446" s="2">
        <v>44475</v>
      </c>
      <c r="B446" s="3">
        <v>4363.55</v>
      </c>
      <c r="C446" s="3">
        <v>148.80000000000001</v>
      </c>
      <c r="D446" s="3">
        <v>53.93</v>
      </c>
      <c r="E446" s="10">
        <f t="shared" si="19"/>
        <v>4.102887438675277E-3</v>
      </c>
      <c r="F446" s="10">
        <f t="shared" si="20"/>
        <v>-4.4158972300280784E-3</v>
      </c>
      <c r="G446" s="10">
        <f t="shared" si="21"/>
        <v>-7.5450864924549808E-3</v>
      </c>
    </row>
    <row r="447" spans="1:7" x14ac:dyDescent="0.35">
      <c r="A447" s="2">
        <v>44476</v>
      </c>
      <c r="B447" s="3">
        <v>4399.76</v>
      </c>
      <c r="C447" s="3">
        <v>151.85</v>
      </c>
      <c r="D447" s="3">
        <v>56.44</v>
      </c>
      <c r="E447" s="10">
        <f t="shared" si="19"/>
        <v>8.298289236974489E-3</v>
      </c>
      <c r="F447" s="10">
        <f t="shared" si="20"/>
        <v>2.0497311827956874E-2</v>
      </c>
      <c r="G447" s="10">
        <f t="shared" si="21"/>
        <v>4.654181346189501E-2</v>
      </c>
    </row>
    <row r="448" spans="1:7" x14ac:dyDescent="0.35">
      <c r="A448" s="2">
        <v>44477</v>
      </c>
      <c r="B448" s="3">
        <v>4391.34</v>
      </c>
      <c r="C448" s="3">
        <v>152.47999999999999</v>
      </c>
      <c r="D448" s="3">
        <v>58.57</v>
      </c>
      <c r="E448" s="10">
        <f t="shared" si="19"/>
        <v>-1.9137407494954435E-3</v>
      </c>
      <c r="F448" s="10">
        <f t="shared" si="20"/>
        <v>4.1488310833058643E-3</v>
      </c>
      <c r="G448" s="10">
        <f t="shared" si="21"/>
        <v>3.7739192062367165E-2</v>
      </c>
    </row>
    <row r="449" spans="1:7" x14ac:dyDescent="0.35">
      <c r="A449" s="2">
        <v>44480</v>
      </c>
      <c r="B449" s="3">
        <v>4361.1899999999996</v>
      </c>
      <c r="C449" s="3">
        <v>150.28</v>
      </c>
      <c r="D449" s="3">
        <v>58.09</v>
      </c>
      <c r="E449" s="10">
        <f t="shared" si="19"/>
        <v>-6.8657858421348706E-3</v>
      </c>
      <c r="F449" s="10">
        <f t="shared" si="20"/>
        <v>-1.4428121720881353E-2</v>
      </c>
      <c r="G449" s="10">
        <f t="shared" si="21"/>
        <v>-8.1953218371179255E-3</v>
      </c>
    </row>
    <row r="450" spans="1:7" x14ac:dyDescent="0.35">
      <c r="A450" s="2">
        <v>44481</v>
      </c>
      <c r="B450" s="3">
        <v>4350.6499999999996</v>
      </c>
      <c r="C450" s="3">
        <v>153.35</v>
      </c>
      <c r="D450" s="3">
        <v>58.96</v>
      </c>
      <c r="E450" s="10">
        <f t="shared" si="19"/>
        <v>-2.4167715692276566E-3</v>
      </c>
      <c r="F450" s="10">
        <f t="shared" si="20"/>
        <v>2.0428533404311906E-2</v>
      </c>
      <c r="G450" s="10">
        <f t="shared" si="21"/>
        <v>1.4976760199690091E-2</v>
      </c>
    </row>
    <row r="451" spans="1:7" x14ac:dyDescent="0.35">
      <c r="A451" s="2">
        <v>44482</v>
      </c>
      <c r="B451" s="3">
        <v>4363.8</v>
      </c>
      <c r="C451" s="3">
        <v>156.30000000000001</v>
      </c>
      <c r="D451" s="3">
        <v>57.77</v>
      </c>
      <c r="E451" s="10">
        <f t="shared" si="19"/>
        <v>3.0225368623080567E-3</v>
      </c>
      <c r="F451" s="10">
        <f t="shared" si="20"/>
        <v>1.9237039452233564E-2</v>
      </c>
      <c r="G451" s="10">
        <f t="shared" si="21"/>
        <v>-2.0183175033921263E-2</v>
      </c>
    </row>
    <row r="452" spans="1:7" x14ac:dyDescent="0.35">
      <c r="A452" s="2">
        <v>44483</v>
      </c>
      <c r="B452" s="3">
        <v>4438.26</v>
      </c>
      <c r="C452" s="3">
        <v>157.13999999999999</v>
      </c>
      <c r="D452" s="3">
        <v>57.69</v>
      </c>
      <c r="E452" s="10">
        <f t="shared" ref="E452:E515" si="22">(B452-B451)/B451</f>
        <v>1.7063110133370005E-2</v>
      </c>
      <c r="F452" s="10">
        <f t="shared" ref="F452:F515" si="23">(C452-C451)/C451</f>
        <v>5.3742802303261353E-3</v>
      </c>
      <c r="G452" s="10">
        <f t="shared" ref="G452:G515" si="24">(D452-D451)/D451</f>
        <v>-1.3848018002424337E-3</v>
      </c>
    </row>
    <row r="453" spans="1:7" x14ac:dyDescent="0.35">
      <c r="A453" s="2">
        <v>44484</v>
      </c>
      <c r="B453" s="3">
        <v>4471.37</v>
      </c>
      <c r="C453" s="3">
        <v>158.01</v>
      </c>
      <c r="D453" s="3">
        <v>58</v>
      </c>
      <c r="E453" s="10">
        <f t="shared" si="22"/>
        <v>7.4601307719691212E-3</v>
      </c>
      <c r="F453" s="10">
        <f t="shared" si="23"/>
        <v>5.5364642993509265E-3</v>
      </c>
      <c r="G453" s="10">
        <f t="shared" si="24"/>
        <v>5.3735482752643839E-3</v>
      </c>
    </row>
    <row r="454" spans="1:7" x14ac:dyDescent="0.35">
      <c r="A454" s="2">
        <v>44487</v>
      </c>
      <c r="B454" s="3">
        <v>4486.46</v>
      </c>
      <c r="C454" s="3">
        <v>159.43</v>
      </c>
      <c r="D454" s="3">
        <v>56.89</v>
      </c>
      <c r="E454" s="10">
        <f t="shared" si="22"/>
        <v>3.3748045900921075E-3</v>
      </c>
      <c r="F454" s="10">
        <f t="shared" si="23"/>
        <v>8.9867729890514263E-3</v>
      </c>
      <c r="G454" s="10">
        <f t="shared" si="24"/>
        <v>-1.913793103448275E-2</v>
      </c>
    </row>
    <row r="455" spans="1:7" x14ac:dyDescent="0.35">
      <c r="A455" s="2">
        <v>44488</v>
      </c>
      <c r="B455" s="3">
        <v>4519.63</v>
      </c>
      <c r="C455" s="3">
        <v>157.82</v>
      </c>
      <c r="D455" s="3">
        <v>56.85</v>
      </c>
      <c r="E455" s="10">
        <f t="shared" si="22"/>
        <v>7.3933569005407542E-3</v>
      </c>
      <c r="F455" s="10">
        <f t="shared" si="23"/>
        <v>-1.0098475820109224E-2</v>
      </c>
      <c r="G455" s="10">
        <f t="shared" si="24"/>
        <v>-7.0311126735804442E-4</v>
      </c>
    </row>
    <row r="456" spans="1:7" x14ac:dyDescent="0.35">
      <c r="A456" s="2">
        <v>44489</v>
      </c>
      <c r="B456" s="3">
        <v>4536.1899999999996</v>
      </c>
      <c r="C456" s="3">
        <v>158.44999999999999</v>
      </c>
      <c r="D456" s="3">
        <v>57.67</v>
      </c>
      <c r="E456" s="10">
        <f t="shared" si="22"/>
        <v>3.6640167447334164E-3</v>
      </c>
      <c r="F456" s="10">
        <f t="shared" si="23"/>
        <v>3.9918894943606351E-3</v>
      </c>
      <c r="G456" s="10">
        <f t="shared" si="24"/>
        <v>1.4423922603342134E-2</v>
      </c>
    </row>
    <row r="457" spans="1:7" x14ac:dyDescent="0.35">
      <c r="A457" s="2">
        <v>44490</v>
      </c>
      <c r="B457" s="3">
        <v>4549.78</v>
      </c>
      <c r="C457" s="3">
        <v>162.18</v>
      </c>
      <c r="D457" s="3">
        <v>58.41</v>
      </c>
      <c r="E457" s="10">
        <f t="shared" si="22"/>
        <v>2.9959062561312789E-3</v>
      </c>
      <c r="F457" s="10">
        <f t="shared" si="23"/>
        <v>2.3540549069107089E-2</v>
      </c>
      <c r="G457" s="10">
        <f t="shared" si="24"/>
        <v>1.2831628229582016E-2</v>
      </c>
    </row>
    <row r="458" spans="1:7" x14ac:dyDescent="0.35">
      <c r="A458" s="2">
        <v>44491</v>
      </c>
      <c r="B458" s="3">
        <v>4544.8999999999996</v>
      </c>
      <c r="C458" s="3">
        <v>163.47999999999999</v>
      </c>
      <c r="D458" s="3">
        <v>57.77</v>
      </c>
      <c r="E458" s="10">
        <f t="shared" si="22"/>
        <v>-1.0725793335062594E-3</v>
      </c>
      <c r="F458" s="10">
        <f t="shared" si="23"/>
        <v>8.0157849303242254E-3</v>
      </c>
      <c r="G458" s="10">
        <f t="shared" si="24"/>
        <v>-1.0957027906180337E-2</v>
      </c>
    </row>
    <row r="459" spans="1:7" x14ac:dyDescent="0.35">
      <c r="A459" s="2">
        <v>44494</v>
      </c>
      <c r="B459" s="3">
        <v>4566.4799999999996</v>
      </c>
      <c r="C459" s="3">
        <v>164.22</v>
      </c>
      <c r="D459" s="3">
        <v>57.76</v>
      </c>
      <c r="E459" s="10">
        <f t="shared" si="22"/>
        <v>4.7481792778718852E-3</v>
      </c>
      <c r="F459" s="10">
        <f t="shared" si="23"/>
        <v>4.5265475899193119E-3</v>
      </c>
      <c r="G459" s="10">
        <f t="shared" si="24"/>
        <v>-1.7310022503038108E-4</v>
      </c>
    </row>
    <row r="460" spans="1:7" x14ac:dyDescent="0.35">
      <c r="A460" s="2">
        <v>44495</v>
      </c>
      <c r="B460" s="3">
        <v>4574.79</v>
      </c>
      <c r="C460" s="3">
        <v>163.79</v>
      </c>
      <c r="D460" s="3">
        <v>57.37</v>
      </c>
      <c r="E460" s="10">
        <f t="shared" si="22"/>
        <v>1.8197824144637446E-3</v>
      </c>
      <c r="F460" s="10">
        <f t="shared" si="23"/>
        <v>-2.6184386798197954E-3</v>
      </c>
      <c r="G460" s="10">
        <f t="shared" si="24"/>
        <v>-6.7520775623268799E-3</v>
      </c>
    </row>
    <row r="461" spans="1:7" x14ac:dyDescent="0.35">
      <c r="A461" s="2">
        <v>44496</v>
      </c>
      <c r="B461" s="3">
        <v>4551.68</v>
      </c>
      <c r="C461" s="3">
        <v>162.35</v>
      </c>
      <c r="D461" s="3">
        <v>54.26</v>
      </c>
      <c r="E461" s="10">
        <f t="shared" si="22"/>
        <v>-5.0515979968478713E-3</v>
      </c>
      <c r="F461" s="10">
        <f t="shared" si="23"/>
        <v>-8.7917455278099868E-3</v>
      </c>
      <c r="G461" s="10">
        <f t="shared" si="24"/>
        <v>-5.4209517169252215E-2</v>
      </c>
    </row>
    <row r="462" spans="1:7" x14ac:dyDescent="0.35">
      <c r="A462" s="2">
        <v>44497</v>
      </c>
      <c r="B462" s="3">
        <v>4596.42</v>
      </c>
      <c r="C462" s="3">
        <v>164.46</v>
      </c>
      <c r="D462" s="3">
        <v>54.24</v>
      </c>
      <c r="E462" s="10">
        <f t="shared" si="22"/>
        <v>9.8293377390325717E-3</v>
      </c>
      <c r="F462" s="10">
        <f t="shared" si="23"/>
        <v>1.2996612257468516E-2</v>
      </c>
      <c r="G462" s="10">
        <f t="shared" si="24"/>
        <v>-3.6859565057124997E-4</v>
      </c>
    </row>
    <row r="463" spans="1:7" x14ac:dyDescent="0.35">
      <c r="A463" s="2">
        <v>44498</v>
      </c>
      <c r="B463" s="3">
        <v>4605.38</v>
      </c>
      <c r="C463" s="3">
        <v>167.29</v>
      </c>
      <c r="D463" s="3">
        <v>54.43</v>
      </c>
      <c r="E463" s="10">
        <f t="shared" si="22"/>
        <v>1.9493431844783628E-3</v>
      </c>
      <c r="F463" s="10">
        <f t="shared" si="23"/>
        <v>1.7207831691596644E-2</v>
      </c>
      <c r="G463" s="10">
        <f t="shared" si="24"/>
        <v>3.5029498525073325E-3</v>
      </c>
    </row>
    <row r="464" spans="1:7" x14ac:dyDescent="0.35">
      <c r="A464" s="2">
        <v>44501</v>
      </c>
      <c r="B464" s="3">
        <v>4613.67</v>
      </c>
      <c r="C464" s="3">
        <v>166.33</v>
      </c>
      <c r="D464" s="3">
        <v>55.49</v>
      </c>
      <c r="E464" s="10">
        <f t="shared" si="22"/>
        <v>1.8000686154019784E-3</v>
      </c>
      <c r="F464" s="10">
        <f t="shared" si="23"/>
        <v>-5.738537868372166E-3</v>
      </c>
      <c r="G464" s="10">
        <f t="shared" si="24"/>
        <v>1.9474554473635903E-2</v>
      </c>
    </row>
    <row r="465" spans="1:7" x14ac:dyDescent="0.35">
      <c r="A465" s="2">
        <v>44502</v>
      </c>
      <c r="B465" s="3">
        <v>4630.6499999999996</v>
      </c>
      <c r="C465" s="3">
        <v>167.83</v>
      </c>
      <c r="D465" s="3">
        <v>55.59</v>
      </c>
      <c r="E465" s="10">
        <f t="shared" si="22"/>
        <v>3.6803672564356712E-3</v>
      </c>
      <c r="F465" s="10">
        <f t="shared" si="23"/>
        <v>9.0182167979318221E-3</v>
      </c>
      <c r="G465" s="10">
        <f t="shared" si="24"/>
        <v>1.802126509280977E-3</v>
      </c>
    </row>
    <row r="466" spans="1:7" x14ac:dyDescent="0.35">
      <c r="A466" s="2">
        <v>44503</v>
      </c>
      <c r="B466" s="3">
        <v>4660.57</v>
      </c>
      <c r="C466" s="3">
        <v>172.5</v>
      </c>
      <c r="D466" s="3">
        <v>56</v>
      </c>
      <c r="E466" s="10">
        <f t="shared" si="22"/>
        <v>6.4612959303769609E-3</v>
      </c>
      <c r="F466" s="10">
        <f t="shared" si="23"/>
        <v>2.7825776082940994E-2</v>
      </c>
      <c r="G466" s="10">
        <f t="shared" si="24"/>
        <v>7.3754272351141672E-3</v>
      </c>
    </row>
    <row r="467" spans="1:7" x14ac:dyDescent="0.35">
      <c r="A467" s="2">
        <v>44504</v>
      </c>
      <c r="B467" s="3">
        <v>4680.0600000000004</v>
      </c>
      <c r="C467" s="3">
        <v>175.44</v>
      </c>
      <c r="D467" s="3">
        <v>58.64</v>
      </c>
      <c r="E467" s="10">
        <f t="shared" si="22"/>
        <v>4.1818919145084595E-3</v>
      </c>
      <c r="F467" s="10">
        <f t="shared" si="23"/>
        <v>1.7043478260869552E-2</v>
      </c>
      <c r="G467" s="10">
        <f t="shared" si="24"/>
        <v>4.7142857142857153E-2</v>
      </c>
    </row>
    <row r="468" spans="1:7" x14ac:dyDescent="0.35">
      <c r="A468" s="2">
        <v>44505</v>
      </c>
      <c r="B468" s="3">
        <v>4697.53</v>
      </c>
      <c r="C468" s="3">
        <v>177.51</v>
      </c>
      <c r="D468" s="3">
        <v>58.52</v>
      </c>
      <c r="E468" s="10">
        <f t="shared" si="22"/>
        <v>3.7328581257503844E-3</v>
      </c>
      <c r="F468" s="10">
        <f t="shared" si="23"/>
        <v>1.1798905608755092E-2</v>
      </c>
      <c r="G468" s="10">
        <f t="shared" si="24"/>
        <v>-2.0463847203273781E-3</v>
      </c>
    </row>
    <row r="469" spans="1:7" x14ac:dyDescent="0.35">
      <c r="A469" s="2">
        <v>44508</v>
      </c>
      <c r="B469" s="3">
        <v>4701.7</v>
      </c>
      <c r="C469" s="3">
        <v>171.85</v>
      </c>
      <c r="D469" s="3">
        <v>59.6</v>
      </c>
      <c r="E469" s="10">
        <f t="shared" si="22"/>
        <v>8.8770055752705637E-4</v>
      </c>
      <c r="F469" s="10">
        <f t="shared" si="23"/>
        <v>-3.1885527575911198E-2</v>
      </c>
      <c r="G469" s="10">
        <f t="shared" si="24"/>
        <v>1.8455228981544742E-2</v>
      </c>
    </row>
    <row r="470" spans="1:7" x14ac:dyDescent="0.35">
      <c r="A470" s="2">
        <v>44509</v>
      </c>
      <c r="B470" s="3">
        <v>4685.25</v>
      </c>
      <c r="C470" s="3">
        <v>173.82</v>
      </c>
      <c r="D470" s="3">
        <v>58.62</v>
      </c>
      <c r="E470" s="10">
        <f t="shared" si="22"/>
        <v>-3.4987345002870916E-3</v>
      </c>
      <c r="F470" s="10">
        <f t="shared" si="23"/>
        <v>1.1463485597905143E-2</v>
      </c>
      <c r="G470" s="10">
        <f t="shared" si="24"/>
        <v>-1.6442953020134293E-2</v>
      </c>
    </row>
    <row r="471" spans="1:7" x14ac:dyDescent="0.35">
      <c r="A471" s="2">
        <v>44510</v>
      </c>
      <c r="B471" s="3">
        <v>4646.71</v>
      </c>
      <c r="C471" s="3">
        <v>168.26</v>
      </c>
      <c r="D471" s="3">
        <v>59.27</v>
      </c>
      <c r="E471" s="10">
        <f t="shared" si="22"/>
        <v>-8.2258150578944488E-3</v>
      </c>
      <c r="F471" s="10">
        <f t="shared" si="23"/>
        <v>-3.1987113105511465E-2</v>
      </c>
      <c r="G471" s="10">
        <f t="shared" si="24"/>
        <v>1.1088365745479455E-2</v>
      </c>
    </row>
    <row r="472" spans="1:7" x14ac:dyDescent="0.35">
      <c r="A472" s="2">
        <v>44511</v>
      </c>
      <c r="B472" s="3">
        <v>4649.2700000000004</v>
      </c>
      <c r="C472" s="3">
        <v>166.97</v>
      </c>
      <c r="D472" s="3">
        <v>61.82</v>
      </c>
      <c r="E472" s="10">
        <f t="shared" si="22"/>
        <v>5.5092743037555604E-4</v>
      </c>
      <c r="F472" s="10">
        <f t="shared" si="23"/>
        <v>-7.6667062878877455E-3</v>
      </c>
      <c r="G472" s="10">
        <f t="shared" si="24"/>
        <v>4.3023451999325071E-2</v>
      </c>
    </row>
    <row r="473" spans="1:7" x14ac:dyDescent="0.35">
      <c r="A473" s="2">
        <v>44512</v>
      </c>
      <c r="B473" s="3">
        <v>4682.8500000000004</v>
      </c>
      <c r="C473" s="3">
        <v>169.09</v>
      </c>
      <c r="D473" s="3">
        <v>63.4</v>
      </c>
      <c r="E473" s="10">
        <f t="shared" si="22"/>
        <v>7.2226392530440097E-3</v>
      </c>
      <c r="F473" s="10">
        <f t="shared" si="23"/>
        <v>1.2696891657183953E-2</v>
      </c>
      <c r="G473" s="10">
        <f t="shared" si="24"/>
        <v>2.5558071821416988E-2</v>
      </c>
    </row>
    <row r="474" spans="1:7" x14ac:dyDescent="0.35">
      <c r="A474" s="2">
        <v>44515</v>
      </c>
      <c r="B474" s="3">
        <v>4682.8</v>
      </c>
      <c r="C474" s="3">
        <v>168.85</v>
      </c>
      <c r="D474" s="3">
        <v>62.97</v>
      </c>
      <c r="E474" s="10">
        <f t="shared" si="22"/>
        <v>-1.0677258507144559E-5</v>
      </c>
      <c r="F474" s="10">
        <f t="shared" si="23"/>
        <v>-1.4193624696907511E-3</v>
      </c>
      <c r="G474" s="10">
        <f t="shared" si="24"/>
        <v>-6.7823343848580396E-3</v>
      </c>
    </row>
    <row r="475" spans="1:7" x14ac:dyDescent="0.35">
      <c r="A475" s="2">
        <v>44516</v>
      </c>
      <c r="B475" s="3">
        <v>4700.8999999999996</v>
      </c>
      <c r="C475" s="3">
        <v>171.83</v>
      </c>
      <c r="D475" s="3">
        <v>62.61</v>
      </c>
      <c r="E475" s="10">
        <f t="shared" si="22"/>
        <v>3.8652088494062213E-3</v>
      </c>
      <c r="F475" s="10">
        <f t="shared" si="23"/>
        <v>1.7648800710690069E-2</v>
      </c>
      <c r="G475" s="10">
        <f t="shared" si="24"/>
        <v>-5.7170080990947983E-3</v>
      </c>
    </row>
    <row r="476" spans="1:7" x14ac:dyDescent="0.35">
      <c r="A476" s="2">
        <v>44517</v>
      </c>
      <c r="B476" s="3">
        <v>4688.67</v>
      </c>
      <c r="C476" s="3">
        <v>171.74</v>
      </c>
      <c r="D476" s="3">
        <v>64.61</v>
      </c>
      <c r="E476" s="10">
        <f t="shared" si="22"/>
        <v>-2.6016294752067826E-3</v>
      </c>
      <c r="F476" s="10">
        <f t="shared" si="23"/>
        <v>-5.2377349706106847E-4</v>
      </c>
      <c r="G476" s="10">
        <f t="shared" si="24"/>
        <v>3.1943778949049671E-2</v>
      </c>
    </row>
    <row r="477" spans="1:7" x14ac:dyDescent="0.35">
      <c r="A477" s="2">
        <v>44518</v>
      </c>
      <c r="B477" s="3">
        <v>4704.54</v>
      </c>
      <c r="C477" s="3">
        <v>171.35</v>
      </c>
      <c r="D477" s="3">
        <v>62.33</v>
      </c>
      <c r="E477" s="10">
        <f t="shared" si="22"/>
        <v>3.384755165110765E-3</v>
      </c>
      <c r="F477" s="10">
        <f t="shared" si="23"/>
        <v>-2.2708745778503249E-3</v>
      </c>
      <c r="G477" s="10">
        <f t="shared" si="24"/>
        <v>-3.5288655006964882E-2</v>
      </c>
    </row>
    <row r="478" spans="1:7" x14ac:dyDescent="0.35">
      <c r="A478" s="2">
        <v>44519</v>
      </c>
      <c r="B478" s="3">
        <v>4697.96</v>
      </c>
      <c r="C478" s="3">
        <v>174.88</v>
      </c>
      <c r="D478" s="3">
        <v>61.8</v>
      </c>
      <c r="E478" s="10">
        <f t="shared" si="22"/>
        <v>-1.3986489646171415E-3</v>
      </c>
      <c r="F478" s="10">
        <f t="shared" si="23"/>
        <v>2.0601108841552387E-2</v>
      </c>
      <c r="G478" s="10">
        <f t="shared" si="24"/>
        <v>-8.503128509545984E-3</v>
      </c>
    </row>
    <row r="479" spans="1:7" x14ac:dyDescent="0.35">
      <c r="A479" s="2">
        <v>44522</v>
      </c>
      <c r="B479" s="3">
        <v>4682.9399999999996</v>
      </c>
      <c r="C479" s="3">
        <v>174.24</v>
      </c>
      <c r="D479" s="3">
        <v>64.06</v>
      </c>
      <c r="E479" s="10">
        <f t="shared" si="22"/>
        <v>-3.1971323723489421E-3</v>
      </c>
      <c r="F479" s="10">
        <f t="shared" si="23"/>
        <v>-3.6596523330282844E-3</v>
      </c>
      <c r="G479" s="10">
        <f t="shared" si="24"/>
        <v>3.6569579288025976E-2</v>
      </c>
    </row>
    <row r="480" spans="1:7" x14ac:dyDescent="0.35">
      <c r="A480" s="2">
        <v>44523</v>
      </c>
      <c r="B480" s="3">
        <v>4690.7</v>
      </c>
      <c r="C480" s="3">
        <v>172.15</v>
      </c>
      <c r="D480" s="3">
        <v>63.05</v>
      </c>
      <c r="E480" s="10">
        <f t="shared" si="22"/>
        <v>1.6570786727996129E-3</v>
      </c>
      <c r="F480" s="10">
        <f t="shared" si="23"/>
        <v>-1.1994949494949513E-2</v>
      </c>
      <c r="G480" s="10">
        <f t="shared" si="24"/>
        <v>-1.5766468935373167E-2</v>
      </c>
    </row>
    <row r="481" spans="1:7" x14ac:dyDescent="0.35">
      <c r="A481" s="2">
        <v>44524</v>
      </c>
      <c r="B481" s="3">
        <v>4701.46</v>
      </c>
      <c r="C481" s="3">
        <v>172.03</v>
      </c>
      <c r="D481" s="3">
        <v>62.19</v>
      </c>
      <c r="E481" s="10">
        <f t="shared" si="22"/>
        <v>2.2939006971241433E-3</v>
      </c>
      <c r="F481" s="10">
        <f t="shared" si="23"/>
        <v>-6.9706651176302376E-4</v>
      </c>
      <c r="G481" s="10">
        <f t="shared" si="24"/>
        <v>-1.3639968279143528E-2</v>
      </c>
    </row>
    <row r="482" spans="1:7" x14ac:dyDescent="0.35">
      <c r="A482" s="2">
        <v>44526</v>
      </c>
      <c r="B482" s="3">
        <v>4594.62</v>
      </c>
      <c r="C482" s="3">
        <v>168.02</v>
      </c>
      <c r="D482" s="3">
        <v>60.17</v>
      </c>
      <c r="E482" s="10">
        <f t="shared" si="22"/>
        <v>-2.2724855683128251E-2</v>
      </c>
      <c r="F482" s="10">
        <f t="shared" si="23"/>
        <v>-2.3309887810265599E-2</v>
      </c>
      <c r="G482" s="10">
        <f t="shared" si="24"/>
        <v>-3.2481106287184369E-2</v>
      </c>
    </row>
    <row r="483" spans="1:7" x14ac:dyDescent="0.35">
      <c r="A483" s="2">
        <v>44529</v>
      </c>
      <c r="B483" s="3">
        <v>4655.2700000000004</v>
      </c>
      <c r="C483" s="3">
        <v>169.87</v>
      </c>
      <c r="D483" s="3">
        <v>59.86</v>
      </c>
      <c r="E483" s="10">
        <f t="shared" si="22"/>
        <v>1.3200221128189174E-2</v>
      </c>
      <c r="F483" s="10">
        <f t="shared" si="23"/>
        <v>1.1010593976907476E-2</v>
      </c>
      <c r="G483" s="10">
        <f t="shared" si="24"/>
        <v>-5.1520691374439464E-3</v>
      </c>
    </row>
    <row r="484" spans="1:7" x14ac:dyDescent="0.35">
      <c r="A484" s="2">
        <v>44530</v>
      </c>
      <c r="B484" s="3">
        <v>4567</v>
      </c>
      <c r="C484" s="3">
        <v>169.24</v>
      </c>
      <c r="D484" s="3">
        <v>57.87</v>
      </c>
      <c r="E484" s="10">
        <f t="shared" si="22"/>
        <v>-1.8961306218543805E-2</v>
      </c>
      <c r="F484" s="10">
        <f t="shared" si="23"/>
        <v>-3.7087184317418933E-3</v>
      </c>
      <c r="G484" s="10">
        <f t="shared" si="24"/>
        <v>-3.3244236551954597E-2</v>
      </c>
    </row>
    <row r="485" spans="1:7" x14ac:dyDescent="0.35">
      <c r="A485" s="2">
        <v>44531</v>
      </c>
      <c r="B485" s="3">
        <v>4513.04</v>
      </c>
      <c r="C485" s="3">
        <v>166.7</v>
      </c>
      <c r="D485" s="3">
        <v>58.06</v>
      </c>
      <c r="E485" s="10">
        <f t="shared" si="22"/>
        <v>-1.1815195971097009E-2</v>
      </c>
      <c r="F485" s="10">
        <f t="shared" si="23"/>
        <v>-1.5008272276057789E-2</v>
      </c>
      <c r="G485" s="10">
        <f t="shared" si="24"/>
        <v>3.2832210126145646E-3</v>
      </c>
    </row>
    <row r="486" spans="1:7" x14ac:dyDescent="0.35">
      <c r="A486" s="2">
        <v>44532</v>
      </c>
      <c r="B486" s="3">
        <v>4577.1000000000004</v>
      </c>
      <c r="C486" s="3">
        <v>170</v>
      </c>
      <c r="D486" s="3">
        <v>61.02</v>
      </c>
      <c r="E486" s="10">
        <f t="shared" si="22"/>
        <v>1.4194423271231897E-2</v>
      </c>
      <c r="F486" s="10">
        <f t="shared" si="23"/>
        <v>1.9796040791841701E-2</v>
      </c>
      <c r="G486" s="10">
        <f t="shared" si="24"/>
        <v>5.0981743024457474E-2</v>
      </c>
    </row>
    <row r="487" spans="1:7" x14ac:dyDescent="0.35">
      <c r="A487" s="2">
        <v>44533</v>
      </c>
      <c r="B487" s="3">
        <v>4538.43</v>
      </c>
      <c r="C487" s="3">
        <v>170.24</v>
      </c>
      <c r="D487" s="3">
        <v>59.71</v>
      </c>
      <c r="E487" s="10">
        <f t="shared" si="22"/>
        <v>-8.4485809792226672E-3</v>
      </c>
      <c r="F487" s="10">
        <f t="shared" si="23"/>
        <v>1.4117647058824064E-3</v>
      </c>
      <c r="G487" s="10">
        <f t="shared" si="24"/>
        <v>-2.1468371025893187E-2</v>
      </c>
    </row>
    <row r="488" spans="1:7" x14ac:dyDescent="0.35">
      <c r="A488" s="2">
        <v>44536</v>
      </c>
      <c r="B488" s="3">
        <v>4591.67</v>
      </c>
      <c r="C488" s="3">
        <v>168.91</v>
      </c>
      <c r="D488" s="3">
        <v>59.84</v>
      </c>
      <c r="E488" s="10">
        <f t="shared" si="22"/>
        <v>1.1730928977641998E-2</v>
      </c>
      <c r="F488" s="10">
        <f t="shared" si="23"/>
        <v>-7.8125000000000729E-3</v>
      </c>
      <c r="G488" s="10">
        <f t="shared" si="24"/>
        <v>2.177189750460602E-3</v>
      </c>
    </row>
    <row r="489" spans="1:7" x14ac:dyDescent="0.35">
      <c r="A489" s="2">
        <v>44537</v>
      </c>
      <c r="B489" s="3">
        <v>4686.75</v>
      </c>
      <c r="C489" s="3">
        <v>171.29</v>
      </c>
      <c r="D489" s="3">
        <v>61.53</v>
      </c>
      <c r="E489" s="10">
        <f t="shared" si="22"/>
        <v>2.070706300757675E-2</v>
      </c>
      <c r="F489" s="10">
        <f t="shared" si="23"/>
        <v>1.4090343970161599E-2</v>
      </c>
      <c r="G489" s="10">
        <f t="shared" si="24"/>
        <v>2.8241978609625629E-2</v>
      </c>
    </row>
    <row r="490" spans="1:7" x14ac:dyDescent="0.35">
      <c r="A490" s="2">
        <v>44538</v>
      </c>
      <c r="B490" s="3">
        <v>4701.21</v>
      </c>
      <c r="C490" s="3">
        <v>170.25</v>
      </c>
      <c r="D490" s="3">
        <v>60.78</v>
      </c>
      <c r="E490" s="10">
        <f t="shared" si="22"/>
        <v>3.0852936469835252E-3</v>
      </c>
      <c r="F490" s="10">
        <f t="shared" si="23"/>
        <v>-6.0715745227391676E-3</v>
      </c>
      <c r="G490" s="10">
        <f t="shared" si="24"/>
        <v>-1.2189176011701608E-2</v>
      </c>
    </row>
    <row r="491" spans="1:7" x14ac:dyDescent="0.35">
      <c r="A491" s="2">
        <v>44539</v>
      </c>
      <c r="B491" s="3">
        <v>4667.45</v>
      </c>
      <c r="C491" s="3">
        <v>168.1</v>
      </c>
      <c r="D491" s="3">
        <v>59.62</v>
      </c>
      <c r="E491" s="10">
        <f t="shared" si="22"/>
        <v>-7.1811299644134637E-3</v>
      </c>
      <c r="F491" s="10">
        <f t="shared" si="23"/>
        <v>-1.2628487518355392E-2</v>
      </c>
      <c r="G491" s="10">
        <f t="shared" si="24"/>
        <v>-1.9085225403093185E-2</v>
      </c>
    </row>
    <row r="492" spans="1:7" x14ac:dyDescent="0.35">
      <c r="A492" s="2">
        <v>44540</v>
      </c>
      <c r="B492" s="3">
        <v>4712.0200000000004</v>
      </c>
      <c r="C492" s="3">
        <v>169.06</v>
      </c>
      <c r="D492" s="3">
        <v>63.21</v>
      </c>
      <c r="E492" s="10">
        <f t="shared" si="22"/>
        <v>9.5491113991581309E-3</v>
      </c>
      <c r="F492" s="10">
        <f t="shared" si="23"/>
        <v>5.7108863771565023E-3</v>
      </c>
      <c r="G492" s="10">
        <f t="shared" si="24"/>
        <v>6.0214693056021527E-2</v>
      </c>
    </row>
    <row r="493" spans="1:7" x14ac:dyDescent="0.35">
      <c r="A493" s="2">
        <v>44543</v>
      </c>
      <c r="B493" s="3">
        <v>4668.97</v>
      </c>
      <c r="C493" s="3">
        <v>166.84</v>
      </c>
      <c r="D493" s="3">
        <v>59.13</v>
      </c>
      <c r="E493" s="10">
        <f t="shared" si="22"/>
        <v>-9.1362090992822987E-3</v>
      </c>
      <c r="F493" s="10">
        <f t="shared" si="23"/>
        <v>-1.3131432627469531E-2</v>
      </c>
      <c r="G493" s="10">
        <f t="shared" si="24"/>
        <v>-6.4546748932130971E-2</v>
      </c>
    </row>
    <row r="494" spans="1:7" x14ac:dyDescent="0.35">
      <c r="A494" s="2">
        <v>44544</v>
      </c>
      <c r="B494" s="3">
        <v>4634.09</v>
      </c>
      <c r="C494" s="3">
        <v>165.4</v>
      </c>
      <c r="D494" s="3">
        <v>58.4</v>
      </c>
      <c r="E494" s="10">
        <f t="shared" si="22"/>
        <v>-7.4705984403412549E-3</v>
      </c>
      <c r="F494" s="10">
        <f t="shared" si="23"/>
        <v>-8.6310237353152582E-3</v>
      </c>
      <c r="G494" s="10">
        <f t="shared" si="24"/>
        <v>-1.2345679012345746E-2</v>
      </c>
    </row>
    <row r="495" spans="1:7" x14ac:dyDescent="0.35">
      <c r="A495" s="2">
        <v>44545</v>
      </c>
      <c r="B495" s="3">
        <v>4709.8500000000004</v>
      </c>
      <c r="C495" s="3">
        <v>163.9</v>
      </c>
      <c r="D495" s="3">
        <v>58.61</v>
      </c>
      <c r="E495" s="10">
        <f t="shared" si="22"/>
        <v>1.634840928855508E-2</v>
      </c>
      <c r="F495" s="10">
        <f t="shared" si="23"/>
        <v>-9.0689238210399023E-3</v>
      </c>
      <c r="G495" s="10">
        <f t="shared" si="24"/>
        <v>3.5958904109589188E-3</v>
      </c>
    </row>
    <row r="496" spans="1:7" x14ac:dyDescent="0.35">
      <c r="A496" s="2">
        <v>44546</v>
      </c>
      <c r="B496" s="3">
        <v>4668.67</v>
      </c>
      <c r="C496" s="3">
        <v>162.72</v>
      </c>
      <c r="D496" s="3">
        <v>58.39</v>
      </c>
      <c r="E496" s="10">
        <f t="shared" si="22"/>
        <v>-8.7433782392221174E-3</v>
      </c>
      <c r="F496" s="10">
        <f t="shared" si="23"/>
        <v>-7.1995118974985161E-3</v>
      </c>
      <c r="G496" s="10">
        <f t="shared" si="24"/>
        <v>-3.7536256611499551E-3</v>
      </c>
    </row>
    <row r="497" spans="1:7" x14ac:dyDescent="0.35">
      <c r="A497" s="2">
        <v>44547</v>
      </c>
      <c r="B497" s="3">
        <v>4620.6400000000003</v>
      </c>
      <c r="C497" s="3">
        <v>161.36000000000001</v>
      </c>
      <c r="D497" s="3">
        <v>55.16</v>
      </c>
      <c r="E497" s="10">
        <f t="shared" si="22"/>
        <v>-1.0287726483131115E-2</v>
      </c>
      <c r="F497" s="10">
        <f t="shared" si="23"/>
        <v>-8.3579154375613644E-3</v>
      </c>
      <c r="G497" s="10">
        <f t="shared" si="24"/>
        <v>-5.5317691385511285E-2</v>
      </c>
    </row>
    <row r="498" spans="1:7" x14ac:dyDescent="0.35">
      <c r="A498" s="2">
        <v>44550</v>
      </c>
      <c r="B498" s="3">
        <v>4568.0200000000004</v>
      </c>
      <c r="C498" s="3">
        <v>156.97999999999999</v>
      </c>
      <c r="D498" s="3">
        <v>54.04</v>
      </c>
      <c r="E498" s="10">
        <f t="shared" si="22"/>
        <v>-1.1388032826621396E-2</v>
      </c>
      <c r="F498" s="10">
        <f t="shared" si="23"/>
        <v>-2.7144273673773076E-2</v>
      </c>
      <c r="G498" s="10">
        <f t="shared" si="24"/>
        <v>-2.0304568527918735E-2</v>
      </c>
    </row>
    <row r="499" spans="1:7" x14ac:dyDescent="0.35">
      <c r="A499" s="2">
        <v>44551</v>
      </c>
      <c r="B499" s="3">
        <v>4649.2299999999996</v>
      </c>
      <c r="C499" s="3">
        <v>166.63</v>
      </c>
      <c r="D499" s="3">
        <v>54.79</v>
      </c>
      <c r="E499" s="10">
        <f t="shared" si="22"/>
        <v>1.7777943178882562E-2</v>
      </c>
      <c r="F499" s="10">
        <f t="shared" si="23"/>
        <v>6.1472799082685735E-2</v>
      </c>
      <c r="G499" s="10">
        <f t="shared" si="24"/>
        <v>1.3878608438193931E-2</v>
      </c>
    </row>
    <row r="500" spans="1:7" x14ac:dyDescent="0.35">
      <c r="A500" s="2">
        <v>44552</v>
      </c>
      <c r="B500" s="3">
        <v>4696.5600000000004</v>
      </c>
      <c r="C500" s="3">
        <v>165.44</v>
      </c>
      <c r="D500" s="3">
        <v>56.08</v>
      </c>
      <c r="E500" s="10">
        <f t="shared" si="22"/>
        <v>1.0180180373954578E-2</v>
      </c>
      <c r="F500" s="10">
        <f t="shared" si="23"/>
        <v>-7.1415711456520297E-3</v>
      </c>
      <c r="G500" s="10">
        <f t="shared" si="24"/>
        <v>2.3544442416499348E-2</v>
      </c>
    </row>
    <row r="501" spans="1:7" x14ac:dyDescent="0.35">
      <c r="A501" s="2">
        <v>44553</v>
      </c>
      <c r="B501" s="3">
        <v>4725.79</v>
      </c>
      <c r="C501" s="3">
        <v>165.67</v>
      </c>
      <c r="D501" s="3">
        <v>56.91</v>
      </c>
      <c r="E501" s="10">
        <f t="shared" si="22"/>
        <v>6.2237041579367791E-3</v>
      </c>
      <c r="F501" s="10">
        <f t="shared" si="23"/>
        <v>1.3902321083171529E-3</v>
      </c>
      <c r="G501" s="10">
        <f t="shared" si="24"/>
        <v>1.4800285306704677E-2</v>
      </c>
    </row>
    <row r="502" spans="1:7" x14ac:dyDescent="0.35">
      <c r="A502" s="2">
        <v>44557</v>
      </c>
      <c r="B502" s="3">
        <v>4791.1899999999996</v>
      </c>
      <c r="C502" s="3">
        <v>167.58</v>
      </c>
      <c r="D502" s="3">
        <v>57.43</v>
      </c>
      <c r="E502" s="10">
        <f t="shared" si="22"/>
        <v>1.3838956026399741E-2</v>
      </c>
      <c r="F502" s="10">
        <f t="shared" si="23"/>
        <v>1.1528943079616256E-2</v>
      </c>
      <c r="G502" s="10">
        <f t="shared" si="24"/>
        <v>9.1372342294852079E-3</v>
      </c>
    </row>
    <row r="503" spans="1:7" x14ac:dyDescent="0.35">
      <c r="A503" s="2">
        <v>44558</v>
      </c>
      <c r="B503" s="3">
        <v>4786.3500000000004</v>
      </c>
      <c r="C503" s="3">
        <v>166.42</v>
      </c>
      <c r="D503" s="3">
        <v>57.11</v>
      </c>
      <c r="E503" s="10">
        <f t="shared" si="22"/>
        <v>-1.0101874482120801E-3</v>
      </c>
      <c r="F503" s="10">
        <f t="shared" si="23"/>
        <v>-6.9220670724431613E-3</v>
      </c>
      <c r="G503" s="10">
        <f t="shared" si="24"/>
        <v>-5.5720006965000917E-3</v>
      </c>
    </row>
    <row r="504" spans="1:7" x14ac:dyDescent="0.35">
      <c r="A504" s="2">
        <v>44559</v>
      </c>
      <c r="B504" s="3">
        <v>4793.0600000000004</v>
      </c>
      <c r="C504" s="3">
        <v>168.78</v>
      </c>
      <c r="D504" s="3">
        <v>57.23</v>
      </c>
      <c r="E504" s="10">
        <f t="shared" si="22"/>
        <v>1.4019033292592552E-3</v>
      </c>
      <c r="F504" s="10">
        <f t="shared" si="23"/>
        <v>1.4180987862035897E-2</v>
      </c>
      <c r="G504" s="10">
        <f t="shared" si="24"/>
        <v>2.1012081947119148E-3</v>
      </c>
    </row>
    <row r="505" spans="1:7" x14ac:dyDescent="0.35">
      <c r="A505" s="2">
        <v>44560</v>
      </c>
      <c r="B505" s="3">
        <v>4778.7299999999996</v>
      </c>
      <c r="C505" s="3">
        <v>167.49</v>
      </c>
      <c r="D505" s="3">
        <v>58.13</v>
      </c>
      <c r="E505" s="10">
        <f t="shared" si="22"/>
        <v>-2.9897393314502292E-3</v>
      </c>
      <c r="F505" s="10">
        <f t="shared" si="23"/>
        <v>-7.6430856736579688E-3</v>
      </c>
      <c r="G505" s="10">
        <f t="shared" si="24"/>
        <v>1.57260178228203E-2</v>
      </c>
    </row>
    <row r="506" spans="1:7" x14ac:dyDescent="0.35">
      <c r="A506" s="2">
        <v>44561</v>
      </c>
      <c r="B506" s="3">
        <v>4766.18</v>
      </c>
      <c r="C506" s="3">
        <v>166.67</v>
      </c>
      <c r="D506" s="3">
        <v>58.63</v>
      </c>
      <c r="E506" s="10">
        <f t="shared" si="22"/>
        <v>-2.6262207741385834E-3</v>
      </c>
      <c r="F506" s="10">
        <f t="shared" si="23"/>
        <v>-4.8958146755031439E-3</v>
      </c>
      <c r="G506" s="10">
        <f t="shared" si="24"/>
        <v>8.6014106313435403E-3</v>
      </c>
    </row>
    <row r="507" spans="1:7" x14ac:dyDescent="0.35">
      <c r="A507" s="2">
        <v>44564</v>
      </c>
      <c r="B507" s="3">
        <v>4796.5600000000004</v>
      </c>
      <c r="C507" s="3">
        <v>164.67</v>
      </c>
      <c r="D507" s="3">
        <v>61.17</v>
      </c>
      <c r="E507" s="10">
        <f t="shared" si="22"/>
        <v>6.3740773533521831E-3</v>
      </c>
      <c r="F507" s="10">
        <f t="shared" si="23"/>
        <v>-1.1999760004799905E-2</v>
      </c>
      <c r="G507" s="10">
        <f t="shared" si="24"/>
        <v>4.3322531127409157E-2</v>
      </c>
    </row>
    <row r="508" spans="1:7" x14ac:dyDescent="0.35">
      <c r="A508" s="2">
        <v>44565</v>
      </c>
      <c r="B508" s="3">
        <v>4793.54</v>
      </c>
      <c r="C508" s="3">
        <v>166.39</v>
      </c>
      <c r="D508" s="3">
        <v>65.739999999999995</v>
      </c>
      <c r="E508" s="10">
        <f t="shared" si="22"/>
        <v>-6.2961789282328087E-4</v>
      </c>
      <c r="F508" s="10">
        <f t="shared" si="23"/>
        <v>1.0445132689621661E-2</v>
      </c>
      <c r="G508" s="10">
        <f t="shared" si="24"/>
        <v>7.4709825077652336E-2</v>
      </c>
    </row>
    <row r="509" spans="1:7" x14ac:dyDescent="0.35">
      <c r="A509" s="2">
        <v>44566</v>
      </c>
      <c r="B509" s="3">
        <v>4700.58</v>
      </c>
      <c r="C509" s="3">
        <v>162.25</v>
      </c>
      <c r="D509" s="3">
        <v>62.74</v>
      </c>
      <c r="E509" s="10">
        <f t="shared" si="22"/>
        <v>-1.9392766097706505E-2</v>
      </c>
      <c r="F509" s="10">
        <f t="shared" si="23"/>
        <v>-2.4881302962918364E-2</v>
      </c>
      <c r="G509" s="10">
        <f t="shared" si="24"/>
        <v>-4.5634317006388703E-2</v>
      </c>
    </row>
    <row r="510" spans="1:7" x14ac:dyDescent="0.35">
      <c r="A510" s="2">
        <v>44567</v>
      </c>
      <c r="B510" s="3">
        <v>4696.05</v>
      </c>
      <c r="C510" s="3">
        <v>161.04</v>
      </c>
      <c r="D510" s="3">
        <v>62.87</v>
      </c>
      <c r="E510" s="10">
        <f t="shared" si="22"/>
        <v>-9.6371086121281742E-4</v>
      </c>
      <c r="F510" s="10">
        <f t="shared" si="23"/>
        <v>-7.4576271186441168E-3</v>
      </c>
      <c r="G510" s="10">
        <f t="shared" si="24"/>
        <v>2.072043353522401E-3</v>
      </c>
    </row>
    <row r="511" spans="1:7" x14ac:dyDescent="0.35">
      <c r="A511" s="2">
        <v>44568</v>
      </c>
      <c r="B511" s="3">
        <v>4677.03</v>
      </c>
      <c r="C511" s="3">
        <v>156.97</v>
      </c>
      <c r="D511" s="3">
        <v>62.27</v>
      </c>
      <c r="E511" s="10">
        <f t="shared" si="22"/>
        <v>-4.0502124125595847E-3</v>
      </c>
      <c r="F511" s="10">
        <f t="shared" si="23"/>
        <v>-2.5273224043715806E-2</v>
      </c>
      <c r="G511" s="10">
        <f t="shared" si="24"/>
        <v>-9.5435024654047136E-3</v>
      </c>
    </row>
    <row r="512" spans="1:7" x14ac:dyDescent="0.35">
      <c r="A512" s="2">
        <v>44571</v>
      </c>
      <c r="B512" s="3">
        <v>4670.29</v>
      </c>
      <c r="C512" s="3">
        <v>150.44</v>
      </c>
      <c r="D512" s="3">
        <v>61.07</v>
      </c>
      <c r="E512" s="10">
        <f t="shared" si="22"/>
        <v>-1.441085475183991E-3</v>
      </c>
      <c r="F512" s="10">
        <f t="shared" si="23"/>
        <v>-4.1600305790915469E-2</v>
      </c>
      <c r="G512" s="10">
        <f t="shared" si="24"/>
        <v>-1.927091697446608E-2</v>
      </c>
    </row>
    <row r="513" spans="1:7" x14ac:dyDescent="0.35">
      <c r="A513" s="2">
        <v>44572</v>
      </c>
      <c r="B513" s="3">
        <v>4713.07</v>
      </c>
      <c r="C513" s="3">
        <v>150.30000000000001</v>
      </c>
      <c r="D513" s="3">
        <v>61.46</v>
      </c>
      <c r="E513" s="10">
        <f t="shared" si="22"/>
        <v>9.160030747555236E-3</v>
      </c>
      <c r="F513" s="10">
        <f t="shared" si="23"/>
        <v>-9.3060356288212145E-4</v>
      </c>
      <c r="G513" s="10">
        <f t="shared" si="24"/>
        <v>6.3861142950712392E-3</v>
      </c>
    </row>
    <row r="514" spans="1:7" x14ac:dyDescent="0.35">
      <c r="A514" s="2">
        <v>44573</v>
      </c>
      <c r="B514" s="3">
        <v>4726.3500000000004</v>
      </c>
      <c r="C514" s="3">
        <v>152.21</v>
      </c>
      <c r="D514" s="3">
        <v>61.03</v>
      </c>
      <c r="E514" s="10">
        <f t="shared" si="22"/>
        <v>2.8176963210817269E-3</v>
      </c>
      <c r="F514" s="10">
        <f t="shared" si="23"/>
        <v>1.2707917498336637E-2</v>
      </c>
      <c r="G514" s="10">
        <f t="shared" si="24"/>
        <v>-6.9964204360559662E-3</v>
      </c>
    </row>
    <row r="515" spans="1:7" x14ac:dyDescent="0.35">
      <c r="A515" s="2">
        <v>44574</v>
      </c>
      <c r="B515" s="3">
        <v>4659.03</v>
      </c>
      <c r="C515" s="3">
        <v>149.59</v>
      </c>
      <c r="D515" s="3">
        <v>61.77</v>
      </c>
      <c r="E515" s="10">
        <f t="shared" si="22"/>
        <v>-1.4243549462058589E-2</v>
      </c>
      <c r="F515" s="10">
        <f t="shared" si="23"/>
        <v>-1.7213060902700247E-2</v>
      </c>
      <c r="G515" s="10">
        <f t="shared" si="24"/>
        <v>1.2125184335572702E-2</v>
      </c>
    </row>
    <row r="516" spans="1:7" x14ac:dyDescent="0.35">
      <c r="A516" s="2">
        <v>44575</v>
      </c>
      <c r="B516" s="3">
        <v>4662.8500000000004</v>
      </c>
      <c r="C516" s="3">
        <v>148.18</v>
      </c>
      <c r="D516" s="3">
        <v>61.1</v>
      </c>
      <c r="E516" s="10">
        <f t="shared" ref="E516:E579" si="25">(B516-B515)/B515</f>
        <v>8.1991315788922125E-4</v>
      </c>
      <c r="F516" s="10">
        <f t="shared" ref="F516:F579" si="26">(C516-C515)/C515</f>
        <v>-9.4257637542616256E-3</v>
      </c>
      <c r="G516" s="10">
        <f t="shared" ref="G516:G579" si="27">(D516-D515)/D515</f>
        <v>-1.084668933139067E-2</v>
      </c>
    </row>
    <row r="517" spans="1:7" x14ac:dyDescent="0.35">
      <c r="A517" s="2">
        <v>44579</v>
      </c>
      <c r="B517" s="3">
        <v>4577.1099999999997</v>
      </c>
      <c r="C517" s="3">
        <v>146.94999999999999</v>
      </c>
      <c r="D517" s="3">
        <v>58.79</v>
      </c>
      <c r="E517" s="10">
        <f t="shared" si="25"/>
        <v>-1.8387895814791531E-2</v>
      </c>
      <c r="F517" s="10">
        <f t="shared" si="26"/>
        <v>-8.3007153462006898E-3</v>
      </c>
      <c r="G517" s="10">
        <f t="shared" si="27"/>
        <v>-3.7806873977086777E-2</v>
      </c>
    </row>
    <row r="518" spans="1:7" x14ac:dyDescent="0.35">
      <c r="A518" s="2">
        <v>44580</v>
      </c>
      <c r="B518" s="3">
        <v>4532.76</v>
      </c>
      <c r="C518" s="3">
        <v>145.11000000000001</v>
      </c>
      <c r="D518" s="3">
        <v>56.24</v>
      </c>
      <c r="E518" s="10">
        <f t="shared" si="25"/>
        <v>-9.6895202431227252E-3</v>
      </c>
      <c r="F518" s="10">
        <f t="shared" si="26"/>
        <v>-1.2521265736644948E-2</v>
      </c>
      <c r="G518" s="10">
        <f t="shared" si="27"/>
        <v>-4.337472359244765E-2</v>
      </c>
    </row>
    <row r="519" spans="1:7" x14ac:dyDescent="0.35">
      <c r="A519" s="2">
        <v>44581</v>
      </c>
      <c r="B519" s="3">
        <v>4482.7299999999996</v>
      </c>
      <c r="C519" s="3">
        <v>142.72999999999999</v>
      </c>
      <c r="D519" s="3">
        <v>54.65</v>
      </c>
      <c r="E519" s="10">
        <f t="shared" si="25"/>
        <v>-1.1037425321437856E-2</v>
      </c>
      <c r="F519" s="10">
        <f t="shared" si="26"/>
        <v>-1.6401350699469529E-2</v>
      </c>
      <c r="G519" s="10">
        <f t="shared" si="27"/>
        <v>-2.8271692745377015E-2</v>
      </c>
    </row>
    <row r="520" spans="1:7" x14ac:dyDescent="0.35">
      <c r="A520" s="2">
        <v>44582</v>
      </c>
      <c r="B520" s="3">
        <v>4397.9399999999996</v>
      </c>
      <c r="C520" s="3">
        <v>142.94999999999999</v>
      </c>
      <c r="D520" s="3">
        <v>53.28</v>
      </c>
      <c r="E520" s="10">
        <f t="shared" si="25"/>
        <v>-1.8914813071498834E-2</v>
      </c>
      <c r="F520" s="10">
        <f t="shared" si="26"/>
        <v>1.5413718209206116E-3</v>
      </c>
      <c r="G520" s="10">
        <f t="shared" si="27"/>
        <v>-2.5068618481244236E-2</v>
      </c>
    </row>
    <row r="521" spans="1:7" x14ac:dyDescent="0.35">
      <c r="A521" s="2">
        <v>44585</v>
      </c>
      <c r="B521" s="3">
        <v>4410.13</v>
      </c>
      <c r="C521" s="3">
        <v>146</v>
      </c>
      <c r="D521" s="3">
        <v>52.64</v>
      </c>
      <c r="E521" s="10">
        <f t="shared" si="25"/>
        <v>2.7717522294529963E-3</v>
      </c>
      <c r="F521" s="10">
        <f t="shared" si="26"/>
        <v>2.1336131514515647E-2</v>
      </c>
      <c r="G521" s="10">
        <f t="shared" si="27"/>
        <v>-1.2012012012012022E-2</v>
      </c>
    </row>
    <row r="522" spans="1:7" x14ac:dyDescent="0.35">
      <c r="A522" s="2">
        <v>44586</v>
      </c>
      <c r="B522" s="3">
        <v>4356.45</v>
      </c>
      <c r="C522" s="3">
        <v>145.47999999999999</v>
      </c>
      <c r="D522" s="3">
        <v>51.9</v>
      </c>
      <c r="E522" s="10">
        <f t="shared" si="25"/>
        <v>-1.2171976789799912E-2</v>
      </c>
      <c r="F522" s="10">
        <f t="shared" si="26"/>
        <v>-3.5616438356165085E-3</v>
      </c>
      <c r="G522" s="10">
        <f t="shared" si="27"/>
        <v>-1.4057750759878458E-2</v>
      </c>
    </row>
    <row r="523" spans="1:7" x14ac:dyDescent="0.35">
      <c r="A523" s="2">
        <v>44587</v>
      </c>
      <c r="B523" s="3">
        <v>4349.93</v>
      </c>
      <c r="C523" s="3">
        <v>143.99</v>
      </c>
      <c r="D523" s="3">
        <v>52.35</v>
      </c>
      <c r="E523" s="10">
        <f t="shared" si="25"/>
        <v>-1.4966314315554012E-3</v>
      </c>
      <c r="F523" s="10">
        <f t="shared" si="26"/>
        <v>-1.024195765740982E-2</v>
      </c>
      <c r="G523" s="10">
        <f t="shared" si="27"/>
        <v>8.6705202312139275E-3</v>
      </c>
    </row>
    <row r="524" spans="1:7" x14ac:dyDescent="0.35">
      <c r="A524" s="2">
        <v>44588</v>
      </c>
      <c r="B524" s="3">
        <v>4326.51</v>
      </c>
      <c r="C524" s="3">
        <v>144.63999999999999</v>
      </c>
      <c r="D524" s="3">
        <v>51.45</v>
      </c>
      <c r="E524" s="10">
        <f t="shared" si="25"/>
        <v>-5.3839946849719581E-3</v>
      </c>
      <c r="F524" s="10">
        <f t="shared" si="26"/>
        <v>4.5142023751647839E-3</v>
      </c>
      <c r="G524" s="10">
        <f t="shared" si="27"/>
        <v>-1.7191977077363869E-2</v>
      </c>
    </row>
    <row r="525" spans="1:7" x14ac:dyDescent="0.35">
      <c r="A525" s="2">
        <v>44589</v>
      </c>
      <c r="B525" s="3">
        <v>4431.8500000000004</v>
      </c>
      <c r="C525" s="3">
        <v>145.91</v>
      </c>
      <c r="D525" s="3">
        <v>50.24</v>
      </c>
      <c r="E525" s="10">
        <f t="shared" si="25"/>
        <v>2.4347568825681704E-2</v>
      </c>
      <c r="F525" s="10">
        <f t="shared" si="26"/>
        <v>8.7804203539823718E-3</v>
      </c>
      <c r="G525" s="10">
        <f t="shared" si="27"/>
        <v>-2.3517978620019451E-2</v>
      </c>
    </row>
    <row r="526" spans="1:7" x14ac:dyDescent="0.35">
      <c r="A526" s="2">
        <v>44592</v>
      </c>
      <c r="B526" s="3">
        <v>4515.55</v>
      </c>
      <c r="C526" s="3">
        <v>148.07</v>
      </c>
      <c r="D526" s="3">
        <v>52.73</v>
      </c>
      <c r="E526" s="10">
        <f t="shared" si="25"/>
        <v>1.8886018254227876E-2</v>
      </c>
      <c r="F526" s="10">
        <f t="shared" si="26"/>
        <v>1.4803646083201951E-2</v>
      </c>
      <c r="G526" s="10">
        <f t="shared" si="27"/>
        <v>4.9562101910827924E-2</v>
      </c>
    </row>
    <row r="527" spans="1:7" x14ac:dyDescent="0.35">
      <c r="A527" s="2">
        <v>44593</v>
      </c>
      <c r="B527" s="3">
        <v>4546.54</v>
      </c>
      <c r="C527" s="3">
        <v>148.22</v>
      </c>
      <c r="D527" s="3">
        <v>54.07</v>
      </c>
      <c r="E527" s="10">
        <f t="shared" si="25"/>
        <v>6.8629513569775065E-3</v>
      </c>
      <c r="F527" s="10">
        <f t="shared" si="26"/>
        <v>1.0130343756331848E-3</v>
      </c>
      <c r="G527" s="10">
        <f t="shared" si="27"/>
        <v>2.5412478664896709E-2</v>
      </c>
    </row>
    <row r="528" spans="1:7" x14ac:dyDescent="0.35">
      <c r="A528" s="2">
        <v>44594</v>
      </c>
      <c r="B528" s="3">
        <v>4589.38</v>
      </c>
      <c r="C528" s="3">
        <v>148.71</v>
      </c>
      <c r="D528" s="3">
        <v>53.5</v>
      </c>
      <c r="E528" s="10">
        <f t="shared" si="25"/>
        <v>9.4225498950850865E-3</v>
      </c>
      <c r="F528" s="10">
        <f t="shared" si="26"/>
        <v>3.3058966401295986E-3</v>
      </c>
      <c r="G528" s="10">
        <f t="shared" si="27"/>
        <v>-1.0541890142407995E-2</v>
      </c>
    </row>
    <row r="529" spans="1:7" x14ac:dyDescent="0.35">
      <c r="A529" s="2">
        <v>44595</v>
      </c>
      <c r="B529" s="3">
        <v>4477.4399999999996</v>
      </c>
      <c r="C529" s="3">
        <v>145.31</v>
      </c>
      <c r="D529" s="3">
        <v>53.11</v>
      </c>
      <c r="E529" s="10">
        <f t="shared" si="25"/>
        <v>-2.4391094221877574E-2</v>
      </c>
      <c r="F529" s="10">
        <f t="shared" si="26"/>
        <v>-2.2863290969000104E-2</v>
      </c>
      <c r="G529" s="10">
        <f t="shared" si="27"/>
        <v>-7.2897196261682345E-3</v>
      </c>
    </row>
    <row r="530" spans="1:7" x14ac:dyDescent="0.35">
      <c r="A530" s="2">
        <v>44596</v>
      </c>
      <c r="B530" s="3">
        <v>4500.53</v>
      </c>
      <c r="C530" s="3">
        <v>145.38999999999999</v>
      </c>
      <c r="D530" s="3">
        <v>51.29</v>
      </c>
      <c r="E530" s="10">
        <f t="shared" si="25"/>
        <v>5.1569646941109536E-3</v>
      </c>
      <c r="F530" s="10">
        <f t="shared" si="26"/>
        <v>5.505471061866636E-4</v>
      </c>
      <c r="G530" s="10">
        <f t="shared" si="27"/>
        <v>-3.4268499340990403E-2</v>
      </c>
    </row>
    <row r="531" spans="1:7" x14ac:dyDescent="0.35">
      <c r="A531" s="2">
        <v>44599</v>
      </c>
      <c r="B531" s="3">
        <v>4483.87</v>
      </c>
      <c r="C531" s="3">
        <v>145.13999999999999</v>
      </c>
      <c r="D531" s="3">
        <v>50.71</v>
      </c>
      <c r="E531" s="10">
        <f t="shared" si="25"/>
        <v>-3.7017862340657333E-3</v>
      </c>
      <c r="F531" s="10">
        <f t="shared" si="26"/>
        <v>-1.7195130339087972E-3</v>
      </c>
      <c r="G531" s="10">
        <f t="shared" si="27"/>
        <v>-1.1308247221680607E-2</v>
      </c>
    </row>
    <row r="532" spans="1:7" x14ac:dyDescent="0.35">
      <c r="A532" s="2">
        <v>44600</v>
      </c>
      <c r="B532" s="3">
        <v>4521.54</v>
      </c>
      <c r="C532" s="3">
        <v>143.53</v>
      </c>
      <c r="D532" s="3">
        <v>49.46</v>
      </c>
      <c r="E532" s="10">
        <f t="shared" si="25"/>
        <v>8.4012248347967427E-3</v>
      </c>
      <c r="F532" s="10">
        <f t="shared" si="26"/>
        <v>-1.1092738046024427E-2</v>
      </c>
      <c r="G532" s="10">
        <f t="shared" si="27"/>
        <v>-2.4649970420035496E-2</v>
      </c>
    </row>
    <row r="533" spans="1:7" x14ac:dyDescent="0.35">
      <c r="A533" s="2">
        <v>44601</v>
      </c>
      <c r="B533" s="3">
        <v>4587.18</v>
      </c>
      <c r="C533" s="3">
        <v>146.26</v>
      </c>
      <c r="D533" s="3">
        <v>50.72</v>
      </c>
      <c r="E533" s="10">
        <f t="shared" si="25"/>
        <v>1.4517177775713657E-2</v>
      </c>
      <c r="F533" s="10">
        <f t="shared" si="26"/>
        <v>1.9020413850762835E-2</v>
      </c>
      <c r="G533" s="10">
        <f t="shared" si="27"/>
        <v>2.5475131419328709E-2</v>
      </c>
    </row>
    <row r="534" spans="1:7" x14ac:dyDescent="0.35">
      <c r="A534" s="2">
        <v>44602</v>
      </c>
      <c r="B534" s="3">
        <v>4504.08</v>
      </c>
      <c r="C534" s="3">
        <v>144.82</v>
      </c>
      <c r="D534" s="3">
        <v>50.34</v>
      </c>
      <c r="E534" s="10">
        <f t="shared" si="25"/>
        <v>-1.8115705073705492E-2</v>
      </c>
      <c r="F534" s="10">
        <f t="shared" si="26"/>
        <v>-9.8454806508956501E-3</v>
      </c>
      <c r="G534" s="10">
        <f t="shared" si="27"/>
        <v>-7.4921135646686806E-3</v>
      </c>
    </row>
    <row r="535" spans="1:7" x14ac:dyDescent="0.35">
      <c r="A535" s="2">
        <v>44603</v>
      </c>
      <c r="B535" s="3">
        <v>4418.6400000000003</v>
      </c>
      <c r="C535" s="3">
        <v>140.18</v>
      </c>
      <c r="D535" s="3">
        <v>48.83</v>
      </c>
      <c r="E535" s="10">
        <f t="shared" si="25"/>
        <v>-1.8969467682634324E-2</v>
      </c>
      <c r="F535" s="10">
        <f t="shared" si="26"/>
        <v>-3.2039773511945771E-2</v>
      </c>
      <c r="G535" s="10">
        <f t="shared" si="27"/>
        <v>-2.9996027016289332E-2</v>
      </c>
    </row>
    <row r="536" spans="1:7" x14ac:dyDescent="0.35">
      <c r="A536" s="2">
        <v>44606</v>
      </c>
      <c r="B536" s="3">
        <v>4401.67</v>
      </c>
      <c r="C536" s="3">
        <v>141.59</v>
      </c>
      <c r="D536" s="3">
        <v>48.4</v>
      </c>
      <c r="E536" s="10">
        <f t="shared" si="25"/>
        <v>-3.8405482229826944E-3</v>
      </c>
      <c r="F536" s="10">
        <f t="shared" si="26"/>
        <v>1.0058496219146786E-2</v>
      </c>
      <c r="G536" s="10">
        <f t="shared" si="27"/>
        <v>-8.8060618472250614E-3</v>
      </c>
    </row>
    <row r="537" spans="1:7" x14ac:dyDescent="0.35">
      <c r="A537" s="2">
        <v>44607</v>
      </c>
      <c r="B537" s="3">
        <v>4471.07</v>
      </c>
      <c r="C537" s="3">
        <v>145.58000000000001</v>
      </c>
      <c r="D537" s="3">
        <v>49.67</v>
      </c>
      <c r="E537" s="10">
        <f t="shared" si="25"/>
        <v>1.5766743077059307E-2</v>
      </c>
      <c r="F537" s="10">
        <f t="shared" si="26"/>
        <v>2.8179956211596927E-2</v>
      </c>
      <c r="G537" s="10">
        <f t="shared" si="27"/>
        <v>2.6239669421487668E-2</v>
      </c>
    </row>
    <row r="538" spans="1:7" x14ac:dyDescent="0.35">
      <c r="A538" s="2">
        <v>44608</v>
      </c>
      <c r="B538" s="3">
        <v>4475.01</v>
      </c>
      <c r="C538" s="3">
        <v>146.49</v>
      </c>
      <c r="D538" s="3">
        <v>50.43</v>
      </c>
      <c r="E538" s="10">
        <f t="shared" si="25"/>
        <v>8.812208263347497E-4</v>
      </c>
      <c r="F538" s="10">
        <f t="shared" si="26"/>
        <v>6.2508586344277818E-3</v>
      </c>
      <c r="G538" s="10">
        <f t="shared" si="27"/>
        <v>1.5300986510972378E-2</v>
      </c>
    </row>
    <row r="539" spans="1:7" x14ac:dyDescent="0.35">
      <c r="A539" s="2">
        <v>44609</v>
      </c>
      <c r="B539" s="3">
        <v>4380.26</v>
      </c>
      <c r="C539" s="3">
        <v>142.80000000000001</v>
      </c>
      <c r="D539" s="3">
        <v>48.82</v>
      </c>
      <c r="E539" s="10">
        <f t="shared" si="25"/>
        <v>-2.1173137043269175E-2</v>
      </c>
      <c r="F539" s="10">
        <f t="shared" si="26"/>
        <v>-2.5189432725783313E-2</v>
      </c>
      <c r="G539" s="10">
        <f t="shared" si="27"/>
        <v>-3.1925441205631559E-2</v>
      </c>
    </row>
    <row r="540" spans="1:7" x14ac:dyDescent="0.35">
      <c r="A540" s="2">
        <v>44610</v>
      </c>
      <c r="B540" s="3">
        <v>4348.87</v>
      </c>
      <c r="C540" s="3">
        <v>142.94999999999999</v>
      </c>
      <c r="D540" s="3">
        <v>48.6</v>
      </c>
      <c r="E540" s="10">
        <f t="shared" si="25"/>
        <v>-7.1662412733491448E-3</v>
      </c>
      <c r="F540" s="10">
        <f t="shared" si="26"/>
        <v>1.0504201680670677E-3</v>
      </c>
      <c r="G540" s="10">
        <f t="shared" si="27"/>
        <v>-4.5063498566161172E-3</v>
      </c>
    </row>
    <row r="541" spans="1:7" x14ac:dyDescent="0.35">
      <c r="A541" s="2">
        <v>44614</v>
      </c>
      <c r="B541" s="3">
        <v>4304.76</v>
      </c>
      <c r="C541" s="3">
        <v>138.19</v>
      </c>
      <c r="D541" s="3">
        <v>46.77</v>
      </c>
      <c r="E541" s="10">
        <f t="shared" si="25"/>
        <v>-1.0142864698185891E-2</v>
      </c>
      <c r="F541" s="10">
        <f t="shared" si="26"/>
        <v>-3.3298356068555378E-2</v>
      </c>
      <c r="G541" s="10">
        <f t="shared" si="27"/>
        <v>-3.7654320987654283E-2</v>
      </c>
    </row>
    <row r="542" spans="1:7" x14ac:dyDescent="0.35">
      <c r="A542" s="2">
        <v>44615</v>
      </c>
      <c r="B542" s="3">
        <v>4225.5</v>
      </c>
      <c r="C542" s="3">
        <v>136.83000000000001</v>
      </c>
      <c r="D542" s="3">
        <v>46.38</v>
      </c>
      <c r="E542" s="10">
        <f t="shared" si="25"/>
        <v>-1.8412176288573629E-2</v>
      </c>
      <c r="F542" s="10">
        <f t="shared" si="26"/>
        <v>-9.8415225414283606E-3</v>
      </c>
      <c r="G542" s="10">
        <f t="shared" si="27"/>
        <v>-8.3386786401539563E-3</v>
      </c>
    </row>
    <row r="543" spans="1:7" x14ac:dyDescent="0.35">
      <c r="A543" s="2">
        <v>44616</v>
      </c>
      <c r="B543" s="3">
        <v>4288.7</v>
      </c>
      <c r="C543" s="3">
        <v>137.16999999999999</v>
      </c>
      <c r="D543" s="3">
        <v>46.35</v>
      </c>
      <c r="E543" s="10">
        <f t="shared" si="25"/>
        <v>1.4956809844988716E-2</v>
      </c>
      <c r="F543" s="10">
        <f t="shared" si="26"/>
        <v>2.484835196959548E-3</v>
      </c>
      <c r="G543" s="10">
        <f t="shared" si="27"/>
        <v>-6.4683053040105938E-4</v>
      </c>
    </row>
    <row r="544" spans="1:7" x14ac:dyDescent="0.35">
      <c r="A544" s="2">
        <v>44617</v>
      </c>
      <c r="B544" s="3">
        <v>4384.6499999999996</v>
      </c>
      <c r="C544" s="3">
        <v>138.80000000000001</v>
      </c>
      <c r="D544" s="3">
        <v>47.43</v>
      </c>
      <c r="E544" s="10">
        <f t="shared" si="25"/>
        <v>2.2372746986266193E-2</v>
      </c>
      <c r="F544" s="10">
        <f t="shared" si="26"/>
        <v>1.1883064810089845E-2</v>
      </c>
      <c r="G544" s="10">
        <f t="shared" si="27"/>
        <v>2.330097087378637E-2</v>
      </c>
    </row>
    <row r="545" spans="1:7" x14ac:dyDescent="0.35">
      <c r="A545" s="2">
        <v>44620</v>
      </c>
      <c r="B545" s="3">
        <v>4373.9399999999996</v>
      </c>
      <c r="C545" s="3">
        <v>136.55000000000001</v>
      </c>
      <c r="D545" s="3">
        <v>46.72</v>
      </c>
      <c r="E545" s="10">
        <f t="shared" si="25"/>
        <v>-2.4426122951660993E-3</v>
      </c>
      <c r="F545" s="10">
        <f t="shared" si="26"/>
        <v>-1.6210374639769452E-2</v>
      </c>
      <c r="G545" s="10">
        <f t="shared" si="27"/>
        <v>-1.4969428631667739E-2</v>
      </c>
    </row>
    <row r="546" spans="1:7" x14ac:dyDescent="0.35">
      <c r="A546" s="2">
        <v>44621</v>
      </c>
      <c r="B546" s="3">
        <v>4306.26</v>
      </c>
      <c r="C546" s="3">
        <v>132.22</v>
      </c>
      <c r="D546" s="3">
        <v>44.52</v>
      </c>
      <c r="E546" s="10">
        <f t="shared" si="25"/>
        <v>-1.5473463284818582E-2</v>
      </c>
      <c r="F546" s="10">
        <f t="shared" si="26"/>
        <v>-3.1709996338337695E-2</v>
      </c>
      <c r="G546" s="10">
        <f t="shared" si="27"/>
        <v>-4.7089041095890322E-2</v>
      </c>
    </row>
    <row r="547" spans="1:7" x14ac:dyDescent="0.35">
      <c r="A547" s="2">
        <v>44622</v>
      </c>
      <c r="B547" s="3">
        <v>4386.54</v>
      </c>
      <c r="C547" s="3">
        <v>135.68</v>
      </c>
      <c r="D547" s="3">
        <v>46.32</v>
      </c>
      <c r="E547" s="10">
        <f t="shared" si="25"/>
        <v>1.864262724498747E-2</v>
      </c>
      <c r="F547" s="10">
        <f t="shared" si="26"/>
        <v>2.6168507033731719E-2</v>
      </c>
      <c r="G547" s="10">
        <f t="shared" si="27"/>
        <v>4.0431266846361121E-2</v>
      </c>
    </row>
    <row r="548" spans="1:7" x14ac:dyDescent="0.35">
      <c r="A548" s="2">
        <v>44623</v>
      </c>
      <c r="B548" s="3">
        <v>4363.49</v>
      </c>
      <c r="C548" s="3">
        <v>133.97</v>
      </c>
      <c r="D548" s="3">
        <v>44.9</v>
      </c>
      <c r="E548" s="10">
        <f t="shared" si="25"/>
        <v>-5.2547110022934211E-3</v>
      </c>
      <c r="F548" s="10">
        <f t="shared" si="26"/>
        <v>-1.260318396226421E-2</v>
      </c>
      <c r="G548" s="10">
        <f t="shared" si="27"/>
        <v>-3.0656303972366183E-2</v>
      </c>
    </row>
    <row r="549" spans="1:7" x14ac:dyDescent="0.35">
      <c r="A549" s="2">
        <v>44624</v>
      </c>
      <c r="B549" s="3">
        <v>4328.87</v>
      </c>
      <c r="C549" s="3">
        <v>131.18</v>
      </c>
      <c r="D549" s="3">
        <v>42.4</v>
      </c>
      <c r="E549" s="10">
        <f t="shared" si="25"/>
        <v>-7.9340161201240048E-3</v>
      </c>
      <c r="F549" s="10">
        <f t="shared" si="26"/>
        <v>-2.0825557960737418E-2</v>
      </c>
      <c r="G549" s="10">
        <f t="shared" si="27"/>
        <v>-5.5679287305122498E-2</v>
      </c>
    </row>
    <row r="550" spans="1:7" x14ac:dyDescent="0.35">
      <c r="A550" s="2">
        <v>44627</v>
      </c>
      <c r="B550" s="3">
        <v>4201.09</v>
      </c>
      <c r="C550" s="3">
        <v>124.44</v>
      </c>
      <c r="D550" s="3">
        <v>39.83</v>
      </c>
      <c r="E550" s="10">
        <f t="shared" si="25"/>
        <v>-2.9518095946517161E-2</v>
      </c>
      <c r="F550" s="10">
        <f t="shared" si="26"/>
        <v>-5.1379783503582931E-2</v>
      </c>
      <c r="G550" s="10">
        <f t="shared" si="27"/>
        <v>-6.0613207547169819E-2</v>
      </c>
    </row>
    <row r="551" spans="1:7" x14ac:dyDescent="0.35">
      <c r="A551" s="2">
        <v>44628</v>
      </c>
      <c r="B551" s="3">
        <v>4170.7</v>
      </c>
      <c r="C551" s="3">
        <v>121.21</v>
      </c>
      <c r="D551" s="3">
        <v>40.200000000000003</v>
      </c>
      <c r="E551" s="10">
        <f t="shared" si="25"/>
        <v>-7.2338369327960899E-3</v>
      </c>
      <c r="F551" s="10">
        <f t="shared" si="26"/>
        <v>-2.5956284153005497E-2</v>
      </c>
      <c r="G551" s="10">
        <f t="shared" si="27"/>
        <v>9.2894802912378751E-3</v>
      </c>
    </row>
    <row r="552" spans="1:7" x14ac:dyDescent="0.35">
      <c r="A552" s="2">
        <v>44629</v>
      </c>
      <c r="B552" s="3">
        <v>4277.88</v>
      </c>
      <c r="C552" s="3">
        <v>126.95</v>
      </c>
      <c r="D552" s="3">
        <v>42.28</v>
      </c>
      <c r="E552" s="10">
        <f t="shared" si="25"/>
        <v>2.5698324022346439E-2</v>
      </c>
      <c r="F552" s="10">
        <f t="shared" si="26"/>
        <v>4.7355828727002801E-2</v>
      </c>
      <c r="G552" s="10">
        <f t="shared" si="27"/>
        <v>5.1741293532338264E-2</v>
      </c>
    </row>
    <row r="553" spans="1:7" x14ac:dyDescent="0.35">
      <c r="A553" s="2">
        <v>44630</v>
      </c>
      <c r="B553" s="3">
        <v>4259.5200000000004</v>
      </c>
      <c r="C553" s="3">
        <v>126.03</v>
      </c>
      <c r="D553" s="3">
        <v>41.85</v>
      </c>
      <c r="E553" s="10">
        <f t="shared" si="25"/>
        <v>-4.2918454935621554E-3</v>
      </c>
      <c r="F553" s="10">
        <f t="shared" si="26"/>
        <v>-7.2469476171721286E-3</v>
      </c>
      <c r="G553" s="10">
        <f t="shared" si="27"/>
        <v>-1.0170293282876058E-2</v>
      </c>
    </row>
    <row r="554" spans="1:7" x14ac:dyDescent="0.35">
      <c r="A554" s="2">
        <v>44631</v>
      </c>
      <c r="B554" s="3">
        <v>4204.3100000000004</v>
      </c>
      <c r="C554" s="3">
        <v>122.63</v>
      </c>
      <c r="D554" s="3">
        <v>41.51</v>
      </c>
      <c r="E554" s="10">
        <f t="shared" si="25"/>
        <v>-1.296155435354219E-2</v>
      </c>
      <c r="F554" s="10">
        <f t="shared" si="26"/>
        <v>-2.6977703721336236E-2</v>
      </c>
      <c r="G554" s="10">
        <f t="shared" si="27"/>
        <v>-8.1242532855436891E-3</v>
      </c>
    </row>
    <row r="555" spans="1:7" x14ac:dyDescent="0.35">
      <c r="A555" s="2">
        <v>44634</v>
      </c>
      <c r="B555" s="3">
        <v>4173.1099999999997</v>
      </c>
      <c r="C555" s="3">
        <v>117.57</v>
      </c>
      <c r="D555" s="3">
        <v>40.83</v>
      </c>
      <c r="E555" s="10">
        <f t="shared" si="25"/>
        <v>-7.4209561140831017E-3</v>
      </c>
      <c r="F555" s="10">
        <f t="shared" si="26"/>
        <v>-4.1262333849792075E-2</v>
      </c>
      <c r="G555" s="10">
        <f t="shared" si="27"/>
        <v>-1.6381594796434588E-2</v>
      </c>
    </row>
    <row r="556" spans="1:7" x14ac:dyDescent="0.35">
      <c r="A556" s="2">
        <v>44635</v>
      </c>
      <c r="B556" s="3">
        <v>4262.45</v>
      </c>
      <c r="C556" s="3">
        <v>119.4</v>
      </c>
      <c r="D556" s="3">
        <v>42.13</v>
      </c>
      <c r="E556" s="10">
        <f t="shared" si="25"/>
        <v>2.1408493905025305E-2</v>
      </c>
      <c r="F556" s="10">
        <f t="shared" si="26"/>
        <v>1.5565195202857979E-2</v>
      </c>
      <c r="G556" s="10">
        <f t="shared" si="27"/>
        <v>3.1839333823169343E-2</v>
      </c>
    </row>
    <row r="557" spans="1:7" x14ac:dyDescent="0.35">
      <c r="A557" s="2">
        <v>44636</v>
      </c>
      <c r="B557" s="3">
        <v>4357.8599999999997</v>
      </c>
      <c r="C557" s="3">
        <v>125.19</v>
      </c>
      <c r="D557" s="3">
        <v>43.85</v>
      </c>
      <c r="E557" s="10">
        <f t="shared" si="25"/>
        <v>2.2383840279651342E-2</v>
      </c>
      <c r="F557" s="10">
        <f t="shared" si="26"/>
        <v>4.8492462311557717E-2</v>
      </c>
      <c r="G557" s="10">
        <f t="shared" si="27"/>
        <v>4.0826014716354116E-2</v>
      </c>
    </row>
    <row r="558" spans="1:7" x14ac:dyDescent="0.35">
      <c r="A558" s="2">
        <v>44637</v>
      </c>
      <c r="B558" s="3">
        <v>4411.67</v>
      </c>
      <c r="C558" s="3">
        <v>127.41</v>
      </c>
      <c r="D558" s="3">
        <v>43.66</v>
      </c>
      <c r="E558" s="10">
        <f t="shared" si="25"/>
        <v>1.2347803738532307E-2</v>
      </c>
      <c r="F558" s="10">
        <f t="shared" si="26"/>
        <v>1.7733045770428939E-2</v>
      </c>
      <c r="G558" s="10">
        <f t="shared" si="27"/>
        <v>-4.3329532497150477E-3</v>
      </c>
    </row>
    <row r="559" spans="1:7" x14ac:dyDescent="0.35">
      <c r="A559" s="2">
        <v>44638</v>
      </c>
      <c r="B559" s="3">
        <v>4463.12</v>
      </c>
      <c r="C559" s="3">
        <v>131.24</v>
      </c>
      <c r="D559" s="3">
        <v>44.82</v>
      </c>
      <c r="E559" s="10">
        <f t="shared" si="25"/>
        <v>1.1662250349640798E-2</v>
      </c>
      <c r="F559" s="10">
        <f t="shared" si="26"/>
        <v>3.006043481673348E-2</v>
      </c>
      <c r="G559" s="10">
        <f t="shared" si="27"/>
        <v>2.6568941823179197E-2</v>
      </c>
    </row>
    <row r="560" spans="1:7" x14ac:dyDescent="0.35">
      <c r="A560" s="2">
        <v>44641</v>
      </c>
      <c r="B560" s="3">
        <v>4461.18</v>
      </c>
      <c r="C560" s="3">
        <v>130.19</v>
      </c>
      <c r="D560" s="3">
        <v>43.61</v>
      </c>
      <c r="E560" s="10">
        <f t="shared" si="25"/>
        <v>-4.3467350194473816E-4</v>
      </c>
      <c r="F560" s="10">
        <f t="shared" si="26"/>
        <v>-8.0006095702530571E-3</v>
      </c>
      <c r="G560" s="10">
        <f t="shared" si="27"/>
        <v>-2.6996876394466775E-2</v>
      </c>
    </row>
    <row r="561" spans="1:7" x14ac:dyDescent="0.35">
      <c r="A561" s="2">
        <v>44642</v>
      </c>
      <c r="B561" s="3">
        <v>4511.6099999999997</v>
      </c>
      <c r="C561" s="3">
        <v>133.09</v>
      </c>
      <c r="D561" s="3">
        <v>44.56</v>
      </c>
      <c r="E561" s="10">
        <f t="shared" si="25"/>
        <v>1.1304184094790925E-2</v>
      </c>
      <c r="F561" s="10">
        <f t="shared" si="26"/>
        <v>2.2275136339196602E-2</v>
      </c>
      <c r="G561" s="10">
        <f t="shared" si="27"/>
        <v>2.1783994496675139E-2</v>
      </c>
    </row>
    <row r="562" spans="1:7" x14ac:dyDescent="0.35">
      <c r="A562" s="2">
        <v>44643</v>
      </c>
      <c r="B562" s="3">
        <v>4456.24</v>
      </c>
      <c r="C562" s="3">
        <v>133</v>
      </c>
      <c r="D562" s="3">
        <v>43.78</v>
      </c>
      <c r="E562" s="10">
        <f t="shared" si="25"/>
        <v>-1.2272780670315009E-2</v>
      </c>
      <c r="F562" s="10">
        <f t="shared" si="26"/>
        <v>-6.7623412728231582E-4</v>
      </c>
      <c r="G562" s="10">
        <f t="shared" si="27"/>
        <v>-1.7504488330341138E-2</v>
      </c>
    </row>
    <row r="563" spans="1:7" x14ac:dyDescent="0.35">
      <c r="A563" s="2">
        <v>44644</v>
      </c>
      <c r="B563" s="3">
        <v>4520.16</v>
      </c>
      <c r="C563" s="3">
        <v>132.08000000000001</v>
      </c>
      <c r="D563" s="3">
        <v>44.35</v>
      </c>
      <c r="E563" s="10">
        <f t="shared" si="25"/>
        <v>1.4343931206577759E-2</v>
      </c>
      <c r="F563" s="10">
        <f t="shared" si="26"/>
        <v>-6.9172932330826128E-3</v>
      </c>
      <c r="G563" s="10">
        <f t="shared" si="27"/>
        <v>1.3019643672910012E-2</v>
      </c>
    </row>
    <row r="564" spans="1:7" x14ac:dyDescent="0.35">
      <c r="A564" s="2">
        <v>44645</v>
      </c>
      <c r="B564" s="3">
        <v>4543.0600000000004</v>
      </c>
      <c r="C564" s="3">
        <v>133.69999999999999</v>
      </c>
      <c r="D564" s="3">
        <v>43.65</v>
      </c>
      <c r="E564" s="10">
        <f t="shared" si="25"/>
        <v>5.0661923471736724E-3</v>
      </c>
      <c r="F564" s="10">
        <f t="shared" si="26"/>
        <v>1.2265293761356572E-2</v>
      </c>
      <c r="G564" s="10">
        <f t="shared" si="27"/>
        <v>-1.578354002254798E-2</v>
      </c>
    </row>
    <row r="565" spans="1:7" x14ac:dyDescent="0.35">
      <c r="A565" s="2">
        <v>44648</v>
      </c>
      <c r="B565" s="3">
        <v>4575.5200000000004</v>
      </c>
      <c r="C565" s="3">
        <v>134.81</v>
      </c>
      <c r="D565" s="3">
        <v>44.22</v>
      </c>
      <c r="E565" s="10">
        <f t="shared" si="25"/>
        <v>7.144963967017832E-3</v>
      </c>
      <c r="F565" s="10">
        <f t="shared" si="26"/>
        <v>8.3021690351534304E-3</v>
      </c>
      <c r="G565" s="10">
        <f t="shared" si="27"/>
        <v>1.3058419243986262E-2</v>
      </c>
    </row>
    <row r="566" spans="1:7" x14ac:dyDescent="0.35">
      <c r="A566" s="2">
        <v>44649</v>
      </c>
      <c r="B566" s="3">
        <v>4631.6000000000004</v>
      </c>
      <c r="C566" s="3">
        <v>139.13999999999999</v>
      </c>
      <c r="D566" s="3">
        <v>46.26</v>
      </c>
      <c r="E566" s="10">
        <f t="shared" si="25"/>
        <v>1.2256530405287252E-2</v>
      </c>
      <c r="F566" s="10">
        <f t="shared" si="26"/>
        <v>3.2119278985238364E-2</v>
      </c>
      <c r="G566" s="10">
        <f t="shared" si="27"/>
        <v>4.6132971506105819E-2</v>
      </c>
    </row>
    <row r="567" spans="1:7" x14ac:dyDescent="0.35">
      <c r="A567" s="2">
        <v>44650</v>
      </c>
      <c r="B567" s="3">
        <v>4602.45</v>
      </c>
      <c r="C567" s="3">
        <v>138.54</v>
      </c>
      <c r="D567" s="3">
        <v>45.22</v>
      </c>
      <c r="E567" s="10">
        <f t="shared" si="25"/>
        <v>-6.2937213921756075E-3</v>
      </c>
      <c r="F567" s="10">
        <f t="shared" si="26"/>
        <v>-4.3122035360068593E-3</v>
      </c>
      <c r="G567" s="10">
        <f t="shared" si="27"/>
        <v>-2.2481625594466044E-2</v>
      </c>
    </row>
    <row r="568" spans="1:7" x14ac:dyDescent="0.35">
      <c r="A568" s="2">
        <v>44651</v>
      </c>
      <c r="B568" s="3">
        <v>4530.41</v>
      </c>
      <c r="C568" s="3">
        <v>134.56</v>
      </c>
      <c r="D568" s="3">
        <v>43.74</v>
      </c>
      <c r="E568" s="10">
        <f t="shared" si="25"/>
        <v>-1.565253289009114E-2</v>
      </c>
      <c r="F568" s="10">
        <f t="shared" si="26"/>
        <v>-2.8728165150858884E-2</v>
      </c>
      <c r="G568" s="10">
        <f t="shared" si="27"/>
        <v>-3.2728881026094579E-2</v>
      </c>
    </row>
    <row r="569" spans="1:7" x14ac:dyDescent="0.35">
      <c r="A569" s="2">
        <v>44652</v>
      </c>
      <c r="B569" s="3">
        <v>4545.8599999999997</v>
      </c>
      <c r="C569" s="3">
        <v>133.52000000000001</v>
      </c>
      <c r="D569" s="3">
        <v>42.96</v>
      </c>
      <c r="E569" s="10">
        <f t="shared" si="25"/>
        <v>3.4102873691343209E-3</v>
      </c>
      <c r="F569" s="10">
        <f t="shared" si="26"/>
        <v>-7.7288941736027945E-3</v>
      </c>
      <c r="G569" s="10">
        <f t="shared" si="27"/>
        <v>-1.7832647462277116E-2</v>
      </c>
    </row>
    <row r="570" spans="1:7" x14ac:dyDescent="0.35">
      <c r="A570" s="2">
        <v>44655</v>
      </c>
      <c r="B570" s="3">
        <v>4582.6400000000003</v>
      </c>
      <c r="C570" s="3">
        <v>134.34</v>
      </c>
      <c r="D570" s="3">
        <v>43.18</v>
      </c>
      <c r="E570" s="10">
        <f t="shared" si="25"/>
        <v>8.0908782936563502E-3</v>
      </c>
      <c r="F570" s="10">
        <f t="shared" si="26"/>
        <v>6.1414020371479416E-3</v>
      </c>
      <c r="G570" s="10">
        <f t="shared" si="27"/>
        <v>5.121042830540011E-3</v>
      </c>
    </row>
    <row r="571" spans="1:7" x14ac:dyDescent="0.35">
      <c r="A571" s="2">
        <v>44656</v>
      </c>
      <c r="B571" s="3">
        <v>4525.12</v>
      </c>
      <c r="C571" s="3">
        <v>132.30000000000001</v>
      </c>
      <c r="D571" s="3">
        <v>41.42</v>
      </c>
      <c r="E571" s="10">
        <f t="shared" si="25"/>
        <v>-1.2551716914267853E-2</v>
      </c>
      <c r="F571" s="10">
        <f t="shared" si="26"/>
        <v>-1.5185350602947685E-2</v>
      </c>
      <c r="G571" s="10">
        <f t="shared" si="27"/>
        <v>-4.0759610930986519E-2</v>
      </c>
    </row>
    <row r="572" spans="1:7" x14ac:dyDescent="0.35">
      <c r="A572" s="2">
        <v>44657</v>
      </c>
      <c r="B572" s="3">
        <v>4481.1499999999996</v>
      </c>
      <c r="C572" s="3">
        <v>128.36000000000001</v>
      </c>
      <c r="D572" s="3">
        <v>39.5</v>
      </c>
      <c r="E572" s="10">
        <f t="shared" si="25"/>
        <v>-9.7168693868892441E-3</v>
      </c>
      <c r="F572" s="10">
        <f t="shared" si="26"/>
        <v>-2.9780801209372619E-2</v>
      </c>
      <c r="G572" s="10">
        <f t="shared" si="27"/>
        <v>-4.6354418155480484E-2</v>
      </c>
    </row>
    <row r="573" spans="1:7" x14ac:dyDescent="0.35">
      <c r="A573" s="2">
        <v>44658</v>
      </c>
      <c r="B573" s="3">
        <v>4500.21</v>
      </c>
      <c r="C573" s="3">
        <v>129.38</v>
      </c>
      <c r="D573" s="3">
        <v>38.72</v>
      </c>
      <c r="E573" s="10">
        <f t="shared" si="25"/>
        <v>4.253372460194459E-3</v>
      </c>
      <c r="F573" s="10">
        <f t="shared" si="26"/>
        <v>7.9464007478963986E-3</v>
      </c>
      <c r="G573" s="10">
        <f t="shared" si="27"/>
        <v>-1.9746835443038003E-2</v>
      </c>
    </row>
    <row r="574" spans="1:7" x14ac:dyDescent="0.35">
      <c r="A574" s="2">
        <v>44659</v>
      </c>
      <c r="B574" s="3">
        <v>4488.28</v>
      </c>
      <c r="C574" s="3">
        <v>128.15</v>
      </c>
      <c r="D574" s="3">
        <v>39.35</v>
      </c>
      <c r="E574" s="10">
        <f t="shared" si="25"/>
        <v>-2.6509873983659189E-3</v>
      </c>
      <c r="F574" s="10">
        <f t="shared" si="26"/>
        <v>-9.5068789611994879E-3</v>
      </c>
      <c r="G574" s="10">
        <f t="shared" si="27"/>
        <v>1.6270661157024861E-2</v>
      </c>
    </row>
    <row r="575" spans="1:7" x14ac:dyDescent="0.35">
      <c r="A575" s="2">
        <v>44662</v>
      </c>
      <c r="B575" s="3">
        <v>4412.53</v>
      </c>
      <c r="C575" s="3">
        <v>124.98</v>
      </c>
      <c r="D575" s="3">
        <v>40.33</v>
      </c>
      <c r="E575" s="10">
        <f t="shared" si="25"/>
        <v>-1.687728929567674E-2</v>
      </c>
      <c r="F575" s="10">
        <f t="shared" si="26"/>
        <v>-2.4736636753804147E-2</v>
      </c>
      <c r="G575" s="10">
        <f t="shared" si="27"/>
        <v>2.4904701397712753E-2</v>
      </c>
    </row>
    <row r="576" spans="1:7" x14ac:dyDescent="0.35">
      <c r="A576" s="2">
        <v>44663</v>
      </c>
      <c r="B576" s="3">
        <v>4397.45</v>
      </c>
      <c r="C576" s="3">
        <v>125.04</v>
      </c>
      <c r="D576" s="3">
        <v>40.04</v>
      </c>
      <c r="E576" s="10">
        <f t="shared" si="25"/>
        <v>-3.4175405039738945E-3</v>
      </c>
      <c r="F576" s="10">
        <f t="shared" si="26"/>
        <v>4.8007681228998459E-4</v>
      </c>
      <c r="G576" s="10">
        <f t="shared" si="27"/>
        <v>-7.1906769154475372E-3</v>
      </c>
    </row>
    <row r="577" spans="1:7" x14ac:dyDescent="0.35">
      <c r="A577" s="2">
        <v>44664</v>
      </c>
      <c r="B577" s="3">
        <v>4446.59</v>
      </c>
      <c r="C577" s="3">
        <v>127.49</v>
      </c>
      <c r="D577" s="3">
        <v>40.22</v>
      </c>
      <c r="E577" s="10">
        <f t="shared" si="25"/>
        <v>1.1174658040455339E-2</v>
      </c>
      <c r="F577" s="10">
        <f t="shared" si="26"/>
        <v>1.9593730006397862E-2</v>
      </c>
      <c r="G577" s="10">
        <f t="shared" si="27"/>
        <v>4.4955044955044881E-3</v>
      </c>
    </row>
    <row r="578" spans="1:7" x14ac:dyDescent="0.35">
      <c r="A578" s="2">
        <v>44665</v>
      </c>
      <c r="B578" s="3">
        <v>4392.59</v>
      </c>
      <c r="C578" s="3">
        <v>133.46</v>
      </c>
      <c r="D578" s="3">
        <v>40.130000000000003</v>
      </c>
      <c r="E578" s="10">
        <f t="shared" si="25"/>
        <v>-1.2144137417661623E-2</v>
      </c>
      <c r="F578" s="10">
        <f t="shared" si="26"/>
        <v>4.6827202133500771E-2</v>
      </c>
      <c r="G578" s="10">
        <f t="shared" si="27"/>
        <v>-2.2376926902037868E-3</v>
      </c>
    </row>
    <row r="579" spans="1:7" x14ac:dyDescent="0.35">
      <c r="A579" s="2">
        <v>44669</v>
      </c>
      <c r="B579" s="3">
        <v>4391.6899999999996</v>
      </c>
      <c r="C579" s="3">
        <v>131.63</v>
      </c>
      <c r="D579" s="3">
        <v>40.630000000000003</v>
      </c>
      <c r="E579" s="10">
        <f t="shared" si="25"/>
        <v>-2.0489050878878877E-4</v>
      </c>
      <c r="F579" s="10">
        <f t="shared" si="26"/>
        <v>-1.371197362505629E-2</v>
      </c>
      <c r="G579" s="10">
        <f t="shared" si="27"/>
        <v>1.2459506603538499E-2</v>
      </c>
    </row>
    <row r="580" spans="1:7" x14ac:dyDescent="0.35">
      <c r="A580" s="2">
        <v>44670</v>
      </c>
      <c r="B580" s="3">
        <v>4462.21</v>
      </c>
      <c r="C580" s="3">
        <v>137.05000000000001</v>
      </c>
      <c r="D580" s="3">
        <v>42.08</v>
      </c>
      <c r="E580" s="10">
        <f t="shared" ref="E580:E643" si="28">(B580-B579)/B579</f>
        <v>1.605759969396757E-2</v>
      </c>
      <c r="F580" s="10">
        <f t="shared" ref="F580:F643" si="29">(C580-C579)/C579</f>
        <v>4.1176023702803433E-2</v>
      </c>
      <c r="G580" s="10">
        <f t="shared" ref="G580:G643" si="30">(D580-D579)/D579</f>
        <v>3.5687915333497307E-2</v>
      </c>
    </row>
    <row r="581" spans="1:7" x14ac:dyDescent="0.35">
      <c r="A581" s="2">
        <v>44671</v>
      </c>
      <c r="B581" s="3">
        <v>4459.45</v>
      </c>
      <c r="C581" s="3">
        <v>135.87</v>
      </c>
      <c r="D581" s="3">
        <v>41.72</v>
      </c>
      <c r="E581" s="10">
        <f t="shared" si="28"/>
        <v>-6.1852759058856894E-4</v>
      </c>
      <c r="F581" s="10">
        <f t="shared" si="29"/>
        <v>-8.6099963516965104E-3</v>
      </c>
      <c r="G581" s="10">
        <f t="shared" si="30"/>
        <v>-8.5551330798478951E-3</v>
      </c>
    </row>
    <row r="582" spans="1:7" x14ac:dyDescent="0.35">
      <c r="A582" s="2">
        <v>44672</v>
      </c>
      <c r="B582" s="3">
        <v>4393.66</v>
      </c>
      <c r="C582" s="3">
        <v>135.46</v>
      </c>
      <c r="D582" s="3">
        <v>40.71</v>
      </c>
      <c r="E582" s="10">
        <f t="shared" si="28"/>
        <v>-1.4752940385025051E-2</v>
      </c>
      <c r="F582" s="10">
        <f t="shared" si="29"/>
        <v>-3.017590343710875E-3</v>
      </c>
      <c r="G582" s="10">
        <f t="shared" si="30"/>
        <v>-2.4209012464045974E-2</v>
      </c>
    </row>
    <row r="583" spans="1:7" x14ac:dyDescent="0.35">
      <c r="A583" s="2">
        <v>44673</v>
      </c>
      <c r="B583" s="3">
        <v>4271.78</v>
      </c>
      <c r="C583" s="3">
        <v>129.07</v>
      </c>
      <c r="D583" s="3">
        <v>39.840000000000003</v>
      </c>
      <c r="E583" s="10">
        <f t="shared" si="28"/>
        <v>-2.7739970776072823E-2</v>
      </c>
      <c r="F583" s="10">
        <f t="shared" si="29"/>
        <v>-4.7172597076627895E-2</v>
      </c>
      <c r="G583" s="10">
        <f t="shared" si="30"/>
        <v>-2.1370670596904874E-2</v>
      </c>
    </row>
    <row r="584" spans="1:7" x14ac:dyDescent="0.35">
      <c r="A584" s="2">
        <v>44676</v>
      </c>
      <c r="B584" s="3">
        <v>4296.12</v>
      </c>
      <c r="C584" s="3">
        <v>127.94</v>
      </c>
      <c r="D584" s="3">
        <v>39.82</v>
      </c>
      <c r="E584" s="10">
        <f t="shared" si="28"/>
        <v>5.6978589721381123E-3</v>
      </c>
      <c r="F584" s="10">
        <f t="shared" si="29"/>
        <v>-8.7549391802897308E-3</v>
      </c>
      <c r="G584" s="10">
        <f t="shared" si="30"/>
        <v>-5.0200803212859251E-4</v>
      </c>
    </row>
    <row r="585" spans="1:7" x14ac:dyDescent="0.35">
      <c r="A585" s="2">
        <v>44677</v>
      </c>
      <c r="B585" s="3">
        <v>4175.2</v>
      </c>
      <c r="C585" s="3">
        <v>120.52</v>
      </c>
      <c r="D585" s="3">
        <v>38.04</v>
      </c>
      <c r="E585" s="10">
        <f t="shared" si="28"/>
        <v>-2.8146327383778869E-2</v>
      </c>
      <c r="F585" s="10">
        <f t="shared" si="29"/>
        <v>-5.7995935594810082E-2</v>
      </c>
      <c r="G585" s="10">
        <f t="shared" si="30"/>
        <v>-4.4701155198392795E-2</v>
      </c>
    </row>
    <row r="586" spans="1:7" x14ac:dyDescent="0.35">
      <c r="A586" s="2">
        <v>44678</v>
      </c>
      <c r="B586" s="3">
        <v>4183.96</v>
      </c>
      <c r="C586" s="3">
        <v>121.24</v>
      </c>
      <c r="D586" s="3">
        <v>38.659999999999997</v>
      </c>
      <c r="E586" s="10">
        <f t="shared" si="28"/>
        <v>2.0981030848822137E-3</v>
      </c>
      <c r="F586" s="10">
        <f t="shared" si="29"/>
        <v>5.9741121805509364E-3</v>
      </c>
      <c r="G586" s="10">
        <f t="shared" si="30"/>
        <v>1.6298633017875853E-2</v>
      </c>
    </row>
    <row r="587" spans="1:7" x14ac:dyDescent="0.35">
      <c r="A587" s="2">
        <v>44679</v>
      </c>
      <c r="B587" s="3">
        <v>4287.5</v>
      </c>
      <c r="C587" s="3">
        <v>127.05</v>
      </c>
      <c r="D587" s="3">
        <v>38.75</v>
      </c>
      <c r="E587" s="10">
        <f t="shared" si="28"/>
        <v>2.4746890505645359E-2</v>
      </c>
      <c r="F587" s="10">
        <f t="shared" si="29"/>
        <v>4.7921478060046208E-2</v>
      </c>
      <c r="G587" s="10">
        <f t="shared" si="30"/>
        <v>2.3279875840663067E-3</v>
      </c>
    </row>
    <row r="588" spans="1:7" x14ac:dyDescent="0.35">
      <c r="A588" s="2">
        <v>44680</v>
      </c>
      <c r="B588" s="3">
        <v>4131.93</v>
      </c>
      <c r="C588" s="3">
        <v>124.7</v>
      </c>
      <c r="D588" s="3">
        <v>37.909999999999997</v>
      </c>
      <c r="E588" s="10">
        <f t="shared" si="28"/>
        <v>-3.6284548104956203E-2</v>
      </c>
      <c r="F588" s="10">
        <f t="shared" si="29"/>
        <v>-1.849665486029118E-2</v>
      </c>
      <c r="G588" s="10">
        <f t="shared" si="30"/>
        <v>-2.1677419354838797E-2</v>
      </c>
    </row>
    <row r="589" spans="1:7" x14ac:dyDescent="0.35">
      <c r="A589" s="2">
        <v>44683</v>
      </c>
      <c r="B589" s="3">
        <v>4155.38</v>
      </c>
      <c r="C589" s="3">
        <v>126.08</v>
      </c>
      <c r="D589" s="3">
        <v>38.450000000000003</v>
      </c>
      <c r="E589" s="10">
        <f t="shared" si="28"/>
        <v>5.6753139574000086E-3</v>
      </c>
      <c r="F589" s="10">
        <f t="shared" si="29"/>
        <v>1.1066559743384085E-2</v>
      </c>
      <c r="G589" s="10">
        <f t="shared" si="30"/>
        <v>1.4244262727512697E-2</v>
      </c>
    </row>
    <row r="590" spans="1:7" x14ac:dyDescent="0.35">
      <c r="A590" s="2">
        <v>44684</v>
      </c>
      <c r="B590" s="3">
        <v>4175.4799999999996</v>
      </c>
      <c r="C590" s="3">
        <v>122.86</v>
      </c>
      <c r="D590" s="3">
        <v>39.94</v>
      </c>
      <c r="E590" s="10">
        <f t="shared" si="28"/>
        <v>4.8371027439125793E-3</v>
      </c>
      <c r="F590" s="10">
        <f t="shared" si="29"/>
        <v>-2.5539340101522832E-2</v>
      </c>
      <c r="G590" s="10">
        <f t="shared" si="30"/>
        <v>3.8751625487646157E-2</v>
      </c>
    </row>
    <row r="591" spans="1:7" x14ac:dyDescent="0.35">
      <c r="A591" s="2">
        <v>44685</v>
      </c>
      <c r="B591" s="3">
        <v>4300.17</v>
      </c>
      <c r="C591" s="3">
        <v>126.06</v>
      </c>
      <c r="D591" s="3">
        <v>41.17</v>
      </c>
      <c r="E591" s="10">
        <f t="shared" si="28"/>
        <v>2.9862434977535643E-2</v>
      </c>
      <c r="F591" s="10">
        <f t="shared" si="29"/>
        <v>2.6045905909164925E-2</v>
      </c>
      <c r="G591" s="10">
        <f t="shared" si="30"/>
        <v>3.0796194291437259E-2</v>
      </c>
    </row>
    <row r="592" spans="1:7" x14ac:dyDescent="0.35">
      <c r="A592" s="2">
        <v>44686</v>
      </c>
      <c r="B592" s="3">
        <v>4146.87</v>
      </c>
      <c r="C592" s="3">
        <v>118.63</v>
      </c>
      <c r="D592" s="3">
        <v>39.950000000000003</v>
      </c>
      <c r="E592" s="10">
        <f t="shared" si="28"/>
        <v>-3.5649753381843084E-2</v>
      </c>
      <c r="F592" s="10">
        <f t="shared" si="29"/>
        <v>-5.8940187212438572E-2</v>
      </c>
      <c r="G592" s="10">
        <f t="shared" si="30"/>
        <v>-2.9633228078698053E-2</v>
      </c>
    </row>
    <row r="593" spans="1:7" x14ac:dyDescent="0.35">
      <c r="A593" s="2">
        <v>44687</v>
      </c>
      <c r="B593" s="3">
        <v>4123.34</v>
      </c>
      <c r="C593" s="3">
        <v>114.49</v>
      </c>
      <c r="D593" s="3">
        <v>39.58</v>
      </c>
      <c r="E593" s="10">
        <f t="shared" si="28"/>
        <v>-5.6741590645474167E-3</v>
      </c>
      <c r="F593" s="10">
        <f t="shared" si="29"/>
        <v>-3.4898423670235192E-2</v>
      </c>
      <c r="G593" s="10">
        <f t="shared" si="30"/>
        <v>-9.2615769712141305E-3</v>
      </c>
    </row>
    <row r="594" spans="1:7" x14ac:dyDescent="0.35">
      <c r="A594" s="2">
        <v>44690</v>
      </c>
      <c r="B594" s="3">
        <v>3991.24</v>
      </c>
      <c r="C594" s="3">
        <v>111.21</v>
      </c>
      <c r="D594" s="3">
        <v>38.26</v>
      </c>
      <c r="E594" s="10">
        <f t="shared" si="28"/>
        <v>-3.2037134944001795E-2</v>
      </c>
      <c r="F594" s="10">
        <f t="shared" si="29"/>
        <v>-2.8648790287361354E-2</v>
      </c>
      <c r="G594" s="10">
        <f t="shared" si="30"/>
        <v>-3.3350176856998495E-2</v>
      </c>
    </row>
    <row r="595" spans="1:7" x14ac:dyDescent="0.35">
      <c r="A595" s="2">
        <v>44691</v>
      </c>
      <c r="B595" s="3">
        <v>4001.05</v>
      </c>
      <c r="C595" s="3">
        <v>109.49</v>
      </c>
      <c r="D595" s="3">
        <v>38.700000000000003</v>
      </c>
      <c r="E595" s="10">
        <f t="shared" si="28"/>
        <v>2.4578827632516214E-3</v>
      </c>
      <c r="F595" s="10">
        <f t="shared" si="29"/>
        <v>-1.5466235050804774E-2</v>
      </c>
      <c r="G595" s="10">
        <f t="shared" si="30"/>
        <v>1.1500261369576709E-2</v>
      </c>
    </row>
    <row r="596" spans="1:7" x14ac:dyDescent="0.35">
      <c r="A596" s="2">
        <v>44692</v>
      </c>
      <c r="B596" s="3">
        <v>3935.18</v>
      </c>
      <c r="C596" s="3">
        <v>107.92</v>
      </c>
      <c r="D596" s="3">
        <v>37.270000000000003</v>
      </c>
      <c r="E596" s="10">
        <f t="shared" si="28"/>
        <v>-1.6463178415665972E-2</v>
      </c>
      <c r="F596" s="10">
        <f t="shared" si="29"/>
        <v>-1.4339209060188084E-2</v>
      </c>
      <c r="G596" s="10">
        <f t="shared" si="30"/>
        <v>-3.6950904392764848E-2</v>
      </c>
    </row>
    <row r="597" spans="1:7" x14ac:dyDescent="0.35">
      <c r="A597" s="2">
        <v>44693</v>
      </c>
      <c r="B597" s="3">
        <v>3930.08</v>
      </c>
      <c r="C597" s="3">
        <v>107.9</v>
      </c>
      <c r="D597" s="3">
        <v>35.56</v>
      </c>
      <c r="E597" s="10">
        <f t="shared" si="28"/>
        <v>-1.2960017076728153E-3</v>
      </c>
      <c r="F597" s="10">
        <f t="shared" si="29"/>
        <v>-1.853224610822463E-4</v>
      </c>
      <c r="G597" s="10">
        <f t="shared" si="30"/>
        <v>-4.5881405956533422E-2</v>
      </c>
    </row>
    <row r="598" spans="1:7" x14ac:dyDescent="0.35">
      <c r="A598" s="2">
        <v>44694</v>
      </c>
      <c r="B598" s="3">
        <v>4023.89</v>
      </c>
      <c r="C598" s="3">
        <v>113.01</v>
      </c>
      <c r="D598" s="3">
        <v>38.21</v>
      </c>
      <c r="E598" s="10">
        <f t="shared" si="28"/>
        <v>2.386974310955501E-2</v>
      </c>
      <c r="F598" s="10">
        <f t="shared" si="29"/>
        <v>4.7358665430954579E-2</v>
      </c>
      <c r="G598" s="10">
        <f t="shared" si="30"/>
        <v>7.4521934758155189E-2</v>
      </c>
    </row>
    <row r="599" spans="1:7" x14ac:dyDescent="0.35">
      <c r="A599" s="2">
        <v>44697</v>
      </c>
      <c r="B599" s="3">
        <v>4008.01</v>
      </c>
      <c r="C599" s="3">
        <v>112.6</v>
      </c>
      <c r="D599" s="3">
        <v>37.1</v>
      </c>
      <c r="E599" s="10">
        <f t="shared" si="28"/>
        <v>-3.9464299471406164E-3</v>
      </c>
      <c r="F599" s="10">
        <f t="shared" si="29"/>
        <v>-3.6279975223432507E-3</v>
      </c>
      <c r="G599" s="10">
        <f t="shared" si="30"/>
        <v>-2.9049986914420293E-2</v>
      </c>
    </row>
    <row r="600" spans="1:7" x14ac:dyDescent="0.35">
      <c r="A600" s="2">
        <v>44698</v>
      </c>
      <c r="B600" s="3">
        <v>4088.85</v>
      </c>
      <c r="C600" s="3">
        <v>115.9</v>
      </c>
      <c r="D600" s="3">
        <v>38.1</v>
      </c>
      <c r="E600" s="10">
        <f t="shared" si="28"/>
        <v>2.0169610355263507E-2</v>
      </c>
      <c r="F600" s="10">
        <f t="shared" si="29"/>
        <v>2.9307282415630652E-2</v>
      </c>
      <c r="G600" s="10">
        <f t="shared" si="30"/>
        <v>2.6954177897574122E-2</v>
      </c>
    </row>
    <row r="601" spans="1:7" x14ac:dyDescent="0.35">
      <c r="A601" s="2">
        <v>44699</v>
      </c>
      <c r="B601" s="3">
        <v>3923.68</v>
      </c>
      <c r="C601" s="3">
        <v>109.37</v>
      </c>
      <c r="D601" s="3">
        <v>35.83</v>
      </c>
      <c r="E601" s="10">
        <f t="shared" si="28"/>
        <v>-4.0395221150201173E-2</v>
      </c>
      <c r="F601" s="10">
        <f t="shared" si="29"/>
        <v>-5.6341673856773085E-2</v>
      </c>
      <c r="G601" s="10">
        <f t="shared" si="30"/>
        <v>-5.9580052493438403E-2</v>
      </c>
    </row>
    <row r="602" spans="1:7" x14ac:dyDescent="0.35">
      <c r="A602" s="2">
        <v>44700</v>
      </c>
      <c r="B602" s="3">
        <v>3900.79</v>
      </c>
      <c r="C602" s="3">
        <v>106.44</v>
      </c>
      <c r="D602" s="3">
        <v>36.119999999999997</v>
      </c>
      <c r="E602" s="10">
        <f t="shared" si="28"/>
        <v>-5.8338090771928074E-3</v>
      </c>
      <c r="F602" s="10">
        <f t="shared" si="29"/>
        <v>-2.6789796104964861E-2</v>
      </c>
      <c r="G602" s="10">
        <f t="shared" si="30"/>
        <v>8.0937761652246486E-3</v>
      </c>
    </row>
    <row r="603" spans="1:7" x14ac:dyDescent="0.35">
      <c r="A603" s="2">
        <v>44701</v>
      </c>
      <c r="B603" s="3">
        <v>3901.36</v>
      </c>
      <c r="C603" s="3">
        <v>108</v>
      </c>
      <c r="D603" s="3">
        <v>35.4</v>
      </c>
      <c r="E603" s="10">
        <f t="shared" si="28"/>
        <v>1.4612424662700728E-4</v>
      </c>
      <c r="F603" s="10">
        <f t="shared" si="29"/>
        <v>1.4656144306651657E-2</v>
      </c>
      <c r="G603" s="10">
        <f t="shared" si="30"/>
        <v>-1.9933554817275718E-2</v>
      </c>
    </row>
    <row r="604" spans="1:7" x14ac:dyDescent="0.35">
      <c r="A604" s="2">
        <v>44704</v>
      </c>
      <c r="B604" s="3">
        <v>3973.75</v>
      </c>
      <c r="C604" s="3">
        <v>108.63</v>
      </c>
      <c r="D604" s="3">
        <v>36</v>
      </c>
      <c r="E604" s="10">
        <f t="shared" si="28"/>
        <v>1.8555067976295414E-2</v>
      </c>
      <c r="F604" s="10">
        <f t="shared" si="29"/>
        <v>5.8333333333332911E-3</v>
      </c>
      <c r="G604" s="10">
        <f t="shared" si="30"/>
        <v>1.6949152542372923E-2</v>
      </c>
    </row>
    <row r="605" spans="1:7" x14ac:dyDescent="0.35">
      <c r="A605" s="2">
        <v>44705</v>
      </c>
      <c r="B605" s="3">
        <v>3941.48</v>
      </c>
      <c r="C605" s="3">
        <v>107.29</v>
      </c>
      <c r="D605" s="3">
        <v>35.21</v>
      </c>
      <c r="E605" s="10">
        <f t="shared" si="28"/>
        <v>-8.1207927021075769E-3</v>
      </c>
      <c r="F605" s="10">
        <f t="shared" si="29"/>
        <v>-1.2335450612169651E-2</v>
      </c>
      <c r="G605" s="10">
        <f t="shared" si="30"/>
        <v>-2.1944444444444419E-2</v>
      </c>
    </row>
    <row r="606" spans="1:7" x14ac:dyDescent="0.35">
      <c r="A606" s="2">
        <v>44706</v>
      </c>
      <c r="B606" s="3">
        <v>3978.73</v>
      </c>
      <c r="C606" s="3">
        <v>108.2</v>
      </c>
      <c r="D606" s="3">
        <v>35.979999999999997</v>
      </c>
      <c r="E606" s="10">
        <f t="shared" si="28"/>
        <v>9.450764687376316E-3</v>
      </c>
      <c r="F606" s="10">
        <f t="shared" si="29"/>
        <v>8.4816851523906844E-3</v>
      </c>
      <c r="G606" s="10">
        <f t="shared" si="30"/>
        <v>2.1868787276341835E-2</v>
      </c>
    </row>
    <row r="607" spans="1:7" x14ac:dyDescent="0.35">
      <c r="A607" s="2">
        <v>44707</v>
      </c>
      <c r="B607" s="3">
        <v>4057.84</v>
      </c>
      <c r="C607" s="3">
        <v>112.94</v>
      </c>
      <c r="D607" s="3">
        <v>37.42</v>
      </c>
      <c r="E607" s="10">
        <f t="shared" si="28"/>
        <v>1.9883229070582858E-2</v>
      </c>
      <c r="F607" s="10">
        <f t="shared" si="29"/>
        <v>4.3807763401109007E-2</v>
      </c>
      <c r="G607" s="10">
        <f t="shared" si="30"/>
        <v>4.0022234574763893E-2</v>
      </c>
    </row>
    <row r="608" spans="1:7" x14ac:dyDescent="0.35">
      <c r="A608" s="2">
        <v>44708</v>
      </c>
      <c r="B608" s="3">
        <v>4158.24</v>
      </c>
      <c r="C608" s="3">
        <v>115.99</v>
      </c>
      <c r="D608" s="3">
        <v>38.57</v>
      </c>
      <c r="E608" s="10">
        <f t="shared" si="28"/>
        <v>2.4742227391912848E-2</v>
      </c>
      <c r="F608" s="10">
        <f t="shared" si="29"/>
        <v>2.7005489640517064E-2</v>
      </c>
      <c r="G608" s="10">
        <f t="shared" si="30"/>
        <v>3.0732228754676603E-2</v>
      </c>
    </row>
    <row r="609" spans="1:7" x14ac:dyDescent="0.35">
      <c r="A609" s="2">
        <v>44712</v>
      </c>
      <c r="B609" s="3">
        <v>4132.1499999999996</v>
      </c>
      <c r="C609" s="3">
        <v>118.85</v>
      </c>
      <c r="D609" s="3">
        <v>38.68</v>
      </c>
      <c r="E609" s="10">
        <f t="shared" si="28"/>
        <v>-6.2742891223210176E-3</v>
      </c>
      <c r="F609" s="10">
        <f t="shared" si="29"/>
        <v>2.4657298042934733E-2</v>
      </c>
      <c r="G609" s="10">
        <f t="shared" si="30"/>
        <v>2.8519574799066483E-3</v>
      </c>
    </row>
    <row r="610" spans="1:7" x14ac:dyDescent="0.35">
      <c r="A610" s="2">
        <v>44713</v>
      </c>
      <c r="B610" s="3">
        <v>4101.2299999999996</v>
      </c>
      <c r="C610" s="3">
        <v>118.68</v>
      </c>
      <c r="D610" s="3">
        <v>38.270000000000003</v>
      </c>
      <c r="E610" s="10">
        <f t="shared" si="28"/>
        <v>-7.482787410912013E-3</v>
      </c>
      <c r="F610" s="10">
        <f t="shared" si="29"/>
        <v>-1.4303744215396509E-3</v>
      </c>
      <c r="G610" s="10">
        <f t="shared" si="30"/>
        <v>-1.0599793174767233E-2</v>
      </c>
    </row>
    <row r="611" spans="1:7" x14ac:dyDescent="0.35">
      <c r="A611" s="2">
        <v>44714</v>
      </c>
      <c r="B611" s="3">
        <v>4176.82</v>
      </c>
      <c r="C611" s="3">
        <v>123.41</v>
      </c>
      <c r="D611" s="3">
        <v>38.869999999999997</v>
      </c>
      <c r="E611" s="10">
        <f t="shared" si="28"/>
        <v>1.8431056049038986E-2</v>
      </c>
      <c r="F611" s="10">
        <f t="shared" si="29"/>
        <v>3.9855072463768029E-2</v>
      </c>
      <c r="G611" s="10">
        <f t="shared" si="30"/>
        <v>1.5678076822576281E-2</v>
      </c>
    </row>
    <row r="612" spans="1:7" x14ac:dyDescent="0.35">
      <c r="A612" s="2">
        <v>44715</v>
      </c>
      <c r="B612" s="3">
        <v>4108.54</v>
      </c>
      <c r="C612" s="3">
        <v>120.95</v>
      </c>
      <c r="D612" s="3">
        <v>37.61</v>
      </c>
      <c r="E612" s="10">
        <f t="shared" si="28"/>
        <v>-1.6347364741597616E-2</v>
      </c>
      <c r="F612" s="10">
        <f t="shared" si="29"/>
        <v>-1.9933554817275698E-2</v>
      </c>
      <c r="G612" s="10">
        <f t="shared" si="30"/>
        <v>-3.2415744790326682E-2</v>
      </c>
    </row>
    <row r="613" spans="1:7" x14ac:dyDescent="0.35">
      <c r="A613" s="2">
        <v>44718</v>
      </c>
      <c r="B613" s="3">
        <v>4121.43</v>
      </c>
      <c r="C613" s="3">
        <v>120.23</v>
      </c>
      <c r="D613" s="3">
        <v>37.83</v>
      </c>
      <c r="E613" s="10">
        <f t="shared" si="28"/>
        <v>3.1373675320187531E-3</v>
      </c>
      <c r="F613" s="10">
        <f t="shared" si="29"/>
        <v>-5.9528730880529053E-3</v>
      </c>
      <c r="G613" s="10">
        <f t="shared" si="30"/>
        <v>5.8495081095453032E-3</v>
      </c>
    </row>
    <row r="614" spans="1:7" x14ac:dyDescent="0.35">
      <c r="A614" s="2">
        <v>44719</v>
      </c>
      <c r="B614" s="3">
        <v>4160.68</v>
      </c>
      <c r="C614" s="3">
        <v>121.67</v>
      </c>
      <c r="D614" s="3">
        <v>38.369999999999997</v>
      </c>
      <c r="E614" s="10">
        <f t="shared" si="28"/>
        <v>9.5233935794129705E-3</v>
      </c>
      <c r="F614" s="10">
        <f t="shared" si="29"/>
        <v>1.1977043999001893E-2</v>
      </c>
      <c r="G614" s="10">
        <f t="shared" si="30"/>
        <v>1.4274385408406006E-2</v>
      </c>
    </row>
    <row r="615" spans="1:7" x14ac:dyDescent="0.35">
      <c r="A615" s="2">
        <v>44720</v>
      </c>
      <c r="B615" s="3">
        <v>4115.7700000000004</v>
      </c>
      <c r="C615" s="3">
        <v>122.4</v>
      </c>
      <c r="D615" s="3">
        <v>37.69</v>
      </c>
      <c r="E615" s="10">
        <f t="shared" si="28"/>
        <v>-1.0793908688002887E-2</v>
      </c>
      <c r="F615" s="10">
        <f t="shared" si="29"/>
        <v>5.9998356209419249E-3</v>
      </c>
      <c r="G615" s="10">
        <f t="shared" si="30"/>
        <v>-1.7722178785509506E-2</v>
      </c>
    </row>
    <row r="616" spans="1:7" x14ac:dyDescent="0.35">
      <c r="A616" s="2">
        <v>44721</v>
      </c>
      <c r="B616" s="3">
        <v>4017.82</v>
      </c>
      <c r="C616" s="3">
        <v>118.6</v>
      </c>
      <c r="D616" s="3">
        <v>36.65</v>
      </c>
      <c r="E616" s="10">
        <f t="shared" si="28"/>
        <v>-2.379870595295662E-2</v>
      </c>
      <c r="F616" s="10">
        <f t="shared" si="29"/>
        <v>-3.1045751633987019E-2</v>
      </c>
      <c r="G616" s="10">
        <f t="shared" si="30"/>
        <v>-2.7593526134253095E-2</v>
      </c>
    </row>
    <row r="617" spans="1:7" x14ac:dyDescent="0.35">
      <c r="A617" s="2">
        <v>44722</v>
      </c>
      <c r="B617" s="3">
        <v>3900.86</v>
      </c>
      <c r="C617" s="3">
        <v>114.73</v>
      </c>
      <c r="D617" s="3">
        <v>35.01</v>
      </c>
      <c r="E617" s="10">
        <f t="shared" si="28"/>
        <v>-2.9110313553120853E-2</v>
      </c>
      <c r="F617" s="10">
        <f t="shared" si="29"/>
        <v>-3.2630691399662654E-2</v>
      </c>
      <c r="G617" s="10">
        <f t="shared" si="30"/>
        <v>-4.4747612551159638E-2</v>
      </c>
    </row>
    <row r="618" spans="1:7" x14ac:dyDescent="0.35">
      <c r="A618" s="2">
        <v>44725</v>
      </c>
      <c r="B618" s="3">
        <v>3749.63</v>
      </c>
      <c r="C618" s="3">
        <v>110.44</v>
      </c>
      <c r="D618" s="3">
        <v>32.28</v>
      </c>
      <c r="E618" s="10">
        <f t="shared" si="28"/>
        <v>-3.8768374153391821E-2</v>
      </c>
      <c r="F618" s="10">
        <f t="shared" si="29"/>
        <v>-3.7392138063279054E-2</v>
      </c>
      <c r="G618" s="10">
        <f t="shared" si="30"/>
        <v>-7.7977720651242421E-2</v>
      </c>
    </row>
    <row r="619" spans="1:7" x14ac:dyDescent="0.35">
      <c r="A619" s="2">
        <v>44726</v>
      </c>
      <c r="B619" s="3">
        <v>3735.48</v>
      </c>
      <c r="C619" s="3">
        <v>110.72</v>
      </c>
      <c r="D619" s="3">
        <v>33.200000000000003</v>
      </c>
      <c r="E619" s="10">
        <f t="shared" si="28"/>
        <v>-3.7737056722930238E-3</v>
      </c>
      <c r="F619" s="10">
        <f t="shared" si="29"/>
        <v>2.5353132922854142E-3</v>
      </c>
      <c r="G619" s="10">
        <f t="shared" si="30"/>
        <v>2.8500619578686544E-2</v>
      </c>
    </row>
    <row r="620" spans="1:7" x14ac:dyDescent="0.35">
      <c r="A620" s="2">
        <v>44727</v>
      </c>
      <c r="B620" s="3">
        <v>3789.99</v>
      </c>
      <c r="C620" s="3">
        <v>113.44</v>
      </c>
      <c r="D620" s="3">
        <v>34.18</v>
      </c>
      <c r="E620" s="10">
        <f t="shared" si="28"/>
        <v>1.4592502168395966E-2</v>
      </c>
      <c r="F620" s="10">
        <f t="shared" si="29"/>
        <v>2.4566473988439298E-2</v>
      </c>
      <c r="G620" s="10">
        <f t="shared" si="30"/>
        <v>2.9518072289156531E-2</v>
      </c>
    </row>
    <row r="621" spans="1:7" x14ac:dyDescent="0.35">
      <c r="A621" s="2">
        <v>44728</v>
      </c>
      <c r="B621" s="3">
        <v>3666.77</v>
      </c>
      <c r="C621" s="3">
        <v>107.12</v>
      </c>
      <c r="D621" s="3">
        <v>31.42</v>
      </c>
      <c r="E621" s="10">
        <f t="shared" si="28"/>
        <v>-3.2511959134456765E-2</v>
      </c>
      <c r="F621" s="10">
        <f t="shared" si="29"/>
        <v>-5.5712270803949165E-2</v>
      </c>
      <c r="G621" s="10">
        <f t="shared" si="30"/>
        <v>-8.0748976009362136E-2</v>
      </c>
    </row>
    <row r="622" spans="1:7" x14ac:dyDescent="0.35">
      <c r="A622" s="2">
        <v>44729</v>
      </c>
      <c r="B622" s="3">
        <v>3674.84</v>
      </c>
      <c r="C622" s="3">
        <v>107.34</v>
      </c>
      <c r="D622" s="3">
        <v>31.88</v>
      </c>
      <c r="E622" s="10">
        <f t="shared" si="28"/>
        <v>2.2008470670372465E-3</v>
      </c>
      <c r="F622" s="10">
        <f t="shared" si="29"/>
        <v>2.0537714712471886E-3</v>
      </c>
      <c r="G622" s="10">
        <f t="shared" si="30"/>
        <v>1.4640356460852873E-2</v>
      </c>
    </row>
    <row r="623" spans="1:7" x14ac:dyDescent="0.35">
      <c r="A623" s="2">
        <v>44733</v>
      </c>
      <c r="B623" s="3">
        <v>3764.79</v>
      </c>
      <c r="C623" s="3">
        <v>108.68</v>
      </c>
      <c r="D623" s="3">
        <v>32.64</v>
      </c>
      <c r="E623" s="10">
        <f t="shared" si="28"/>
        <v>2.4477256152648771E-2</v>
      </c>
      <c r="F623" s="10">
        <f t="shared" si="29"/>
        <v>1.248369666480346E-2</v>
      </c>
      <c r="G623" s="10">
        <f t="shared" si="30"/>
        <v>2.383939774153079E-2</v>
      </c>
    </row>
    <row r="624" spans="1:7" x14ac:dyDescent="0.35">
      <c r="A624" s="2">
        <v>44734</v>
      </c>
      <c r="B624" s="3">
        <v>3759.89</v>
      </c>
      <c r="C624" s="3">
        <v>104.92</v>
      </c>
      <c r="D624" s="3">
        <v>32.83</v>
      </c>
      <c r="E624" s="10">
        <f t="shared" si="28"/>
        <v>-1.3015334188626964E-3</v>
      </c>
      <c r="F624" s="10">
        <f t="shared" si="29"/>
        <v>-3.4596981965403062E-2</v>
      </c>
      <c r="G624" s="10">
        <f t="shared" si="30"/>
        <v>5.8210784313724789E-3</v>
      </c>
    </row>
    <row r="625" spans="1:7" x14ac:dyDescent="0.35">
      <c r="A625" s="2">
        <v>44735</v>
      </c>
      <c r="B625" s="3">
        <v>3795.73</v>
      </c>
      <c r="C625" s="3">
        <v>108</v>
      </c>
      <c r="D625" s="3">
        <v>32.99</v>
      </c>
      <c r="E625" s="10">
        <f t="shared" si="28"/>
        <v>9.5321937609877273E-3</v>
      </c>
      <c r="F625" s="10">
        <f t="shared" si="29"/>
        <v>2.9355699580632846E-2</v>
      </c>
      <c r="G625" s="10">
        <f t="shared" si="30"/>
        <v>4.8735912275359033E-3</v>
      </c>
    </row>
    <row r="626" spans="1:7" x14ac:dyDescent="0.35">
      <c r="A626" s="2">
        <v>44736</v>
      </c>
      <c r="B626" s="3">
        <v>3911.74</v>
      </c>
      <c r="C626" s="3">
        <v>112.91</v>
      </c>
      <c r="D626" s="3">
        <v>34.82</v>
      </c>
      <c r="E626" s="10">
        <f t="shared" si="28"/>
        <v>3.0563290855777352E-2</v>
      </c>
      <c r="F626" s="10">
        <f t="shared" si="29"/>
        <v>4.5462962962962934E-2</v>
      </c>
      <c r="G626" s="10">
        <f t="shared" si="30"/>
        <v>5.5471354956047235E-2</v>
      </c>
    </row>
    <row r="627" spans="1:7" x14ac:dyDescent="0.35">
      <c r="A627" s="2">
        <v>44739</v>
      </c>
      <c r="B627" s="3">
        <v>3900.11</v>
      </c>
      <c r="C627" s="3">
        <v>110.5</v>
      </c>
      <c r="D627" s="3">
        <v>34.630000000000003</v>
      </c>
      <c r="E627" s="10">
        <f t="shared" si="28"/>
        <v>-2.9731014842498877E-3</v>
      </c>
      <c r="F627" s="10">
        <f t="shared" si="29"/>
        <v>-2.1344433619697074E-2</v>
      </c>
      <c r="G627" s="10">
        <f t="shared" si="30"/>
        <v>-5.456634118322738E-3</v>
      </c>
    </row>
    <row r="628" spans="1:7" x14ac:dyDescent="0.35">
      <c r="A628" s="2">
        <v>44740</v>
      </c>
      <c r="B628" s="3">
        <v>3821.55</v>
      </c>
      <c r="C628" s="3">
        <v>102.78</v>
      </c>
      <c r="D628" s="3">
        <v>33.99</v>
      </c>
      <c r="E628" s="10">
        <f t="shared" si="28"/>
        <v>-2.0143021607082864E-2</v>
      </c>
      <c r="F628" s="10">
        <f t="shared" si="29"/>
        <v>-6.9864253393665143E-2</v>
      </c>
      <c r="G628" s="10">
        <f t="shared" si="30"/>
        <v>-1.8481085763788638E-2</v>
      </c>
    </row>
    <row r="629" spans="1:7" x14ac:dyDescent="0.35">
      <c r="A629" s="2">
        <v>44741</v>
      </c>
      <c r="B629" s="3">
        <v>3818.83</v>
      </c>
      <c r="C629" s="3">
        <v>103.25</v>
      </c>
      <c r="D629" s="3">
        <v>33.450000000000003</v>
      </c>
      <c r="E629" s="10">
        <f t="shared" si="28"/>
        <v>-7.1175308448149426E-4</v>
      </c>
      <c r="F629" s="10">
        <f t="shared" si="29"/>
        <v>4.5728741000194478E-3</v>
      </c>
      <c r="G629" s="10">
        <f t="shared" si="30"/>
        <v>-1.5887025595763434E-2</v>
      </c>
    </row>
    <row r="630" spans="1:7" x14ac:dyDescent="0.35">
      <c r="A630" s="2">
        <v>44742</v>
      </c>
      <c r="B630" s="3">
        <v>3785.38</v>
      </c>
      <c r="C630" s="3">
        <v>102.2</v>
      </c>
      <c r="D630" s="3">
        <v>31.76</v>
      </c>
      <c r="E630" s="10">
        <f t="shared" si="28"/>
        <v>-8.7592273026031054E-3</v>
      </c>
      <c r="F630" s="10">
        <f t="shared" si="29"/>
        <v>-1.0169491525423702E-2</v>
      </c>
      <c r="G630" s="10">
        <f t="shared" si="30"/>
        <v>-5.0523168908819166E-2</v>
      </c>
    </row>
    <row r="631" spans="1:7" x14ac:dyDescent="0.35">
      <c r="A631" s="2">
        <v>44743</v>
      </c>
      <c r="B631" s="3">
        <v>3825.33</v>
      </c>
      <c r="C631" s="3">
        <v>101.18</v>
      </c>
      <c r="D631" s="3">
        <v>32.19</v>
      </c>
      <c r="E631" s="10">
        <f t="shared" si="28"/>
        <v>1.0553762105785897E-2</v>
      </c>
      <c r="F631" s="10">
        <f t="shared" si="29"/>
        <v>-9.9804305283756941E-3</v>
      </c>
      <c r="G631" s="10">
        <f t="shared" si="30"/>
        <v>1.3539042821158569E-2</v>
      </c>
    </row>
    <row r="632" spans="1:7" x14ac:dyDescent="0.35">
      <c r="A632" s="2">
        <v>44747</v>
      </c>
      <c r="B632" s="3">
        <v>3831.39</v>
      </c>
      <c r="C632" s="3">
        <v>104.32</v>
      </c>
      <c r="D632" s="3">
        <v>32.369999999999997</v>
      </c>
      <c r="E632" s="10">
        <f t="shared" si="28"/>
        <v>1.5841770513916305E-3</v>
      </c>
      <c r="F632" s="10">
        <f t="shared" si="29"/>
        <v>3.1033801146471498E-2</v>
      </c>
      <c r="G632" s="10">
        <f t="shared" si="30"/>
        <v>5.5917986952469627E-3</v>
      </c>
    </row>
    <row r="633" spans="1:7" x14ac:dyDescent="0.35">
      <c r="A633" s="2">
        <v>44748</v>
      </c>
      <c r="B633" s="3">
        <v>3845.08</v>
      </c>
      <c r="C633" s="3">
        <v>104.23</v>
      </c>
      <c r="D633" s="3">
        <v>31.27</v>
      </c>
      <c r="E633" s="10">
        <f t="shared" si="28"/>
        <v>3.5731157621646595E-3</v>
      </c>
      <c r="F633" s="10">
        <f t="shared" si="29"/>
        <v>-8.6273006134958983E-4</v>
      </c>
      <c r="G633" s="10">
        <f t="shared" si="30"/>
        <v>-3.3982082174853198E-2</v>
      </c>
    </row>
    <row r="634" spans="1:7" x14ac:dyDescent="0.35">
      <c r="A634" s="2">
        <v>44749</v>
      </c>
      <c r="B634" s="3">
        <v>3902.62</v>
      </c>
      <c r="C634" s="3">
        <v>108.13</v>
      </c>
      <c r="D634" s="3">
        <v>32.659999999999997</v>
      </c>
      <c r="E634" s="10">
        <f t="shared" si="28"/>
        <v>1.4964578110208361E-2</v>
      </c>
      <c r="F634" s="10">
        <f t="shared" si="29"/>
        <v>3.7417250311810334E-2</v>
      </c>
      <c r="G634" s="10">
        <f t="shared" si="30"/>
        <v>4.4451551007355199E-2</v>
      </c>
    </row>
    <row r="635" spans="1:7" x14ac:dyDescent="0.35">
      <c r="A635" s="2">
        <v>44750</v>
      </c>
      <c r="B635" s="3">
        <v>3899.38</v>
      </c>
      <c r="C635" s="3">
        <v>107.93</v>
      </c>
      <c r="D635" s="3">
        <v>32.31</v>
      </c>
      <c r="E635" s="10">
        <f t="shared" si="28"/>
        <v>-8.3021149894168069E-4</v>
      </c>
      <c r="F635" s="10">
        <f t="shared" si="29"/>
        <v>-1.8496254508460987E-3</v>
      </c>
      <c r="G635" s="10">
        <f t="shared" si="30"/>
        <v>-1.0716472749540549E-2</v>
      </c>
    </row>
    <row r="636" spans="1:7" x14ac:dyDescent="0.35">
      <c r="A636" s="2">
        <v>44753</v>
      </c>
      <c r="B636" s="3">
        <v>3854.43</v>
      </c>
      <c r="C636" s="3">
        <v>105.11</v>
      </c>
      <c r="D636" s="3">
        <v>30.87</v>
      </c>
      <c r="E636" s="10">
        <f t="shared" si="28"/>
        <v>-1.152747359836699E-2</v>
      </c>
      <c r="F636" s="10">
        <f t="shared" si="29"/>
        <v>-2.6128045955712102E-2</v>
      </c>
      <c r="G636" s="10">
        <f t="shared" si="30"/>
        <v>-4.4568245125348224E-2</v>
      </c>
    </row>
    <row r="637" spans="1:7" x14ac:dyDescent="0.35">
      <c r="A637" s="2">
        <v>44754</v>
      </c>
      <c r="B637" s="3">
        <v>3818.8</v>
      </c>
      <c r="C637" s="3">
        <v>103.76</v>
      </c>
      <c r="D637" s="3">
        <v>31.53</v>
      </c>
      <c r="E637" s="10">
        <f t="shared" si="28"/>
        <v>-9.2439089567068686E-3</v>
      </c>
      <c r="F637" s="10">
        <f t="shared" si="29"/>
        <v>-1.2843687565407614E-2</v>
      </c>
      <c r="G637" s="10">
        <f t="shared" si="30"/>
        <v>2.1379980563654036E-2</v>
      </c>
    </row>
    <row r="638" spans="1:7" x14ac:dyDescent="0.35">
      <c r="A638" s="2">
        <v>44755</v>
      </c>
      <c r="B638" s="3">
        <v>3801.78</v>
      </c>
      <c r="C638" s="3">
        <v>105.11</v>
      </c>
      <c r="D638" s="3">
        <v>31.72</v>
      </c>
      <c r="E638" s="10">
        <f t="shared" si="28"/>
        <v>-4.4568974546978059E-3</v>
      </c>
      <c r="F638" s="10">
        <f t="shared" si="29"/>
        <v>1.3010794140323769E-2</v>
      </c>
      <c r="G638" s="10">
        <f t="shared" si="30"/>
        <v>6.0260069774816915E-3</v>
      </c>
    </row>
    <row r="639" spans="1:7" x14ac:dyDescent="0.35">
      <c r="A639" s="2">
        <v>44756</v>
      </c>
      <c r="B639" s="3">
        <v>3790.38</v>
      </c>
      <c r="C639" s="3">
        <v>103.22</v>
      </c>
      <c r="D639" s="3">
        <v>31.59</v>
      </c>
      <c r="E639" s="10">
        <f t="shared" si="28"/>
        <v>-2.9985953947887808E-3</v>
      </c>
      <c r="F639" s="10">
        <f t="shared" si="29"/>
        <v>-1.7981162591570742E-2</v>
      </c>
      <c r="G639" s="10">
        <f t="shared" si="30"/>
        <v>-4.0983606557376739E-3</v>
      </c>
    </row>
    <row r="640" spans="1:7" x14ac:dyDescent="0.35">
      <c r="A640" s="2">
        <v>44757</v>
      </c>
      <c r="B640" s="3">
        <v>3863.16</v>
      </c>
      <c r="C640" s="3">
        <v>104.7</v>
      </c>
      <c r="D640" s="3">
        <v>32.869999999999997</v>
      </c>
      <c r="E640" s="10">
        <f t="shared" si="28"/>
        <v>1.9201241036518699E-2</v>
      </c>
      <c r="F640" s="10">
        <f t="shared" si="29"/>
        <v>1.4338306529742337E-2</v>
      </c>
      <c r="G640" s="10">
        <f t="shared" si="30"/>
        <v>4.0519151630262665E-2</v>
      </c>
    </row>
    <row r="641" spans="1:7" x14ac:dyDescent="0.35">
      <c r="A641" s="2">
        <v>44760</v>
      </c>
      <c r="B641" s="3">
        <v>3830.85</v>
      </c>
      <c r="C641" s="3">
        <v>103.94</v>
      </c>
      <c r="D641" s="3">
        <v>32.619999999999997</v>
      </c>
      <c r="E641" s="10">
        <f t="shared" si="28"/>
        <v>-8.3636194203708745E-3</v>
      </c>
      <c r="F641" s="10">
        <f t="shared" si="29"/>
        <v>-7.2588347659981386E-3</v>
      </c>
      <c r="G641" s="10">
        <f t="shared" si="30"/>
        <v>-7.6057195010648011E-3</v>
      </c>
    </row>
    <row r="642" spans="1:7" x14ac:dyDescent="0.35">
      <c r="A642" s="2">
        <v>44761</v>
      </c>
      <c r="B642" s="3">
        <v>3936.69</v>
      </c>
      <c r="C642" s="3">
        <v>109.19</v>
      </c>
      <c r="D642" s="3">
        <v>34.4</v>
      </c>
      <c r="E642" s="10">
        <f t="shared" si="28"/>
        <v>2.7628333137554369E-2</v>
      </c>
      <c r="F642" s="10">
        <f t="shared" si="29"/>
        <v>5.0509909563209547E-2</v>
      </c>
      <c r="G642" s="10">
        <f t="shared" si="30"/>
        <v>5.4567749846719846E-2</v>
      </c>
    </row>
    <row r="643" spans="1:7" x14ac:dyDescent="0.35">
      <c r="A643" s="2">
        <v>44762</v>
      </c>
      <c r="B643" s="3">
        <v>3959.9</v>
      </c>
      <c r="C643" s="3">
        <v>111.11</v>
      </c>
      <c r="D643" s="3">
        <v>34.76</v>
      </c>
      <c r="E643" s="10">
        <f t="shared" si="28"/>
        <v>5.8958160281861252E-3</v>
      </c>
      <c r="F643" s="10">
        <f t="shared" si="29"/>
        <v>1.7584027841377432E-2</v>
      </c>
      <c r="G643" s="10">
        <f t="shared" si="30"/>
        <v>1.0465116279069752E-2</v>
      </c>
    </row>
    <row r="644" spans="1:7" x14ac:dyDescent="0.35">
      <c r="A644" s="2">
        <v>44763</v>
      </c>
      <c r="B644" s="3">
        <v>3998.95</v>
      </c>
      <c r="C644" s="3">
        <v>111.62</v>
      </c>
      <c r="D644" s="3">
        <v>35.130000000000003</v>
      </c>
      <c r="E644" s="10">
        <f t="shared" ref="E644:E707" si="31">(B644-B643)/B643</f>
        <v>9.861360135356885E-3</v>
      </c>
      <c r="F644" s="10">
        <f t="shared" ref="F644:F707" si="32">(C644-C643)/C643</f>
        <v>4.5900459004590503E-3</v>
      </c>
      <c r="G644" s="10">
        <f t="shared" ref="G644:G707" si="33">(D644-D643)/D643</f>
        <v>1.0644418872267105E-2</v>
      </c>
    </row>
    <row r="645" spans="1:7" x14ac:dyDescent="0.35">
      <c r="A645" s="2">
        <v>44764</v>
      </c>
      <c r="B645" s="3">
        <v>3961.63</v>
      </c>
      <c r="C645" s="3">
        <v>109.12</v>
      </c>
      <c r="D645" s="3">
        <v>34.67</v>
      </c>
      <c r="E645" s="10">
        <f t="shared" si="31"/>
        <v>-9.3324497680640443E-3</v>
      </c>
      <c r="F645" s="10">
        <f t="shared" si="32"/>
        <v>-2.2397419817237054E-2</v>
      </c>
      <c r="G645" s="10">
        <f t="shared" si="33"/>
        <v>-1.3094221463136943E-2</v>
      </c>
    </row>
    <row r="646" spans="1:7" x14ac:dyDescent="0.35">
      <c r="A646" s="2">
        <v>44767</v>
      </c>
      <c r="B646" s="3">
        <v>3966.84</v>
      </c>
      <c r="C646" s="3">
        <v>109.28</v>
      </c>
      <c r="D646" s="3">
        <v>34.520000000000003</v>
      </c>
      <c r="E646" s="10">
        <f t="shared" si="31"/>
        <v>1.3151152429681813E-3</v>
      </c>
      <c r="F646" s="10">
        <f t="shared" si="32"/>
        <v>1.4662756598240157E-3</v>
      </c>
      <c r="G646" s="10">
        <f t="shared" si="33"/>
        <v>-4.3265070666281677E-3</v>
      </c>
    </row>
    <row r="647" spans="1:7" x14ac:dyDescent="0.35">
      <c r="A647" s="2">
        <v>44768</v>
      </c>
      <c r="B647" s="3">
        <v>3921.05</v>
      </c>
      <c r="C647" s="3">
        <v>105.2</v>
      </c>
      <c r="D647" s="3">
        <v>33.340000000000003</v>
      </c>
      <c r="E647" s="10">
        <f t="shared" si="31"/>
        <v>-1.154319307055489E-2</v>
      </c>
      <c r="F647" s="10">
        <f t="shared" si="32"/>
        <v>-3.7335285505124438E-2</v>
      </c>
      <c r="G647" s="10">
        <f t="shared" si="33"/>
        <v>-3.418308227114715E-2</v>
      </c>
    </row>
    <row r="648" spans="1:7" x14ac:dyDescent="0.35">
      <c r="A648" s="2">
        <v>44769</v>
      </c>
      <c r="B648" s="3">
        <v>4023.61</v>
      </c>
      <c r="C648" s="3">
        <v>107.86</v>
      </c>
      <c r="D648" s="3">
        <v>34.68</v>
      </c>
      <c r="E648" s="10">
        <f t="shared" si="31"/>
        <v>2.6156259165274594E-2</v>
      </c>
      <c r="F648" s="10">
        <f t="shared" si="32"/>
        <v>2.5285171102661565E-2</v>
      </c>
      <c r="G648" s="10">
        <f t="shared" si="33"/>
        <v>4.019196160767835E-2</v>
      </c>
    </row>
    <row r="649" spans="1:7" x14ac:dyDescent="0.35">
      <c r="A649" s="2">
        <v>44770</v>
      </c>
      <c r="B649" s="3">
        <v>4072.43</v>
      </c>
      <c r="C649" s="3">
        <v>112.23</v>
      </c>
      <c r="D649" s="3">
        <v>35.74</v>
      </c>
      <c r="E649" s="10">
        <f t="shared" si="31"/>
        <v>1.2133382708562635E-2</v>
      </c>
      <c r="F649" s="10">
        <f t="shared" si="32"/>
        <v>4.0515483033562068E-2</v>
      </c>
      <c r="G649" s="10">
        <f t="shared" si="33"/>
        <v>3.0565167243368E-2</v>
      </c>
    </row>
    <row r="650" spans="1:7" x14ac:dyDescent="0.35">
      <c r="A650" s="2">
        <v>44771</v>
      </c>
      <c r="B650" s="3">
        <v>4130.29</v>
      </c>
      <c r="C650" s="3">
        <v>114.92</v>
      </c>
      <c r="D650" s="3">
        <v>36.26</v>
      </c>
      <c r="E650" s="10">
        <f t="shared" si="31"/>
        <v>1.4207733466259734E-2</v>
      </c>
      <c r="F650" s="10">
        <f t="shared" si="32"/>
        <v>2.3968635837120177E-2</v>
      </c>
      <c r="G650" s="10">
        <f t="shared" si="33"/>
        <v>1.4549524342473308E-2</v>
      </c>
    </row>
    <row r="651" spans="1:7" x14ac:dyDescent="0.35">
      <c r="A651" s="2">
        <v>44774</v>
      </c>
      <c r="B651" s="3">
        <v>4118.63</v>
      </c>
      <c r="C651" s="3">
        <v>114.3</v>
      </c>
      <c r="D651" s="3">
        <v>36.770000000000003</v>
      </c>
      <c r="E651" s="10">
        <f t="shared" si="31"/>
        <v>-2.8230463236237299E-3</v>
      </c>
      <c r="F651" s="10">
        <f t="shared" si="32"/>
        <v>-5.395057431256566E-3</v>
      </c>
      <c r="G651" s="10">
        <f t="shared" si="33"/>
        <v>1.4065085493657065E-2</v>
      </c>
    </row>
    <row r="652" spans="1:7" x14ac:dyDescent="0.35">
      <c r="A652" s="2">
        <v>44775</v>
      </c>
      <c r="B652" s="3">
        <v>4091.19</v>
      </c>
      <c r="C652" s="3">
        <v>111.77</v>
      </c>
      <c r="D652" s="3">
        <v>36.130000000000003</v>
      </c>
      <c r="E652" s="10">
        <f t="shared" si="31"/>
        <v>-6.6624095876541599E-3</v>
      </c>
      <c r="F652" s="10">
        <f t="shared" si="32"/>
        <v>-2.2134733158355215E-2</v>
      </c>
      <c r="G652" s="10">
        <f t="shared" si="33"/>
        <v>-1.7405493608920328E-2</v>
      </c>
    </row>
    <row r="653" spans="1:7" x14ac:dyDescent="0.35">
      <c r="A653" s="2">
        <v>44776</v>
      </c>
      <c r="B653" s="3">
        <v>4155.17</v>
      </c>
      <c r="C653" s="3">
        <v>114.28</v>
      </c>
      <c r="D653" s="3">
        <v>37.31</v>
      </c>
      <c r="E653" s="10">
        <f t="shared" si="31"/>
        <v>1.5638481713144591E-2</v>
      </c>
      <c r="F653" s="10">
        <f t="shared" si="32"/>
        <v>2.2456830992216206E-2</v>
      </c>
      <c r="G653" s="10">
        <f t="shared" si="33"/>
        <v>3.2659839468585652E-2</v>
      </c>
    </row>
    <row r="654" spans="1:7" x14ac:dyDescent="0.35">
      <c r="A654" s="2">
        <v>44777</v>
      </c>
      <c r="B654" s="3">
        <v>4151.9399999999996</v>
      </c>
      <c r="C654" s="3">
        <v>114.48</v>
      </c>
      <c r="D654" s="3">
        <v>36.229999999999997</v>
      </c>
      <c r="E654" s="10">
        <f t="shared" si="31"/>
        <v>-7.7734484990998507E-4</v>
      </c>
      <c r="F654" s="10">
        <f t="shared" si="32"/>
        <v>1.7500875043752436E-3</v>
      </c>
      <c r="G654" s="10">
        <f t="shared" si="33"/>
        <v>-2.8946663093004699E-2</v>
      </c>
    </row>
    <row r="655" spans="1:7" x14ac:dyDescent="0.35">
      <c r="A655" s="2">
        <v>44778</v>
      </c>
      <c r="B655" s="3">
        <v>4145.1899999999996</v>
      </c>
      <c r="C655" s="3">
        <v>113.87</v>
      </c>
      <c r="D655" s="3">
        <v>36.06</v>
      </c>
      <c r="E655" s="10">
        <f t="shared" si="31"/>
        <v>-1.6257460367924393E-3</v>
      </c>
      <c r="F655" s="10">
        <f t="shared" si="32"/>
        <v>-5.3284416491963613E-3</v>
      </c>
      <c r="G655" s="10">
        <f t="shared" si="33"/>
        <v>-4.692243996687679E-3</v>
      </c>
    </row>
    <row r="656" spans="1:7" x14ac:dyDescent="0.35">
      <c r="A656" s="2">
        <v>44781</v>
      </c>
      <c r="B656" s="3">
        <v>4140.0600000000004</v>
      </c>
      <c r="C656" s="3">
        <v>114</v>
      </c>
      <c r="D656" s="3">
        <v>37.56</v>
      </c>
      <c r="E656" s="10">
        <f t="shared" si="31"/>
        <v>-1.2375789770792654E-3</v>
      </c>
      <c r="F656" s="10">
        <f t="shared" si="32"/>
        <v>1.1416527619214495E-3</v>
      </c>
      <c r="G656" s="10">
        <f t="shared" si="33"/>
        <v>4.1597337770382693E-2</v>
      </c>
    </row>
    <row r="657" spans="1:7" x14ac:dyDescent="0.35">
      <c r="A657" s="2">
        <v>44782</v>
      </c>
      <c r="B657" s="3">
        <v>4122.47</v>
      </c>
      <c r="C657" s="3">
        <v>110.11</v>
      </c>
      <c r="D657" s="3">
        <v>36.619999999999997</v>
      </c>
      <c r="E657" s="10">
        <f t="shared" si="31"/>
        <v>-4.248730694724266E-3</v>
      </c>
      <c r="F657" s="10">
        <f t="shared" si="32"/>
        <v>-3.4122807017543867E-2</v>
      </c>
      <c r="G657" s="10">
        <f t="shared" si="33"/>
        <v>-2.5026624068157741E-2</v>
      </c>
    </row>
    <row r="658" spans="1:7" x14ac:dyDescent="0.35">
      <c r="A658" s="2">
        <v>44783</v>
      </c>
      <c r="B658" s="3">
        <v>4210.24</v>
      </c>
      <c r="C658" s="3">
        <v>113.14</v>
      </c>
      <c r="D658" s="3">
        <v>37.950000000000003</v>
      </c>
      <c r="E658" s="10">
        <f t="shared" si="31"/>
        <v>2.1290634013103677E-2</v>
      </c>
      <c r="F658" s="10">
        <f t="shared" si="32"/>
        <v>2.751793660884571E-2</v>
      </c>
      <c r="G658" s="10">
        <f t="shared" si="33"/>
        <v>3.6318951392681743E-2</v>
      </c>
    </row>
    <row r="659" spans="1:7" x14ac:dyDescent="0.35">
      <c r="A659" s="2">
        <v>44784</v>
      </c>
      <c r="B659" s="3">
        <v>4207.2700000000004</v>
      </c>
      <c r="C659" s="3">
        <v>114.1</v>
      </c>
      <c r="D659" s="3">
        <v>38.46</v>
      </c>
      <c r="E659" s="10">
        <f t="shared" si="31"/>
        <v>-7.0542296876172029E-4</v>
      </c>
      <c r="F659" s="10">
        <f t="shared" si="32"/>
        <v>8.4850627541098976E-3</v>
      </c>
      <c r="G659" s="10">
        <f t="shared" si="33"/>
        <v>1.3438735177865559E-2</v>
      </c>
    </row>
    <row r="660" spans="1:7" x14ac:dyDescent="0.35">
      <c r="A660" s="2">
        <v>44785</v>
      </c>
      <c r="B660" s="3">
        <v>4280.1499999999996</v>
      </c>
      <c r="C660" s="3">
        <v>116.07</v>
      </c>
      <c r="D660" s="3">
        <v>39.479999999999997</v>
      </c>
      <c r="E660" s="10">
        <f t="shared" si="31"/>
        <v>1.7322396708554285E-2</v>
      </c>
      <c r="F660" s="10">
        <f t="shared" si="32"/>
        <v>1.7265556529360203E-2</v>
      </c>
      <c r="G660" s="10">
        <f t="shared" si="33"/>
        <v>2.6521060842433594E-2</v>
      </c>
    </row>
    <row r="661" spans="1:7" x14ac:dyDescent="0.35">
      <c r="A661" s="2">
        <v>44788</v>
      </c>
      <c r="B661" s="3">
        <v>4297.1400000000003</v>
      </c>
      <c r="C661" s="3">
        <v>116.32</v>
      </c>
      <c r="D661" s="3">
        <v>39.4</v>
      </c>
      <c r="E661" s="10">
        <f t="shared" si="31"/>
        <v>3.969487050687638E-3</v>
      </c>
      <c r="F661" s="10">
        <f t="shared" si="32"/>
        <v>2.1538726630481609E-3</v>
      </c>
      <c r="G661" s="10">
        <f t="shared" si="33"/>
        <v>-2.0263424518743235E-3</v>
      </c>
    </row>
    <row r="662" spans="1:7" x14ac:dyDescent="0.35">
      <c r="A662" s="2">
        <v>44789</v>
      </c>
      <c r="B662" s="3">
        <v>4305.2</v>
      </c>
      <c r="C662" s="3">
        <v>118.06</v>
      </c>
      <c r="D662" s="3">
        <v>38.99</v>
      </c>
      <c r="E662" s="10">
        <f t="shared" si="31"/>
        <v>1.8756661407353472E-3</v>
      </c>
      <c r="F662" s="10">
        <f t="shared" si="32"/>
        <v>1.4958734525447121E-2</v>
      </c>
      <c r="G662" s="10">
        <f t="shared" si="33"/>
        <v>-1.040609137055829E-2</v>
      </c>
    </row>
    <row r="663" spans="1:7" x14ac:dyDescent="0.35">
      <c r="A663" s="2">
        <v>44790</v>
      </c>
      <c r="B663" s="3">
        <v>4274.04</v>
      </c>
      <c r="C663" s="3">
        <v>117.04</v>
      </c>
      <c r="D663" s="3">
        <v>38.4</v>
      </c>
      <c r="E663" s="10">
        <f t="shared" si="31"/>
        <v>-7.2377589891293916E-3</v>
      </c>
      <c r="F663" s="10">
        <f t="shared" si="32"/>
        <v>-8.6396747416567516E-3</v>
      </c>
      <c r="G663" s="10">
        <f t="shared" si="33"/>
        <v>-1.5132085150038558E-2</v>
      </c>
    </row>
    <row r="664" spans="1:7" x14ac:dyDescent="0.35">
      <c r="A664" s="2">
        <v>44791</v>
      </c>
      <c r="B664" s="3">
        <v>4283.74</v>
      </c>
      <c r="C664" s="3">
        <v>116.01</v>
      </c>
      <c r="D664" s="3">
        <v>38.72</v>
      </c>
      <c r="E664" s="10">
        <f t="shared" si="31"/>
        <v>2.2695154935376874E-3</v>
      </c>
      <c r="F664" s="10">
        <f t="shared" si="32"/>
        <v>-8.8004101161995984E-3</v>
      </c>
      <c r="G664" s="10">
        <f t="shared" si="33"/>
        <v>8.3333333333333419E-3</v>
      </c>
    </row>
    <row r="665" spans="1:7" x14ac:dyDescent="0.35">
      <c r="A665" s="2">
        <v>44792</v>
      </c>
      <c r="B665" s="3">
        <v>4228.4799999999996</v>
      </c>
      <c r="C665" s="3">
        <v>113.16</v>
      </c>
      <c r="D665" s="3">
        <v>39.700000000000003</v>
      </c>
      <c r="E665" s="10">
        <f t="shared" si="31"/>
        <v>-1.2899942573545597E-2</v>
      </c>
      <c r="F665" s="10">
        <f t="shared" si="32"/>
        <v>-2.4566847685544423E-2</v>
      </c>
      <c r="G665" s="10">
        <f t="shared" si="33"/>
        <v>2.5309917355372004E-2</v>
      </c>
    </row>
    <row r="666" spans="1:7" x14ac:dyDescent="0.35">
      <c r="A666" s="2">
        <v>44795</v>
      </c>
      <c r="B666" s="3">
        <v>4137.99</v>
      </c>
      <c r="C666" s="3">
        <v>110.34</v>
      </c>
      <c r="D666" s="3">
        <v>38.549999999999997</v>
      </c>
      <c r="E666" s="10">
        <f t="shared" si="31"/>
        <v>-2.1400124867564655E-2</v>
      </c>
      <c r="F666" s="10">
        <f t="shared" si="32"/>
        <v>-2.4920466595970248E-2</v>
      </c>
      <c r="G666" s="10">
        <f t="shared" si="33"/>
        <v>-2.8967254408060594E-2</v>
      </c>
    </row>
    <row r="667" spans="1:7" x14ac:dyDescent="0.35">
      <c r="A667" s="2">
        <v>44796</v>
      </c>
      <c r="B667" s="3">
        <v>4128.7299999999996</v>
      </c>
      <c r="C667" s="3">
        <v>110.68</v>
      </c>
      <c r="D667" s="3">
        <v>38.56</v>
      </c>
      <c r="E667" s="10">
        <f t="shared" si="31"/>
        <v>-2.2378014446627998E-3</v>
      </c>
      <c r="F667" s="10">
        <f t="shared" si="32"/>
        <v>3.0813848105854941E-3</v>
      </c>
      <c r="G667" s="10">
        <f t="shared" si="33"/>
        <v>2.5940337224397188E-4</v>
      </c>
    </row>
    <row r="668" spans="1:7" x14ac:dyDescent="0.35">
      <c r="A668" s="2">
        <v>44797</v>
      </c>
      <c r="B668" s="3">
        <v>4140.7700000000004</v>
      </c>
      <c r="C668" s="3">
        <v>111.41</v>
      </c>
      <c r="D668" s="3">
        <v>39.25</v>
      </c>
      <c r="E668" s="10">
        <f t="shared" si="31"/>
        <v>2.9161509713642873E-3</v>
      </c>
      <c r="F668" s="10">
        <f t="shared" si="32"/>
        <v>6.5955908926634416E-3</v>
      </c>
      <c r="G668" s="10">
        <f t="shared" si="33"/>
        <v>1.7894190871369235E-2</v>
      </c>
    </row>
    <row r="669" spans="1:7" x14ac:dyDescent="0.35">
      <c r="A669" s="2">
        <v>44798</v>
      </c>
      <c r="B669" s="3">
        <v>4199.12</v>
      </c>
      <c r="C669" s="3">
        <v>113.22</v>
      </c>
      <c r="D669" s="3">
        <v>40.39</v>
      </c>
      <c r="E669" s="10">
        <f t="shared" si="31"/>
        <v>1.4091582000449059E-2</v>
      </c>
      <c r="F669" s="10">
        <f t="shared" si="32"/>
        <v>1.6246297459833071E-2</v>
      </c>
      <c r="G669" s="10">
        <f t="shared" si="33"/>
        <v>2.9044585987261159E-2</v>
      </c>
    </row>
    <row r="670" spans="1:7" x14ac:dyDescent="0.35">
      <c r="A670" s="2">
        <v>44799</v>
      </c>
      <c r="B670" s="3">
        <v>4057.66</v>
      </c>
      <c r="C670" s="3">
        <v>108.28</v>
      </c>
      <c r="D670" s="3">
        <v>39.229999999999997</v>
      </c>
      <c r="E670" s="10">
        <f t="shared" si="31"/>
        <v>-3.3688010821314951E-2</v>
      </c>
      <c r="F670" s="10">
        <f t="shared" si="32"/>
        <v>-4.3631867161278905E-2</v>
      </c>
      <c r="G670" s="10">
        <f t="shared" si="33"/>
        <v>-2.8719980193117198E-2</v>
      </c>
    </row>
    <row r="671" spans="1:7" x14ac:dyDescent="0.35">
      <c r="A671" s="2">
        <v>44802</v>
      </c>
      <c r="B671" s="3">
        <v>4030.61</v>
      </c>
      <c r="C671" s="3">
        <v>107.88</v>
      </c>
      <c r="D671" s="3">
        <v>39.51</v>
      </c>
      <c r="E671" s="10">
        <f t="shared" si="31"/>
        <v>-6.6664037893760762E-3</v>
      </c>
      <c r="F671" s="10">
        <f t="shared" si="32"/>
        <v>-3.6941263391208506E-3</v>
      </c>
      <c r="G671" s="10">
        <f t="shared" si="33"/>
        <v>7.1373948508794589E-3</v>
      </c>
    </row>
    <row r="672" spans="1:7" x14ac:dyDescent="0.35">
      <c r="A672" s="2">
        <v>44803</v>
      </c>
      <c r="B672" s="3">
        <v>3986.16</v>
      </c>
      <c r="C672" s="3">
        <v>107.86</v>
      </c>
      <c r="D672" s="3">
        <v>39.130000000000003</v>
      </c>
      <c r="E672" s="10">
        <f t="shared" si="31"/>
        <v>-1.102810740805989E-2</v>
      </c>
      <c r="F672" s="10">
        <f t="shared" si="32"/>
        <v>-1.8539117538001504E-4</v>
      </c>
      <c r="G672" s="10">
        <f t="shared" si="33"/>
        <v>-9.6178182738546059E-3</v>
      </c>
    </row>
    <row r="673" spans="1:7" x14ac:dyDescent="0.35">
      <c r="A673" s="2">
        <v>44804</v>
      </c>
      <c r="B673" s="3">
        <v>3955</v>
      </c>
      <c r="C673" s="3">
        <v>106.45</v>
      </c>
      <c r="D673" s="3">
        <v>38.21</v>
      </c>
      <c r="E673" s="10">
        <f t="shared" si="31"/>
        <v>-7.8170469825596198E-3</v>
      </c>
      <c r="F673" s="10">
        <f t="shared" si="32"/>
        <v>-1.3072501390691606E-2</v>
      </c>
      <c r="G673" s="10">
        <f t="shared" si="33"/>
        <v>-2.3511372348581694E-2</v>
      </c>
    </row>
    <row r="674" spans="1:7" x14ac:dyDescent="0.35">
      <c r="A674" s="2">
        <v>44805</v>
      </c>
      <c r="B674" s="3">
        <v>3966.85</v>
      </c>
      <c r="C674" s="3">
        <v>106.49</v>
      </c>
      <c r="D674" s="3">
        <v>38.56</v>
      </c>
      <c r="E674" s="10">
        <f t="shared" si="31"/>
        <v>2.9962073324904955E-3</v>
      </c>
      <c r="F674" s="10">
        <f t="shared" si="32"/>
        <v>3.7576326914036677E-4</v>
      </c>
      <c r="G674" s="10">
        <f t="shared" si="33"/>
        <v>9.1599057838262603E-3</v>
      </c>
    </row>
    <row r="675" spans="1:7" x14ac:dyDescent="0.35">
      <c r="A675" s="2">
        <v>44806</v>
      </c>
      <c r="B675" s="3">
        <v>3924.26</v>
      </c>
      <c r="C675" s="3">
        <v>105.74</v>
      </c>
      <c r="D675" s="3">
        <v>38.47</v>
      </c>
      <c r="E675" s="10">
        <f t="shared" si="31"/>
        <v>-1.0736478566116614E-2</v>
      </c>
      <c r="F675" s="10">
        <f t="shared" si="32"/>
        <v>-7.0429148276833506E-3</v>
      </c>
      <c r="G675" s="10">
        <f t="shared" si="33"/>
        <v>-2.3340248962656486E-3</v>
      </c>
    </row>
    <row r="676" spans="1:7" x14ac:dyDescent="0.35">
      <c r="A676" s="2">
        <v>44810</v>
      </c>
      <c r="B676" s="3">
        <v>3908.19</v>
      </c>
      <c r="C676" s="3">
        <v>105.15</v>
      </c>
      <c r="D676" s="3">
        <v>38.71</v>
      </c>
      <c r="E676" s="10">
        <f t="shared" si="31"/>
        <v>-4.0950395743401717E-3</v>
      </c>
      <c r="F676" s="10">
        <f t="shared" si="32"/>
        <v>-5.5797238509550711E-3</v>
      </c>
      <c r="G676" s="10">
        <f t="shared" si="33"/>
        <v>6.2386275019496234E-3</v>
      </c>
    </row>
    <row r="677" spans="1:7" x14ac:dyDescent="0.35">
      <c r="A677" s="2">
        <v>44811</v>
      </c>
      <c r="B677" s="3">
        <v>3979.87</v>
      </c>
      <c r="C677" s="3">
        <v>108.48</v>
      </c>
      <c r="D677" s="3">
        <v>40.11</v>
      </c>
      <c r="E677" s="10">
        <f t="shared" si="31"/>
        <v>1.8340971140092942E-2</v>
      </c>
      <c r="F677" s="10">
        <f t="shared" si="32"/>
        <v>3.166904422253921E-2</v>
      </c>
      <c r="G677" s="10">
        <f t="shared" si="33"/>
        <v>3.6166365280289291E-2</v>
      </c>
    </row>
    <row r="678" spans="1:7" x14ac:dyDescent="0.35">
      <c r="A678" s="2">
        <v>44812</v>
      </c>
      <c r="B678" s="3">
        <v>4006.18</v>
      </c>
      <c r="C678" s="3">
        <v>108.73</v>
      </c>
      <c r="D678" s="3">
        <v>40.5</v>
      </c>
      <c r="E678" s="10">
        <f t="shared" si="31"/>
        <v>6.6107686934497728E-3</v>
      </c>
      <c r="F678" s="10">
        <f t="shared" si="32"/>
        <v>2.3045722713864306E-3</v>
      </c>
      <c r="G678" s="10">
        <f t="shared" si="33"/>
        <v>9.7232610321615707E-3</v>
      </c>
    </row>
    <row r="679" spans="1:7" x14ac:dyDescent="0.35">
      <c r="A679" s="2">
        <v>44813</v>
      </c>
      <c r="B679" s="3">
        <v>4067.36</v>
      </c>
      <c r="C679" s="3">
        <v>110.97</v>
      </c>
      <c r="D679" s="3">
        <v>41.29</v>
      </c>
      <c r="E679" s="10">
        <f t="shared" si="31"/>
        <v>1.5271405678227212E-2</v>
      </c>
      <c r="F679" s="10">
        <f t="shared" si="32"/>
        <v>2.0601489929182329E-2</v>
      </c>
      <c r="G679" s="10">
        <f t="shared" si="33"/>
        <v>1.9506172839506151E-2</v>
      </c>
    </row>
    <row r="680" spans="1:7" x14ac:dyDescent="0.35">
      <c r="A680" s="2">
        <v>44816</v>
      </c>
      <c r="B680" s="3">
        <v>4110.41</v>
      </c>
      <c r="C680" s="3">
        <v>112.38</v>
      </c>
      <c r="D680" s="3">
        <v>42.05</v>
      </c>
      <c r="E680" s="10">
        <f t="shared" si="31"/>
        <v>1.0584261044018658E-2</v>
      </c>
      <c r="F680" s="10">
        <f t="shared" si="32"/>
        <v>1.2706136793728003E-2</v>
      </c>
      <c r="G680" s="10">
        <f t="shared" si="33"/>
        <v>1.8406393799951515E-2</v>
      </c>
    </row>
    <row r="681" spans="1:7" x14ac:dyDescent="0.35">
      <c r="A681" s="2">
        <v>44817</v>
      </c>
      <c r="B681" s="3">
        <v>3932.69</v>
      </c>
      <c r="C681" s="3">
        <v>105.72</v>
      </c>
      <c r="D681" s="3">
        <v>40.53</v>
      </c>
      <c r="E681" s="10">
        <f t="shared" si="31"/>
        <v>-4.3236562775976074E-2</v>
      </c>
      <c r="F681" s="10">
        <f t="shared" si="32"/>
        <v>-5.9263214095034676E-2</v>
      </c>
      <c r="G681" s="10">
        <f t="shared" si="33"/>
        <v>-3.6147443519619411E-2</v>
      </c>
    </row>
    <row r="682" spans="1:7" x14ac:dyDescent="0.35">
      <c r="A682" s="2">
        <v>44818</v>
      </c>
      <c r="B682" s="3">
        <v>3946.01</v>
      </c>
      <c r="C682" s="3">
        <v>107</v>
      </c>
      <c r="D682" s="3">
        <v>40.619999999999997</v>
      </c>
      <c r="E682" s="10">
        <f t="shared" si="31"/>
        <v>3.386994652515241E-3</v>
      </c>
      <c r="F682" s="10">
        <f t="shared" si="32"/>
        <v>1.2107453651154003E-2</v>
      </c>
      <c r="G682" s="10">
        <f t="shared" si="33"/>
        <v>2.2205773501109377E-3</v>
      </c>
    </row>
    <row r="683" spans="1:7" x14ac:dyDescent="0.35">
      <c r="A683" s="2">
        <v>44819</v>
      </c>
      <c r="B683" s="3">
        <v>3901.35</v>
      </c>
      <c r="C683" s="3">
        <v>105.5</v>
      </c>
      <c r="D683" s="3">
        <v>40.659999999999997</v>
      </c>
      <c r="E683" s="10">
        <f t="shared" si="31"/>
        <v>-1.1317761485652673E-2</v>
      </c>
      <c r="F683" s="10">
        <f t="shared" si="32"/>
        <v>-1.4018691588785047E-2</v>
      </c>
      <c r="G683" s="10">
        <f t="shared" si="33"/>
        <v>9.8473658296403615E-4</v>
      </c>
    </row>
    <row r="684" spans="1:7" x14ac:dyDescent="0.35">
      <c r="A684" s="2">
        <v>44820</v>
      </c>
      <c r="B684" s="3">
        <v>3873.33</v>
      </c>
      <c r="C684" s="3">
        <v>104.12</v>
      </c>
      <c r="D684" s="3">
        <v>39.97</v>
      </c>
      <c r="E684" s="10">
        <f t="shared" si="31"/>
        <v>-7.182129262947437E-3</v>
      </c>
      <c r="F684" s="10">
        <f t="shared" si="32"/>
        <v>-1.3080568720379104E-2</v>
      </c>
      <c r="G684" s="10">
        <f t="shared" si="33"/>
        <v>-1.6969995081160792E-2</v>
      </c>
    </row>
    <row r="685" spans="1:7" x14ac:dyDescent="0.35">
      <c r="A685" s="2">
        <v>44823</v>
      </c>
      <c r="B685" s="3">
        <v>3899.89</v>
      </c>
      <c r="C685" s="3">
        <v>107.21</v>
      </c>
      <c r="D685" s="3">
        <v>41.39</v>
      </c>
      <c r="E685" s="10">
        <f t="shared" si="31"/>
        <v>6.8571487583035644E-3</v>
      </c>
      <c r="F685" s="10">
        <f t="shared" si="32"/>
        <v>2.9677295428351798E-2</v>
      </c>
      <c r="G685" s="10">
        <f t="shared" si="33"/>
        <v>3.5526644983737844E-2</v>
      </c>
    </row>
    <row r="686" spans="1:7" x14ac:dyDescent="0.35">
      <c r="A686" s="2">
        <v>44824</v>
      </c>
      <c r="B686" s="3">
        <v>3855.93</v>
      </c>
      <c r="C686" s="3">
        <v>102.42</v>
      </c>
      <c r="D686" s="3">
        <v>39.06</v>
      </c>
      <c r="E686" s="10">
        <f t="shared" si="31"/>
        <v>-1.1272112803181638E-2</v>
      </c>
      <c r="F686" s="10">
        <f t="shared" si="32"/>
        <v>-4.4678668034698187E-2</v>
      </c>
      <c r="G686" s="10">
        <f t="shared" si="33"/>
        <v>-5.6293790770717521E-2</v>
      </c>
    </row>
    <row r="687" spans="1:7" x14ac:dyDescent="0.35">
      <c r="A687" s="2">
        <v>44825</v>
      </c>
      <c r="B687" s="3">
        <v>3789.93</v>
      </c>
      <c r="C687" s="3">
        <v>99.79</v>
      </c>
      <c r="D687" s="3">
        <v>37.68</v>
      </c>
      <c r="E687" s="10">
        <f t="shared" si="31"/>
        <v>-1.7116493297336829E-2</v>
      </c>
      <c r="F687" s="10">
        <f t="shared" si="32"/>
        <v>-2.5678578402655687E-2</v>
      </c>
      <c r="G687" s="10">
        <f t="shared" si="33"/>
        <v>-3.5330261136712816E-2</v>
      </c>
    </row>
    <row r="688" spans="1:7" x14ac:dyDescent="0.35">
      <c r="A688" s="2">
        <v>44826</v>
      </c>
      <c r="B688" s="3">
        <v>3757.99</v>
      </c>
      <c r="C688" s="3">
        <v>98.55</v>
      </c>
      <c r="D688" s="3">
        <v>37.380000000000003</v>
      </c>
      <c r="E688" s="10">
        <f t="shared" si="31"/>
        <v>-8.4275962880581059E-3</v>
      </c>
      <c r="F688" s="10">
        <f t="shared" si="32"/>
        <v>-1.2426094799078155E-2</v>
      </c>
      <c r="G688" s="10">
        <f t="shared" si="33"/>
        <v>-7.9617834394903712E-3</v>
      </c>
    </row>
    <row r="689" spans="1:7" x14ac:dyDescent="0.35">
      <c r="A689" s="2">
        <v>44827</v>
      </c>
      <c r="B689" s="3">
        <v>3693.23</v>
      </c>
      <c r="C689" s="3">
        <v>97.02</v>
      </c>
      <c r="D689" s="3">
        <v>35.479999999999997</v>
      </c>
      <c r="E689" s="10">
        <f t="shared" si="31"/>
        <v>-1.723261637204989E-2</v>
      </c>
      <c r="F689" s="10">
        <f t="shared" si="32"/>
        <v>-1.5525114155251154E-2</v>
      </c>
      <c r="G689" s="10">
        <f t="shared" si="33"/>
        <v>-5.0829320492241988E-2</v>
      </c>
    </row>
    <row r="690" spans="1:7" x14ac:dyDescent="0.35">
      <c r="A690" s="2">
        <v>44830</v>
      </c>
      <c r="B690" s="3">
        <v>3655.04</v>
      </c>
      <c r="C690" s="3">
        <v>96.06</v>
      </c>
      <c r="D690" s="3">
        <v>35.04</v>
      </c>
      <c r="E690" s="10">
        <f t="shared" si="31"/>
        <v>-1.0340542018774908E-2</v>
      </c>
      <c r="F690" s="10">
        <f t="shared" si="32"/>
        <v>-9.8948670377241171E-3</v>
      </c>
      <c r="G690" s="10">
        <f t="shared" si="33"/>
        <v>-1.2401352874859013E-2</v>
      </c>
    </row>
    <row r="691" spans="1:7" x14ac:dyDescent="0.35">
      <c r="A691" s="2">
        <v>44831</v>
      </c>
      <c r="B691" s="3">
        <v>3647.29</v>
      </c>
      <c r="C691" s="3">
        <v>96.29</v>
      </c>
      <c r="D691" s="3">
        <v>34.71</v>
      </c>
      <c r="E691" s="10">
        <f t="shared" si="31"/>
        <v>-2.1203598319033444E-3</v>
      </c>
      <c r="F691" s="10">
        <f t="shared" si="32"/>
        <v>2.3943368727878823E-3</v>
      </c>
      <c r="G691" s="10">
        <f t="shared" si="33"/>
        <v>-9.4178082191780331E-3</v>
      </c>
    </row>
    <row r="692" spans="1:7" x14ac:dyDescent="0.35">
      <c r="A692" s="2">
        <v>44832</v>
      </c>
      <c r="B692" s="3">
        <v>3719.04</v>
      </c>
      <c r="C692" s="3">
        <v>98.7</v>
      </c>
      <c r="D692" s="3">
        <v>35.25</v>
      </c>
      <c r="E692" s="10">
        <f t="shared" si="31"/>
        <v>1.9672140136923578E-2</v>
      </c>
      <c r="F692" s="10">
        <f t="shared" si="32"/>
        <v>2.5028559559663481E-2</v>
      </c>
      <c r="G692" s="10">
        <f t="shared" si="33"/>
        <v>1.555747623163351E-2</v>
      </c>
    </row>
    <row r="693" spans="1:7" x14ac:dyDescent="0.35">
      <c r="A693" s="2">
        <v>44833</v>
      </c>
      <c r="B693" s="3">
        <v>3640.47</v>
      </c>
      <c r="C693" s="3">
        <v>95.33</v>
      </c>
      <c r="D693" s="3">
        <v>33.26</v>
      </c>
      <c r="E693" s="10">
        <f t="shared" si="31"/>
        <v>-2.1126419721218422E-2</v>
      </c>
      <c r="F693" s="10">
        <f t="shared" si="32"/>
        <v>-3.4143870314083127E-2</v>
      </c>
      <c r="G693" s="10">
        <f t="shared" si="33"/>
        <v>-5.6453900709219913E-2</v>
      </c>
    </row>
    <row r="694" spans="1:7" x14ac:dyDescent="0.35">
      <c r="A694" s="2">
        <v>44834</v>
      </c>
      <c r="B694" s="3">
        <v>3585.62</v>
      </c>
      <c r="C694" s="3">
        <v>83.12</v>
      </c>
      <c r="D694" s="3">
        <v>32.090000000000003</v>
      </c>
      <c r="E694" s="10">
        <f t="shared" si="31"/>
        <v>-1.5066735888497889E-2</v>
      </c>
      <c r="F694" s="10">
        <f t="shared" si="32"/>
        <v>-0.12808140144760299</v>
      </c>
      <c r="G694" s="10">
        <f t="shared" si="33"/>
        <v>-3.517739025856869E-2</v>
      </c>
    </row>
    <row r="695" spans="1:7" x14ac:dyDescent="0.35">
      <c r="A695" s="2">
        <v>44837</v>
      </c>
      <c r="B695" s="3">
        <v>3678.43</v>
      </c>
      <c r="C695" s="3">
        <v>85.4</v>
      </c>
      <c r="D695" s="3">
        <v>32.869999999999997</v>
      </c>
      <c r="E695" s="10">
        <f t="shared" si="31"/>
        <v>2.5883947546031075E-2</v>
      </c>
      <c r="F695" s="10">
        <f t="shared" si="32"/>
        <v>2.7430221366698759E-2</v>
      </c>
      <c r="G695" s="10">
        <f t="shared" si="33"/>
        <v>2.4306637581800995E-2</v>
      </c>
    </row>
    <row r="696" spans="1:7" x14ac:dyDescent="0.35">
      <c r="A696" s="2">
        <v>44838</v>
      </c>
      <c r="B696" s="3">
        <v>3790.93</v>
      </c>
      <c r="C696" s="3">
        <v>88.64</v>
      </c>
      <c r="D696" s="3">
        <v>35.799999999999997</v>
      </c>
      <c r="E696" s="10">
        <f t="shared" si="31"/>
        <v>3.0583700111188741E-2</v>
      </c>
      <c r="F696" s="10">
        <f t="shared" si="32"/>
        <v>3.7939110070257548E-2</v>
      </c>
      <c r="G696" s="10">
        <f t="shared" si="33"/>
        <v>8.9139032552479458E-2</v>
      </c>
    </row>
    <row r="697" spans="1:7" x14ac:dyDescent="0.35">
      <c r="A697" s="2">
        <v>44839</v>
      </c>
      <c r="B697" s="3">
        <v>3783.28</v>
      </c>
      <c r="C697" s="3">
        <v>91.1</v>
      </c>
      <c r="D697" s="3">
        <v>34.840000000000003</v>
      </c>
      <c r="E697" s="10">
        <f t="shared" si="31"/>
        <v>-2.0179744811958111E-3</v>
      </c>
      <c r="F697" s="10">
        <f t="shared" si="32"/>
        <v>2.7752707581227366E-2</v>
      </c>
      <c r="G697" s="10">
        <f t="shared" si="33"/>
        <v>-2.6815642458100385E-2</v>
      </c>
    </row>
    <row r="698" spans="1:7" x14ac:dyDescent="0.35">
      <c r="A698" s="2">
        <v>44840</v>
      </c>
      <c r="B698" s="3">
        <v>3744.52</v>
      </c>
      <c r="C698" s="3">
        <v>90.17</v>
      </c>
      <c r="D698" s="3">
        <v>34.630000000000003</v>
      </c>
      <c r="E698" s="10">
        <f t="shared" si="31"/>
        <v>-1.024507834471681E-2</v>
      </c>
      <c r="F698" s="10">
        <f t="shared" si="32"/>
        <v>-1.0208562019758427E-2</v>
      </c>
      <c r="G698" s="10">
        <f t="shared" si="33"/>
        <v>-6.0275545350172459E-3</v>
      </c>
    </row>
    <row r="699" spans="1:7" x14ac:dyDescent="0.35">
      <c r="A699" s="2">
        <v>44841</v>
      </c>
      <c r="B699" s="3">
        <v>3639.66</v>
      </c>
      <c r="C699" s="3">
        <v>87.16</v>
      </c>
      <c r="D699" s="3">
        <v>33.619999999999997</v>
      </c>
      <c r="E699" s="10">
        <f t="shared" si="31"/>
        <v>-2.8003589245083515E-2</v>
      </c>
      <c r="F699" s="10">
        <f t="shared" si="32"/>
        <v>-3.3381390706443442E-2</v>
      </c>
      <c r="G699" s="10">
        <f t="shared" si="33"/>
        <v>-2.9165463470979064E-2</v>
      </c>
    </row>
    <row r="700" spans="1:7" x14ac:dyDescent="0.35">
      <c r="A700" s="2">
        <v>44844</v>
      </c>
      <c r="B700" s="3">
        <v>3612.39</v>
      </c>
      <c r="C700" s="3">
        <v>86.69</v>
      </c>
      <c r="D700" s="3">
        <v>32.29</v>
      </c>
      <c r="E700" s="10">
        <f t="shared" si="31"/>
        <v>-7.4924580867443613E-3</v>
      </c>
      <c r="F700" s="10">
        <f t="shared" si="32"/>
        <v>-5.3923818265259162E-3</v>
      </c>
      <c r="G700" s="10">
        <f t="shared" si="33"/>
        <v>-3.9559785841760807E-2</v>
      </c>
    </row>
    <row r="701" spans="1:7" x14ac:dyDescent="0.35">
      <c r="A701" s="2">
        <v>44845</v>
      </c>
      <c r="B701" s="3">
        <v>3588.84</v>
      </c>
      <c r="C701" s="3">
        <v>87.99</v>
      </c>
      <c r="D701" s="3">
        <v>32.090000000000003</v>
      </c>
      <c r="E701" s="10">
        <f t="shared" si="31"/>
        <v>-6.5192296512834244E-3</v>
      </c>
      <c r="F701" s="10">
        <f t="shared" si="32"/>
        <v>1.4995962625446963E-2</v>
      </c>
      <c r="G701" s="10">
        <f t="shared" si="33"/>
        <v>-6.193868070609964E-3</v>
      </c>
    </row>
    <row r="702" spans="1:7" x14ac:dyDescent="0.35">
      <c r="A702" s="2">
        <v>44846</v>
      </c>
      <c r="B702" s="3">
        <v>3577.03</v>
      </c>
      <c r="C702" s="3">
        <v>88.51</v>
      </c>
      <c r="D702" s="3">
        <v>32.200000000000003</v>
      </c>
      <c r="E702" s="10">
        <f t="shared" si="31"/>
        <v>-3.2907569019515904E-3</v>
      </c>
      <c r="F702" s="10">
        <f t="shared" si="32"/>
        <v>5.9097624730084126E-3</v>
      </c>
      <c r="G702" s="10">
        <f t="shared" si="33"/>
        <v>3.4278591461514309E-3</v>
      </c>
    </row>
    <row r="703" spans="1:7" x14ac:dyDescent="0.35">
      <c r="A703" s="2">
        <v>44847</v>
      </c>
      <c r="B703" s="3">
        <v>3669.91</v>
      </c>
      <c r="C703" s="3">
        <v>89.56</v>
      </c>
      <c r="D703" s="3">
        <v>32.76</v>
      </c>
      <c r="E703" s="10">
        <f t="shared" si="31"/>
        <v>2.59656754346482E-2</v>
      </c>
      <c r="F703" s="10">
        <f t="shared" si="32"/>
        <v>1.1863066320189776E-2</v>
      </c>
      <c r="G703" s="10">
        <f t="shared" si="33"/>
        <v>1.7391304347825935E-2</v>
      </c>
    </row>
    <row r="704" spans="1:7" x14ac:dyDescent="0.35">
      <c r="A704" s="2">
        <v>44848</v>
      </c>
      <c r="B704" s="3">
        <v>3583.07</v>
      </c>
      <c r="C704" s="3">
        <v>87.55</v>
      </c>
      <c r="D704" s="3">
        <v>32.89</v>
      </c>
      <c r="E704" s="10">
        <f t="shared" si="31"/>
        <v>-2.3662705624933496E-2</v>
      </c>
      <c r="F704" s="10">
        <f t="shared" si="32"/>
        <v>-2.2443054935239001E-2</v>
      </c>
      <c r="G704" s="10">
        <f t="shared" si="33"/>
        <v>3.968253968254047E-3</v>
      </c>
    </row>
    <row r="705" spans="1:7" x14ac:dyDescent="0.35">
      <c r="A705" s="2">
        <v>44851</v>
      </c>
      <c r="B705" s="3">
        <v>3677.95</v>
      </c>
      <c r="C705" s="3">
        <v>89.97</v>
      </c>
      <c r="D705" s="3">
        <v>33.57</v>
      </c>
      <c r="E705" s="10">
        <f t="shared" si="31"/>
        <v>2.6480085513260875E-2</v>
      </c>
      <c r="F705" s="10">
        <f t="shared" si="32"/>
        <v>2.7641347801256447E-2</v>
      </c>
      <c r="G705" s="10">
        <f t="shared" si="33"/>
        <v>2.0674977196716317E-2</v>
      </c>
    </row>
    <row r="706" spans="1:7" x14ac:dyDescent="0.35">
      <c r="A706" s="2">
        <v>44852</v>
      </c>
      <c r="B706" s="3">
        <v>3719.98</v>
      </c>
      <c r="C706" s="3">
        <v>89.68</v>
      </c>
      <c r="D706" s="3">
        <v>34.25</v>
      </c>
      <c r="E706" s="10">
        <f t="shared" si="31"/>
        <v>1.1427561549232643E-2</v>
      </c>
      <c r="F706" s="10">
        <f t="shared" si="32"/>
        <v>-3.2232966544402807E-3</v>
      </c>
      <c r="G706" s="10">
        <f t="shared" si="33"/>
        <v>2.0256181114089954E-2</v>
      </c>
    </row>
    <row r="707" spans="1:7" x14ac:dyDescent="0.35">
      <c r="A707" s="2">
        <v>44853</v>
      </c>
      <c r="B707" s="3">
        <v>3695.16</v>
      </c>
      <c r="C707" s="3">
        <v>88.57</v>
      </c>
      <c r="D707" s="3">
        <v>33.630000000000003</v>
      </c>
      <c r="E707" s="10">
        <f t="shared" si="31"/>
        <v>-6.6720788821445715E-3</v>
      </c>
      <c r="F707" s="10">
        <f t="shared" si="32"/>
        <v>-1.2377341659232979E-2</v>
      </c>
      <c r="G707" s="10">
        <f t="shared" si="33"/>
        <v>-1.8102189781021825E-2</v>
      </c>
    </row>
    <row r="708" spans="1:7" x14ac:dyDescent="0.35">
      <c r="A708" s="2">
        <v>44854</v>
      </c>
      <c r="B708" s="3">
        <v>3665.78</v>
      </c>
      <c r="C708" s="3">
        <v>86.83</v>
      </c>
      <c r="D708" s="3">
        <v>33.44</v>
      </c>
      <c r="E708" s="10">
        <f t="shared" ref="E708:E771" si="34">(B708-B707)/B707</f>
        <v>-7.9509412312321129E-3</v>
      </c>
      <c r="F708" s="10">
        <f t="shared" ref="F708:F771" si="35">(C708-C707)/C707</f>
        <v>-1.9645478152873378E-2</v>
      </c>
      <c r="G708" s="10">
        <f t="shared" ref="G708:G771" si="36">(D708-D707)/D707</f>
        <v>-5.6497175141244369E-3</v>
      </c>
    </row>
    <row r="709" spans="1:7" x14ac:dyDescent="0.35">
      <c r="A709" s="2">
        <v>44855</v>
      </c>
      <c r="B709" s="3">
        <v>3752.75</v>
      </c>
      <c r="C709" s="3">
        <v>88.5</v>
      </c>
      <c r="D709" s="3">
        <v>35</v>
      </c>
      <c r="E709" s="10">
        <f t="shared" si="34"/>
        <v>2.3724828003862695E-2</v>
      </c>
      <c r="F709" s="10">
        <f t="shared" si="35"/>
        <v>1.9232983991707954E-2</v>
      </c>
      <c r="G709" s="10">
        <f t="shared" si="36"/>
        <v>4.6650717703349352E-2</v>
      </c>
    </row>
    <row r="710" spans="1:7" x14ac:dyDescent="0.35">
      <c r="A710" s="2">
        <v>44858</v>
      </c>
      <c r="B710" s="3">
        <v>3797.34</v>
      </c>
      <c r="C710" s="3">
        <v>88.01</v>
      </c>
      <c r="D710" s="3">
        <v>35.72</v>
      </c>
      <c r="E710" s="10">
        <f t="shared" si="34"/>
        <v>1.188195323429489E-2</v>
      </c>
      <c r="F710" s="10">
        <f t="shared" si="35"/>
        <v>-5.5367231638417504E-3</v>
      </c>
      <c r="G710" s="10">
        <f t="shared" si="36"/>
        <v>2.0571428571428539E-2</v>
      </c>
    </row>
    <row r="711" spans="1:7" x14ac:dyDescent="0.35">
      <c r="A711" s="2">
        <v>44859</v>
      </c>
      <c r="B711" s="3">
        <v>3859.11</v>
      </c>
      <c r="C711" s="3">
        <v>91.72</v>
      </c>
      <c r="D711" s="3">
        <v>37.01</v>
      </c>
      <c r="E711" s="10">
        <f t="shared" si="34"/>
        <v>1.6266649812763666E-2</v>
      </c>
      <c r="F711" s="10">
        <f t="shared" si="35"/>
        <v>4.2154300647653603E-2</v>
      </c>
      <c r="G711" s="10">
        <f t="shared" si="36"/>
        <v>3.6114221724524054E-2</v>
      </c>
    </row>
    <row r="712" spans="1:7" x14ac:dyDescent="0.35">
      <c r="A712" s="2">
        <v>44860</v>
      </c>
      <c r="B712" s="3">
        <v>3830.6</v>
      </c>
      <c r="C712" s="3">
        <v>92.39</v>
      </c>
      <c r="D712" s="3">
        <v>37.86</v>
      </c>
      <c r="E712" s="10">
        <f t="shared" si="34"/>
        <v>-7.3877137474703276E-3</v>
      </c>
      <c r="F712" s="10">
        <f t="shared" si="35"/>
        <v>7.3048408198866299E-3</v>
      </c>
      <c r="G712" s="10">
        <f t="shared" si="36"/>
        <v>2.2966765738989502E-2</v>
      </c>
    </row>
    <row r="713" spans="1:7" x14ac:dyDescent="0.35">
      <c r="A713" s="2">
        <v>44861</v>
      </c>
      <c r="B713" s="3">
        <v>3807.3</v>
      </c>
      <c r="C713" s="3">
        <v>90.54</v>
      </c>
      <c r="D713" s="3">
        <v>38.159999999999997</v>
      </c>
      <c r="E713" s="10">
        <f t="shared" si="34"/>
        <v>-6.0825980264187663E-3</v>
      </c>
      <c r="F713" s="10">
        <f t="shared" si="35"/>
        <v>-2.0023812100876656E-2</v>
      </c>
      <c r="G713" s="10">
        <f t="shared" si="36"/>
        <v>7.9239302694135549E-3</v>
      </c>
    </row>
    <row r="714" spans="1:7" x14ac:dyDescent="0.35">
      <c r="A714" s="2">
        <v>44862</v>
      </c>
      <c r="B714" s="3">
        <v>3901.06</v>
      </c>
      <c r="C714" s="3">
        <v>93.83</v>
      </c>
      <c r="D714" s="3">
        <v>38.85</v>
      </c>
      <c r="E714" s="10">
        <f t="shared" si="34"/>
        <v>2.4626375646783747E-2</v>
      </c>
      <c r="F714" s="10">
        <f t="shared" si="35"/>
        <v>3.6337530373315573E-2</v>
      </c>
      <c r="G714" s="10">
        <f t="shared" si="36"/>
        <v>1.8081761006289436E-2</v>
      </c>
    </row>
    <row r="715" spans="1:7" x14ac:dyDescent="0.35">
      <c r="A715" s="2">
        <v>44865</v>
      </c>
      <c r="B715" s="3">
        <v>3871.98</v>
      </c>
      <c r="C715" s="3">
        <v>92.68</v>
      </c>
      <c r="D715" s="3">
        <v>39.25</v>
      </c>
      <c r="E715" s="10">
        <f t="shared" si="34"/>
        <v>-7.4543841930141876E-3</v>
      </c>
      <c r="F715" s="10">
        <f t="shared" si="35"/>
        <v>-1.2256208035809351E-2</v>
      </c>
      <c r="G715" s="10">
        <f t="shared" si="36"/>
        <v>1.0296010296010259E-2</v>
      </c>
    </row>
    <row r="716" spans="1:7" x14ac:dyDescent="0.35">
      <c r="A716" s="2">
        <v>44866</v>
      </c>
      <c r="B716" s="3">
        <v>3856.1</v>
      </c>
      <c r="C716" s="3">
        <v>93.77</v>
      </c>
      <c r="D716" s="3">
        <v>39.35</v>
      </c>
      <c r="E716" s="10">
        <f t="shared" si="34"/>
        <v>-4.1012608536201397E-3</v>
      </c>
      <c r="F716" s="10">
        <f t="shared" si="35"/>
        <v>1.1760897712559226E-2</v>
      </c>
      <c r="G716" s="10">
        <f t="shared" si="36"/>
        <v>2.547770700636979E-3</v>
      </c>
    </row>
    <row r="717" spans="1:7" x14ac:dyDescent="0.35">
      <c r="A717" s="2">
        <v>44867</v>
      </c>
      <c r="B717" s="3">
        <v>3759.69</v>
      </c>
      <c r="C717" s="3">
        <v>90.3</v>
      </c>
      <c r="D717" s="3">
        <v>38.520000000000003</v>
      </c>
      <c r="E717" s="10">
        <f t="shared" si="34"/>
        <v>-2.500194497030675E-2</v>
      </c>
      <c r="F717" s="10">
        <f t="shared" si="35"/>
        <v>-3.7005438839714182E-2</v>
      </c>
      <c r="G717" s="10">
        <f t="shared" si="36"/>
        <v>-2.1092757306226131E-2</v>
      </c>
    </row>
    <row r="718" spans="1:7" x14ac:dyDescent="0.35">
      <c r="A718" s="2">
        <v>44868</v>
      </c>
      <c r="B718" s="3">
        <v>3719.89</v>
      </c>
      <c r="C718" s="3">
        <v>90.4</v>
      </c>
      <c r="D718" s="3">
        <v>38.51</v>
      </c>
      <c r="E718" s="10">
        <f t="shared" si="34"/>
        <v>-1.0585979163175736E-2</v>
      </c>
      <c r="F718" s="10">
        <f t="shared" si="35"/>
        <v>1.1074197120709694E-3</v>
      </c>
      <c r="G718" s="10">
        <f t="shared" si="36"/>
        <v>-2.5960539979244849E-4</v>
      </c>
    </row>
    <row r="719" spans="1:7" x14ac:dyDescent="0.35">
      <c r="A719" s="2">
        <v>44869</v>
      </c>
      <c r="B719" s="3">
        <v>3770.55</v>
      </c>
      <c r="C719" s="3">
        <v>95.79</v>
      </c>
      <c r="D719" s="3">
        <v>39</v>
      </c>
      <c r="E719" s="10">
        <f t="shared" si="34"/>
        <v>1.3618682272862991E-2</v>
      </c>
      <c r="F719" s="10">
        <f t="shared" si="35"/>
        <v>5.962389380530974E-2</v>
      </c>
      <c r="G719" s="10">
        <f t="shared" si="36"/>
        <v>1.2723967800571332E-2</v>
      </c>
    </row>
    <row r="720" spans="1:7" x14ac:dyDescent="0.35">
      <c r="A720" s="2">
        <v>44872</v>
      </c>
      <c r="B720" s="3">
        <v>3806.8</v>
      </c>
      <c r="C720" s="3">
        <v>93.44</v>
      </c>
      <c r="D720" s="3">
        <v>39.39</v>
      </c>
      <c r="E720" s="10">
        <f t="shared" si="34"/>
        <v>9.613982045059739E-3</v>
      </c>
      <c r="F720" s="10">
        <f t="shared" si="35"/>
        <v>-2.4532832237185598E-2</v>
      </c>
      <c r="G720" s="10">
        <f t="shared" si="36"/>
        <v>1.0000000000000014E-2</v>
      </c>
    </row>
    <row r="721" spans="1:7" x14ac:dyDescent="0.35">
      <c r="A721" s="2">
        <v>44873</v>
      </c>
      <c r="B721" s="3">
        <v>3828.11</v>
      </c>
      <c r="C721" s="3">
        <v>93.75</v>
      </c>
      <c r="D721" s="3">
        <v>39.049999999999997</v>
      </c>
      <c r="E721" s="10">
        <f t="shared" si="34"/>
        <v>5.5978774823999015E-3</v>
      </c>
      <c r="F721" s="10">
        <f t="shared" si="35"/>
        <v>3.3176369863013944E-3</v>
      </c>
      <c r="G721" s="10">
        <f t="shared" si="36"/>
        <v>-8.6316323940087182E-3</v>
      </c>
    </row>
    <row r="722" spans="1:7" x14ac:dyDescent="0.35">
      <c r="A722" s="2">
        <v>44874</v>
      </c>
      <c r="B722" s="3">
        <v>3748.57</v>
      </c>
      <c r="C722" s="3">
        <v>92.1</v>
      </c>
      <c r="D722" s="3">
        <v>38.06</v>
      </c>
      <c r="E722" s="10">
        <f t="shared" si="34"/>
        <v>-2.0777877333723421E-2</v>
      </c>
      <c r="F722" s="10">
        <f t="shared" si="35"/>
        <v>-1.760000000000006E-2</v>
      </c>
      <c r="G722" s="10">
        <f t="shared" si="36"/>
        <v>-2.5352112676056211E-2</v>
      </c>
    </row>
    <row r="723" spans="1:7" x14ac:dyDescent="0.35">
      <c r="A723" s="2">
        <v>44875</v>
      </c>
      <c r="B723" s="3">
        <v>3956.37</v>
      </c>
      <c r="C723" s="3">
        <v>99.49</v>
      </c>
      <c r="D723" s="3">
        <v>39.74</v>
      </c>
      <c r="E723" s="10">
        <f t="shared" si="34"/>
        <v>5.5434472345454323E-2</v>
      </c>
      <c r="F723" s="10">
        <f t="shared" si="35"/>
        <v>8.0238870792616726E-2</v>
      </c>
      <c r="G723" s="10">
        <f t="shared" si="36"/>
        <v>4.4140830267997887E-2</v>
      </c>
    </row>
    <row r="724" spans="1:7" x14ac:dyDescent="0.35">
      <c r="A724" s="2">
        <v>44876</v>
      </c>
      <c r="B724" s="3">
        <v>3992.93</v>
      </c>
      <c r="C724" s="3">
        <v>106.09</v>
      </c>
      <c r="D724" s="3">
        <v>41.12</v>
      </c>
      <c r="E724" s="10">
        <f t="shared" si="34"/>
        <v>9.2407939601199963E-3</v>
      </c>
      <c r="F724" s="10">
        <f t="shared" si="35"/>
        <v>6.6338325459845304E-2</v>
      </c>
      <c r="G724" s="10">
        <f t="shared" si="36"/>
        <v>3.4725717161549957E-2</v>
      </c>
    </row>
    <row r="725" spans="1:7" x14ac:dyDescent="0.35">
      <c r="A725" s="2">
        <v>44879</v>
      </c>
      <c r="B725" s="3">
        <v>3957.25</v>
      </c>
      <c r="C725" s="3">
        <v>104.39</v>
      </c>
      <c r="D725" s="3">
        <v>39.93</v>
      </c>
      <c r="E725" s="10">
        <f t="shared" si="34"/>
        <v>-8.9357940159231035E-3</v>
      </c>
      <c r="F725" s="10">
        <f t="shared" si="35"/>
        <v>-1.6024130455273851E-2</v>
      </c>
      <c r="G725" s="10">
        <f t="shared" si="36"/>
        <v>-2.8939688715953253E-2</v>
      </c>
    </row>
    <row r="726" spans="1:7" x14ac:dyDescent="0.35">
      <c r="A726" s="2">
        <v>44880</v>
      </c>
      <c r="B726" s="3">
        <v>3991.73</v>
      </c>
      <c r="C726" s="3">
        <v>106.71</v>
      </c>
      <c r="D726" s="3">
        <v>40.24</v>
      </c>
      <c r="E726" s="10">
        <f t="shared" si="34"/>
        <v>8.7131214858803506E-3</v>
      </c>
      <c r="F726" s="10">
        <f t="shared" si="35"/>
        <v>2.2224350991474212E-2</v>
      </c>
      <c r="G726" s="10">
        <f t="shared" si="36"/>
        <v>7.7635862759830275E-3</v>
      </c>
    </row>
    <row r="727" spans="1:7" x14ac:dyDescent="0.35">
      <c r="A727" s="2">
        <v>44881</v>
      </c>
      <c r="B727" s="3">
        <v>3958.79</v>
      </c>
      <c r="C727" s="3">
        <v>105.23</v>
      </c>
      <c r="D727" s="3">
        <v>38.47</v>
      </c>
      <c r="E727" s="10">
        <f t="shared" si="34"/>
        <v>-8.2520611363995199E-3</v>
      </c>
      <c r="F727" s="10">
        <f t="shared" si="35"/>
        <v>-1.3869365570236996E-2</v>
      </c>
      <c r="G727" s="10">
        <f t="shared" si="36"/>
        <v>-4.398608349900604E-2</v>
      </c>
    </row>
    <row r="728" spans="1:7" x14ac:dyDescent="0.35">
      <c r="A728" s="2">
        <v>44882</v>
      </c>
      <c r="B728" s="3">
        <v>3946.56</v>
      </c>
      <c r="C728" s="3">
        <v>105.36</v>
      </c>
      <c r="D728" s="3">
        <v>38.64</v>
      </c>
      <c r="E728" s="10">
        <f t="shared" si="34"/>
        <v>-3.0893277996559602E-3</v>
      </c>
      <c r="F728" s="10">
        <f t="shared" si="35"/>
        <v>1.2353891475814448E-3</v>
      </c>
      <c r="G728" s="10">
        <f t="shared" si="36"/>
        <v>4.4190278138809902E-3</v>
      </c>
    </row>
    <row r="729" spans="1:7" x14ac:dyDescent="0.35">
      <c r="A729" s="2">
        <v>44883</v>
      </c>
      <c r="B729" s="3">
        <v>3965.34</v>
      </c>
      <c r="C729" s="3">
        <v>105.42</v>
      </c>
      <c r="D729" s="3">
        <v>39.770000000000003</v>
      </c>
      <c r="E729" s="10">
        <f t="shared" si="34"/>
        <v>4.7585745560691341E-3</v>
      </c>
      <c r="F729" s="10">
        <f t="shared" si="35"/>
        <v>5.6947608200457736E-4</v>
      </c>
      <c r="G729" s="10">
        <f t="shared" si="36"/>
        <v>2.9244306418219526E-2</v>
      </c>
    </row>
    <row r="730" spans="1:7" x14ac:dyDescent="0.35">
      <c r="A730" s="2">
        <v>44886</v>
      </c>
      <c r="B730" s="3">
        <v>3949.94</v>
      </c>
      <c r="C730" s="3">
        <v>103.83</v>
      </c>
      <c r="D730" s="3">
        <v>39.520000000000003</v>
      </c>
      <c r="E730" s="10">
        <f t="shared" si="34"/>
        <v>-3.8836518432215374E-3</v>
      </c>
      <c r="F730" s="10">
        <f t="shared" si="35"/>
        <v>-1.5082527034718301E-2</v>
      </c>
      <c r="G730" s="10">
        <f t="shared" si="36"/>
        <v>-6.2861453356801607E-3</v>
      </c>
    </row>
    <row r="731" spans="1:7" x14ac:dyDescent="0.35">
      <c r="A731" s="2">
        <v>44887</v>
      </c>
      <c r="B731" s="3">
        <v>4003.58</v>
      </c>
      <c r="C731" s="3">
        <v>105.97</v>
      </c>
      <c r="D731" s="3">
        <v>39.97</v>
      </c>
      <c r="E731" s="10">
        <f t="shared" si="34"/>
        <v>1.3579953113211814E-2</v>
      </c>
      <c r="F731" s="10">
        <f t="shared" si="35"/>
        <v>2.0610613502841189E-2</v>
      </c>
      <c r="G731" s="10">
        <f t="shared" si="36"/>
        <v>1.1386639676113251E-2</v>
      </c>
    </row>
    <row r="732" spans="1:7" x14ac:dyDescent="0.35">
      <c r="A732" s="2">
        <v>44888</v>
      </c>
      <c r="B732" s="3">
        <v>4027.26</v>
      </c>
      <c r="C732" s="3">
        <v>106.65</v>
      </c>
      <c r="D732" s="3">
        <v>40.11</v>
      </c>
      <c r="E732" s="10">
        <f t="shared" si="34"/>
        <v>5.9147063378277168E-3</v>
      </c>
      <c r="F732" s="10">
        <f t="shared" si="35"/>
        <v>6.4169104463528059E-3</v>
      </c>
      <c r="G732" s="10">
        <f t="shared" si="36"/>
        <v>3.5026269702276851E-3</v>
      </c>
    </row>
    <row r="733" spans="1:7" x14ac:dyDescent="0.35">
      <c r="A733" s="2">
        <v>44890</v>
      </c>
      <c r="B733" s="3">
        <v>4026.12</v>
      </c>
      <c r="C733" s="3">
        <v>105.96</v>
      </c>
      <c r="D733" s="3">
        <v>40.46</v>
      </c>
      <c r="E733" s="10">
        <f t="shared" si="34"/>
        <v>-2.8307087200735176E-4</v>
      </c>
      <c r="F733" s="10">
        <f t="shared" si="35"/>
        <v>-6.4697609001407586E-3</v>
      </c>
      <c r="G733" s="10">
        <f t="shared" si="36"/>
        <v>8.7260034904014325E-3</v>
      </c>
    </row>
    <row r="734" spans="1:7" x14ac:dyDescent="0.35">
      <c r="A734" s="2">
        <v>44893</v>
      </c>
      <c r="B734" s="3">
        <v>3963.94</v>
      </c>
      <c r="C734" s="3">
        <v>104.96</v>
      </c>
      <c r="D734" s="3">
        <v>39.380000000000003</v>
      </c>
      <c r="E734" s="10">
        <f t="shared" si="34"/>
        <v>-1.5444149702443007E-2</v>
      </c>
      <c r="F734" s="10">
        <f t="shared" si="35"/>
        <v>-9.4375235938089844E-3</v>
      </c>
      <c r="G734" s="10">
        <f t="shared" si="36"/>
        <v>-2.6693030153237724E-2</v>
      </c>
    </row>
    <row r="735" spans="1:7" x14ac:dyDescent="0.35">
      <c r="A735" s="2">
        <v>44894</v>
      </c>
      <c r="B735" s="3">
        <v>3957.63</v>
      </c>
      <c r="C735" s="3">
        <v>106.25</v>
      </c>
      <c r="D735" s="3">
        <v>39.75</v>
      </c>
      <c r="E735" s="10">
        <f t="shared" si="34"/>
        <v>-1.5918505325509329E-3</v>
      </c>
      <c r="F735" s="10">
        <f t="shared" si="35"/>
        <v>1.2290396341463474E-2</v>
      </c>
      <c r="G735" s="10">
        <f t="shared" si="36"/>
        <v>9.3956323006601679E-3</v>
      </c>
    </row>
    <row r="736" spans="1:7" x14ac:dyDescent="0.35">
      <c r="A736" s="2">
        <v>44895</v>
      </c>
      <c r="B736" s="3">
        <v>4080.11</v>
      </c>
      <c r="C736" s="3">
        <v>109.69</v>
      </c>
      <c r="D736" s="3">
        <v>40.56</v>
      </c>
      <c r="E736" s="10">
        <f t="shared" si="34"/>
        <v>3.094781472750106E-2</v>
      </c>
      <c r="F736" s="10">
        <f t="shared" si="35"/>
        <v>3.237647058823527E-2</v>
      </c>
      <c r="G736" s="10">
        <f t="shared" si="36"/>
        <v>2.0377358490566096E-2</v>
      </c>
    </row>
    <row r="737" spans="1:7" x14ac:dyDescent="0.35">
      <c r="A737" s="2">
        <v>44896</v>
      </c>
      <c r="B737" s="3">
        <v>4076.57</v>
      </c>
      <c r="C737" s="3">
        <v>111.11</v>
      </c>
      <c r="D737" s="3">
        <v>40.43</v>
      </c>
      <c r="E737" s="10">
        <f t="shared" si="34"/>
        <v>-8.6762366700896877E-4</v>
      </c>
      <c r="F737" s="10">
        <f t="shared" si="35"/>
        <v>1.2945573890053803E-2</v>
      </c>
      <c r="G737" s="10">
        <f t="shared" si="36"/>
        <v>-3.2051282051282679E-3</v>
      </c>
    </row>
    <row r="738" spans="1:7" x14ac:dyDescent="0.35">
      <c r="A738" s="2">
        <v>44897</v>
      </c>
      <c r="B738" s="3">
        <v>4071.7</v>
      </c>
      <c r="C738" s="3">
        <v>112.2</v>
      </c>
      <c r="D738" s="3">
        <v>39.9</v>
      </c>
      <c r="E738" s="10">
        <f t="shared" si="34"/>
        <v>-1.1946317615054679E-3</v>
      </c>
      <c r="F738" s="10">
        <f t="shared" si="35"/>
        <v>9.810098100981041E-3</v>
      </c>
      <c r="G738" s="10">
        <f t="shared" si="36"/>
        <v>-1.3109077417759117E-2</v>
      </c>
    </row>
    <row r="739" spans="1:7" x14ac:dyDescent="0.35">
      <c r="A739" s="2">
        <v>44900</v>
      </c>
      <c r="B739" s="3">
        <v>3998.84</v>
      </c>
      <c r="C739" s="3">
        <v>109.62</v>
      </c>
      <c r="D739" s="3">
        <v>38.79</v>
      </c>
      <c r="E739" s="10">
        <f t="shared" si="34"/>
        <v>-1.7894245646781364E-2</v>
      </c>
      <c r="F739" s="10">
        <f t="shared" si="35"/>
        <v>-2.2994652406417095E-2</v>
      </c>
      <c r="G739" s="10">
        <f t="shared" si="36"/>
        <v>-2.7819548872180438E-2</v>
      </c>
    </row>
    <row r="740" spans="1:7" x14ac:dyDescent="0.35">
      <c r="A740" s="2">
        <v>44901</v>
      </c>
      <c r="B740" s="3">
        <v>3941.26</v>
      </c>
      <c r="C740" s="3">
        <v>107.93</v>
      </c>
      <c r="D740" s="3">
        <v>38.020000000000003</v>
      </c>
      <c r="E740" s="10">
        <f t="shared" si="34"/>
        <v>-1.4399175760970663E-2</v>
      </c>
      <c r="F740" s="10">
        <f t="shared" si="35"/>
        <v>-1.5416894727239533E-2</v>
      </c>
      <c r="G740" s="10">
        <f t="shared" si="36"/>
        <v>-1.9850476927042952E-2</v>
      </c>
    </row>
    <row r="741" spans="1:7" x14ac:dyDescent="0.35">
      <c r="A741" s="2">
        <v>44902</v>
      </c>
      <c r="B741" s="3">
        <v>3933.92</v>
      </c>
      <c r="C741" s="3">
        <v>108.33</v>
      </c>
      <c r="D741" s="3">
        <v>37.96</v>
      </c>
      <c r="E741" s="10">
        <f t="shared" si="34"/>
        <v>-1.8623485890299409E-3</v>
      </c>
      <c r="F741" s="10">
        <f t="shared" si="35"/>
        <v>3.706105809320777E-3</v>
      </c>
      <c r="G741" s="10">
        <f t="shared" si="36"/>
        <v>-1.5781167806418271E-3</v>
      </c>
    </row>
    <row r="742" spans="1:7" x14ac:dyDescent="0.35">
      <c r="A742" s="2">
        <v>44903</v>
      </c>
      <c r="B742" s="3">
        <v>3963.51</v>
      </c>
      <c r="C742" s="3">
        <v>111.36</v>
      </c>
      <c r="D742" s="3">
        <v>38.200000000000003</v>
      </c>
      <c r="E742" s="10">
        <f t="shared" si="34"/>
        <v>7.5217594663847115E-3</v>
      </c>
      <c r="F742" s="10">
        <f t="shared" si="35"/>
        <v>2.7970091387427315E-2</v>
      </c>
      <c r="G742" s="10">
        <f t="shared" si="36"/>
        <v>6.3224446786091142E-3</v>
      </c>
    </row>
    <row r="743" spans="1:7" x14ac:dyDescent="0.35">
      <c r="A743" s="2">
        <v>44904</v>
      </c>
      <c r="B743" s="3">
        <v>3934.38</v>
      </c>
      <c r="C743" s="3">
        <v>109.42</v>
      </c>
      <c r="D743" s="3">
        <v>38.28</v>
      </c>
      <c r="E743" s="10">
        <f t="shared" si="34"/>
        <v>-7.349546235533683E-3</v>
      </c>
      <c r="F743" s="10">
        <f t="shared" si="35"/>
        <v>-1.7420977011494233E-2</v>
      </c>
      <c r="G743" s="10">
        <f t="shared" si="36"/>
        <v>2.0942408376962902E-3</v>
      </c>
    </row>
    <row r="744" spans="1:7" x14ac:dyDescent="0.35">
      <c r="A744" s="2">
        <v>44907</v>
      </c>
      <c r="B744" s="3">
        <v>3990.56</v>
      </c>
      <c r="C744" s="3">
        <v>112.07</v>
      </c>
      <c r="D744" s="3">
        <v>38.49</v>
      </c>
      <c r="E744" s="10">
        <f t="shared" si="34"/>
        <v>1.4279251114533887E-2</v>
      </c>
      <c r="F744" s="10">
        <f t="shared" si="35"/>
        <v>2.4218607201608403E-2</v>
      </c>
      <c r="G744" s="10">
        <f t="shared" si="36"/>
        <v>5.4858934169279214E-3</v>
      </c>
    </row>
    <row r="745" spans="1:7" x14ac:dyDescent="0.35">
      <c r="A745" s="2">
        <v>44908</v>
      </c>
      <c r="B745" s="3">
        <v>4019.65</v>
      </c>
      <c r="C745" s="3">
        <v>112.85</v>
      </c>
      <c r="D745" s="3">
        <v>38.770000000000003</v>
      </c>
      <c r="E745" s="10">
        <f t="shared" si="34"/>
        <v>7.2897037007337686E-3</v>
      </c>
      <c r="F745" s="10">
        <f t="shared" si="35"/>
        <v>6.9599357544392008E-3</v>
      </c>
      <c r="G745" s="10">
        <f t="shared" si="36"/>
        <v>7.2746167835801802E-3</v>
      </c>
    </row>
    <row r="746" spans="1:7" x14ac:dyDescent="0.35">
      <c r="A746" s="2">
        <v>44909</v>
      </c>
      <c r="B746" s="3">
        <v>3995.32</v>
      </c>
      <c r="C746" s="3">
        <v>111.45</v>
      </c>
      <c r="D746" s="3">
        <v>38.36</v>
      </c>
      <c r="E746" s="10">
        <f t="shared" si="34"/>
        <v>-6.052765788066107E-3</v>
      </c>
      <c r="F746" s="10">
        <f t="shared" si="35"/>
        <v>-1.2405848471422167E-2</v>
      </c>
      <c r="G746" s="10">
        <f t="shared" si="36"/>
        <v>-1.0575187000258026E-2</v>
      </c>
    </row>
    <row r="747" spans="1:7" x14ac:dyDescent="0.35">
      <c r="A747" s="2">
        <v>44910</v>
      </c>
      <c r="B747" s="3">
        <v>3895.75</v>
      </c>
      <c r="C747" s="3">
        <v>108.51</v>
      </c>
      <c r="D747" s="3">
        <v>37.619999999999997</v>
      </c>
      <c r="E747" s="10">
        <f t="shared" si="34"/>
        <v>-2.492165834025814E-2</v>
      </c>
      <c r="F747" s="10">
        <f t="shared" si="35"/>
        <v>-2.6379542395693116E-2</v>
      </c>
      <c r="G747" s="10">
        <f t="shared" si="36"/>
        <v>-1.929092805005219E-2</v>
      </c>
    </row>
    <row r="748" spans="1:7" x14ac:dyDescent="0.35">
      <c r="A748" s="2">
        <v>44911</v>
      </c>
      <c r="B748" s="3">
        <v>3852.36</v>
      </c>
      <c r="C748" s="3">
        <v>105.95</v>
      </c>
      <c r="D748" s="3">
        <v>36.15</v>
      </c>
      <c r="E748" s="10">
        <f t="shared" si="34"/>
        <v>-1.1137778348199928E-2</v>
      </c>
      <c r="F748" s="10">
        <f t="shared" si="35"/>
        <v>-2.3592295640954771E-2</v>
      </c>
      <c r="G748" s="10">
        <f t="shared" si="36"/>
        <v>-3.9074960127591679E-2</v>
      </c>
    </row>
    <row r="749" spans="1:7" x14ac:dyDescent="0.35">
      <c r="A749" s="2">
        <v>44914</v>
      </c>
      <c r="B749" s="3">
        <v>3817.66</v>
      </c>
      <c r="C749" s="3">
        <v>103.05</v>
      </c>
      <c r="D749" s="3">
        <v>35.42</v>
      </c>
      <c r="E749" s="10">
        <f t="shared" si="34"/>
        <v>-9.007465553582809E-3</v>
      </c>
      <c r="F749" s="10">
        <f t="shared" si="35"/>
        <v>-2.7371401604530492E-2</v>
      </c>
      <c r="G749" s="10">
        <f t="shared" si="36"/>
        <v>-2.0193637621023428E-2</v>
      </c>
    </row>
    <row r="750" spans="1:7" x14ac:dyDescent="0.35">
      <c r="A750" s="2">
        <v>44915</v>
      </c>
      <c r="B750" s="3">
        <v>3821.62</v>
      </c>
      <c r="C750" s="3">
        <v>103.21</v>
      </c>
      <c r="D750" s="3">
        <v>35.200000000000003</v>
      </c>
      <c r="E750" s="10">
        <f t="shared" si="34"/>
        <v>1.0372846193741811E-3</v>
      </c>
      <c r="F750" s="10">
        <f t="shared" si="35"/>
        <v>1.5526443474041397E-3</v>
      </c>
      <c r="G750" s="10">
        <f t="shared" si="36"/>
        <v>-6.21118012422357E-3</v>
      </c>
    </row>
    <row r="751" spans="1:7" x14ac:dyDescent="0.35">
      <c r="A751" s="2">
        <v>44916</v>
      </c>
      <c r="B751" s="3">
        <v>3878.44</v>
      </c>
      <c r="C751" s="3">
        <v>115.78</v>
      </c>
      <c r="D751" s="3">
        <v>35.9</v>
      </c>
      <c r="E751" s="10">
        <f t="shared" si="34"/>
        <v>1.4868040255179784E-2</v>
      </c>
      <c r="F751" s="10">
        <f t="shared" si="35"/>
        <v>0.12179052417401423</v>
      </c>
      <c r="G751" s="10">
        <f t="shared" si="36"/>
        <v>1.9886363636363515E-2</v>
      </c>
    </row>
    <row r="752" spans="1:7" x14ac:dyDescent="0.35">
      <c r="A752" s="2">
        <v>44917</v>
      </c>
      <c r="B752" s="3">
        <v>3822.39</v>
      </c>
      <c r="C752" s="3">
        <v>116.71</v>
      </c>
      <c r="D752" s="3">
        <v>33.53</v>
      </c>
      <c r="E752" s="10">
        <f t="shared" si="34"/>
        <v>-1.4451686760656394E-2</v>
      </c>
      <c r="F752" s="10">
        <f t="shared" si="35"/>
        <v>8.0324753843495651E-3</v>
      </c>
      <c r="G752" s="10">
        <f t="shared" si="36"/>
        <v>-6.6016713091921933E-2</v>
      </c>
    </row>
    <row r="753" spans="1:7" x14ac:dyDescent="0.35">
      <c r="A753" s="2">
        <v>44918</v>
      </c>
      <c r="B753" s="3">
        <v>3844.82</v>
      </c>
      <c r="C753" s="3">
        <v>116.25</v>
      </c>
      <c r="D753" s="3">
        <v>33.83</v>
      </c>
      <c r="E753" s="10">
        <f t="shared" si="34"/>
        <v>5.8680563731069542E-3</v>
      </c>
      <c r="F753" s="10">
        <f t="shared" si="35"/>
        <v>-3.9413931968125589E-3</v>
      </c>
      <c r="G753" s="10">
        <f t="shared" si="36"/>
        <v>8.947211452430574E-3</v>
      </c>
    </row>
    <row r="754" spans="1:7" x14ac:dyDescent="0.35">
      <c r="A754" s="2">
        <v>44922</v>
      </c>
      <c r="B754" s="3">
        <v>3829.25</v>
      </c>
      <c r="C754" s="3">
        <v>117.56</v>
      </c>
      <c r="D754" s="3">
        <v>33.32</v>
      </c>
      <c r="E754" s="10">
        <f t="shared" si="34"/>
        <v>-4.0496044028069354E-3</v>
      </c>
      <c r="F754" s="10">
        <f t="shared" si="35"/>
        <v>1.1268817204301096E-2</v>
      </c>
      <c r="G754" s="10">
        <f t="shared" si="36"/>
        <v>-1.5075376884422053E-2</v>
      </c>
    </row>
    <row r="755" spans="1:7" x14ac:dyDescent="0.35">
      <c r="A755" s="2">
        <v>44923</v>
      </c>
      <c r="B755" s="3">
        <v>3783.22</v>
      </c>
      <c r="C755" s="3">
        <v>114.98</v>
      </c>
      <c r="D755" s="3">
        <v>32.53</v>
      </c>
      <c r="E755" s="10">
        <f t="shared" si="34"/>
        <v>-1.2020630671802625E-2</v>
      </c>
      <c r="F755" s="10">
        <f t="shared" si="35"/>
        <v>-2.1946240217761127E-2</v>
      </c>
      <c r="G755" s="10">
        <f t="shared" si="36"/>
        <v>-2.370948379351738E-2</v>
      </c>
    </row>
    <row r="756" spans="1:7" x14ac:dyDescent="0.35">
      <c r="A756" s="2">
        <v>44924</v>
      </c>
      <c r="B756" s="3">
        <v>3849.28</v>
      </c>
      <c r="C756" s="3">
        <v>117.35</v>
      </c>
      <c r="D756" s="3">
        <v>33.67</v>
      </c>
      <c r="E756" s="10">
        <f t="shared" si="34"/>
        <v>1.7461316021801641E-2</v>
      </c>
      <c r="F756" s="10">
        <f t="shared" si="35"/>
        <v>2.0612280396590625E-2</v>
      </c>
      <c r="G756" s="10">
        <f t="shared" si="36"/>
        <v>3.5044574239163864E-2</v>
      </c>
    </row>
    <row r="757" spans="1:7" x14ac:dyDescent="0.35">
      <c r="A757" s="2">
        <v>44925</v>
      </c>
      <c r="B757" s="3">
        <v>3839.5</v>
      </c>
      <c r="C757" s="3">
        <v>117.01</v>
      </c>
      <c r="D757" s="3">
        <v>33.64</v>
      </c>
      <c r="E757" s="10">
        <f t="shared" si="34"/>
        <v>-2.5407348906809064E-3</v>
      </c>
      <c r="F757" s="10">
        <f t="shared" si="35"/>
        <v>-2.8973157221984596E-3</v>
      </c>
      <c r="G757" s="10">
        <f t="shared" si="36"/>
        <v>-8.9100089100092471E-4</v>
      </c>
    </row>
    <row r="758" spans="1:7" x14ac:dyDescent="0.35">
      <c r="A758" s="2">
        <v>44929</v>
      </c>
      <c r="B758" s="3">
        <v>3824.14</v>
      </c>
      <c r="C758" s="3">
        <v>118.75</v>
      </c>
      <c r="D758" s="3">
        <v>33.82</v>
      </c>
      <c r="E758" s="10">
        <f t="shared" si="34"/>
        <v>-4.0005209011590385E-3</v>
      </c>
      <c r="F758" s="10">
        <f t="shared" si="35"/>
        <v>1.4870523886847233E-2</v>
      </c>
      <c r="G758" s="10">
        <f t="shared" si="36"/>
        <v>5.3507728894173516E-3</v>
      </c>
    </row>
    <row r="759" spans="1:7" x14ac:dyDescent="0.35">
      <c r="A759" s="2">
        <v>44930</v>
      </c>
      <c r="B759" s="3">
        <v>3852.97</v>
      </c>
      <c r="C759" s="3">
        <v>121.21</v>
      </c>
      <c r="D759" s="3">
        <v>34.69</v>
      </c>
      <c r="E759" s="10">
        <f t="shared" si="34"/>
        <v>7.5389499338413156E-3</v>
      </c>
      <c r="F759" s="10">
        <f t="shared" si="35"/>
        <v>2.0715789473684156E-2</v>
      </c>
      <c r="G759" s="10">
        <f t="shared" si="36"/>
        <v>2.5724423418095724E-2</v>
      </c>
    </row>
    <row r="760" spans="1:7" x14ac:dyDescent="0.35">
      <c r="A760" s="2">
        <v>44931</v>
      </c>
      <c r="B760" s="3">
        <v>3808.1</v>
      </c>
      <c r="C760" s="3">
        <v>120.62</v>
      </c>
      <c r="D760" s="3">
        <v>35</v>
      </c>
      <c r="E760" s="10">
        <f t="shared" si="34"/>
        <v>-1.1645561735492332E-2</v>
      </c>
      <c r="F760" s="10">
        <f t="shared" si="35"/>
        <v>-4.8675851827406089E-3</v>
      </c>
      <c r="G760" s="10">
        <f t="shared" si="36"/>
        <v>8.9362928797925133E-3</v>
      </c>
    </row>
    <row r="761" spans="1:7" x14ac:dyDescent="0.35">
      <c r="A761" s="2">
        <v>44932</v>
      </c>
      <c r="B761" s="3">
        <v>3895.08</v>
      </c>
      <c r="C761" s="3">
        <v>124.53</v>
      </c>
      <c r="D761" s="3">
        <v>35.909999999999997</v>
      </c>
      <c r="E761" s="10">
        <f t="shared" si="34"/>
        <v>2.2840786744045591E-2</v>
      </c>
      <c r="F761" s="10">
        <f t="shared" si="35"/>
        <v>3.2415851434256314E-2</v>
      </c>
      <c r="G761" s="10">
        <f t="shared" si="36"/>
        <v>2.5999999999999902E-2</v>
      </c>
    </row>
    <row r="762" spans="1:7" x14ac:dyDescent="0.35">
      <c r="A762" s="2">
        <v>44935</v>
      </c>
      <c r="B762" s="3">
        <v>3892.09</v>
      </c>
      <c r="C762" s="3">
        <v>124.85</v>
      </c>
      <c r="D762" s="3">
        <v>35.92</v>
      </c>
      <c r="E762" s="10">
        <f t="shared" si="34"/>
        <v>-7.6763506782910281E-4</v>
      </c>
      <c r="F762" s="10">
        <f t="shared" si="35"/>
        <v>2.5696619288524307E-3</v>
      </c>
      <c r="G762" s="10">
        <f t="shared" si="36"/>
        <v>2.784739626846315E-4</v>
      </c>
    </row>
    <row r="763" spans="1:7" x14ac:dyDescent="0.35">
      <c r="A763" s="2">
        <v>44936</v>
      </c>
      <c r="B763" s="3">
        <v>3919.25</v>
      </c>
      <c r="C763" s="3">
        <v>125.84</v>
      </c>
      <c r="D763" s="3">
        <v>37.11</v>
      </c>
      <c r="E763" s="10">
        <f t="shared" si="34"/>
        <v>6.9782558985017956E-3</v>
      </c>
      <c r="F763" s="10">
        <f t="shared" si="35"/>
        <v>7.9295154185022761E-3</v>
      </c>
      <c r="G763" s="10">
        <f t="shared" si="36"/>
        <v>3.3129175946547816E-2</v>
      </c>
    </row>
    <row r="764" spans="1:7" x14ac:dyDescent="0.35">
      <c r="A764" s="2">
        <v>44937</v>
      </c>
      <c r="B764" s="3">
        <v>3969.61</v>
      </c>
      <c r="C764" s="3">
        <v>127.94</v>
      </c>
      <c r="D764" s="3">
        <v>37.82</v>
      </c>
      <c r="E764" s="10">
        <f t="shared" si="34"/>
        <v>1.2849397206098139E-2</v>
      </c>
      <c r="F764" s="10">
        <f t="shared" si="35"/>
        <v>1.668785759694846E-2</v>
      </c>
      <c r="G764" s="10">
        <f t="shared" si="36"/>
        <v>1.9132309350579382E-2</v>
      </c>
    </row>
    <row r="765" spans="1:7" x14ac:dyDescent="0.35">
      <c r="A765" s="2">
        <v>44938</v>
      </c>
      <c r="B765" s="3">
        <v>3983.17</v>
      </c>
      <c r="C765" s="3">
        <v>127.89</v>
      </c>
      <c r="D765" s="3">
        <v>38.33</v>
      </c>
      <c r="E765" s="10">
        <f t="shared" si="34"/>
        <v>3.4159527006431224E-3</v>
      </c>
      <c r="F765" s="10">
        <f t="shared" si="35"/>
        <v>-3.9080819133966826E-4</v>
      </c>
      <c r="G765" s="10">
        <f t="shared" si="36"/>
        <v>1.3484928609201427E-2</v>
      </c>
    </row>
    <row r="766" spans="1:7" x14ac:dyDescent="0.35">
      <c r="A766" s="2">
        <v>44939</v>
      </c>
      <c r="B766" s="3">
        <v>3999.09</v>
      </c>
      <c r="C766" s="3">
        <v>128.85</v>
      </c>
      <c r="D766" s="3">
        <v>36.51</v>
      </c>
      <c r="E766" s="10">
        <f t="shared" si="34"/>
        <v>3.9968166058692127E-3</v>
      </c>
      <c r="F766" s="10">
        <f t="shared" si="35"/>
        <v>7.5064508562045018E-3</v>
      </c>
      <c r="G766" s="10">
        <f t="shared" si="36"/>
        <v>-4.7482389773023749E-2</v>
      </c>
    </row>
    <row r="767" spans="1:7" x14ac:dyDescent="0.35">
      <c r="A767" s="2">
        <v>44943</v>
      </c>
      <c r="B767" s="3">
        <v>3990.97</v>
      </c>
      <c r="C767" s="3">
        <v>128.13999999999999</v>
      </c>
      <c r="D767" s="3">
        <v>36.61</v>
      </c>
      <c r="E767" s="10">
        <f t="shared" si="34"/>
        <v>-2.0304619300891818E-3</v>
      </c>
      <c r="F767" s="10">
        <f t="shared" si="35"/>
        <v>-5.5102832751261774E-3</v>
      </c>
      <c r="G767" s="10">
        <f t="shared" si="36"/>
        <v>2.7389756231169932E-3</v>
      </c>
    </row>
    <row r="768" spans="1:7" x14ac:dyDescent="0.35">
      <c r="A768" s="2">
        <v>44944</v>
      </c>
      <c r="B768" s="3">
        <v>3928.86</v>
      </c>
      <c r="C768" s="3">
        <v>126.43</v>
      </c>
      <c r="D768" s="3">
        <v>36.44</v>
      </c>
      <c r="E768" s="10">
        <f t="shared" si="34"/>
        <v>-1.5562632643191925E-2</v>
      </c>
      <c r="F768" s="10">
        <f t="shared" si="35"/>
        <v>-1.3344779147806927E-2</v>
      </c>
      <c r="G768" s="10">
        <f t="shared" si="36"/>
        <v>-4.6435400163890115E-3</v>
      </c>
    </row>
    <row r="769" spans="1:7" x14ac:dyDescent="0.35">
      <c r="A769" s="2">
        <v>44945</v>
      </c>
      <c r="B769" s="3">
        <v>3898.85</v>
      </c>
      <c r="C769" s="3">
        <v>124.53</v>
      </c>
      <c r="D769" s="3">
        <v>35.729999999999997</v>
      </c>
      <c r="E769" s="10">
        <f t="shared" si="34"/>
        <v>-7.6383480195273482E-3</v>
      </c>
      <c r="F769" s="10">
        <f t="shared" si="35"/>
        <v>-1.5028078778770906E-2</v>
      </c>
      <c r="G769" s="10">
        <f t="shared" si="36"/>
        <v>-1.9484083424807928E-2</v>
      </c>
    </row>
    <row r="770" spans="1:7" x14ac:dyDescent="0.35">
      <c r="A770" s="2">
        <v>44946</v>
      </c>
      <c r="B770" s="3">
        <v>3972.61</v>
      </c>
      <c r="C770" s="3">
        <v>126.62</v>
      </c>
      <c r="D770" s="3">
        <v>35.35</v>
      </c>
      <c r="E770" s="10">
        <f t="shared" si="34"/>
        <v>1.8918399015094251E-2</v>
      </c>
      <c r="F770" s="10">
        <f t="shared" si="35"/>
        <v>1.6783104472817823E-2</v>
      </c>
      <c r="G770" s="10">
        <f t="shared" si="36"/>
        <v>-1.0635320458997915E-2</v>
      </c>
    </row>
    <row r="771" spans="1:7" x14ac:dyDescent="0.35">
      <c r="A771" s="2">
        <v>44949</v>
      </c>
      <c r="B771" s="3">
        <v>4019.81</v>
      </c>
      <c r="C771" s="3">
        <v>128.29</v>
      </c>
      <c r="D771" s="3">
        <v>36.44</v>
      </c>
      <c r="E771" s="10">
        <f t="shared" si="34"/>
        <v>1.188135759613952E-2</v>
      </c>
      <c r="F771" s="10">
        <f t="shared" si="35"/>
        <v>1.3189069657242043E-2</v>
      </c>
      <c r="G771" s="10">
        <f t="shared" si="36"/>
        <v>3.0834512022630729E-2</v>
      </c>
    </row>
    <row r="772" spans="1:7" x14ac:dyDescent="0.35">
      <c r="A772" s="2">
        <v>44950</v>
      </c>
      <c r="B772" s="3">
        <v>4016.95</v>
      </c>
      <c r="C772" s="3">
        <v>126.83</v>
      </c>
      <c r="D772" s="3">
        <v>36.200000000000003</v>
      </c>
      <c r="E772" s="10">
        <f t="shared" ref="E772:E835" si="37">(B772-B771)/B771</f>
        <v>-7.1147641306433074E-4</v>
      </c>
      <c r="F772" s="10">
        <f t="shared" ref="F772:F835" si="38">(C772-C771)/C771</f>
        <v>-1.1380466131420951E-2</v>
      </c>
      <c r="G772" s="10">
        <f t="shared" ref="G772:G835" si="39">(D772-D771)/D771</f>
        <v>-6.5861690450053486E-3</v>
      </c>
    </row>
    <row r="773" spans="1:7" x14ac:dyDescent="0.35">
      <c r="A773" s="2">
        <v>44951</v>
      </c>
      <c r="B773" s="3">
        <v>4016.22</v>
      </c>
      <c r="C773" s="3">
        <v>126.82</v>
      </c>
      <c r="D773" s="3">
        <v>36.32</v>
      </c>
      <c r="E773" s="10">
        <f t="shared" si="37"/>
        <v>-1.8172991946626625E-4</v>
      </c>
      <c r="F773" s="10">
        <f t="shared" si="38"/>
        <v>-7.8845698967161678E-5</v>
      </c>
      <c r="G773" s="10">
        <f t="shared" si="39"/>
        <v>3.3149171270717521E-3</v>
      </c>
    </row>
    <row r="774" spans="1:7" x14ac:dyDescent="0.35">
      <c r="A774" s="2">
        <v>44952</v>
      </c>
      <c r="B774" s="3">
        <v>4060.43</v>
      </c>
      <c r="C774" s="3">
        <v>127.53</v>
      </c>
      <c r="D774" s="3">
        <v>36.479999999999997</v>
      </c>
      <c r="E774" s="10">
        <f t="shared" si="37"/>
        <v>1.1007863115068408E-2</v>
      </c>
      <c r="F774" s="10">
        <f t="shared" si="38"/>
        <v>5.5984860432109129E-3</v>
      </c>
      <c r="G774" s="10">
        <f t="shared" si="39"/>
        <v>4.4052863436122407E-3</v>
      </c>
    </row>
    <row r="775" spans="1:7" x14ac:dyDescent="0.35">
      <c r="A775" s="2">
        <v>44953</v>
      </c>
      <c r="B775" s="3">
        <v>4070.56</v>
      </c>
      <c r="C775" s="3">
        <v>127.53</v>
      </c>
      <c r="D775" s="3">
        <v>37.950000000000003</v>
      </c>
      <c r="E775" s="10">
        <f t="shared" si="37"/>
        <v>2.4948096630160129E-3</v>
      </c>
      <c r="F775" s="10">
        <f t="shared" si="38"/>
        <v>0</v>
      </c>
      <c r="G775" s="10">
        <f t="shared" si="39"/>
        <v>4.0296052631579114E-2</v>
      </c>
    </row>
    <row r="776" spans="1:7" x14ac:dyDescent="0.35">
      <c r="A776" s="2">
        <v>44956</v>
      </c>
      <c r="B776" s="3">
        <v>4017.77</v>
      </c>
      <c r="C776" s="3">
        <v>126.37</v>
      </c>
      <c r="D776" s="3">
        <v>36.29</v>
      </c>
      <c r="E776" s="10">
        <f t="shared" si="37"/>
        <v>-1.2968731575016696E-2</v>
      </c>
      <c r="F776" s="10">
        <f t="shared" si="38"/>
        <v>-9.0958990041558573E-3</v>
      </c>
      <c r="G776" s="10">
        <f t="shared" si="39"/>
        <v>-4.3741765480896012E-2</v>
      </c>
    </row>
    <row r="777" spans="1:7" x14ac:dyDescent="0.35">
      <c r="A777" s="2">
        <v>44957</v>
      </c>
      <c r="B777" s="3">
        <v>4076.6</v>
      </c>
      <c r="C777" s="3">
        <v>127.33</v>
      </c>
      <c r="D777" s="3">
        <v>39.32</v>
      </c>
      <c r="E777" s="10">
        <f t="shared" si="37"/>
        <v>1.4642450911824203E-2</v>
      </c>
      <c r="F777" s="10">
        <f t="shared" si="38"/>
        <v>7.5967397325314052E-3</v>
      </c>
      <c r="G777" s="10">
        <f t="shared" si="39"/>
        <v>8.3494075502893395E-2</v>
      </c>
    </row>
    <row r="778" spans="1:7" x14ac:dyDescent="0.35">
      <c r="A778" s="2">
        <v>44958</v>
      </c>
      <c r="B778" s="3">
        <v>4119.21</v>
      </c>
      <c r="C778" s="3">
        <v>129.5</v>
      </c>
      <c r="D778" s="3">
        <v>39.299999999999997</v>
      </c>
      <c r="E778" s="10">
        <f t="shared" si="37"/>
        <v>1.045233773242411E-2</v>
      </c>
      <c r="F778" s="10">
        <f t="shared" si="38"/>
        <v>1.7042330951072032E-2</v>
      </c>
      <c r="G778" s="10">
        <f t="shared" si="39"/>
        <v>-5.0864699898278546E-4</v>
      </c>
    </row>
    <row r="779" spans="1:7" x14ac:dyDescent="0.35">
      <c r="A779" s="2">
        <v>44959</v>
      </c>
      <c r="B779" s="3">
        <v>4179.76</v>
      </c>
      <c r="C779" s="3">
        <v>129.06</v>
      </c>
      <c r="D779" s="3">
        <v>41.5</v>
      </c>
      <c r="E779" s="10">
        <f t="shared" si="37"/>
        <v>1.4699420519954112E-2</v>
      </c>
      <c r="F779" s="10">
        <f t="shared" si="38"/>
        <v>-3.39768339768338E-3</v>
      </c>
      <c r="G779" s="10">
        <f t="shared" si="39"/>
        <v>5.5979643765903385E-2</v>
      </c>
    </row>
    <row r="780" spans="1:7" x14ac:dyDescent="0.35">
      <c r="A780" s="2">
        <v>44960</v>
      </c>
      <c r="B780" s="3">
        <v>4136.4799999999996</v>
      </c>
      <c r="C780" s="3">
        <v>127.61</v>
      </c>
      <c r="D780" s="3">
        <v>41.13</v>
      </c>
      <c r="E780" s="10">
        <f t="shared" si="37"/>
        <v>-1.0354661511665898E-2</v>
      </c>
      <c r="F780" s="10">
        <f t="shared" si="38"/>
        <v>-1.1235084456841802E-2</v>
      </c>
      <c r="G780" s="10">
        <f t="shared" si="39"/>
        <v>-8.9156626506023476E-3</v>
      </c>
    </row>
    <row r="781" spans="1:7" x14ac:dyDescent="0.35">
      <c r="A781" s="2">
        <v>44963</v>
      </c>
      <c r="B781" s="3">
        <v>4111.08</v>
      </c>
      <c r="C781" s="3">
        <v>125.73</v>
      </c>
      <c r="D781" s="3">
        <v>41.34</v>
      </c>
      <c r="E781" s="10">
        <f t="shared" si="37"/>
        <v>-6.1404865973000329E-3</v>
      </c>
      <c r="F781" s="10">
        <f t="shared" si="38"/>
        <v>-1.4732387743907182E-2</v>
      </c>
      <c r="G781" s="10">
        <f t="shared" si="39"/>
        <v>5.1057622173596119E-3</v>
      </c>
    </row>
    <row r="782" spans="1:7" x14ac:dyDescent="0.35">
      <c r="A782" s="2">
        <v>44964</v>
      </c>
      <c r="B782" s="3">
        <v>4164</v>
      </c>
      <c r="C782" s="3">
        <v>125.33</v>
      </c>
      <c r="D782" s="3">
        <v>41.4</v>
      </c>
      <c r="E782" s="10">
        <f t="shared" si="37"/>
        <v>1.2872529846171828E-2</v>
      </c>
      <c r="F782" s="10">
        <f t="shared" si="38"/>
        <v>-3.1814205042551952E-3</v>
      </c>
      <c r="G782" s="10">
        <f t="shared" si="39"/>
        <v>1.4513788098692588E-3</v>
      </c>
    </row>
    <row r="783" spans="1:7" x14ac:dyDescent="0.35">
      <c r="A783" s="2">
        <v>44965</v>
      </c>
      <c r="B783" s="3">
        <v>4117.8599999999997</v>
      </c>
      <c r="C783" s="3">
        <v>122.91</v>
      </c>
      <c r="D783" s="3">
        <v>41.57</v>
      </c>
      <c r="E783" s="10">
        <f t="shared" si="37"/>
        <v>-1.1080691642651375E-2</v>
      </c>
      <c r="F783" s="10">
        <f t="shared" si="38"/>
        <v>-1.9309024176174912E-2</v>
      </c>
      <c r="G783" s="10">
        <f t="shared" si="39"/>
        <v>4.1062801932367559E-3</v>
      </c>
    </row>
    <row r="784" spans="1:7" x14ac:dyDescent="0.35">
      <c r="A784" s="2">
        <v>44966</v>
      </c>
      <c r="B784" s="3">
        <v>4081.5</v>
      </c>
      <c r="C784" s="3">
        <v>122.18</v>
      </c>
      <c r="D784" s="3">
        <v>41.63</v>
      </c>
      <c r="E784" s="10">
        <f t="shared" si="37"/>
        <v>-8.8298290859814745E-3</v>
      </c>
      <c r="F784" s="10">
        <f t="shared" si="38"/>
        <v>-5.9393051826538918E-3</v>
      </c>
      <c r="G784" s="10">
        <f t="shared" si="39"/>
        <v>1.4433485686793908E-3</v>
      </c>
    </row>
    <row r="785" spans="1:7" x14ac:dyDescent="0.35">
      <c r="A785" s="2">
        <v>44967</v>
      </c>
      <c r="B785" s="3">
        <v>4090.46</v>
      </c>
      <c r="C785" s="3">
        <v>122.23</v>
      </c>
      <c r="D785" s="3">
        <v>41.35</v>
      </c>
      <c r="E785" s="10">
        <f t="shared" si="37"/>
        <v>2.1952713463187644E-3</v>
      </c>
      <c r="F785" s="10">
        <f t="shared" si="38"/>
        <v>4.0923228024224221E-4</v>
      </c>
      <c r="G785" s="10">
        <f t="shared" si="39"/>
        <v>-6.7259188085515521E-3</v>
      </c>
    </row>
    <row r="786" spans="1:7" x14ac:dyDescent="0.35">
      <c r="A786" s="2">
        <v>44970</v>
      </c>
      <c r="B786" s="3">
        <v>4137.29</v>
      </c>
      <c r="C786" s="3">
        <v>125.15</v>
      </c>
      <c r="D786" s="3">
        <v>42.02</v>
      </c>
      <c r="E786" s="10">
        <f t="shared" si="37"/>
        <v>1.1448590134116927E-2</v>
      </c>
      <c r="F786" s="10">
        <f t="shared" si="38"/>
        <v>2.3889388857072744E-2</v>
      </c>
      <c r="G786" s="10">
        <f t="shared" si="39"/>
        <v>1.6203143893591336E-2</v>
      </c>
    </row>
    <row r="787" spans="1:7" x14ac:dyDescent="0.35">
      <c r="A787" s="2">
        <v>44971</v>
      </c>
      <c r="B787" s="3">
        <v>4136.13</v>
      </c>
      <c r="C787" s="3">
        <v>126.2</v>
      </c>
      <c r="D787" s="3">
        <v>42.43</v>
      </c>
      <c r="E787" s="10">
        <f t="shared" si="37"/>
        <v>-2.8037676836766446E-4</v>
      </c>
      <c r="F787" s="10">
        <f t="shared" si="38"/>
        <v>8.3899320815021741E-3</v>
      </c>
      <c r="G787" s="10">
        <f t="shared" si="39"/>
        <v>9.7572584483578435E-3</v>
      </c>
    </row>
    <row r="788" spans="1:7" x14ac:dyDescent="0.35">
      <c r="A788" s="2">
        <v>44972</v>
      </c>
      <c r="B788" s="3">
        <v>4147.6000000000004</v>
      </c>
      <c r="C788" s="3">
        <v>127.48</v>
      </c>
      <c r="D788" s="3">
        <v>42.95</v>
      </c>
      <c r="E788" s="10">
        <f t="shared" si="37"/>
        <v>2.7731236687435486E-3</v>
      </c>
      <c r="F788" s="10">
        <f t="shared" si="38"/>
        <v>1.0142630744849454E-2</v>
      </c>
      <c r="G788" s="10">
        <f t="shared" si="39"/>
        <v>1.2255479613481101E-2</v>
      </c>
    </row>
    <row r="789" spans="1:7" x14ac:dyDescent="0.35">
      <c r="A789" s="2">
        <v>44973</v>
      </c>
      <c r="B789" s="3">
        <v>4090.41</v>
      </c>
      <c r="C789" s="3">
        <v>124.38</v>
      </c>
      <c r="D789" s="3">
        <v>43.1</v>
      </c>
      <c r="E789" s="10">
        <f t="shared" si="37"/>
        <v>-1.3788697077828264E-2</v>
      </c>
      <c r="F789" s="10">
        <f t="shared" si="38"/>
        <v>-2.4317540006275562E-2</v>
      </c>
      <c r="G789" s="10">
        <f t="shared" si="39"/>
        <v>3.4924330616996173E-3</v>
      </c>
    </row>
    <row r="790" spans="1:7" x14ac:dyDescent="0.35">
      <c r="A790" s="2">
        <v>44974</v>
      </c>
      <c r="B790" s="3">
        <v>4079.09</v>
      </c>
      <c r="C790" s="3">
        <v>124.84</v>
      </c>
      <c r="D790" s="3">
        <v>43.17</v>
      </c>
      <c r="E790" s="10">
        <f t="shared" si="37"/>
        <v>-2.7674487398573026E-3</v>
      </c>
      <c r="F790" s="10">
        <f t="shared" si="38"/>
        <v>3.6983437851745293E-3</v>
      </c>
      <c r="G790" s="10">
        <f t="shared" si="39"/>
        <v>1.6241299303944381E-3</v>
      </c>
    </row>
    <row r="791" spans="1:7" x14ac:dyDescent="0.35">
      <c r="A791" s="2">
        <v>44978</v>
      </c>
      <c r="B791" s="3">
        <v>3997.34</v>
      </c>
      <c r="C791" s="3">
        <v>121.1</v>
      </c>
      <c r="D791" s="3">
        <v>41.13</v>
      </c>
      <c r="E791" s="10">
        <f t="shared" si="37"/>
        <v>-2.0041234687148357E-2</v>
      </c>
      <c r="F791" s="10">
        <f t="shared" si="38"/>
        <v>-2.9958346683755278E-2</v>
      </c>
      <c r="G791" s="10">
        <f t="shared" si="39"/>
        <v>-4.7255038220986777E-2</v>
      </c>
    </row>
    <row r="792" spans="1:7" x14ac:dyDescent="0.35">
      <c r="A792" s="2">
        <v>44979</v>
      </c>
      <c r="B792" s="3">
        <v>3991.05</v>
      </c>
      <c r="C792" s="3">
        <v>119.9</v>
      </c>
      <c r="D792" s="3">
        <v>40.89</v>
      </c>
      <c r="E792" s="10">
        <f t="shared" si="37"/>
        <v>-1.5735464083615513E-3</v>
      </c>
      <c r="F792" s="10">
        <f t="shared" si="38"/>
        <v>-9.9091659785300462E-3</v>
      </c>
      <c r="G792" s="10">
        <f t="shared" si="39"/>
        <v>-5.835156819839581E-3</v>
      </c>
    </row>
    <row r="793" spans="1:7" x14ac:dyDescent="0.35">
      <c r="A793" s="2">
        <v>44980</v>
      </c>
      <c r="B793" s="3">
        <v>4012.32</v>
      </c>
      <c r="C793" s="3">
        <v>119.96</v>
      </c>
      <c r="D793" s="3">
        <v>39.25</v>
      </c>
      <c r="E793" s="10">
        <f t="shared" si="37"/>
        <v>5.3294245875145588E-3</v>
      </c>
      <c r="F793" s="10">
        <f t="shared" si="38"/>
        <v>5.004170141783825E-4</v>
      </c>
      <c r="G793" s="10">
        <f t="shared" si="39"/>
        <v>-4.0107605771582309E-2</v>
      </c>
    </row>
    <row r="794" spans="1:7" x14ac:dyDescent="0.35">
      <c r="A794" s="2">
        <v>44981</v>
      </c>
      <c r="B794" s="3">
        <v>3970.04</v>
      </c>
      <c r="C794" s="3">
        <v>118.04</v>
      </c>
      <c r="D794" s="3">
        <v>39.18</v>
      </c>
      <c r="E794" s="10">
        <f t="shared" si="37"/>
        <v>-1.0537544363360898E-2</v>
      </c>
      <c r="F794" s="10">
        <f t="shared" si="38"/>
        <v>-1.6005335111703798E-2</v>
      </c>
      <c r="G794" s="10">
        <f t="shared" si="39"/>
        <v>-1.783439490445867E-3</v>
      </c>
    </row>
    <row r="795" spans="1:7" x14ac:dyDescent="0.35">
      <c r="A795" s="2">
        <v>44984</v>
      </c>
      <c r="B795" s="3">
        <v>3982.24</v>
      </c>
      <c r="C795" s="3">
        <v>118.53</v>
      </c>
      <c r="D795" s="3">
        <v>39.31</v>
      </c>
      <c r="E795" s="10">
        <f t="shared" si="37"/>
        <v>3.0730168965551526E-3</v>
      </c>
      <c r="F795" s="10">
        <f t="shared" si="38"/>
        <v>4.1511352084038873E-3</v>
      </c>
      <c r="G795" s="10">
        <f t="shared" si="39"/>
        <v>3.3180193976519285E-3</v>
      </c>
    </row>
    <row r="796" spans="1:7" x14ac:dyDescent="0.35">
      <c r="A796" s="2">
        <v>44985</v>
      </c>
      <c r="B796" s="3">
        <v>3970.15</v>
      </c>
      <c r="C796" s="3">
        <v>118.79</v>
      </c>
      <c r="D796" s="3">
        <v>38.74</v>
      </c>
      <c r="E796" s="10">
        <f t="shared" si="37"/>
        <v>-3.0359797500903239E-3</v>
      </c>
      <c r="F796" s="10">
        <f t="shared" si="38"/>
        <v>2.1935375010546285E-3</v>
      </c>
      <c r="G796" s="10">
        <f t="shared" si="39"/>
        <v>-1.4500127194098201E-2</v>
      </c>
    </row>
    <row r="797" spans="1:7" x14ac:dyDescent="0.35">
      <c r="A797" s="2">
        <v>44986</v>
      </c>
      <c r="B797" s="3">
        <v>3951.39</v>
      </c>
      <c r="C797" s="3">
        <v>118.58</v>
      </c>
      <c r="D797" s="3">
        <v>38.72</v>
      </c>
      <c r="E797" s="10">
        <f t="shared" si="37"/>
        <v>-4.7252622696875978E-3</v>
      </c>
      <c r="F797" s="10">
        <f t="shared" si="38"/>
        <v>-1.7678255745433786E-3</v>
      </c>
      <c r="G797" s="10">
        <f t="shared" si="39"/>
        <v>-5.1626226122878489E-4</v>
      </c>
    </row>
    <row r="798" spans="1:7" x14ac:dyDescent="0.35">
      <c r="A798" s="2">
        <v>44987</v>
      </c>
      <c r="B798" s="3">
        <v>3981.35</v>
      </c>
      <c r="C798" s="3">
        <v>119.58</v>
      </c>
      <c r="D798" s="3">
        <v>39.53</v>
      </c>
      <c r="E798" s="10">
        <f t="shared" si="37"/>
        <v>7.5821419804170277E-3</v>
      </c>
      <c r="F798" s="10">
        <f t="shared" si="38"/>
        <v>8.4331253162421987E-3</v>
      </c>
      <c r="G798" s="10">
        <f t="shared" si="39"/>
        <v>2.0919421487603364E-2</v>
      </c>
    </row>
    <row r="799" spans="1:7" x14ac:dyDescent="0.35">
      <c r="A799" s="2">
        <v>44988</v>
      </c>
      <c r="B799" s="3">
        <v>4045.64</v>
      </c>
      <c r="C799" s="3">
        <v>120.94</v>
      </c>
      <c r="D799" s="3">
        <v>41.01</v>
      </c>
      <c r="E799" s="10">
        <f t="shared" si="37"/>
        <v>1.6147789066522655E-2</v>
      </c>
      <c r="F799" s="10">
        <f t="shared" si="38"/>
        <v>1.1373139320956677E-2</v>
      </c>
      <c r="G799" s="10">
        <f t="shared" si="39"/>
        <v>3.74399190488236E-2</v>
      </c>
    </row>
    <row r="800" spans="1:7" x14ac:dyDescent="0.35">
      <c r="A800" s="2">
        <v>44991</v>
      </c>
      <c r="B800" s="3">
        <v>4048.42</v>
      </c>
      <c r="C800" s="3">
        <v>120.17</v>
      </c>
      <c r="D800" s="3">
        <v>40.450000000000003</v>
      </c>
      <c r="E800" s="10">
        <f t="shared" si="37"/>
        <v>6.8715950999105211E-4</v>
      </c>
      <c r="F800" s="10">
        <f t="shared" si="38"/>
        <v>-6.3667934512981316E-3</v>
      </c>
      <c r="G800" s="10">
        <f t="shared" si="39"/>
        <v>-1.3655206047305418E-2</v>
      </c>
    </row>
    <row r="801" spans="1:7" x14ac:dyDescent="0.35">
      <c r="A801" s="2">
        <v>44992</v>
      </c>
      <c r="B801" s="3">
        <v>3986.37</v>
      </c>
      <c r="C801" s="3">
        <v>119.59</v>
      </c>
      <c r="D801" s="3">
        <v>39.74</v>
      </c>
      <c r="E801" s="10">
        <f t="shared" si="37"/>
        <v>-1.532696706369403E-2</v>
      </c>
      <c r="F801" s="10">
        <f t="shared" si="38"/>
        <v>-4.8264957976200239E-3</v>
      </c>
      <c r="G801" s="10">
        <f t="shared" si="39"/>
        <v>-1.7552533992583455E-2</v>
      </c>
    </row>
    <row r="802" spans="1:7" x14ac:dyDescent="0.35">
      <c r="A802" s="2">
        <v>44993</v>
      </c>
      <c r="B802" s="3">
        <v>3992.01</v>
      </c>
      <c r="C802" s="3">
        <v>119.86</v>
      </c>
      <c r="D802" s="3">
        <v>39.76</v>
      </c>
      <c r="E802" s="10">
        <f t="shared" si="37"/>
        <v>1.4148210025663266E-3</v>
      </c>
      <c r="F802" s="10">
        <f t="shared" si="38"/>
        <v>2.2577138556735179E-3</v>
      </c>
      <c r="G802" s="10">
        <f t="shared" si="39"/>
        <v>5.0327126321077047E-4</v>
      </c>
    </row>
    <row r="803" spans="1:7" x14ac:dyDescent="0.35">
      <c r="A803" s="2">
        <v>44994</v>
      </c>
      <c r="B803" s="3">
        <v>3918.32</v>
      </c>
      <c r="C803" s="3">
        <v>117.87</v>
      </c>
      <c r="D803" s="3">
        <v>37.82</v>
      </c>
      <c r="E803" s="10">
        <f t="shared" si="37"/>
        <v>-1.8459372596762044E-2</v>
      </c>
      <c r="F803" s="10">
        <f t="shared" si="38"/>
        <v>-1.660270315367925E-2</v>
      </c>
      <c r="G803" s="10">
        <f t="shared" si="39"/>
        <v>-4.8792756539235357E-2</v>
      </c>
    </row>
    <row r="804" spans="1:7" x14ac:dyDescent="0.35">
      <c r="A804" s="2">
        <v>44995</v>
      </c>
      <c r="B804" s="3">
        <v>3861.59</v>
      </c>
      <c r="C804" s="3">
        <v>117.49</v>
      </c>
      <c r="D804" s="3">
        <v>36.520000000000003</v>
      </c>
      <c r="E804" s="10">
        <f t="shared" si="37"/>
        <v>-1.447814369423631E-2</v>
      </c>
      <c r="F804" s="10">
        <f t="shared" si="38"/>
        <v>-3.2238907270722801E-3</v>
      </c>
      <c r="G804" s="10">
        <f t="shared" si="39"/>
        <v>-3.4373347435219387E-2</v>
      </c>
    </row>
    <row r="805" spans="1:7" x14ac:dyDescent="0.35">
      <c r="A805" s="2">
        <v>44998</v>
      </c>
      <c r="B805" s="3">
        <v>3855.76</v>
      </c>
      <c r="C805" s="3">
        <v>116.86</v>
      </c>
      <c r="D805" s="3">
        <v>35.76</v>
      </c>
      <c r="E805" s="10">
        <f t="shared" si="37"/>
        <v>-1.5097408062481846E-3</v>
      </c>
      <c r="F805" s="10">
        <f t="shared" si="38"/>
        <v>-5.3621584815728611E-3</v>
      </c>
      <c r="G805" s="10">
        <f t="shared" si="39"/>
        <v>-2.081051478641854E-2</v>
      </c>
    </row>
    <row r="806" spans="1:7" x14ac:dyDescent="0.35">
      <c r="A806" s="2">
        <v>44999</v>
      </c>
      <c r="B806" s="3">
        <v>3919.29</v>
      </c>
      <c r="C806" s="3">
        <v>119</v>
      </c>
      <c r="D806" s="3">
        <v>35.6</v>
      </c>
      <c r="E806" s="10">
        <f t="shared" si="37"/>
        <v>1.6476647924144588E-2</v>
      </c>
      <c r="F806" s="10">
        <f t="shared" si="38"/>
        <v>1.8312510696559991E-2</v>
      </c>
      <c r="G806" s="10">
        <f t="shared" si="39"/>
        <v>-4.4742729306486741E-3</v>
      </c>
    </row>
    <row r="807" spans="1:7" x14ac:dyDescent="0.35">
      <c r="A807" s="2">
        <v>45000</v>
      </c>
      <c r="B807" s="3">
        <v>3891.93</v>
      </c>
      <c r="C807" s="3">
        <v>118.17</v>
      </c>
      <c r="D807" s="3">
        <v>34.33</v>
      </c>
      <c r="E807" s="10">
        <f t="shared" si="37"/>
        <v>-6.9808562265104464E-3</v>
      </c>
      <c r="F807" s="10">
        <f t="shared" si="38"/>
        <v>-6.9747899159663725E-3</v>
      </c>
      <c r="G807" s="10">
        <f t="shared" si="39"/>
        <v>-3.5674157303370875E-2</v>
      </c>
    </row>
    <row r="808" spans="1:7" x14ac:dyDescent="0.35">
      <c r="A808" s="2">
        <v>45001</v>
      </c>
      <c r="B808" s="3">
        <v>3960.28</v>
      </c>
      <c r="C808" s="3">
        <v>120.65</v>
      </c>
      <c r="D808" s="3">
        <v>34.61</v>
      </c>
      <c r="E808" s="10">
        <f t="shared" si="37"/>
        <v>1.7561980816715707E-2</v>
      </c>
      <c r="F808" s="10">
        <f t="shared" si="38"/>
        <v>2.0986714056021021E-2</v>
      </c>
      <c r="G808" s="10">
        <f t="shared" si="39"/>
        <v>8.1561316632683123E-3</v>
      </c>
    </row>
    <row r="809" spans="1:7" x14ac:dyDescent="0.35">
      <c r="A809" s="2">
        <v>45002</v>
      </c>
      <c r="B809" s="3">
        <v>3916.64</v>
      </c>
      <c r="C809" s="3">
        <v>120.39</v>
      </c>
      <c r="D809" s="3">
        <v>33.380000000000003</v>
      </c>
      <c r="E809" s="10">
        <f t="shared" si="37"/>
        <v>-1.1019422869090146E-2</v>
      </c>
      <c r="F809" s="10">
        <f t="shared" si="38"/>
        <v>-2.1549937836718202E-3</v>
      </c>
      <c r="G809" s="10">
        <f t="shared" si="39"/>
        <v>-3.5538861600693354E-2</v>
      </c>
    </row>
    <row r="810" spans="1:7" x14ac:dyDescent="0.35">
      <c r="A810" s="2">
        <v>45005</v>
      </c>
      <c r="B810" s="3">
        <v>3951.57</v>
      </c>
      <c r="C810" s="3">
        <v>121.2</v>
      </c>
      <c r="D810" s="3">
        <v>33.619999999999997</v>
      </c>
      <c r="E810" s="10">
        <f t="shared" si="37"/>
        <v>8.9183585930798573E-3</v>
      </c>
      <c r="F810" s="10">
        <f t="shared" si="38"/>
        <v>6.7281335659108085E-3</v>
      </c>
      <c r="G810" s="10">
        <f t="shared" si="39"/>
        <v>7.1899340922706671E-3</v>
      </c>
    </row>
    <row r="811" spans="1:7" x14ac:dyDescent="0.35">
      <c r="A811" s="2">
        <v>45006</v>
      </c>
      <c r="B811" s="3">
        <v>4002.87</v>
      </c>
      <c r="C811" s="3">
        <v>125.61</v>
      </c>
      <c r="D811" s="3">
        <v>35.1</v>
      </c>
      <c r="E811" s="10">
        <f t="shared" si="37"/>
        <v>1.2982181765728488E-2</v>
      </c>
      <c r="F811" s="10">
        <f t="shared" si="38"/>
        <v>3.6386138613861356E-2</v>
      </c>
      <c r="G811" s="10">
        <f t="shared" si="39"/>
        <v>4.4021415823914459E-2</v>
      </c>
    </row>
    <row r="812" spans="1:7" x14ac:dyDescent="0.35">
      <c r="A812" s="2">
        <v>45007</v>
      </c>
      <c r="B812" s="3">
        <v>3936.97</v>
      </c>
      <c r="C812" s="3">
        <v>119.5</v>
      </c>
      <c r="D812" s="3">
        <v>34.049999999999997</v>
      </c>
      <c r="E812" s="10">
        <f t="shared" si="37"/>
        <v>-1.6463187662851927E-2</v>
      </c>
      <c r="F812" s="10">
        <f t="shared" si="38"/>
        <v>-4.8642623994904863E-2</v>
      </c>
      <c r="G812" s="10">
        <f t="shared" si="39"/>
        <v>-2.9914529914530034E-2</v>
      </c>
    </row>
    <row r="813" spans="1:7" x14ac:dyDescent="0.35">
      <c r="A813" s="2">
        <v>45008</v>
      </c>
      <c r="B813" s="3">
        <v>3948.72</v>
      </c>
      <c r="C813" s="3">
        <v>120.97</v>
      </c>
      <c r="D813" s="3">
        <v>33.74</v>
      </c>
      <c r="E813" s="10">
        <f t="shared" si="37"/>
        <v>2.9845287111662016E-3</v>
      </c>
      <c r="F813" s="10">
        <f t="shared" si="38"/>
        <v>1.2301255230125513E-2</v>
      </c>
      <c r="G813" s="10">
        <f t="shared" si="39"/>
        <v>-9.10425844346535E-3</v>
      </c>
    </row>
    <row r="814" spans="1:7" x14ac:dyDescent="0.35">
      <c r="A814" s="2">
        <v>45009</v>
      </c>
      <c r="B814" s="3">
        <v>3970.99</v>
      </c>
      <c r="C814" s="3">
        <v>120.71</v>
      </c>
      <c r="D814" s="3">
        <v>33.71</v>
      </c>
      <c r="E814" s="10">
        <f t="shared" si="37"/>
        <v>5.6398022650377801E-3</v>
      </c>
      <c r="F814" s="10">
        <f t="shared" si="38"/>
        <v>-2.1492932131933961E-3</v>
      </c>
      <c r="G814" s="10">
        <f t="shared" si="39"/>
        <v>-8.8915234143453271E-4</v>
      </c>
    </row>
    <row r="815" spans="1:7" x14ac:dyDescent="0.35">
      <c r="A815" s="2">
        <v>45012</v>
      </c>
      <c r="B815" s="3">
        <v>3977.53</v>
      </c>
      <c r="C815" s="3">
        <v>117.81</v>
      </c>
      <c r="D815" s="3">
        <v>34.450000000000003</v>
      </c>
      <c r="E815" s="10">
        <f t="shared" si="37"/>
        <v>1.6469444647305631E-3</v>
      </c>
      <c r="F815" s="10">
        <f t="shared" si="38"/>
        <v>-2.4024521580647763E-2</v>
      </c>
      <c r="G815" s="10">
        <f t="shared" si="39"/>
        <v>2.1951943043607296E-2</v>
      </c>
    </row>
    <row r="816" spans="1:7" x14ac:dyDescent="0.35">
      <c r="A816" s="2">
        <v>45013</v>
      </c>
      <c r="B816" s="3">
        <v>3971.27</v>
      </c>
      <c r="C816" s="3">
        <v>117.87</v>
      </c>
      <c r="D816" s="3">
        <v>34.22</v>
      </c>
      <c r="E816" s="10">
        <f t="shared" si="37"/>
        <v>-1.5738410521102841E-3</v>
      </c>
      <c r="F816" s="10">
        <f t="shared" si="38"/>
        <v>5.0929462694170502E-4</v>
      </c>
      <c r="G816" s="10">
        <f t="shared" si="39"/>
        <v>-6.6763425253992441E-3</v>
      </c>
    </row>
    <row r="817" spans="1:7" x14ac:dyDescent="0.35">
      <c r="A817" s="2">
        <v>45014</v>
      </c>
      <c r="B817" s="3">
        <v>4027.81</v>
      </c>
      <c r="C817" s="3">
        <v>120.49</v>
      </c>
      <c r="D817" s="3">
        <v>35.700000000000003</v>
      </c>
      <c r="E817" s="10">
        <f t="shared" si="37"/>
        <v>1.4237259113583303E-2</v>
      </c>
      <c r="F817" s="10">
        <f t="shared" si="38"/>
        <v>2.2227878170866126E-2</v>
      </c>
      <c r="G817" s="10">
        <f t="shared" si="39"/>
        <v>4.3249561659848161E-2</v>
      </c>
    </row>
    <row r="818" spans="1:7" x14ac:dyDescent="0.35">
      <c r="A818" s="2">
        <v>45015</v>
      </c>
      <c r="B818" s="3">
        <v>4050.83</v>
      </c>
      <c r="C818" s="3">
        <v>120.1</v>
      </c>
      <c r="D818" s="3">
        <v>35.99</v>
      </c>
      <c r="E818" s="10">
        <f t="shared" si="37"/>
        <v>5.7152646227106004E-3</v>
      </c>
      <c r="F818" s="10">
        <f t="shared" si="38"/>
        <v>-3.2367831355299245E-3</v>
      </c>
      <c r="G818" s="10">
        <f t="shared" si="39"/>
        <v>8.1232492997198626E-3</v>
      </c>
    </row>
    <row r="819" spans="1:7" x14ac:dyDescent="0.35">
      <c r="A819" s="2">
        <v>45016</v>
      </c>
      <c r="B819" s="3">
        <v>4109.3100000000004</v>
      </c>
      <c r="C819" s="3">
        <v>122.64</v>
      </c>
      <c r="D819" s="3">
        <v>36.68</v>
      </c>
      <c r="E819" s="10">
        <f t="shared" si="37"/>
        <v>1.4436547571732329E-2</v>
      </c>
      <c r="F819" s="10">
        <f t="shared" si="38"/>
        <v>2.1149042464612876E-2</v>
      </c>
      <c r="G819" s="10">
        <f t="shared" si="39"/>
        <v>1.9171992220061065E-2</v>
      </c>
    </row>
    <row r="820" spans="1:7" x14ac:dyDescent="0.35">
      <c r="A820" s="2">
        <v>45019</v>
      </c>
      <c r="B820" s="3">
        <v>4124.51</v>
      </c>
      <c r="C820" s="3">
        <v>121.67</v>
      </c>
      <c r="D820" s="3">
        <v>36.270000000000003</v>
      </c>
      <c r="E820" s="10">
        <f t="shared" si="37"/>
        <v>3.6989178231868164E-3</v>
      </c>
      <c r="F820" s="10">
        <f t="shared" si="38"/>
        <v>-7.9093281148075577E-3</v>
      </c>
      <c r="G820" s="10">
        <f t="shared" si="39"/>
        <v>-1.1177753544165664E-2</v>
      </c>
    </row>
    <row r="821" spans="1:7" x14ac:dyDescent="0.35">
      <c r="A821" s="2">
        <v>45020</v>
      </c>
      <c r="B821" s="3">
        <v>4100.6000000000004</v>
      </c>
      <c r="C821" s="3">
        <v>123.69</v>
      </c>
      <c r="D821" s="3">
        <v>35.74</v>
      </c>
      <c r="E821" s="10">
        <f t="shared" si="37"/>
        <v>-5.7970522559043025E-3</v>
      </c>
      <c r="F821" s="10">
        <f t="shared" si="38"/>
        <v>1.660228486890767E-2</v>
      </c>
      <c r="G821" s="10">
        <f t="shared" si="39"/>
        <v>-1.4612627515853353E-2</v>
      </c>
    </row>
    <row r="822" spans="1:7" x14ac:dyDescent="0.35">
      <c r="A822" s="2">
        <v>45021</v>
      </c>
      <c r="B822" s="3">
        <v>4090.38</v>
      </c>
      <c r="C822" s="3">
        <v>120.9</v>
      </c>
      <c r="D822" s="3">
        <v>35.090000000000003</v>
      </c>
      <c r="E822" s="10">
        <f t="shared" si="37"/>
        <v>-2.4923181973370368E-3</v>
      </c>
      <c r="F822" s="10">
        <f t="shared" si="38"/>
        <v>-2.2556390977443545E-2</v>
      </c>
      <c r="G822" s="10">
        <f t="shared" si="39"/>
        <v>-1.8186905428091732E-2</v>
      </c>
    </row>
    <row r="823" spans="1:7" x14ac:dyDescent="0.35">
      <c r="A823" s="2">
        <v>45022</v>
      </c>
      <c r="B823" s="3">
        <v>4105.0200000000004</v>
      </c>
      <c r="C823" s="3">
        <v>120.22</v>
      </c>
      <c r="D823" s="3">
        <v>34.590000000000003</v>
      </c>
      <c r="E823" s="10">
        <f t="shared" si="37"/>
        <v>3.5791295674241336E-3</v>
      </c>
      <c r="F823" s="10">
        <f t="shared" si="38"/>
        <v>-5.6244830438379389E-3</v>
      </c>
      <c r="G823" s="10">
        <f t="shared" si="39"/>
        <v>-1.4249073810202335E-2</v>
      </c>
    </row>
    <row r="824" spans="1:7" x14ac:dyDescent="0.35">
      <c r="A824" s="2">
        <v>45026</v>
      </c>
      <c r="B824" s="3">
        <v>4109.1099999999997</v>
      </c>
      <c r="C824" s="3">
        <v>121.91</v>
      </c>
      <c r="D824" s="3">
        <v>35.729999999999997</v>
      </c>
      <c r="E824" s="10">
        <f t="shared" si="37"/>
        <v>9.963410653295807E-4</v>
      </c>
      <c r="F824" s="10">
        <f t="shared" si="38"/>
        <v>1.4057561137913805E-2</v>
      </c>
      <c r="G824" s="10">
        <f t="shared" si="39"/>
        <v>3.2957502168256526E-2</v>
      </c>
    </row>
    <row r="825" spans="1:7" x14ac:dyDescent="0.35">
      <c r="A825" s="2">
        <v>45027</v>
      </c>
      <c r="B825" s="3">
        <v>4108.9399999999996</v>
      </c>
      <c r="C825" s="3">
        <v>123.3</v>
      </c>
      <c r="D825" s="3">
        <v>35.409999999999997</v>
      </c>
      <c r="E825" s="10">
        <f t="shared" si="37"/>
        <v>-4.1371489203275837E-5</v>
      </c>
      <c r="F825" s="10">
        <f t="shared" si="38"/>
        <v>1.1401853826593394E-2</v>
      </c>
      <c r="G825" s="10">
        <f t="shared" si="39"/>
        <v>-8.9560593338930961E-3</v>
      </c>
    </row>
    <row r="826" spans="1:7" x14ac:dyDescent="0.35">
      <c r="A826" s="2">
        <v>45028</v>
      </c>
      <c r="B826" s="3">
        <v>4091.95</v>
      </c>
      <c r="C826" s="3">
        <v>123.66</v>
      </c>
      <c r="D826" s="3">
        <v>34.619999999999997</v>
      </c>
      <c r="E826" s="10">
        <f t="shared" si="37"/>
        <v>-4.1348863697206048E-3</v>
      </c>
      <c r="F826" s="10">
        <f t="shared" si="38"/>
        <v>2.9197080291970758E-3</v>
      </c>
      <c r="G826" s="10">
        <f t="shared" si="39"/>
        <v>-2.2310081897768969E-2</v>
      </c>
    </row>
    <row r="827" spans="1:7" x14ac:dyDescent="0.35">
      <c r="A827" s="2">
        <v>45029</v>
      </c>
      <c r="B827" s="3">
        <v>4146.22</v>
      </c>
      <c r="C827" s="3">
        <v>126.43</v>
      </c>
      <c r="D827" s="3">
        <v>34.53</v>
      </c>
      <c r="E827" s="10">
        <f t="shared" si="37"/>
        <v>1.3262625398648673E-2</v>
      </c>
      <c r="F827" s="10">
        <f t="shared" si="38"/>
        <v>2.2400129387029035E-2</v>
      </c>
      <c r="G827" s="10">
        <f t="shared" si="39"/>
        <v>-2.5996533795492869E-3</v>
      </c>
    </row>
    <row r="828" spans="1:7" x14ac:dyDescent="0.35">
      <c r="A828" s="2">
        <v>45030</v>
      </c>
      <c r="B828" s="3">
        <v>4137.6400000000003</v>
      </c>
      <c r="C828" s="3">
        <v>125.95</v>
      </c>
      <c r="D828" s="3">
        <v>34.49</v>
      </c>
      <c r="E828" s="10">
        <f t="shared" si="37"/>
        <v>-2.0693547375681769E-3</v>
      </c>
      <c r="F828" s="10">
        <f t="shared" si="38"/>
        <v>-3.7965672704263543E-3</v>
      </c>
      <c r="G828" s="10">
        <f t="shared" si="39"/>
        <v>-1.1584129742252865E-3</v>
      </c>
    </row>
    <row r="829" spans="1:7" x14ac:dyDescent="0.35">
      <c r="A829" s="2">
        <v>45033</v>
      </c>
      <c r="B829" s="3">
        <v>4151.32</v>
      </c>
      <c r="C829" s="3">
        <v>126.19</v>
      </c>
      <c r="D829" s="3">
        <v>35.14</v>
      </c>
      <c r="E829" s="10">
        <f t="shared" si="37"/>
        <v>3.3062325383550477E-3</v>
      </c>
      <c r="F829" s="10">
        <f t="shared" si="38"/>
        <v>1.9055180627232623E-3</v>
      </c>
      <c r="G829" s="10">
        <f t="shared" si="39"/>
        <v>1.8846042331110424E-2</v>
      </c>
    </row>
    <row r="830" spans="1:7" x14ac:dyDescent="0.35">
      <c r="A830" s="2">
        <v>45034</v>
      </c>
      <c r="B830" s="3">
        <v>4154.87</v>
      </c>
      <c r="C830" s="3">
        <v>126.21</v>
      </c>
      <c r="D830" s="3">
        <v>35.33</v>
      </c>
      <c r="E830" s="10">
        <f t="shared" si="37"/>
        <v>8.5514968732841167E-4</v>
      </c>
      <c r="F830" s="10">
        <f t="shared" si="38"/>
        <v>1.5849116411756892E-4</v>
      </c>
      <c r="G830" s="10">
        <f t="shared" si="39"/>
        <v>5.4069436539555416E-3</v>
      </c>
    </row>
    <row r="831" spans="1:7" x14ac:dyDescent="0.35">
      <c r="A831" s="2">
        <v>45035</v>
      </c>
      <c r="B831" s="3">
        <v>4154.5200000000004</v>
      </c>
      <c r="C831" s="3">
        <v>125.67</v>
      </c>
      <c r="D831" s="3">
        <v>34.58</v>
      </c>
      <c r="E831" s="10">
        <f t="shared" si="37"/>
        <v>-8.4238496029828691E-5</v>
      </c>
      <c r="F831" s="10">
        <f t="shared" si="38"/>
        <v>-4.2785833135250148E-3</v>
      </c>
      <c r="G831" s="10">
        <f t="shared" si="39"/>
        <v>-2.1228417775261819E-2</v>
      </c>
    </row>
    <row r="832" spans="1:7" x14ac:dyDescent="0.35">
      <c r="A832" s="2">
        <v>45036</v>
      </c>
      <c r="B832" s="3">
        <v>4129.79</v>
      </c>
      <c r="C832" s="3">
        <v>124.45</v>
      </c>
      <c r="D832" s="3">
        <v>33.54</v>
      </c>
      <c r="E832" s="10">
        <f t="shared" si="37"/>
        <v>-5.9525528821621921E-3</v>
      </c>
      <c r="F832" s="10">
        <f t="shared" si="38"/>
        <v>-9.7079653059600444E-3</v>
      </c>
      <c r="G832" s="10">
        <f t="shared" si="39"/>
        <v>-3.007518796992479E-2</v>
      </c>
    </row>
    <row r="833" spans="1:7" x14ac:dyDescent="0.35">
      <c r="A833" s="2">
        <v>45037</v>
      </c>
      <c r="B833" s="3">
        <v>4133.5200000000004</v>
      </c>
      <c r="C833" s="3">
        <v>125.53</v>
      </c>
      <c r="D833" s="3">
        <v>33.549999999999997</v>
      </c>
      <c r="E833" s="10">
        <f t="shared" si="37"/>
        <v>9.031936248575528E-4</v>
      </c>
      <c r="F833" s="10">
        <f t="shared" si="38"/>
        <v>8.6781840096424121E-3</v>
      </c>
      <c r="G833" s="10">
        <f t="shared" si="39"/>
        <v>2.9815146094209929E-4</v>
      </c>
    </row>
    <row r="834" spans="1:7" x14ac:dyDescent="0.35">
      <c r="A834" s="2">
        <v>45040</v>
      </c>
      <c r="B834" s="3">
        <v>4137.04</v>
      </c>
      <c r="C834" s="3">
        <v>127.09</v>
      </c>
      <c r="D834" s="3">
        <v>34.29</v>
      </c>
      <c r="E834" s="10">
        <f t="shared" si="37"/>
        <v>8.5157444502494887E-4</v>
      </c>
      <c r="F834" s="10">
        <f t="shared" si="38"/>
        <v>1.2427308213176152E-2</v>
      </c>
      <c r="G834" s="10">
        <f t="shared" si="39"/>
        <v>2.2056631892697527E-2</v>
      </c>
    </row>
    <row r="835" spans="1:7" x14ac:dyDescent="0.35">
      <c r="A835" s="2">
        <v>45041</v>
      </c>
      <c r="B835" s="3">
        <v>4071.63</v>
      </c>
      <c r="C835" s="3">
        <v>124.66</v>
      </c>
      <c r="D835" s="3">
        <v>32.909999999999997</v>
      </c>
      <c r="E835" s="10">
        <f t="shared" si="37"/>
        <v>-1.5810821263512041E-2</v>
      </c>
      <c r="F835" s="10">
        <f t="shared" si="38"/>
        <v>-1.912030844283584E-2</v>
      </c>
      <c r="G835" s="10">
        <f t="shared" si="39"/>
        <v>-4.0244969378827725E-2</v>
      </c>
    </row>
    <row r="836" spans="1:7" x14ac:dyDescent="0.35">
      <c r="A836" s="2">
        <v>45042</v>
      </c>
      <c r="B836" s="3">
        <v>4055.99</v>
      </c>
      <c r="C836" s="3">
        <v>123.84</v>
      </c>
      <c r="D836" s="3">
        <v>32.22</v>
      </c>
      <c r="E836" s="10">
        <f t="shared" ref="E836:E899" si="40">(B836-B835)/B835</f>
        <v>-3.8412134697898203E-3</v>
      </c>
      <c r="F836" s="10">
        <f t="shared" ref="F836:F899" si="41">(C836-C835)/C835</f>
        <v>-6.5778918658751257E-3</v>
      </c>
      <c r="G836" s="10">
        <f t="shared" ref="G836:G899" si="42">(D836-D835)/D835</f>
        <v>-2.0966271649954356E-2</v>
      </c>
    </row>
    <row r="837" spans="1:7" x14ac:dyDescent="0.35">
      <c r="A837" s="2">
        <v>45043</v>
      </c>
      <c r="B837" s="3">
        <v>4135.3500000000004</v>
      </c>
      <c r="C837" s="3">
        <v>125.7</v>
      </c>
      <c r="D837" s="3">
        <v>32.72</v>
      </c>
      <c r="E837" s="10">
        <f t="shared" si="40"/>
        <v>1.9566123190639176E-2</v>
      </c>
      <c r="F837" s="10">
        <f t="shared" si="41"/>
        <v>1.5019379844961236E-2</v>
      </c>
      <c r="G837" s="10">
        <f t="shared" si="42"/>
        <v>1.5518311607697084E-2</v>
      </c>
    </row>
    <row r="838" spans="1:7" x14ac:dyDescent="0.35">
      <c r="A838" s="2">
        <v>45044</v>
      </c>
      <c r="B838" s="3">
        <v>4169.4799999999996</v>
      </c>
      <c r="C838" s="3">
        <v>126.72</v>
      </c>
      <c r="D838" s="3">
        <v>33.04</v>
      </c>
      <c r="E838" s="10">
        <f t="shared" si="40"/>
        <v>8.2532312863479989E-3</v>
      </c>
      <c r="F838" s="10">
        <f t="shared" si="41"/>
        <v>8.1145584725536672E-3</v>
      </c>
      <c r="G838" s="10">
        <f t="shared" si="42"/>
        <v>9.7799511002445074E-3</v>
      </c>
    </row>
    <row r="839" spans="1:7" x14ac:dyDescent="0.35">
      <c r="A839" s="2">
        <v>45047</v>
      </c>
      <c r="B839" s="3">
        <v>4167.87</v>
      </c>
      <c r="C839" s="3">
        <v>127.92</v>
      </c>
      <c r="D839" s="3">
        <v>33.479999999999997</v>
      </c>
      <c r="E839" s="10">
        <f t="shared" si="40"/>
        <v>-3.8613927875890346E-4</v>
      </c>
      <c r="F839" s="10">
        <f t="shared" si="41"/>
        <v>9.4696969696969925E-3</v>
      </c>
      <c r="G839" s="10">
        <f t="shared" si="42"/>
        <v>1.3317191283292909E-2</v>
      </c>
    </row>
    <row r="840" spans="1:7" x14ac:dyDescent="0.35">
      <c r="A840" s="2">
        <v>45048</v>
      </c>
      <c r="B840" s="3">
        <v>4119.58</v>
      </c>
      <c r="C840" s="3">
        <v>127.26</v>
      </c>
      <c r="D840" s="3">
        <v>33.08</v>
      </c>
      <c r="E840" s="10">
        <f t="shared" si="40"/>
        <v>-1.1586253889876596E-2</v>
      </c>
      <c r="F840" s="10">
        <f t="shared" si="41"/>
        <v>-5.1594746716697665E-3</v>
      </c>
      <c r="G840" s="10">
        <f t="shared" si="42"/>
        <v>-1.1947431302269971E-2</v>
      </c>
    </row>
    <row r="841" spans="1:7" x14ac:dyDescent="0.35">
      <c r="A841" s="2">
        <v>45049</v>
      </c>
      <c r="B841" s="3">
        <v>4090.75</v>
      </c>
      <c r="C841" s="3">
        <v>126.74</v>
      </c>
      <c r="D841" s="3">
        <v>32.479999999999997</v>
      </c>
      <c r="E841" s="10">
        <f t="shared" si="40"/>
        <v>-6.9982862330625764E-3</v>
      </c>
      <c r="F841" s="10">
        <f t="shared" si="41"/>
        <v>-4.086122898004166E-3</v>
      </c>
      <c r="G841" s="10">
        <f t="shared" si="42"/>
        <v>-1.813784764207985E-2</v>
      </c>
    </row>
    <row r="842" spans="1:7" x14ac:dyDescent="0.35">
      <c r="A842" s="2">
        <v>45050</v>
      </c>
      <c r="B842" s="3">
        <v>4061.22</v>
      </c>
      <c r="C842" s="3">
        <v>123.67</v>
      </c>
      <c r="D842" s="3">
        <v>31.69</v>
      </c>
      <c r="E842" s="10">
        <f t="shared" si="40"/>
        <v>-7.2187251726456517E-3</v>
      </c>
      <c r="F842" s="10">
        <f t="shared" si="41"/>
        <v>-2.422281836831303E-2</v>
      </c>
      <c r="G842" s="10">
        <f t="shared" si="42"/>
        <v>-2.4322660098522034E-2</v>
      </c>
    </row>
    <row r="843" spans="1:7" x14ac:dyDescent="0.35">
      <c r="A843" s="2">
        <v>45051</v>
      </c>
      <c r="B843" s="3">
        <v>4136.25</v>
      </c>
      <c r="C843" s="3">
        <v>126.59</v>
      </c>
      <c r="D843" s="3">
        <v>33.26</v>
      </c>
      <c r="E843" s="10">
        <f t="shared" si="40"/>
        <v>1.8474744042430651E-2</v>
      </c>
      <c r="F843" s="10">
        <f t="shared" si="41"/>
        <v>2.3611223417158579E-2</v>
      </c>
      <c r="G843" s="10">
        <f t="shared" si="42"/>
        <v>4.9542442410855057E-2</v>
      </c>
    </row>
    <row r="844" spans="1:7" x14ac:dyDescent="0.35">
      <c r="A844" s="2">
        <v>45054</v>
      </c>
      <c r="B844" s="3">
        <v>4138.12</v>
      </c>
      <c r="C844" s="3">
        <v>126.88</v>
      </c>
      <c r="D844" s="3">
        <v>33.659999999999997</v>
      </c>
      <c r="E844" s="10">
        <f t="shared" si="40"/>
        <v>4.5210033242668865E-4</v>
      </c>
      <c r="F844" s="10">
        <f t="shared" si="41"/>
        <v>2.2908602575242281E-3</v>
      </c>
      <c r="G844" s="10">
        <f t="shared" si="42"/>
        <v>1.2026458208057684E-2</v>
      </c>
    </row>
    <row r="845" spans="1:7" x14ac:dyDescent="0.35">
      <c r="A845" s="2">
        <v>45055</v>
      </c>
      <c r="B845" s="3">
        <v>4119.17</v>
      </c>
      <c r="C845" s="3">
        <v>125.1</v>
      </c>
      <c r="D845" s="3">
        <v>33.28</v>
      </c>
      <c r="E845" s="10">
        <f t="shared" si="40"/>
        <v>-4.5793742085777642E-3</v>
      </c>
      <c r="F845" s="10">
        <f t="shared" si="41"/>
        <v>-1.4029003783102153E-2</v>
      </c>
      <c r="G845" s="10">
        <f t="shared" si="42"/>
        <v>-1.1289364230540567E-2</v>
      </c>
    </row>
    <row r="846" spans="1:7" x14ac:dyDescent="0.35">
      <c r="A846" s="2">
        <v>45056</v>
      </c>
      <c r="B846" s="3">
        <v>4137.6400000000003</v>
      </c>
      <c r="C846" s="3">
        <v>123.51</v>
      </c>
      <c r="D846" s="3">
        <v>33.08</v>
      </c>
      <c r="E846" s="10">
        <f t="shared" si="40"/>
        <v>4.4839130213126079E-3</v>
      </c>
      <c r="F846" s="10">
        <f t="shared" si="41"/>
        <v>-1.2709832134292481E-2</v>
      </c>
      <c r="G846" s="10">
        <f t="shared" si="42"/>
        <v>-6.00961538461547E-3</v>
      </c>
    </row>
    <row r="847" spans="1:7" x14ac:dyDescent="0.35">
      <c r="A847" s="2">
        <v>45057</v>
      </c>
      <c r="B847" s="3">
        <v>4130.62</v>
      </c>
      <c r="C847" s="3">
        <v>122.22</v>
      </c>
      <c r="D847" s="3">
        <v>33.119999999999997</v>
      </c>
      <c r="E847" s="10">
        <f t="shared" si="40"/>
        <v>-1.6966193288929041E-3</v>
      </c>
      <c r="F847" s="10">
        <f t="shared" si="41"/>
        <v>-1.0444498421180521E-2</v>
      </c>
      <c r="G847" s="10">
        <f t="shared" si="42"/>
        <v>1.2091898428052948E-3</v>
      </c>
    </row>
    <row r="848" spans="1:7" x14ac:dyDescent="0.35">
      <c r="A848" s="2">
        <v>45058</v>
      </c>
      <c r="B848" s="3">
        <v>4124.08</v>
      </c>
      <c r="C848" s="3">
        <v>120.21</v>
      </c>
      <c r="D848" s="3">
        <v>32.4</v>
      </c>
      <c r="E848" s="10">
        <f t="shared" si="40"/>
        <v>-1.5832974226629329E-3</v>
      </c>
      <c r="F848" s="10">
        <f t="shared" si="41"/>
        <v>-1.6445753559155663E-2</v>
      </c>
      <c r="G848" s="10">
        <f t="shared" si="42"/>
        <v>-2.1739130434782577E-2</v>
      </c>
    </row>
    <row r="849" spans="1:7" x14ac:dyDescent="0.35">
      <c r="A849" s="2">
        <v>45061</v>
      </c>
      <c r="B849" s="3">
        <v>4136.28</v>
      </c>
      <c r="C849" s="3">
        <v>119.83</v>
      </c>
      <c r="D849" s="3">
        <v>32.369999999999997</v>
      </c>
      <c r="E849" s="10">
        <f t="shared" si="40"/>
        <v>2.9582355337432393E-3</v>
      </c>
      <c r="F849" s="10">
        <f t="shared" si="41"/>
        <v>-3.1611346809749226E-3</v>
      </c>
      <c r="G849" s="10">
        <f t="shared" si="42"/>
        <v>-9.2592592592596109E-4</v>
      </c>
    </row>
    <row r="850" spans="1:7" x14ac:dyDescent="0.35">
      <c r="A850" s="2">
        <v>45062</v>
      </c>
      <c r="B850" s="3">
        <v>4109.8999999999996</v>
      </c>
      <c r="C850" s="3">
        <v>116.48</v>
      </c>
      <c r="D850" s="3">
        <v>31.54</v>
      </c>
      <c r="E850" s="10">
        <f t="shared" si="40"/>
        <v>-6.3777113735047214E-3</v>
      </c>
      <c r="F850" s="10">
        <f t="shared" si="41"/>
        <v>-2.7956271384461273E-2</v>
      </c>
      <c r="G850" s="10">
        <f t="shared" si="42"/>
        <v>-2.5641025641025592E-2</v>
      </c>
    </row>
    <row r="851" spans="1:7" x14ac:dyDescent="0.35">
      <c r="A851" s="2">
        <v>45063</v>
      </c>
      <c r="B851" s="3">
        <v>4158.7700000000004</v>
      </c>
      <c r="C851" s="3">
        <v>116.98</v>
      </c>
      <c r="D851" s="3">
        <v>32.44</v>
      </c>
      <c r="E851" s="10">
        <f t="shared" si="40"/>
        <v>1.1890800262780311E-2</v>
      </c>
      <c r="F851" s="10">
        <f t="shared" si="41"/>
        <v>4.2925824175824171E-3</v>
      </c>
      <c r="G851" s="10">
        <f t="shared" si="42"/>
        <v>2.8535193405199701E-2</v>
      </c>
    </row>
    <row r="852" spans="1:7" x14ac:dyDescent="0.35">
      <c r="A852" s="2">
        <v>45064</v>
      </c>
      <c r="B852" s="3">
        <v>4198.05</v>
      </c>
      <c r="C852" s="3">
        <v>118.87</v>
      </c>
      <c r="D852" s="3">
        <v>32.9</v>
      </c>
      <c r="E852" s="10">
        <f t="shared" si="40"/>
        <v>9.4451003541912004E-3</v>
      </c>
      <c r="F852" s="10">
        <f t="shared" si="41"/>
        <v>1.6156607967173879E-2</v>
      </c>
      <c r="G852" s="10">
        <f t="shared" si="42"/>
        <v>1.418002466091248E-2</v>
      </c>
    </row>
    <row r="853" spans="1:7" x14ac:dyDescent="0.35">
      <c r="A853" s="2">
        <v>45065</v>
      </c>
      <c r="B853" s="3">
        <v>4191.9799999999996</v>
      </c>
      <c r="C853" s="3">
        <v>114.76</v>
      </c>
      <c r="D853" s="3">
        <v>32.659999999999997</v>
      </c>
      <c r="E853" s="10">
        <f t="shared" si="40"/>
        <v>-1.4459094103216061E-3</v>
      </c>
      <c r="F853" s="10">
        <f t="shared" si="41"/>
        <v>-3.4575586775468993E-2</v>
      </c>
      <c r="G853" s="10">
        <f t="shared" si="42"/>
        <v>-7.2948328267477816E-3</v>
      </c>
    </row>
    <row r="854" spans="1:7" x14ac:dyDescent="0.35">
      <c r="A854" s="2">
        <v>45068</v>
      </c>
      <c r="B854" s="3">
        <v>4192.63</v>
      </c>
      <c r="C854" s="3">
        <v>110.18</v>
      </c>
      <c r="D854" s="3">
        <v>32.86</v>
      </c>
      <c r="E854" s="10">
        <f t="shared" si="40"/>
        <v>1.5505799168902184E-4</v>
      </c>
      <c r="F854" s="10">
        <f t="shared" si="41"/>
        <v>-3.9909376089229683E-2</v>
      </c>
      <c r="G854" s="10">
        <f t="shared" si="42"/>
        <v>6.1236987140233581E-3</v>
      </c>
    </row>
    <row r="855" spans="1:7" x14ac:dyDescent="0.35">
      <c r="A855" s="2">
        <v>45069</v>
      </c>
      <c r="B855" s="3">
        <v>4145.58</v>
      </c>
      <c r="C855" s="3">
        <v>108.78</v>
      </c>
      <c r="D855" s="3">
        <v>33.42</v>
      </c>
      <c r="E855" s="10">
        <f t="shared" si="40"/>
        <v>-1.1222073018606503E-2</v>
      </c>
      <c r="F855" s="10">
        <f t="shared" si="41"/>
        <v>-1.2706480304955577E-2</v>
      </c>
      <c r="G855" s="10">
        <f t="shared" si="42"/>
        <v>1.7041996348143709E-2</v>
      </c>
    </row>
    <row r="856" spans="1:7" x14ac:dyDescent="0.35">
      <c r="A856" s="2">
        <v>45070</v>
      </c>
      <c r="B856" s="3">
        <v>4115.24</v>
      </c>
      <c r="C856" s="3">
        <v>108.29</v>
      </c>
      <c r="D856" s="3">
        <v>32.28</v>
      </c>
      <c r="E856" s="10">
        <f t="shared" si="40"/>
        <v>-7.3186381640205104E-3</v>
      </c>
      <c r="F856" s="10">
        <f t="shared" si="41"/>
        <v>-4.5045045045044576E-3</v>
      </c>
      <c r="G856" s="10">
        <f t="shared" si="42"/>
        <v>-3.4111310592459622E-2</v>
      </c>
    </row>
    <row r="857" spans="1:7" x14ac:dyDescent="0.35">
      <c r="A857" s="2">
        <v>45071</v>
      </c>
      <c r="B857" s="3">
        <v>4151.28</v>
      </c>
      <c r="C857" s="3">
        <v>107.48</v>
      </c>
      <c r="D857" s="3">
        <v>32.409999999999997</v>
      </c>
      <c r="E857" s="10">
        <f t="shared" si="40"/>
        <v>8.757690924466122E-3</v>
      </c>
      <c r="F857" s="10">
        <f t="shared" si="41"/>
        <v>-7.4799150429402739E-3</v>
      </c>
      <c r="G857" s="10">
        <f t="shared" si="42"/>
        <v>4.0272614622055593E-3</v>
      </c>
    </row>
    <row r="858" spans="1:7" x14ac:dyDescent="0.35">
      <c r="A858" s="2">
        <v>45072</v>
      </c>
      <c r="B858" s="3">
        <v>4205.45</v>
      </c>
      <c r="C858" s="3">
        <v>107.51</v>
      </c>
      <c r="D858" s="3">
        <v>33.29</v>
      </c>
      <c r="E858" s="10">
        <f t="shared" si="40"/>
        <v>1.3048987300302576E-2</v>
      </c>
      <c r="F858" s="10">
        <f t="shared" si="41"/>
        <v>2.7912169705992867E-4</v>
      </c>
      <c r="G858" s="10">
        <f t="shared" si="42"/>
        <v>2.7152113545202181E-2</v>
      </c>
    </row>
    <row r="859" spans="1:7" x14ac:dyDescent="0.35">
      <c r="A859" s="2">
        <v>45076</v>
      </c>
      <c r="B859" s="3">
        <v>4205.5200000000004</v>
      </c>
      <c r="C859" s="3">
        <v>106.52</v>
      </c>
      <c r="D859" s="3">
        <v>33.36</v>
      </c>
      <c r="E859" s="10">
        <f t="shared" si="40"/>
        <v>1.6645067709904639E-5</v>
      </c>
      <c r="F859" s="10">
        <f t="shared" si="41"/>
        <v>-9.2084457259790625E-3</v>
      </c>
      <c r="G859" s="10">
        <f t="shared" si="42"/>
        <v>2.1027335536197142E-3</v>
      </c>
    </row>
    <row r="860" spans="1:7" x14ac:dyDescent="0.35">
      <c r="A860" s="2">
        <v>45077</v>
      </c>
      <c r="B860" s="3">
        <v>4179.83</v>
      </c>
      <c r="C860" s="3">
        <v>105.26</v>
      </c>
      <c r="D860" s="3">
        <v>32.409999999999997</v>
      </c>
      <c r="E860" s="10">
        <f t="shared" si="40"/>
        <v>-6.1086381707851842E-3</v>
      </c>
      <c r="F860" s="10">
        <f t="shared" si="41"/>
        <v>-1.1828764551257896E-2</v>
      </c>
      <c r="G860" s="10">
        <f t="shared" si="42"/>
        <v>-2.8477218225419751E-2</v>
      </c>
    </row>
    <row r="861" spans="1:7" x14ac:dyDescent="0.35">
      <c r="A861" s="2">
        <v>45078</v>
      </c>
      <c r="B861" s="3">
        <v>4221.0200000000004</v>
      </c>
      <c r="C861" s="3">
        <v>103.63</v>
      </c>
      <c r="D861" s="3">
        <v>33.020000000000003</v>
      </c>
      <c r="E861" s="10">
        <f t="shared" si="40"/>
        <v>9.8544677654355591E-3</v>
      </c>
      <c r="F861" s="10">
        <f t="shared" si="41"/>
        <v>-1.5485464563937009E-2</v>
      </c>
      <c r="G861" s="10">
        <f t="shared" si="42"/>
        <v>1.8821351434742568E-2</v>
      </c>
    </row>
    <row r="862" spans="1:7" x14ac:dyDescent="0.35">
      <c r="A862" s="2">
        <v>45079</v>
      </c>
      <c r="B862" s="3">
        <v>4282.37</v>
      </c>
      <c r="C862" s="3">
        <v>107.78</v>
      </c>
      <c r="D862" s="3">
        <v>34.28</v>
      </c>
      <c r="E862" s="10">
        <f t="shared" si="40"/>
        <v>1.4534401637518762E-2</v>
      </c>
      <c r="F862" s="10">
        <f t="shared" si="41"/>
        <v>4.0046318633600364E-2</v>
      </c>
      <c r="G862" s="10">
        <f t="shared" si="42"/>
        <v>3.8158691701998725E-2</v>
      </c>
    </row>
    <row r="863" spans="1:7" x14ac:dyDescent="0.35">
      <c r="A863" s="2">
        <v>45082</v>
      </c>
      <c r="B863" s="3">
        <v>4273.79</v>
      </c>
      <c r="C863" s="3">
        <v>105.2</v>
      </c>
      <c r="D863" s="3">
        <v>34.130000000000003</v>
      </c>
      <c r="E863" s="10">
        <f t="shared" si="40"/>
        <v>-2.0035634473433935E-3</v>
      </c>
      <c r="F863" s="10">
        <f t="shared" si="41"/>
        <v>-2.39376507700872E-2</v>
      </c>
      <c r="G863" s="10">
        <f t="shared" si="42"/>
        <v>-4.3757292882146605E-3</v>
      </c>
    </row>
    <row r="864" spans="1:7" x14ac:dyDescent="0.35">
      <c r="A864" s="2">
        <v>45083</v>
      </c>
      <c r="B864" s="3">
        <v>4283.8500000000004</v>
      </c>
      <c r="C864" s="3">
        <v>106.19</v>
      </c>
      <c r="D864" s="3">
        <v>35.24</v>
      </c>
      <c r="E864" s="10">
        <f t="shared" si="40"/>
        <v>2.35388261940816E-3</v>
      </c>
      <c r="F864" s="10">
        <f t="shared" si="41"/>
        <v>9.4106463878326514E-3</v>
      </c>
      <c r="G864" s="10">
        <f t="shared" si="42"/>
        <v>3.2522707295634321E-2</v>
      </c>
    </row>
    <row r="865" spans="1:7" x14ac:dyDescent="0.35">
      <c r="A865" s="2">
        <v>45084</v>
      </c>
      <c r="B865" s="3">
        <v>4267.5200000000004</v>
      </c>
      <c r="C865" s="3">
        <v>107.09</v>
      </c>
      <c r="D865" s="3">
        <v>36.22</v>
      </c>
      <c r="E865" s="10">
        <f t="shared" si="40"/>
        <v>-3.8119915496574171E-3</v>
      </c>
      <c r="F865" s="10">
        <f t="shared" si="41"/>
        <v>8.4753743290329198E-3</v>
      </c>
      <c r="G865" s="10">
        <f t="shared" si="42"/>
        <v>2.7809307604994234E-2</v>
      </c>
    </row>
    <row r="866" spans="1:7" x14ac:dyDescent="0.35">
      <c r="A866" s="2">
        <v>45085</v>
      </c>
      <c r="B866" s="3">
        <v>4293.93</v>
      </c>
      <c r="C866" s="3">
        <v>106.2</v>
      </c>
      <c r="D866" s="3">
        <v>35.85</v>
      </c>
      <c r="E866" s="10">
        <f t="shared" si="40"/>
        <v>6.1886060287942067E-3</v>
      </c>
      <c r="F866" s="10">
        <f t="shared" si="41"/>
        <v>-8.3107666448781446E-3</v>
      </c>
      <c r="G866" s="10">
        <f t="shared" si="42"/>
        <v>-1.0215350635008212E-2</v>
      </c>
    </row>
    <row r="867" spans="1:7" x14ac:dyDescent="0.35">
      <c r="A867" s="2">
        <v>45086</v>
      </c>
      <c r="B867" s="3">
        <v>4298.8599999999997</v>
      </c>
      <c r="C867" s="3">
        <v>105.86</v>
      </c>
      <c r="D867" s="3">
        <v>36.229999999999997</v>
      </c>
      <c r="E867" s="10">
        <f t="shared" si="40"/>
        <v>1.1481323635921827E-3</v>
      </c>
      <c r="F867" s="10">
        <f t="shared" si="41"/>
        <v>-3.2015065913371318E-3</v>
      </c>
      <c r="G867" s="10">
        <f t="shared" si="42"/>
        <v>1.0599721059971978E-2</v>
      </c>
    </row>
    <row r="868" spans="1:7" x14ac:dyDescent="0.35">
      <c r="A868" s="2">
        <v>45089</v>
      </c>
      <c r="B868" s="3">
        <v>4338.93</v>
      </c>
      <c r="C868" s="3">
        <v>106.83</v>
      </c>
      <c r="D868" s="3">
        <v>36.67</v>
      </c>
      <c r="E868" s="10">
        <f t="shared" si="40"/>
        <v>9.3210758201012871E-3</v>
      </c>
      <c r="F868" s="10">
        <f t="shared" si="41"/>
        <v>9.1630455318344878E-3</v>
      </c>
      <c r="G868" s="10">
        <f t="shared" si="42"/>
        <v>1.2144631520839218E-2</v>
      </c>
    </row>
    <row r="869" spans="1:7" x14ac:dyDescent="0.35">
      <c r="A869" s="2">
        <v>45090</v>
      </c>
      <c r="B869" s="3">
        <v>4369.01</v>
      </c>
      <c r="C869" s="3">
        <v>106.78</v>
      </c>
      <c r="D869" s="3">
        <v>37.65</v>
      </c>
      <c r="E869" s="10">
        <f t="shared" si="40"/>
        <v>6.9325847616808576E-3</v>
      </c>
      <c r="F869" s="10">
        <f t="shared" si="41"/>
        <v>-4.6803332397264024E-4</v>
      </c>
      <c r="G869" s="10">
        <f t="shared" si="42"/>
        <v>2.6724843196072996E-2</v>
      </c>
    </row>
    <row r="870" spans="1:7" x14ac:dyDescent="0.35">
      <c r="A870" s="2">
        <v>45091</v>
      </c>
      <c r="B870" s="3">
        <v>4372.59</v>
      </c>
      <c r="C870" s="3">
        <v>112.86</v>
      </c>
      <c r="D870" s="3">
        <v>37.36</v>
      </c>
      <c r="E870" s="10">
        <f t="shared" si="40"/>
        <v>8.1940760034880373E-4</v>
      </c>
      <c r="F870" s="10">
        <f t="shared" si="41"/>
        <v>5.6939501779359414E-2</v>
      </c>
      <c r="G870" s="10">
        <f t="shared" si="42"/>
        <v>-7.7025232403718233E-3</v>
      </c>
    </row>
    <row r="871" spans="1:7" x14ac:dyDescent="0.35">
      <c r="A871" s="2">
        <v>45092</v>
      </c>
      <c r="B871" s="3">
        <v>4425.84</v>
      </c>
      <c r="C871" s="3">
        <v>112.41</v>
      </c>
      <c r="D871" s="3">
        <v>38.03</v>
      </c>
      <c r="E871" s="10">
        <f t="shared" si="40"/>
        <v>1.2178136985173546E-2</v>
      </c>
      <c r="F871" s="10">
        <f t="shared" si="41"/>
        <v>-3.9872408293461174E-3</v>
      </c>
      <c r="G871" s="10">
        <f t="shared" si="42"/>
        <v>1.7933618843683129E-2</v>
      </c>
    </row>
    <row r="872" spans="1:7" x14ac:dyDescent="0.35">
      <c r="A872" s="2">
        <v>45093</v>
      </c>
      <c r="B872" s="3">
        <v>4409.59</v>
      </c>
      <c r="C872" s="3">
        <v>113.59</v>
      </c>
      <c r="D872" s="3">
        <v>37.96</v>
      </c>
      <c r="E872" s="10">
        <f t="shared" si="40"/>
        <v>-3.671619398803391E-3</v>
      </c>
      <c r="F872" s="10">
        <f t="shared" si="41"/>
        <v>1.0497286718263561E-2</v>
      </c>
      <c r="G872" s="10">
        <f t="shared" si="42"/>
        <v>-1.8406521167499417E-3</v>
      </c>
    </row>
    <row r="873" spans="1:7" x14ac:dyDescent="0.35">
      <c r="A873" s="2">
        <v>45097</v>
      </c>
      <c r="B873" s="3">
        <v>4388.71</v>
      </c>
      <c r="C873" s="3">
        <v>109.54</v>
      </c>
      <c r="D873" s="3">
        <v>37.32</v>
      </c>
      <c r="E873" s="10">
        <f t="shared" si="40"/>
        <v>-4.7351341054383987E-3</v>
      </c>
      <c r="F873" s="10">
        <f t="shared" si="41"/>
        <v>-3.5654547055198493E-2</v>
      </c>
      <c r="G873" s="10">
        <f t="shared" si="42"/>
        <v>-1.6859852476290849E-2</v>
      </c>
    </row>
    <row r="874" spans="1:7" x14ac:dyDescent="0.35">
      <c r="A874" s="2">
        <v>45098</v>
      </c>
      <c r="B874" s="3">
        <v>4365.6899999999996</v>
      </c>
      <c r="C874" s="3">
        <v>109.98</v>
      </c>
      <c r="D874" s="3">
        <v>37.01</v>
      </c>
      <c r="E874" s="10">
        <f t="shared" si="40"/>
        <v>-5.2452770859775276E-3</v>
      </c>
      <c r="F874" s="10">
        <f t="shared" si="41"/>
        <v>4.0167975168887869E-3</v>
      </c>
      <c r="G874" s="10">
        <f t="shared" si="42"/>
        <v>-8.306538049303383E-3</v>
      </c>
    </row>
    <row r="875" spans="1:7" x14ac:dyDescent="0.35">
      <c r="A875" s="2">
        <v>45099</v>
      </c>
      <c r="B875" s="3">
        <v>4381.8900000000003</v>
      </c>
      <c r="C875" s="3">
        <v>110.46</v>
      </c>
      <c r="D875" s="3">
        <v>36.659999999999997</v>
      </c>
      <c r="E875" s="10">
        <f t="shared" si="40"/>
        <v>3.7107536265746604E-3</v>
      </c>
      <c r="F875" s="10">
        <f t="shared" si="41"/>
        <v>4.3644298963446968E-3</v>
      </c>
      <c r="G875" s="10">
        <f t="shared" si="42"/>
        <v>-9.4569035395839357E-3</v>
      </c>
    </row>
    <row r="876" spans="1:7" x14ac:dyDescent="0.35">
      <c r="A876" s="2">
        <v>45100</v>
      </c>
      <c r="B876" s="3">
        <v>4348.33</v>
      </c>
      <c r="C876" s="3">
        <v>109.52</v>
      </c>
      <c r="D876" s="3">
        <v>36.18</v>
      </c>
      <c r="E876" s="10">
        <f t="shared" si="40"/>
        <v>-7.6587956338475859E-3</v>
      </c>
      <c r="F876" s="10">
        <f t="shared" si="41"/>
        <v>-8.5098678254571583E-3</v>
      </c>
      <c r="G876" s="10">
        <f t="shared" si="42"/>
        <v>-1.3093289689034286E-2</v>
      </c>
    </row>
    <row r="877" spans="1:7" x14ac:dyDescent="0.35">
      <c r="A877" s="2">
        <v>45103</v>
      </c>
      <c r="B877" s="3">
        <v>4328.82</v>
      </c>
      <c r="C877" s="3">
        <v>111.74</v>
      </c>
      <c r="D877" s="3">
        <v>36.700000000000003</v>
      </c>
      <c r="E877" s="10">
        <f t="shared" si="40"/>
        <v>-4.4867799822001135E-3</v>
      </c>
      <c r="F877" s="10">
        <f t="shared" si="41"/>
        <v>2.0270270270270261E-2</v>
      </c>
      <c r="G877" s="10">
        <f t="shared" si="42"/>
        <v>1.4372581536760728E-2</v>
      </c>
    </row>
    <row r="878" spans="1:7" x14ac:dyDescent="0.35">
      <c r="A878" s="2">
        <v>45104</v>
      </c>
      <c r="B878" s="3">
        <v>4378.41</v>
      </c>
      <c r="C878" s="3">
        <v>113.61</v>
      </c>
      <c r="D878" s="3">
        <v>37.479999999999997</v>
      </c>
      <c r="E878" s="10">
        <f t="shared" si="40"/>
        <v>1.1455777787018206E-2</v>
      </c>
      <c r="F878" s="10">
        <f t="shared" si="41"/>
        <v>1.6735278324682339E-2</v>
      </c>
      <c r="G878" s="10">
        <f t="shared" si="42"/>
        <v>2.1253405994550244E-2</v>
      </c>
    </row>
    <row r="879" spans="1:7" x14ac:dyDescent="0.35">
      <c r="A879" s="2">
        <v>45105</v>
      </c>
      <c r="B879" s="3">
        <v>4376.8599999999997</v>
      </c>
      <c r="C879" s="3">
        <v>113.03</v>
      </c>
      <c r="D879" s="3">
        <v>38.19</v>
      </c>
      <c r="E879" s="10">
        <f t="shared" si="40"/>
        <v>-3.5400978894168934E-4</v>
      </c>
      <c r="F879" s="10">
        <f t="shared" si="41"/>
        <v>-5.1051844027814302E-3</v>
      </c>
      <c r="G879" s="10">
        <f t="shared" si="42"/>
        <v>1.8943436499466407E-2</v>
      </c>
    </row>
    <row r="880" spans="1:7" x14ac:dyDescent="0.35">
      <c r="A880" s="2">
        <v>45106</v>
      </c>
      <c r="B880" s="3">
        <v>4396.4399999999996</v>
      </c>
      <c r="C880" s="3">
        <v>113.37</v>
      </c>
      <c r="D880" s="3">
        <v>38.200000000000003</v>
      </c>
      <c r="E880" s="10">
        <f t="shared" si="40"/>
        <v>4.4735266835128221E-3</v>
      </c>
      <c r="F880" s="10">
        <f t="shared" si="41"/>
        <v>3.0080509599221747E-3</v>
      </c>
      <c r="G880" s="10">
        <f t="shared" si="42"/>
        <v>2.6184865147957885E-4</v>
      </c>
    </row>
    <row r="881" spans="1:7" x14ac:dyDescent="0.35">
      <c r="A881" s="2">
        <v>45107</v>
      </c>
      <c r="B881" s="3">
        <v>4450.38</v>
      </c>
      <c r="C881" s="3">
        <v>110.37</v>
      </c>
      <c r="D881" s="3">
        <v>38.56</v>
      </c>
      <c r="E881" s="10">
        <f t="shared" si="40"/>
        <v>1.2269017659743E-2</v>
      </c>
      <c r="F881" s="10">
        <f t="shared" si="41"/>
        <v>-2.6462026991267529E-2</v>
      </c>
      <c r="G881" s="10">
        <f t="shared" si="42"/>
        <v>9.4240837696334921E-3</v>
      </c>
    </row>
    <row r="882" spans="1:7" x14ac:dyDescent="0.35">
      <c r="A882" s="2">
        <v>45110</v>
      </c>
      <c r="B882" s="3">
        <v>4455.59</v>
      </c>
      <c r="C882" s="3">
        <v>109.11</v>
      </c>
      <c r="D882" s="3">
        <v>38.96</v>
      </c>
      <c r="E882" s="10">
        <f t="shared" si="40"/>
        <v>1.1706865481150006E-3</v>
      </c>
      <c r="F882" s="10">
        <f t="shared" si="41"/>
        <v>-1.1416145691764112E-2</v>
      </c>
      <c r="G882" s="10">
        <f t="shared" si="42"/>
        <v>1.0373443983402453E-2</v>
      </c>
    </row>
    <row r="883" spans="1:7" x14ac:dyDescent="0.35">
      <c r="A883" s="2">
        <v>45112</v>
      </c>
      <c r="B883" s="3">
        <v>4446.82</v>
      </c>
      <c r="C883" s="3">
        <v>107.1</v>
      </c>
      <c r="D883" s="3">
        <v>39.42</v>
      </c>
      <c r="E883" s="10">
        <f t="shared" si="40"/>
        <v>-1.9683139606652398E-3</v>
      </c>
      <c r="F883" s="10">
        <f t="shared" si="41"/>
        <v>-1.8421776189166943E-2</v>
      </c>
      <c r="G883" s="10">
        <f t="shared" si="42"/>
        <v>1.1806981519507209E-2</v>
      </c>
    </row>
    <row r="884" spans="1:7" x14ac:dyDescent="0.35">
      <c r="A884" s="2">
        <v>45113</v>
      </c>
      <c r="B884" s="3">
        <v>4411.59</v>
      </c>
      <c r="C884" s="3">
        <v>105.1</v>
      </c>
      <c r="D884" s="3">
        <v>39.46</v>
      </c>
      <c r="E884" s="10">
        <f t="shared" si="40"/>
        <v>-7.9225154155103117E-3</v>
      </c>
      <c r="F884" s="10">
        <f t="shared" si="41"/>
        <v>-1.8674136321195144E-2</v>
      </c>
      <c r="G884" s="10">
        <f t="shared" si="42"/>
        <v>1.014713343480445E-3</v>
      </c>
    </row>
    <row r="885" spans="1:7" x14ac:dyDescent="0.35">
      <c r="A885" s="2">
        <v>45114</v>
      </c>
      <c r="B885" s="3">
        <v>4398.95</v>
      </c>
      <c r="C885" s="3">
        <v>104.46</v>
      </c>
      <c r="D885" s="3">
        <v>39.61</v>
      </c>
      <c r="E885" s="10">
        <f t="shared" si="40"/>
        <v>-2.8651801277998017E-3</v>
      </c>
      <c r="F885" s="10">
        <f t="shared" si="41"/>
        <v>-6.0894386298763143E-3</v>
      </c>
      <c r="G885" s="10">
        <f t="shared" si="42"/>
        <v>3.8013177901672218E-3</v>
      </c>
    </row>
    <row r="886" spans="1:7" x14ac:dyDescent="0.35">
      <c r="A886" s="2">
        <v>45117</v>
      </c>
      <c r="B886" s="3">
        <v>4409.53</v>
      </c>
      <c r="C886" s="3">
        <v>105.78</v>
      </c>
      <c r="D886" s="3">
        <v>39.64</v>
      </c>
      <c r="E886" s="10">
        <f t="shared" si="40"/>
        <v>2.4051194034939993E-3</v>
      </c>
      <c r="F886" s="10">
        <f t="shared" si="41"/>
        <v>1.2636415852958141E-2</v>
      </c>
      <c r="G886" s="10">
        <f t="shared" si="42"/>
        <v>7.5738449886395194E-4</v>
      </c>
    </row>
    <row r="887" spans="1:7" x14ac:dyDescent="0.35">
      <c r="A887" s="2">
        <v>45118</v>
      </c>
      <c r="B887" s="3">
        <v>4439.26</v>
      </c>
      <c r="C887" s="3">
        <v>107.39</v>
      </c>
      <c r="D887" s="3">
        <v>39.97</v>
      </c>
      <c r="E887" s="10">
        <f t="shared" si="40"/>
        <v>6.7422151567174899E-3</v>
      </c>
      <c r="F887" s="10">
        <f t="shared" si="41"/>
        <v>1.5220268481754579E-2</v>
      </c>
      <c r="G887" s="10">
        <f t="shared" si="42"/>
        <v>8.3249243188697856E-3</v>
      </c>
    </row>
    <row r="888" spans="1:7" x14ac:dyDescent="0.35">
      <c r="A888" s="2">
        <v>45119</v>
      </c>
      <c r="B888" s="3">
        <v>4472.16</v>
      </c>
      <c r="C888" s="3">
        <v>107.76</v>
      </c>
      <c r="D888" s="3">
        <v>40.409999999999997</v>
      </c>
      <c r="E888" s="10">
        <f t="shared" si="40"/>
        <v>7.4111451007599543E-3</v>
      </c>
      <c r="F888" s="10">
        <f t="shared" si="41"/>
        <v>3.4453859763479331E-3</v>
      </c>
      <c r="G888" s="10">
        <f t="shared" si="42"/>
        <v>1.1008256192144052E-2</v>
      </c>
    </row>
    <row r="889" spans="1:7" x14ac:dyDescent="0.35">
      <c r="A889" s="2">
        <v>45120</v>
      </c>
      <c r="B889" s="3">
        <v>4510.04</v>
      </c>
      <c r="C889" s="3">
        <v>107.84</v>
      </c>
      <c r="D889" s="3">
        <v>40.5</v>
      </c>
      <c r="E889" s="10">
        <f t="shared" si="40"/>
        <v>8.470179957783288E-3</v>
      </c>
      <c r="F889" s="10">
        <f t="shared" si="41"/>
        <v>7.423904974016174E-4</v>
      </c>
      <c r="G889" s="10">
        <f t="shared" si="42"/>
        <v>2.2271714922049842E-3</v>
      </c>
    </row>
    <row r="890" spans="1:7" x14ac:dyDescent="0.35">
      <c r="A890" s="2">
        <v>45121</v>
      </c>
      <c r="B890" s="3">
        <v>4505.42</v>
      </c>
      <c r="C890" s="3">
        <v>107.95</v>
      </c>
      <c r="D890" s="3">
        <v>40</v>
      </c>
      <c r="E890" s="10">
        <f t="shared" si="40"/>
        <v>-1.0243811584819405E-3</v>
      </c>
      <c r="F890" s="10">
        <f t="shared" si="41"/>
        <v>1.0200296735904991E-3</v>
      </c>
      <c r="G890" s="10">
        <f t="shared" si="42"/>
        <v>-1.2345679012345678E-2</v>
      </c>
    </row>
    <row r="891" spans="1:7" x14ac:dyDescent="0.35">
      <c r="A891" s="2">
        <v>45124</v>
      </c>
      <c r="B891" s="3">
        <v>4522.79</v>
      </c>
      <c r="C891" s="3">
        <v>108.71</v>
      </c>
      <c r="D891" s="3">
        <v>38.75</v>
      </c>
      <c r="E891" s="10">
        <f t="shared" si="40"/>
        <v>3.8553564373576469E-3</v>
      </c>
      <c r="F891" s="10">
        <f t="shared" si="41"/>
        <v>7.0402964335339593E-3</v>
      </c>
      <c r="G891" s="10">
        <f t="shared" si="42"/>
        <v>-3.125E-2</v>
      </c>
    </row>
    <row r="892" spans="1:7" x14ac:dyDescent="0.35">
      <c r="A892" s="2">
        <v>45125</v>
      </c>
      <c r="B892" s="3">
        <v>4554.9799999999996</v>
      </c>
      <c r="C892" s="3">
        <v>109.72</v>
      </c>
      <c r="D892" s="3">
        <v>39.130000000000003</v>
      </c>
      <c r="E892" s="10">
        <f t="shared" si="40"/>
        <v>7.1172882225351165E-3</v>
      </c>
      <c r="F892" s="10">
        <f t="shared" si="41"/>
        <v>9.2907736178824869E-3</v>
      </c>
      <c r="G892" s="10">
        <f t="shared" si="42"/>
        <v>9.8064516129032914E-3</v>
      </c>
    </row>
    <row r="893" spans="1:7" x14ac:dyDescent="0.35">
      <c r="A893" s="2">
        <v>45126</v>
      </c>
      <c r="B893" s="3">
        <v>4565.72</v>
      </c>
      <c r="C893" s="3">
        <v>109.88</v>
      </c>
      <c r="D893" s="3">
        <v>39.229999999999997</v>
      </c>
      <c r="E893" s="10">
        <f t="shared" si="40"/>
        <v>2.3578588709501891E-3</v>
      </c>
      <c r="F893" s="10">
        <f t="shared" si="41"/>
        <v>1.4582573824279675E-3</v>
      </c>
      <c r="G893" s="10">
        <f t="shared" si="42"/>
        <v>2.5555839509326427E-3</v>
      </c>
    </row>
    <row r="894" spans="1:7" x14ac:dyDescent="0.35">
      <c r="A894" s="2">
        <v>45127</v>
      </c>
      <c r="B894" s="3">
        <v>4534.87</v>
      </c>
      <c r="C894" s="3">
        <v>107.53</v>
      </c>
      <c r="D894" s="3">
        <v>39.26</v>
      </c>
      <c r="E894" s="10">
        <f t="shared" si="40"/>
        <v>-6.7568751478409459E-3</v>
      </c>
      <c r="F894" s="10">
        <f t="shared" si="41"/>
        <v>-2.1386967601019245E-2</v>
      </c>
      <c r="G894" s="10">
        <f t="shared" si="42"/>
        <v>7.6472087687996782E-4</v>
      </c>
    </row>
    <row r="895" spans="1:7" x14ac:dyDescent="0.35">
      <c r="A895" s="2">
        <v>45128</v>
      </c>
      <c r="B895" s="3">
        <v>4536.34</v>
      </c>
      <c r="C895" s="3">
        <v>109.06</v>
      </c>
      <c r="D895" s="3">
        <v>38.549999999999997</v>
      </c>
      <c r="E895" s="10">
        <f t="shared" si="40"/>
        <v>3.2415482693004533E-4</v>
      </c>
      <c r="F895" s="10">
        <f t="shared" si="41"/>
        <v>1.4228587370966252E-2</v>
      </c>
      <c r="G895" s="10">
        <f t="shared" si="42"/>
        <v>-1.8084564442180359E-2</v>
      </c>
    </row>
    <row r="896" spans="1:7" x14ac:dyDescent="0.35">
      <c r="A896" s="2">
        <v>45131</v>
      </c>
      <c r="B896" s="3">
        <v>4554.6400000000003</v>
      </c>
      <c r="C896" s="3">
        <v>108.77</v>
      </c>
      <c r="D896" s="3">
        <v>39.299999999999997</v>
      </c>
      <c r="E896" s="10">
        <f t="shared" si="40"/>
        <v>4.0340891555747981E-3</v>
      </c>
      <c r="F896" s="10">
        <f t="shared" si="41"/>
        <v>-2.6590867412434097E-3</v>
      </c>
      <c r="G896" s="10">
        <f t="shared" si="42"/>
        <v>1.9455252918287938E-2</v>
      </c>
    </row>
    <row r="897" spans="1:7" x14ac:dyDescent="0.35">
      <c r="A897" s="2">
        <v>45132</v>
      </c>
      <c r="B897" s="3">
        <v>4567.46</v>
      </c>
      <c r="C897" s="3">
        <v>108.3</v>
      </c>
      <c r="D897" s="3">
        <v>37.92</v>
      </c>
      <c r="E897" s="10">
        <f t="shared" si="40"/>
        <v>2.8147120299298533E-3</v>
      </c>
      <c r="F897" s="10">
        <f t="shared" si="41"/>
        <v>-4.3210444056265415E-3</v>
      </c>
      <c r="G897" s="10">
        <f t="shared" si="42"/>
        <v>-3.5114503816793777E-2</v>
      </c>
    </row>
    <row r="898" spans="1:7" x14ac:dyDescent="0.35">
      <c r="A898" s="2">
        <v>45133</v>
      </c>
      <c r="B898" s="3">
        <v>4566.75</v>
      </c>
      <c r="C898" s="3">
        <v>109.3</v>
      </c>
      <c r="D898" s="3">
        <v>38.29</v>
      </c>
      <c r="E898" s="10">
        <f t="shared" si="40"/>
        <v>-1.554474478156429E-4</v>
      </c>
      <c r="F898" s="10">
        <f t="shared" si="41"/>
        <v>9.2336103416435829E-3</v>
      </c>
      <c r="G898" s="10">
        <f t="shared" si="42"/>
        <v>9.7573839662446586E-3</v>
      </c>
    </row>
    <row r="899" spans="1:7" x14ac:dyDescent="0.35">
      <c r="A899" s="2">
        <v>45134</v>
      </c>
      <c r="B899" s="3">
        <v>4537.41</v>
      </c>
      <c r="C899" s="3">
        <v>107.67</v>
      </c>
      <c r="D899" s="3">
        <v>38.97</v>
      </c>
      <c r="E899" s="10">
        <f t="shared" si="40"/>
        <v>-6.4247002791920178E-3</v>
      </c>
      <c r="F899" s="10">
        <f t="shared" si="41"/>
        <v>-1.4913083257090535E-2</v>
      </c>
      <c r="G899" s="10">
        <f t="shared" si="42"/>
        <v>1.7759206059023237E-2</v>
      </c>
    </row>
    <row r="900" spans="1:7" x14ac:dyDescent="0.35">
      <c r="A900" s="2">
        <v>45135</v>
      </c>
      <c r="B900" s="3">
        <v>4582.2299999999996</v>
      </c>
      <c r="C900" s="3">
        <v>108.62</v>
      </c>
      <c r="D900" s="3">
        <v>38.049999999999997</v>
      </c>
      <c r="E900" s="10">
        <f t="shared" ref="E900:E963" si="43">(B900-B899)/B899</f>
        <v>9.8778818753429178E-3</v>
      </c>
      <c r="F900" s="10">
        <f t="shared" ref="F900:F963" si="44">(C900-C899)/C899</f>
        <v>8.823256245936684E-3</v>
      </c>
      <c r="G900" s="10">
        <f t="shared" ref="G900:G963" si="45">(D900-D899)/D899</f>
        <v>-2.3607903515524806E-2</v>
      </c>
    </row>
    <row r="901" spans="1:7" x14ac:dyDescent="0.35">
      <c r="A901" s="2">
        <v>45138</v>
      </c>
      <c r="B901" s="3">
        <v>4588.96</v>
      </c>
      <c r="C901" s="3">
        <v>110.39</v>
      </c>
      <c r="D901" s="3">
        <v>38.369999999999997</v>
      </c>
      <c r="E901" s="10">
        <f t="shared" si="43"/>
        <v>1.4687171966488966E-3</v>
      </c>
      <c r="F901" s="10">
        <f t="shared" si="44"/>
        <v>1.6295341557724139E-2</v>
      </c>
      <c r="G901" s="10">
        <f t="shared" si="45"/>
        <v>8.4099868593955403E-3</v>
      </c>
    </row>
    <row r="902" spans="1:7" x14ac:dyDescent="0.35">
      <c r="A902" s="2">
        <v>45139</v>
      </c>
      <c r="B902" s="3">
        <v>4576.7299999999996</v>
      </c>
      <c r="C902" s="3">
        <v>109.4</v>
      </c>
      <c r="D902" s="3">
        <v>38.119999999999997</v>
      </c>
      <c r="E902" s="10">
        <f t="shared" si="43"/>
        <v>-2.6650918726684202E-3</v>
      </c>
      <c r="F902" s="10">
        <f t="shared" si="44"/>
        <v>-8.96820364163416E-3</v>
      </c>
      <c r="G902" s="10">
        <f t="shared" si="45"/>
        <v>-6.5155069064373209E-3</v>
      </c>
    </row>
    <row r="903" spans="1:7" x14ac:dyDescent="0.35">
      <c r="A903" s="2">
        <v>45140</v>
      </c>
      <c r="B903" s="3">
        <v>4513.3900000000003</v>
      </c>
      <c r="C903" s="3">
        <v>107.51</v>
      </c>
      <c r="D903" s="3">
        <v>37.39</v>
      </c>
      <c r="E903" s="10">
        <f t="shared" si="43"/>
        <v>-1.3839575417382987E-2</v>
      </c>
      <c r="F903" s="10">
        <f t="shared" si="44"/>
        <v>-1.7276051188299821E-2</v>
      </c>
      <c r="G903" s="10">
        <f t="shared" si="45"/>
        <v>-1.9150052465897086E-2</v>
      </c>
    </row>
    <row r="904" spans="1:7" x14ac:dyDescent="0.35">
      <c r="A904" s="2">
        <v>45141</v>
      </c>
      <c r="B904" s="3">
        <v>4501.8900000000003</v>
      </c>
      <c r="C904" s="3">
        <v>108.64</v>
      </c>
      <c r="D904" s="3">
        <v>36.92</v>
      </c>
      <c r="E904" s="10">
        <f t="shared" si="43"/>
        <v>-2.5479739176096014E-3</v>
      </c>
      <c r="F904" s="10">
        <f t="shared" si="44"/>
        <v>1.0510650172076974E-2</v>
      </c>
      <c r="G904" s="10">
        <f t="shared" si="45"/>
        <v>-1.257020593741639E-2</v>
      </c>
    </row>
    <row r="905" spans="1:7" x14ac:dyDescent="0.35">
      <c r="A905" s="2">
        <v>45142</v>
      </c>
      <c r="B905" s="3">
        <v>4478.03</v>
      </c>
      <c r="C905" s="3">
        <v>108.81</v>
      </c>
      <c r="D905" s="3">
        <v>36.57</v>
      </c>
      <c r="E905" s="10">
        <f t="shared" si="43"/>
        <v>-5.2999962238083516E-3</v>
      </c>
      <c r="F905" s="10">
        <f t="shared" si="44"/>
        <v>1.5648011782032557E-3</v>
      </c>
      <c r="G905" s="10">
        <f t="shared" si="45"/>
        <v>-9.4799566630552924E-3</v>
      </c>
    </row>
    <row r="906" spans="1:7" x14ac:dyDescent="0.35">
      <c r="A906" s="2">
        <v>45145</v>
      </c>
      <c r="B906" s="3">
        <v>4518.4399999999996</v>
      </c>
      <c r="C906" s="3">
        <v>110.48</v>
      </c>
      <c r="D906" s="3">
        <v>37.090000000000003</v>
      </c>
      <c r="E906" s="10">
        <f t="shared" si="43"/>
        <v>9.024057453835695E-3</v>
      </c>
      <c r="F906" s="10">
        <f t="shared" si="44"/>
        <v>1.5347854057531493E-2</v>
      </c>
      <c r="G906" s="10">
        <f t="shared" si="45"/>
        <v>1.4219305441618899E-2</v>
      </c>
    </row>
    <row r="907" spans="1:7" x14ac:dyDescent="0.35">
      <c r="A907" s="2">
        <v>45146</v>
      </c>
      <c r="B907" s="3">
        <v>4499.38</v>
      </c>
      <c r="C907" s="3">
        <v>109.69</v>
      </c>
      <c r="D907" s="3">
        <v>36.840000000000003</v>
      </c>
      <c r="E907" s="10">
        <f t="shared" si="43"/>
        <v>-4.218270022396998E-3</v>
      </c>
      <c r="F907" s="10">
        <f t="shared" si="44"/>
        <v>-7.1506154960174354E-3</v>
      </c>
      <c r="G907" s="10">
        <f t="shared" si="45"/>
        <v>-6.7403612833647876E-3</v>
      </c>
    </row>
    <row r="908" spans="1:7" x14ac:dyDescent="0.35">
      <c r="A908" s="2">
        <v>45147</v>
      </c>
      <c r="B908" s="3">
        <v>4467.71</v>
      </c>
      <c r="C908" s="3">
        <v>109.69</v>
      </c>
      <c r="D908" s="3">
        <v>36.26</v>
      </c>
      <c r="E908" s="10">
        <f t="shared" si="43"/>
        <v>-7.0387475607750563E-3</v>
      </c>
      <c r="F908" s="10">
        <f t="shared" si="44"/>
        <v>0</v>
      </c>
      <c r="G908" s="10">
        <f t="shared" si="45"/>
        <v>-1.5743756786102209E-2</v>
      </c>
    </row>
    <row r="909" spans="1:7" x14ac:dyDescent="0.35">
      <c r="A909" s="2">
        <v>45148</v>
      </c>
      <c r="B909" s="3">
        <v>4468.83</v>
      </c>
      <c r="C909" s="3">
        <v>109.03</v>
      </c>
      <c r="D909" s="3">
        <v>34.159999999999997</v>
      </c>
      <c r="E909" s="10">
        <f t="shared" si="43"/>
        <v>2.5068771249698186E-4</v>
      </c>
      <c r="F909" s="10">
        <f t="shared" si="44"/>
        <v>-6.0169568784756737E-3</v>
      </c>
      <c r="G909" s="10">
        <f t="shared" si="45"/>
        <v>-5.7915057915057959E-2</v>
      </c>
    </row>
    <row r="910" spans="1:7" x14ac:dyDescent="0.35">
      <c r="A910" s="2">
        <v>45149</v>
      </c>
      <c r="B910" s="3">
        <v>4464.05</v>
      </c>
      <c r="C910" s="3">
        <v>108.09</v>
      </c>
      <c r="D910" s="3">
        <v>33.89</v>
      </c>
      <c r="E910" s="10">
        <f t="shared" si="43"/>
        <v>-1.0696312010078132E-3</v>
      </c>
      <c r="F910" s="10">
        <f t="shared" si="44"/>
        <v>-8.6214803265156174E-3</v>
      </c>
      <c r="G910" s="10">
        <f t="shared" si="45"/>
        <v>-7.9039812646368862E-3</v>
      </c>
    </row>
    <row r="911" spans="1:7" x14ac:dyDescent="0.35">
      <c r="A911" s="2">
        <v>45152</v>
      </c>
      <c r="B911" s="3">
        <v>4489.72</v>
      </c>
      <c r="C911" s="3">
        <v>107.64</v>
      </c>
      <c r="D911" s="3">
        <v>34.07</v>
      </c>
      <c r="E911" s="10">
        <f t="shared" si="43"/>
        <v>5.7503836202551653E-3</v>
      </c>
      <c r="F911" s="10">
        <f t="shared" si="44"/>
        <v>-4.1631973355537311E-3</v>
      </c>
      <c r="G911" s="10">
        <f t="shared" si="45"/>
        <v>5.3113012688108504E-3</v>
      </c>
    </row>
    <row r="912" spans="1:7" x14ac:dyDescent="0.35">
      <c r="A912" s="2">
        <v>45153</v>
      </c>
      <c r="B912" s="3">
        <v>4437.8599999999997</v>
      </c>
      <c r="C912" s="3">
        <v>106.55</v>
      </c>
      <c r="D912" s="3">
        <v>33.299999999999997</v>
      </c>
      <c r="E912" s="10">
        <f t="shared" si="43"/>
        <v>-1.1550831677699406E-2</v>
      </c>
      <c r="F912" s="10">
        <f t="shared" si="44"/>
        <v>-1.0126347082868853E-2</v>
      </c>
      <c r="G912" s="10">
        <f t="shared" si="45"/>
        <v>-2.2600528324038836E-2</v>
      </c>
    </row>
    <row r="913" spans="1:7" x14ac:dyDescent="0.35">
      <c r="A913" s="2">
        <v>45154</v>
      </c>
      <c r="B913" s="3">
        <v>4404.33</v>
      </c>
      <c r="C913" s="3">
        <v>106.53</v>
      </c>
      <c r="D913" s="3">
        <v>32.82</v>
      </c>
      <c r="E913" s="10">
        <f t="shared" si="43"/>
        <v>-7.5554433893813113E-3</v>
      </c>
      <c r="F913" s="10">
        <f t="shared" si="44"/>
        <v>-1.8770530267476322E-4</v>
      </c>
      <c r="G913" s="10">
        <f t="shared" si="45"/>
        <v>-1.4414414414414321E-2</v>
      </c>
    </row>
    <row r="914" spans="1:7" x14ac:dyDescent="0.35">
      <c r="A914" s="2">
        <v>45155</v>
      </c>
      <c r="B914" s="3">
        <v>4370.3599999999997</v>
      </c>
      <c r="C914" s="3">
        <v>105.05</v>
      </c>
      <c r="D914" s="3">
        <v>32.92</v>
      </c>
      <c r="E914" s="10">
        <f t="shared" si="43"/>
        <v>-7.7128643857295558E-3</v>
      </c>
      <c r="F914" s="10">
        <f t="shared" si="44"/>
        <v>-1.3892800150192472E-2</v>
      </c>
      <c r="G914" s="10">
        <f t="shared" si="45"/>
        <v>3.046922608165796E-3</v>
      </c>
    </row>
    <row r="915" spans="1:7" x14ac:dyDescent="0.35">
      <c r="A915" s="2">
        <v>45156</v>
      </c>
      <c r="B915" s="3">
        <v>4369.71</v>
      </c>
      <c r="C915" s="3">
        <v>104.81</v>
      </c>
      <c r="D915" s="3">
        <v>33.119999999999997</v>
      </c>
      <c r="E915" s="10">
        <f t="shared" si="43"/>
        <v>-1.4872916647590501E-4</v>
      </c>
      <c r="F915" s="10">
        <f t="shared" si="44"/>
        <v>-2.2846263683959532E-3</v>
      </c>
      <c r="G915" s="10">
        <f t="shared" si="45"/>
        <v>6.0753341433777558E-3</v>
      </c>
    </row>
    <row r="916" spans="1:7" x14ac:dyDescent="0.35">
      <c r="A916" s="2">
        <v>45159</v>
      </c>
      <c r="B916" s="3">
        <v>4399.7700000000004</v>
      </c>
      <c r="C916" s="3">
        <v>102.86</v>
      </c>
      <c r="D916" s="3">
        <v>33.270000000000003</v>
      </c>
      <c r="E916" s="10">
        <f t="shared" si="43"/>
        <v>6.8791750482298363E-3</v>
      </c>
      <c r="F916" s="10">
        <f t="shared" si="44"/>
        <v>-1.8605094933689559E-2</v>
      </c>
      <c r="G916" s="10">
        <f t="shared" si="45"/>
        <v>4.5289855072465487E-3</v>
      </c>
    </row>
    <row r="917" spans="1:7" x14ac:dyDescent="0.35">
      <c r="A917" s="2">
        <v>45160</v>
      </c>
      <c r="B917" s="3">
        <v>4387.55</v>
      </c>
      <c r="C917" s="3">
        <v>101.46</v>
      </c>
      <c r="D917" s="3">
        <v>32.93</v>
      </c>
      <c r="E917" s="10">
        <f t="shared" si="43"/>
        <v>-2.777417910481742E-3</v>
      </c>
      <c r="F917" s="10">
        <f t="shared" si="44"/>
        <v>-1.3610733035193522E-2</v>
      </c>
      <c r="G917" s="10">
        <f t="shared" si="45"/>
        <v>-1.0219416892095082E-2</v>
      </c>
    </row>
    <row r="918" spans="1:7" x14ac:dyDescent="0.35">
      <c r="A918" s="2">
        <v>45161</v>
      </c>
      <c r="B918" s="3">
        <v>4436.01</v>
      </c>
      <c r="C918" s="3">
        <v>98.75</v>
      </c>
      <c r="D918" s="3">
        <v>33.56</v>
      </c>
      <c r="E918" s="10">
        <f t="shared" si="43"/>
        <v>1.1044888377340438E-2</v>
      </c>
      <c r="F918" s="10">
        <f t="shared" si="44"/>
        <v>-2.6710033510743091E-2</v>
      </c>
      <c r="G918" s="10">
        <f t="shared" si="45"/>
        <v>1.9131491041603478E-2</v>
      </c>
    </row>
    <row r="919" spans="1:7" x14ac:dyDescent="0.35">
      <c r="A919" s="2">
        <v>45162</v>
      </c>
      <c r="B919" s="3">
        <v>4376.3100000000004</v>
      </c>
      <c r="C919" s="3">
        <v>97.63</v>
      </c>
      <c r="D919" s="3">
        <v>32.880000000000003</v>
      </c>
      <c r="E919" s="10">
        <f t="shared" si="43"/>
        <v>-1.3458039995401232E-2</v>
      </c>
      <c r="F919" s="10">
        <f t="shared" si="44"/>
        <v>-1.134177215189878E-2</v>
      </c>
      <c r="G919" s="10">
        <f t="shared" si="45"/>
        <v>-2.0262216924910599E-2</v>
      </c>
    </row>
    <row r="920" spans="1:7" x14ac:dyDescent="0.35">
      <c r="A920" s="2">
        <v>45163</v>
      </c>
      <c r="B920" s="3">
        <v>4405.71</v>
      </c>
      <c r="C920" s="3">
        <v>98.84</v>
      </c>
      <c r="D920" s="3">
        <v>32.950000000000003</v>
      </c>
      <c r="E920" s="10">
        <f t="shared" si="43"/>
        <v>6.7179884423177591E-3</v>
      </c>
      <c r="F920" s="10">
        <f t="shared" si="44"/>
        <v>1.2393731435009813E-2</v>
      </c>
      <c r="G920" s="10">
        <f t="shared" si="45"/>
        <v>2.1289537712895464E-3</v>
      </c>
    </row>
    <row r="921" spans="1:7" x14ac:dyDescent="0.35">
      <c r="A921" s="2">
        <v>45166</v>
      </c>
      <c r="B921" s="3">
        <v>4433.3100000000004</v>
      </c>
      <c r="C921" s="3">
        <v>99.63</v>
      </c>
      <c r="D921" s="3">
        <v>33.119999999999997</v>
      </c>
      <c r="E921" s="10">
        <f t="shared" si="43"/>
        <v>6.2645975336552712E-3</v>
      </c>
      <c r="F921" s="10">
        <f t="shared" si="44"/>
        <v>7.9927154997975723E-3</v>
      </c>
      <c r="G921" s="10">
        <f t="shared" si="45"/>
        <v>5.1593323216993807E-3</v>
      </c>
    </row>
    <row r="922" spans="1:7" x14ac:dyDescent="0.35">
      <c r="A922" s="2">
        <v>45167</v>
      </c>
      <c r="B922" s="3">
        <v>4497.63</v>
      </c>
      <c r="C922" s="3">
        <v>101.77</v>
      </c>
      <c r="D922" s="3">
        <v>33.46</v>
      </c>
      <c r="E922" s="10">
        <f t="shared" si="43"/>
        <v>1.4508347036412907E-2</v>
      </c>
      <c r="F922" s="10">
        <f t="shared" si="44"/>
        <v>2.1479474053999806E-2</v>
      </c>
      <c r="G922" s="10">
        <f t="shared" si="45"/>
        <v>1.0265700483091892E-2</v>
      </c>
    </row>
    <row r="923" spans="1:7" x14ac:dyDescent="0.35">
      <c r="A923" s="2">
        <v>45168</v>
      </c>
      <c r="B923" s="3">
        <v>4514.87</v>
      </c>
      <c r="C923" s="3">
        <v>102.1</v>
      </c>
      <c r="D923" s="3">
        <v>33.39</v>
      </c>
      <c r="E923" s="10">
        <f t="shared" si="43"/>
        <v>3.8331298928546325E-3</v>
      </c>
      <c r="F923" s="10">
        <f t="shared" si="44"/>
        <v>3.2426058759948738E-3</v>
      </c>
      <c r="G923" s="10">
        <f t="shared" si="45"/>
        <v>-2.0920502092050294E-3</v>
      </c>
    </row>
    <row r="924" spans="1:7" x14ac:dyDescent="0.35">
      <c r="A924" s="2">
        <v>45169</v>
      </c>
      <c r="B924" s="3">
        <v>4507.66</v>
      </c>
      <c r="C924" s="3">
        <v>101.71</v>
      </c>
      <c r="D924" s="3">
        <v>33.51</v>
      </c>
      <c r="E924" s="10">
        <f t="shared" si="43"/>
        <v>-1.5969452055098012E-3</v>
      </c>
      <c r="F924" s="10">
        <f t="shared" si="44"/>
        <v>-3.8197845249755198E-3</v>
      </c>
      <c r="G924" s="10">
        <f t="shared" si="45"/>
        <v>3.59389038634314E-3</v>
      </c>
    </row>
    <row r="925" spans="1:7" x14ac:dyDescent="0.35">
      <c r="A925" s="2">
        <v>45170</v>
      </c>
      <c r="B925" s="3">
        <v>4515.7700000000004</v>
      </c>
      <c r="C925" s="3">
        <v>102.36</v>
      </c>
      <c r="D925" s="3">
        <v>33.54</v>
      </c>
      <c r="E925" s="10">
        <f t="shared" si="43"/>
        <v>1.7991596526802337E-3</v>
      </c>
      <c r="F925" s="10">
        <f t="shared" si="44"/>
        <v>6.3907187100580645E-3</v>
      </c>
      <c r="G925" s="10">
        <f t="shared" si="45"/>
        <v>8.952551477171333E-4</v>
      </c>
    </row>
    <row r="926" spans="1:7" x14ac:dyDescent="0.35">
      <c r="A926" s="2">
        <v>45174</v>
      </c>
      <c r="B926" s="3">
        <v>4496.83</v>
      </c>
      <c r="C926" s="3">
        <v>100.32</v>
      </c>
      <c r="D926" s="3">
        <v>33.28</v>
      </c>
      <c r="E926" s="10">
        <f t="shared" si="43"/>
        <v>-4.1941905810084458E-3</v>
      </c>
      <c r="F926" s="10">
        <f t="shared" si="44"/>
        <v>-1.9929660023446719E-2</v>
      </c>
      <c r="G926" s="10">
        <f t="shared" si="45"/>
        <v>-7.7519379844960649E-3</v>
      </c>
    </row>
    <row r="927" spans="1:7" x14ac:dyDescent="0.35">
      <c r="A927" s="2">
        <v>45175</v>
      </c>
      <c r="B927" s="3">
        <v>4465.4799999999996</v>
      </c>
      <c r="C927" s="3">
        <v>100.18</v>
      </c>
      <c r="D927" s="3">
        <v>32.82</v>
      </c>
      <c r="E927" s="10">
        <f t="shared" si="43"/>
        <v>-6.9715777558858943E-3</v>
      </c>
      <c r="F927" s="10">
        <f t="shared" si="44"/>
        <v>-1.3955342902709964E-3</v>
      </c>
      <c r="G927" s="10">
        <f t="shared" si="45"/>
        <v>-1.382211538461541E-2</v>
      </c>
    </row>
    <row r="928" spans="1:7" x14ac:dyDescent="0.35">
      <c r="A928" s="2">
        <v>45176</v>
      </c>
      <c r="B928" s="3">
        <v>4451.1400000000003</v>
      </c>
      <c r="C928" s="3">
        <v>97.93</v>
      </c>
      <c r="D928" s="3">
        <v>32.57</v>
      </c>
      <c r="E928" s="10">
        <f t="shared" si="43"/>
        <v>-3.2113009127796425E-3</v>
      </c>
      <c r="F928" s="10">
        <f t="shared" si="44"/>
        <v>-2.2459572769015772E-2</v>
      </c>
      <c r="G928" s="10">
        <f t="shared" si="45"/>
        <v>-7.6173065204143816E-3</v>
      </c>
    </row>
    <row r="929" spans="1:7" x14ac:dyDescent="0.35">
      <c r="A929" s="2">
        <v>45177</v>
      </c>
      <c r="B929" s="3">
        <v>4457.49</v>
      </c>
      <c r="C929" s="3">
        <v>97.67</v>
      </c>
      <c r="D929" s="3">
        <v>32.950000000000003</v>
      </c>
      <c r="E929" s="10">
        <f t="shared" si="43"/>
        <v>1.4266008258557255E-3</v>
      </c>
      <c r="F929" s="10">
        <f t="shared" si="44"/>
        <v>-2.6549576227918423E-3</v>
      </c>
      <c r="G929" s="10">
        <f t="shared" si="45"/>
        <v>1.1667178385016965E-2</v>
      </c>
    </row>
    <row r="930" spans="1:7" x14ac:dyDescent="0.35">
      <c r="A930" s="2">
        <v>45180</v>
      </c>
      <c r="B930" s="3">
        <v>4487.46</v>
      </c>
      <c r="C930" s="3">
        <v>96.79</v>
      </c>
      <c r="D930" s="3">
        <v>32.619999999999997</v>
      </c>
      <c r="E930" s="10">
        <f t="shared" si="43"/>
        <v>6.723514803174041E-3</v>
      </c>
      <c r="F930" s="10">
        <f t="shared" si="44"/>
        <v>-9.0099314016585993E-3</v>
      </c>
      <c r="G930" s="10">
        <f t="shared" si="45"/>
        <v>-1.0015174506828692E-2</v>
      </c>
    </row>
    <row r="931" spans="1:7" x14ac:dyDescent="0.35">
      <c r="A931" s="2">
        <v>45181</v>
      </c>
      <c r="B931" s="3">
        <v>4461.8999999999996</v>
      </c>
      <c r="C931" s="3">
        <v>96.3</v>
      </c>
      <c r="D931" s="3">
        <v>33.47</v>
      </c>
      <c r="E931" s="10">
        <f t="shared" si="43"/>
        <v>-5.6958724980279265E-3</v>
      </c>
      <c r="F931" s="10">
        <f t="shared" si="44"/>
        <v>-5.0625064572787379E-3</v>
      </c>
      <c r="G931" s="10">
        <f t="shared" si="45"/>
        <v>2.6057633353770739E-2</v>
      </c>
    </row>
    <row r="932" spans="1:7" x14ac:dyDescent="0.35">
      <c r="A932" s="2">
        <v>45182</v>
      </c>
      <c r="B932" s="3">
        <v>4467.4399999999996</v>
      </c>
      <c r="C932" s="3">
        <v>96.13</v>
      </c>
      <c r="D932" s="3">
        <v>33.659999999999997</v>
      </c>
      <c r="E932" s="10">
        <f t="shared" si="43"/>
        <v>1.2416235236110097E-3</v>
      </c>
      <c r="F932" s="10">
        <f t="shared" si="44"/>
        <v>-1.7653167185877644E-3</v>
      </c>
      <c r="G932" s="10">
        <f t="shared" si="45"/>
        <v>5.6767254257543394E-3</v>
      </c>
    </row>
    <row r="933" spans="1:7" x14ac:dyDescent="0.35">
      <c r="A933" s="2">
        <v>45183</v>
      </c>
      <c r="B933" s="3">
        <v>4505.1000000000004</v>
      </c>
      <c r="C933" s="3">
        <v>97.19</v>
      </c>
      <c r="D933" s="3">
        <v>33.659999999999997</v>
      </c>
      <c r="E933" s="10">
        <f t="shared" si="43"/>
        <v>8.429883781315645E-3</v>
      </c>
      <c r="F933" s="10">
        <f t="shared" si="44"/>
        <v>1.1026734630188311E-2</v>
      </c>
      <c r="G933" s="10">
        <f t="shared" si="45"/>
        <v>0</v>
      </c>
    </row>
    <row r="934" spans="1:7" x14ac:dyDescent="0.35">
      <c r="A934" s="2">
        <v>45184</v>
      </c>
      <c r="B934" s="3">
        <v>4450.32</v>
      </c>
      <c r="C934" s="3">
        <v>96.26</v>
      </c>
      <c r="D934" s="3">
        <v>33.950000000000003</v>
      </c>
      <c r="E934" s="10">
        <f t="shared" si="43"/>
        <v>-1.2159552507158698E-2</v>
      </c>
      <c r="F934" s="10">
        <f t="shared" si="44"/>
        <v>-9.5688856878278893E-3</v>
      </c>
      <c r="G934" s="10">
        <f t="shared" si="45"/>
        <v>8.6155674390970376E-3</v>
      </c>
    </row>
    <row r="935" spans="1:7" x14ac:dyDescent="0.35">
      <c r="A935" s="2">
        <v>45187</v>
      </c>
      <c r="B935" s="3">
        <v>4453.53</v>
      </c>
      <c r="C935" s="3">
        <v>95.51</v>
      </c>
      <c r="D935" s="3">
        <v>33.340000000000003</v>
      </c>
      <c r="E935" s="10">
        <f t="shared" si="43"/>
        <v>7.2129644609826636E-4</v>
      </c>
      <c r="F935" s="10">
        <f t="shared" si="44"/>
        <v>-7.7913982962809058E-3</v>
      </c>
      <c r="G935" s="10">
        <f t="shared" si="45"/>
        <v>-1.7967599410898361E-2</v>
      </c>
    </row>
    <row r="936" spans="1:7" x14ac:dyDescent="0.35">
      <c r="A936" s="2">
        <v>45188</v>
      </c>
      <c r="B936" s="3">
        <v>4443.95</v>
      </c>
      <c r="C936" s="3">
        <v>94.62</v>
      </c>
      <c r="D936" s="3">
        <v>33.96</v>
      </c>
      <c r="E936" s="10">
        <f t="shared" si="43"/>
        <v>-2.151102608492573E-3</v>
      </c>
      <c r="F936" s="10">
        <f t="shared" si="44"/>
        <v>-9.3183959794785939E-3</v>
      </c>
      <c r="G936" s="10">
        <f t="shared" si="45"/>
        <v>1.8596280743851151E-2</v>
      </c>
    </row>
    <row r="937" spans="1:7" x14ac:dyDescent="0.35">
      <c r="A937" s="2">
        <v>45189</v>
      </c>
      <c r="B937" s="3">
        <v>4402.2</v>
      </c>
      <c r="C937" s="3">
        <v>94.04</v>
      </c>
      <c r="D937" s="3">
        <v>33.200000000000003</v>
      </c>
      <c r="E937" s="10">
        <f t="shared" si="43"/>
        <v>-9.3947951709627692E-3</v>
      </c>
      <c r="F937" s="10">
        <f t="shared" si="44"/>
        <v>-6.1297822870428897E-3</v>
      </c>
      <c r="G937" s="10">
        <f t="shared" si="45"/>
        <v>-2.2379269729092991E-2</v>
      </c>
    </row>
    <row r="938" spans="1:7" x14ac:dyDescent="0.35">
      <c r="A938" s="2">
        <v>45190</v>
      </c>
      <c r="B938" s="3">
        <v>4330</v>
      </c>
      <c r="C938" s="3">
        <v>91.59</v>
      </c>
      <c r="D938" s="3">
        <v>32.71</v>
      </c>
      <c r="E938" s="10">
        <f t="shared" si="43"/>
        <v>-1.6400890463858939E-2</v>
      </c>
      <c r="F938" s="10">
        <f t="shared" si="44"/>
        <v>-2.6052743513398584E-2</v>
      </c>
      <c r="G938" s="10">
        <f t="shared" si="45"/>
        <v>-1.4759036144578372E-2</v>
      </c>
    </row>
    <row r="939" spans="1:7" x14ac:dyDescent="0.35">
      <c r="A939" s="2">
        <v>45191</v>
      </c>
      <c r="B939" s="3">
        <v>4320.0600000000004</v>
      </c>
      <c r="C939" s="3">
        <v>90.85</v>
      </c>
      <c r="D939" s="3">
        <v>32.58</v>
      </c>
      <c r="E939" s="10">
        <f t="shared" si="43"/>
        <v>-2.2956120092377827E-3</v>
      </c>
      <c r="F939" s="10">
        <f t="shared" si="44"/>
        <v>-8.0794846598974679E-3</v>
      </c>
      <c r="G939" s="10">
        <f t="shared" si="45"/>
        <v>-3.9743197798839053E-3</v>
      </c>
    </row>
    <row r="940" spans="1:7" x14ac:dyDescent="0.35">
      <c r="A940" s="2">
        <v>45194</v>
      </c>
      <c r="B940" s="3">
        <v>4337.4399999999996</v>
      </c>
      <c r="C940" s="3">
        <v>90.6</v>
      </c>
      <c r="D940" s="3">
        <v>33.06</v>
      </c>
      <c r="E940" s="10">
        <f t="shared" si="43"/>
        <v>4.0230922718664085E-3</v>
      </c>
      <c r="F940" s="10">
        <f t="shared" si="44"/>
        <v>-2.7517886626307101E-3</v>
      </c>
      <c r="G940" s="10">
        <f t="shared" si="45"/>
        <v>1.4732965009208227E-2</v>
      </c>
    </row>
    <row r="941" spans="1:7" x14ac:dyDescent="0.35">
      <c r="A941" s="2">
        <v>45195</v>
      </c>
      <c r="B941" s="3">
        <v>4273.53</v>
      </c>
      <c r="C941" s="3">
        <v>90.17</v>
      </c>
      <c r="D941" s="3">
        <v>32.26</v>
      </c>
      <c r="E941" s="10">
        <f t="shared" si="43"/>
        <v>-1.4734497768268809E-2</v>
      </c>
      <c r="F941" s="10">
        <f t="shared" si="44"/>
        <v>-4.7461368653420825E-3</v>
      </c>
      <c r="G941" s="10">
        <f t="shared" si="45"/>
        <v>-2.4198427102238483E-2</v>
      </c>
    </row>
    <row r="942" spans="1:7" x14ac:dyDescent="0.35">
      <c r="A942" s="2">
        <v>45196</v>
      </c>
      <c r="B942" s="3">
        <v>4274.51</v>
      </c>
      <c r="C942" s="3">
        <v>89.42</v>
      </c>
      <c r="D942" s="3">
        <v>32.35</v>
      </c>
      <c r="E942" s="10">
        <f t="shared" si="43"/>
        <v>2.2931861950202127E-4</v>
      </c>
      <c r="F942" s="10">
        <f t="shared" si="44"/>
        <v>-8.317622269047354E-3</v>
      </c>
      <c r="G942" s="10">
        <f t="shared" si="45"/>
        <v>2.7898326100435035E-3</v>
      </c>
    </row>
    <row r="943" spans="1:7" x14ac:dyDescent="0.35">
      <c r="A943" s="2">
        <v>45197</v>
      </c>
      <c r="B943" s="3">
        <v>4299.7</v>
      </c>
      <c r="C943" s="3">
        <v>89.63</v>
      </c>
      <c r="D943" s="3">
        <v>33.159999999999997</v>
      </c>
      <c r="E943" s="10">
        <f t="shared" si="43"/>
        <v>5.8930731241708641E-3</v>
      </c>
      <c r="F943" s="10">
        <f t="shared" si="44"/>
        <v>2.3484679042719051E-3</v>
      </c>
      <c r="G943" s="10">
        <f t="shared" si="45"/>
        <v>2.5038639876352246E-2</v>
      </c>
    </row>
    <row r="944" spans="1:7" x14ac:dyDescent="0.35">
      <c r="A944" s="2">
        <v>45198</v>
      </c>
      <c r="B944" s="3">
        <v>4288.05</v>
      </c>
      <c r="C944" s="3">
        <v>95.62</v>
      </c>
      <c r="D944" s="3">
        <v>32.97</v>
      </c>
      <c r="E944" s="10">
        <f t="shared" si="43"/>
        <v>-2.7094913598622317E-3</v>
      </c>
      <c r="F944" s="10">
        <f t="shared" si="44"/>
        <v>6.6830302354122614E-2</v>
      </c>
      <c r="G944" s="10">
        <f t="shared" si="45"/>
        <v>-5.7297949336549379E-3</v>
      </c>
    </row>
    <row r="945" spans="1:7" x14ac:dyDescent="0.35">
      <c r="A945" s="2">
        <v>45201</v>
      </c>
      <c r="B945" s="3">
        <v>4288.3900000000003</v>
      </c>
      <c r="C945" s="3">
        <v>94.56</v>
      </c>
      <c r="D945" s="3">
        <v>32.47</v>
      </c>
      <c r="E945" s="10">
        <f t="shared" si="43"/>
        <v>7.9290120217848556E-5</v>
      </c>
      <c r="F945" s="10">
        <f t="shared" si="44"/>
        <v>-1.1085546956703642E-2</v>
      </c>
      <c r="G945" s="10">
        <f t="shared" si="45"/>
        <v>-1.5165301789505611E-2</v>
      </c>
    </row>
    <row r="946" spans="1:7" x14ac:dyDescent="0.35">
      <c r="A946" s="2">
        <v>45202</v>
      </c>
      <c r="B946" s="3">
        <v>4229.45</v>
      </c>
      <c r="C946" s="3">
        <v>95.09</v>
      </c>
      <c r="D946" s="3">
        <v>31.38</v>
      </c>
      <c r="E946" s="10">
        <f t="shared" si="43"/>
        <v>-1.3744085775780773E-2</v>
      </c>
      <c r="F946" s="10">
        <f t="shared" si="44"/>
        <v>5.6049069373942592E-3</v>
      </c>
      <c r="G946" s="10">
        <f t="shared" si="45"/>
        <v>-3.3569448721897134E-2</v>
      </c>
    </row>
    <row r="947" spans="1:7" x14ac:dyDescent="0.35">
      <c r="A947" s="2">
        <v>45203</v>
      </c>
      <c r="B947" s="3">
        <v>4263.75</v>
      </c>
      <c r="C947" s="3">
        <v>95.89</v>
      </c>
      <c r="D947" s="3">
        <v>31.04</v>
      </c>
      <c r="E947" s="10">
        <f t="shared" si="43"/>
        <v>8.1098015108347857E-3</v>
      </c>
      <c r="F947" s="10">
        <f t="shared" si="44"/>
        <v>8.4130823430434015E-3</v>
      </c>
      <c r="G947" s="10">
        <f t="shared" si="45"/>
        <v>-1.083492670490758E-2</v>
      </c>
    </row>
    <row r="948" spans="1:7" x14ac:dyDescent="0.35">
      <c r="A948" s="2">
        <v>45204</v>
      </c>
      <c r="B948" s="3">
        <v>4258.1899999999996</v>
      </c>
      <c r="C948" s="3">
        <v>95.79</v>
      </c>
      <c r="D948" s="3">
        <v>30.31</v>
      </c>
      <c r="E948" s="10">
        <f t="shared" si="43"/>
        <v>-1.3040164174729757E-3</v>
      </c>
      <c r="F948" s="10">
        <f t="shared" si="44"/>
        <v>-1.0428616122639934E-3</v>
      </c>
      <c r="G948" s="10">
        <f t="shared" si="45"/>
        <v>-2.3518041237113416E-2</v>
      </c>
    </row>
    <row r="949" spans="1:7" x14ac:dyDescent="0.35">
      <c r="A949" s="2">
        <v>45205</v>
      </c>
      <c r="B949" s="3">
        <v>4308.5</v>
      </c>
      <c r="C949" s="3">
        <v>97.11</v>
      </c>
      <c r="D949" s="3">
        <v>30.9</v>
      </c>
      <c r="E949" s="10">
        <f t="shared" si="43"/>
        <v>1.1814879091820798E-2</v>
      </c>
      <c r="F949" s="10">
        <f t="shared" si="44"/>
        <v>1.3780144065142427E-2</v>
      </c>
      <c r="G949" s="10">
        <f t="shared" si="45"/>
        <v>1.946552292972616E-2</v>
      </c>
    </row>
    <row r="950" spans="1:7" x14ac:dyDescent="0.35">
      <c r="A950" s="2">
        <v>45208</v>
      </c>
      <c r="B950" s="3">
        <v>4335.66</v>
      </c>
      <c r="C950" s="3">
        <v>96.88</v>
      </c>
      <c r="D950" s="3">
        <v>30.99</v>
      </c>
      <c r="E950" s="10">
        <f t="shared" si="43"/>
        <v>6.3038180341185692E-3</v>
      </c>
      <c r="F950" s="10">
        <f t="shared" si="44"/>
        <v>-2.3684481515807228E-3</v>
      </c>
      <c r="G950" s="10">
        <f t="shared" si="45"/>
        <v>2.9126213592232963E-3</v>
      </c>
    </row>
    <row r="951" spans="1:7" x14ac:dyDescent="0.35">
      <c r="A951" s="2">
        <v>45209</v>
      </c>
      <c r="B951" s="3">
        <v>4358.24</v>
      </c>
      <c r="C951" s="3">
        <v>97.62</v>
      </c>
      <c r="D951" s="3">
        <v>31.48</v>
      </c>
      <c r="E951" s="10">
        <f t="shared" si="43"/>
        <v>5.2079729499084175E-3</v>
      </c>
      <c r="F951" s="10">
        <f t="shared" si="44"/>
        <v>7.6383154417837438E-3</v>
      </c>
      <c r="G951" s="10">
        <f t="shared" si="45"/>
        <v>1.5811552113585092E-2</v>
      </c>
    </row>
    <row r="952" spans="1:7" x14ac:dyDescent="0.35">
      <c r="A952" s="2">
        <v>45210</v>
      </c>
      <c r="B952" s="3">
        <v>4376.95</v>
      </c>
      <c r="C952" s="3">
        <v>98.65</v>
      </c>
      <c r="D952" s="3">
        <v>30.98</v>
      </c>
      <c r="E952" s="10">
        <f t="shared" si="43"/>
        <v>4.2930173648078208E-3</v>
      </c>
      <c r="F952" s="10">
        <f t="shared" si="44"/>
        <v>1.0551116574472455E-2</v>
      </c>
      <c r="G952" s="10">
        <f t="shared" si="45"/>
        <v>-1.588310038119441E-2</v>
      </c>
    </row>
    <row r="953" spans="1:7" x14ac:dyDescent="0.35">
      <c r="A953" s="2">
        <v>45211</v>
      </c>
      <c r="B953" s="3">
        <v>4349.6099999999997</v>
      </c>
      <c r="C953" s="3">
        <v>99.25</v>
      </c>
      <c r="D953" s="3">
        <v>30.32</v>
      </c>
      <c r="E953" s="10">
        <f t="shared" si="43"/>
        <v>-6.246358765807274E-3</v>
      </c>
      <c r="F953" s="10">
        <f t="shared" si="44"/>
        <v>6.0821084642675551E-3</v>
      </c>
      <c r="G953" s="10">
        <f t="shared" si="45"/>
        <v>-2.1304067140090387E-2</v>
      </c>
    </row>
    <row r="954" spans="1:7" x14ac:dyDescent="0.35">
      <c r="A954" s="2">
        <v>45212</v>
      </c>
      <c r="B954" s="3">
        <v>4327.78</v>
      </c>
      <c r="C954" s="3">
        <v>99.91</v>
      </c>
      <c r="D954" s="3">
        <v>29.66</v>
      </c>
      <c r="E954" s="10">
        <f t="shared" si="43"/>
        <v>-5.0188407696322036E-3</v>
      </c>
      <c r="F954" s="10">
        <f t="shared" si="44"/>
        <v>6.6498740554155828E-3</v>
      </c>
      <c r="G954" s="10">
        <f t="shared" si="45"/>
        <v>-2.1767810026385229E-2</v>
      </c>
    </row>
    <row r="955" spans="1:7" x14ac:dyDescent="0.35">
      <c r="A955" s="2">
        <v>45215</v>
      </c>
      <c r="B955" s="3">
        <v>4373.63</v>
      </c>
      <c r="C955" s="3">
        <v>102.04</v>
      </c>
      <c r="D955" s="3">
        <v>30.06</v>
      </c>
      <c r="E955" s="10">
        <f t="shared" si="43"/>
        <v>1.0594346293018676E-2</v>
      </c>
      <c r="F955" s="10">
        <f t="shared" si="44"/>
        <v>2.1319187268541786E-2</v>
      </c>
      <c r="G955" s="10">
        <f t="shared" si="45"/>
        <v>1.3486176668914315E-2</v>
      </c>
    </row>
    <row r="956" spans="1:7" x14ac:dyDescent="0.35">
      <c r="A956" s="2">
        <v>45216</v>
      </c>
      <c r="B956" s="3">
        <v>4373.2</v>
      </c>
      <c r="C956" s="3">
        <v>103.01</v>
      </c>
      <c r="D956" s="3">
        <v>30.33</v>
      </c>
      <c r="E956" s="10">
        <f t="shared" si="43"/>
        <v>-9.8316501395932218E-5</v>
      </c>
      <c r="F956" s="10">
        <f t="shared" si="44"/>
        <v>9.5060760486083765E-3</v>
      </c>
      <c r="G956" s="10">
        <f t="shared" si="45"/>
        <v>8.9820359281436984E-3</v>
      </c>
    </row>
    <row r="957" spans="1:7" x14ac:dyDescent="0.35">
      <c r="A957" s="2">
        <v>45217</v>
      </c>
      <c r="B957" s="3">
        <v>4314.6000000000004</v>
      </c>
      <c r="C957" s="3">
        <v>103.77</v>
      </c>
      <c r="D957" s="3">
        <v>29.48</v>
      </c>
      <c r="E957" s="10">
        <f t="shared" si="43"/>
        <v>-1.3399798774352753E-2</v>
      </c>
      <c r="F957" s="10">
        <f t="shared" si="44"/>
        <v>7.3779244733520131E-3</v>
      </c>
      <c r="G957" s="10">
        <f t="shared" si="45"/>
        <v>-2.8025057698648135E-2</v>
      </c>
    </row>
    <row r="958" spans="1:7" x14ac:dyDescent="0.35">
      <c r="A958" s="2">
        <v>45218</v>
      </c>
      <c r="B958" s="3">
        <v>4278</v>
      </c>
      <c r="C958" s="3">
        <v>103.05</v>
      </c>
      <c r="D958" s="3">
        <v>29.33</v>
      </c>
      <c r="E958" s="10">
        <f t="shared" si="43"/>
        <v>-8.4828257544153247E-3</v>
      </c>
      <c r="F958" s="10">
        <f t="shared" si="44"/>
        <v>-6.9384215091066676E-3</v>
      </c>
      <c r="G958" s="10">
        <f t="shared" si="45"/>
        <v>-5.0881953867029216E-3</v>
      </c>
    </row>
    <row r="959" spans="1:7" x14ac:dyDescent="0.35">
      <c r="A959" s="2">
        <v>45219</v>
      </c>
      <c r="B959" s="3">
        <v>4224.16</v>
      </c>
      <c r="C959" s="3">
        <v>102.67</v>
      </c>
      <c r="D959" s="3">
        <v>29.66</v>
      </c>
      <c r="E959" s="10">
        <f t="shared" si="43"/>
        <v>-1.2585320243104289E-2</v>
      </c>
      <c r="F959" s="10">
        <f t="shared" si="44"/>
        <v>-3.6875303250848662E-3</v>
      </c>
      <c r="G959" s="10">
        <f t="shared" si="45"/>
        <v>1.1251278554381244E-2</v>
      </c>
    </row>
    <row r="960" spans="1:7" x14ac:dyDescent="0.35">
      <c r="A960" s="2">
        <v>45222</v>
      </c>
      <c r="B960" s="3">
        <v>4217.04</v>
      </c>
      <c r="C960" s="3">
        <v>102.81</v>
      </c>
      <c r="D960" s="3">
        <v>29.22</v>
      </c>
      <c r="E960" s="10">
        <f t="shared" si="43"/>
        <v>-1.6855422143100382E-3</v>
      </c>
      <c r="F960" s="10">
        <f t="shared" si="44"/>
        <v>1.3635920911658768E-3</v>
      </c>
      <c r="G960" s="10">
        <f t="shared" si="45"/>
        <v>-1.4834794335805842E-2</v>
      </c>
    </row>
    <row r="961" spans="1:7" x14ac:dyDescent="0.35">
      <c r="A961" s="2">
        <v>45223</v>
      </c>
      <c r="B961" s="3">
        <v>4247.68</v>
      </c>
      <c r="C961" s="3">
        <v>105.18</v>
      </c>
      <c r="D961" s="3">
        <v>28.56</v>
      </c>
      <c r="E961" s="10">
        <f t="shared" si="43"/>
        <v>7.2657598694819891E-3</v>
      </c>
      <c r="F961" s="10">
        <f t="shared" si="44"/>
        <v>2.3052232273125226E-2</v>
      </c>
      <c r="G961" s="10">
        <f t="shared" si="45"/>
        <v>-2.2587268993839841E-2</v>
      </c>
    </row>
    <row r="962" spans="1:7" x14ac:dyDescent="0.35">
      <c r="A962" s="2">
        <v>45224</v>
      </c>
      <c r="B962" s="3">
        <v>4186.7700000000004</v>
      </c>
      <c r="C962" s="3">
        <v>103.54</v>
      </c>
      <c r="D962" s="3">
        <v>29.01</v>
      </c>
      <c r="E962" s="10">
        <f t="shared" si="43"/>
        <v>-1.4339592436341685E-2</v>
      </c>
      <c r="F962" s="10">
        <f t="shared" si="44"/>
        <v>-1.5592317931165625E-2</v>
      </c>
      <c r="G962" s="10">
        <f t="shared" si="45"/>
        <v>1.5756302521008504E-2</v>
      </c>
    </row>
    <row r="963" spans="1:7" x14ac:dyDescent="0.35">
      <c r="A963" s="2">
        <v>45225</v>
      </c>
      <c r="B963" s="3">
        <v>4137.2299999999996</v>
      </c>
      <c r="C963" s="3">
        <v>100.02</v>
      </c>
      <c r="D963" s="3">
        <v>28.55</v>
      </c>
      <c r="E963" s="10">
        <f t="shared" si="43"/>
        <v>-1.1832510503323772E-2</v>
      </c>
      <c r="F963" s="10">
        <f t="shared" si="44"/>
        <v>-3.3996523082866624E-2</v>
      </c>
      <c r="G963" s="10">
        <f t="shared" si="45"/>
        <v>-1.5856601172009679E-2</v>
      </c>
    </row>
    <row r="964" spans="1:7" x14ac:dyDescent="0.35">
      <c r="A964" s="2">
        <v>45226</v>
      </c>
      <c r="B964" s="3">
        <v>4117.37</v>
      </c>
      <c r="C964" s="3">
        <v>97.98</v>
      </c>
      <c r="D964" s="3">
        <v>27.22</v>
      </c>
      <c r="E964" s="10">
        <f t="shared" ref="E964:E1027" si="46">(B964-B963)/B963</f>
        <v>-4.800313253070212E-3</v>
      </c>
      <c r="F964" s="10">
        <f t="shared" ref="F964:F1027" si="47">(C964-C963)/C963</f>
        <v>-2.0395920815836754E-2</v>
      </c>
      <c r="G964" s="10">
        <f t="shared" ref="G964:G1027" si="48">(D964-D963)/D963</f>
        <v>-4.6584938704028085E-2</v>
      </c>
    </row>
    <row r="965" spans="1:7" x14ac:dyDescent="0.35">
      <c r="A965" s="2">
        <v>45229</v>
      </c>
      <c r="B965" s="3">
        <v>4166.82</v>
      </c>
      <c r="C965" s="3">
        <v>101.8</v>
      </c>
      <c r="D965" s="3">
        <v>27.36</v>
      </c>
      <c r="E965" s="10">
        <f t="shared" si="46"/>
        <v>1.2010093822027125E-2</v>
      </c>
      <c r="F965" s="10">
        <f t="shared" si="47"/>
        <v>3.8987548479281417E-2</v>
      </c>
      <c r="G965" s="10">
        <f t="shared" si="48"/>
        <v>5.1432770022042827E-3</v>
      </c>
    </row>
    <row r="966" spans="1:7" x14ac:dyDescent="0.35">
      <c r="A966" s="2">
        <v>45230</v>
      </c>
      <c r="B966" s="3">
        <v>4193.8</v>
      </c>
      <c r="C966" s="3">
        <v>102.77</v>
      </c>
      <c r="D966" s="3">
        <v>28.2</v>
      </c>
      <c r="E966" s="10">
        <f t="shared" si="46"/>
        <v>6.4749617214087665E-3</v>
      </c>
      <c r="F966" s="10">
        <f t="shared" si="47"/>
        <v>9.5284872298624645E-3</v>
      </c>
      <c r="G966" s="10">
        <f t="shared" si="48"/>
        <v>3.0701754385964907E-2</v>
      </c>
    </row>
    <row r="967" spans="1:7" x14ac:dyDescent="0.35">
      <c r="A967" s="2">
        <v>45231</v>
      </c>
      <c r="B967" s="3">
        <v>4237.8599999999997</v>
      </c>
      <c r="C967" s="3">
        <v>100.88</v>
      </c>
      <c r="D967" s="3">
        <v>28</v>
      </c>
      <c r="E967" s="10">
        <f t="shared" si="46"/>
        <v>1.0505985025513732E-2</v>
      </c>
      <c r="F967" s="10">
        <f t="shared" si="47"/>
        <v>-1.8390580908825539E-2</v>
      </c>
      <c r="G967" s="10">
        <f t="shared" si="48"/>
        <v>-7.0921985815602584E-3</v>
      </c>
    </row>
    <row r="968" spans="1:7" x14ac:dyDescent="0.35">
      <c r="A968" s="2">
        <v>45232</v>
      </c>
      <c r="B968" s="3">
        <v>4317.78</v>
      </c>
      <c r="C968" s="3">
        <v>105.08</v>
      </c>
      <c r="D968" s="3">
        <v>28.8</v>
      </c>
      <c r="E968" s="10">
        <f t="shared" si="46"/>
        <v>1.8858574846738703E-2</v>
      </c>
      <c r="F968" s="10">
        <f t="shared" si="47"/>
        <v>4.1633624107850944E-2</v>
      </c>
      <c r="G968" s="10">
        <f t="shared" si="48"/>
        <v>2.8571428571428598E-2</v>
      </c>
    </row>
    <row r="969" spans="1:7" x14ac:dyDescent="0.35">
      <c r="A969" s="2">
        <v>45233</v>
      </c>
      <c r="B969" s="3">
        <v>4358.34</v>
      </c>
      <c r="C969" s="3">
        <v>107.06</v>
      </c>
      <c r="D969" s="3">
        <v>29.77</v>
      </c>
      <c r="E969" s="10">
        <f t="shared" si="46"/>
        <v>9.3937162152773878E-3</v>
      </c>
      <c r="F969" s="10">
        <f t="shared" si="47"/>
        <v>1.8842786448420291E-2</v>
      </c>
      <c r="G969" s="10">
        <f t="shared" si="48"/>
        <v>3.3680555555555512E-2</v>
      </c>
    </row>
    <row r="970" spans="1:7" x14ac:dyDescent="0.35">
      <c r="A970" s="2">
        <v>45236</v>
      </c>
      <c r="B970" s="3">
        <v>4365.9799999999996</v>
      </c>
      <c r="C970" s="3">
        <v>107.25</v>
      </c>
      <c r="D970" s="3">
        <v>29.11</v>
      </c>
      <c r="E970" s="10">
        <f t="shared" si="46"/>
        <v>1.7529609897344901E-3</v>
      </c>
      <c r="F970" s="10">
        <f t="shared" si="47"/>
        <v>1.7747057724640176E-3</v>
      </c>
      <c r="G970" s="10">
        <f t="shared" si="48"/>
        <v>-2.2169969768223049E-2</v>
      </c>
    </row>
    <row r="971" spans="1:7" x14ac:dyDescent="0.35">
      <c r="A971" s="2">
        <v>45237</v>
      </c>
      <c r="B971" s="3">
        <v>4378.38</v>
      </c>
      <c r="C971" s="3">
        <v>109.36</v>
      </c>
      <c r="D971" s="3">
        <v>28.41</v>
      </c>
      <c r="E971" s="10">
        <f t="shared" si="46"/>
        <v>2.8401412741241479E-3</v>
      </c>
      <c r="F971" s="10">
        <f t="shared" si="47"/>
        <v>1.9673659673659669E-2</v>
      </c>
      <c r="G971" s="10">
        <f t="shared" si="48"/>
        <v>-2.4046719340432818E-2</v>
      </c>
    </row>
    <row r="972" spans="1:7" x14ac:dyDescent="0.35">
      <c r="A972" s="2">
        <v>45238</v>
      </c>
      <c r="B972" s="3">
        <v>4382.78</v>
      </c>
      <c r="C972" s="3">
        <v>109.39</v>
      </c>
      <c r="D972" s="3">
        <v>27.56</v>
      </c>
      <c r="E972" s="10">
        <f t="shared" si="46"/>
        <v>1.0049378994056331E-3</v>
      </c>
      <c r="F972" s="10">
        <f t="shared" si="47"/>
        <v>2.7432333577177338E-4</v>
      </c>
      <c r="G972" s="10">
        <f t="shared" si="48"/>
        <v>-2.991904259063715E-2</v>
      </c>
    </row>
    <row r="973" spans="1:7" x14ac:dyDescent="0.35">
      <c r="A973" s="2">
        <v>45239</v>
      </c>
      <c r="B973" s="3">
        <v>4347.3500000000004</v>
      </c>
      <c r="C973" s="3">
        <v>107</v>
      </c>
      <c r="D973" s="3">
        <v>26.65</v>
      </c>
      <c r="E973" s="10">
        <f t="shared" si="46"/>
        <v>-8.0839102122395798E-3</v>
      </c>
      <c r="F973" s="10">
        <f t="shared" si="47"/>
        <v>-2.1848432215010517E-2</v>
      </c>
      <c r="G973" s="10">
        <f t="shared" si="48"/>
        <v>-3.3018867924528308E-2</v>
      </c>
    </row>
    <row r="974" spans="1:7" x14ac:dyDescent="0.35">
      <c r="A974" s="2">
        <v>45240</v>
      </c>
      <c r="B974" s="3">
        <v>4415.24</v>
      </c>
      <c r="C974" s="3">
        <v>106.11</v>
      </c>
      <c r="D974" s="3">
        <v>26.85</v>
      </c>
      <c r="E974" s="10">
        <f t="shared" si="46"/>
        <v>1.5616409996894525E-2</v>
      </c>
      <c r="F974" s="10">
        <f t="shared" si="47"/>
        <v>-8.3177570093458005E-3</v>
      </c>
      <c r="G974" s="10">
        <f t="shared" si="48"/>
        <v>7.5046904315198065E-3</v>
      </c>
    </row>
    <row r="975" spans="1:7" x14ac:dyDescent="0.35">
      <c r="A975" s="2">
        <v>45243</v>
      </c>
      <c r="B975" s="3">
        <v>4411.55</v>
      </c>
      <c r="C975" s="3">
        <v>104.2</v>
      </c>
      <c r="D975" s="3">
        <v>26.9</v>
      </c>
      <c r="E975" s="10">
        <f t="shared" si="46"/>
        <v>-8.3574165843750285E-4</v>
      </c>
      <c r="F975" s="10">
        <f t="shared" si="47"/>
        <v>-1.800018848364901E-2</v>
      </c>
      <c r="G975" s="10">
        <f t="shared" si="48"/>
        <v>1.8621973929235439E-3</v>
      </c>
    </row>
    <row r="976" spans="1:7" x14ac:dyDescent="0.35">
      <c r="A976" s="2">
        <v>45244</v>
      </c>
      <c r="B976" s="3">
        <v>4495.7</v>
      </c>
      <c r="C976" s="3">
        <v>105.75</v>
      </c>
      <c r="D976" s="3">
        <v>28.2</v>
      </c>
      <c r="E976" s="10">
        <f t="shared" si="46"/>
        <v>1.9074928313177825E-2</v>
      </c>
      <c r="F976" s="10">
        <f t="shared" si="47"/>
        <v>1.487523992322454E-2</v>
      </c>
      <c r="G976" s="10">
        <f t="shared" si="48"/>
        <v>4.8327137546468432E-2</v>
      </c>
    </row>
    <row r="977" spans="1:7" x14ac:dyDescent="0.35">
      <c r="A977" s="2">
        <v>45245</v>
      </c>
      <c r="B977" s="3">
        <v>4502.88</v>
      </c>
      <c r="C977" s="3">
        <v>107.82</v>
      </c>
      <c r="D977" s="3">
        <v>28.14</v>
      </c>
      <c r="E977" s="10">
        <f t="shared" si="46"/>
        <v>1.5970816558045001E-3</v>
      </c>
      <c r="F977" s="10">
        <f t="shared" si="47"/>
        <v>1.9574468085106319E-2</v>
      </c>
      <c r="G977" s="10">
        <f t="shared" si="48"/>
        <v>-2.1276595744680396E-3</v>
      </c>
    </row>
    <row r="978" spans="1:7" x14ac:dyDescent="0.35">
      <c r="A978" s="2">
        <v>45246</v>
      </c>
      <c r="B978" s="3">
        <v>4508.24</v>
      </c>
      <c r="C978" s="3">
        <v>107.61</v>
      </c>
      <c r="D978" s="3">
        <v>27.48</v>
      </c>
      <c r="E978" s="10">
        <f t="shared" si="46"/>
        <v>1.1903492875669954E-3</v>
      </c>
      <c r="F978" s="10">
        <f t="shared" si="47"/>
        <v>-1.9476905954367812E-3</v>
      </c>
      <c r="G978" s="10">
        <f t="shared" si="48"/>
        <v>-2.3454157782515996E-2</v>
      </c>
    </row>
    <row r="979" spans="1:7" x14ac:dyDescent="0.35">
      <c r="A979" s="2">
        <v>45247</v>
      </c>
      <c r="B979" s="3">
        <v>4514.0200000000004</v>
      </c>
      <c r="C979" s="3">
        <v>105.96</v>
      </c>
      <c r="D979" s="3">
        <v>28.03</v>
      </c>
      <c r="E979" s="10">
        <f t="shared" si="46"/>
        <v>1.2820967827801215E-3</v>
      </c>
      <c r="F979" s="10">
        <f t="shared" si="47"/>
        <v>-1.5333147477000332E-2</v>
      </c>
      <c r="G979" s="10">
        <f t="shared" si="48"/>
        <v>2.0014556040756939E-2</v>
      </c>
    </row>
    <row r="980" spans="1:7" x14ac:dyDescent="0.35">
      <c r="A980" s="2">
        <v>45250</v>
      </c>
      <c r="B980" s="3">
        <v>4547.38</v>
      </c>
      <c r="C980" s="3">
        <v>106.32</v>
      </c>
      <c r="D980" s="3">
        <v>28.52</v>
      </c>
      <c r="E980" s="10">
        <f t="shared" si="46"/>
        <v>7.390308416887756E-3</v>
      </c>
      <c r="F980" s="10">
        <f t="shared" si="47"/>
        <v>3.3975084937712292E-3</v>
      </c>
      <c r="G980" s="10">
        <f t="shared" si="48"/>
        <v>1.7481270067784459E-2</v>
      </c>
    </row>
    <row r="981" spans="1:7" x14ac:dyDescent="0.35">
      <c r="A981" s="2">
        <v>45251</v>
      </c>
      <c r="B981" s="3">
        <v>4538.1899999999996</v>
      </c>
      <c r="C981" s="3">
        <v>106.55</v>
      </c>
      <c r="D981" s="3">
        <v>27.9</v>
      </c>
      <c r="E981" s="10">
        <f t="shared" si="46"/>
        <v>-2.0209439281521466E-3</v>
      </c>
      <c r="F981" s="10">
        <f t="shared" si="47"/>
        <v>2.1632806621520316E-3</v>
      </c>
      <c r="G981" s="10">
        <f t="shared" si="48"/>
        <v>-2.1739130434782643E-2</v>
      </c>
    </row>
    <row r="982" spans="1:7" x14ac:dyDescent="0.35">
      <c r="A982" s="2">
        <v>45252</v>
      </c>
      <c r="B982" s="3">
        <v>4556.62</v>
      </c>
      <c r="C982" s="3">
        <v>107.92</v>
      </c>
      <c r="D982" s="3">
        <v>28.1</v>
      </c>
      <c r="E982" s="10">
        <f t="shared" si="46"/>
        <v>4.0610904347328546E-3</v>
      </c>
      <c r="F982" s="10">
        <f t="shared" si="47"/>
        <v>1.2857813233223882E-2</v>
      </c>
      <c r="G982" s="10">
        <f t="shared" si="48"/>
        <v>7.1684587813621095E-3</v>
      </c>
    </row>
    <row r="983" spans="1:7" x14ac:dyDescent="0.35">
      <c r="A983" s="2">
        <v>45254</v>
      </c>
      <c r="B983" s="3">
        <v>4559.34</v>
      </c>
      <c r="C983" s="3">
        <v>107.64</v>
      </c>
      <c r="D983" s="3">
        <v>28.18</v>
      </c>
      <c r="E983" s="10">
        <f t="shared" si="46"/>
        <v>5.969336920788336E-4</v>
      </c>
      <c r="F983" s="10">
        <f t="shared" si="47"/>
        <v>-2.5945144551519747E-3</v>
      </c>
      <c r="G983" s="10">
        <f t="shared" si="48"/>
        <v>2.8469750889679106E-3</v>
      </c>
    </row>
    <row r="984" spans="1:7" x14ac:dyDescent="0.35">
      <c r="A984" s="2">
        <v>45257</v>
      </c>
      <c r="B984" s="3">
        <v>4550.43</v>
      </c>
      <c r="C984" s="3">
        <v>107.96</v>
      </c>
      <c r="D984" s="3">
        <v>28.5</v>
      </c>
      <c r="E984" s="10">
        <f t="shared" si="46"/>
        <v>-1.9542302175314529E-3</v>
      </c>
      <c r="F984" s="10">
        <f t="shared" si="47"/>
        <v>2.9728725380898662E-3</v>
      </c>
      <c r="G984" s="10">
        <f t="shared" si="48"/>
        <v>1.135557132718241E-2</v>
      </c>
    </row>
    <row r="985" spans="1:7" x14ac:dyDescent="0.35">
      <c r="A985" s="2">
        <v>45258</v>
      </c>
      <c r="B985" s="3">
        <v>4554.8900000000003</v>
      </c>
      <c r="C985" s="3">
        <v>108.75</v>
      </c>
      <c r="D985" s="3">
        <v>28.89</v>
      </c>
      <c r="E985" s="10">
        <f t="shared" si="46"/>
        <v>9.8012715281853269E-4</v>
      </c>
      <c r="F985" s="10">
        <f t="shared" si="47"/>
        <v>7.3175250092627486E-3</v>
      </c>
      <c r="G985" s="10">
        <f t="shared" si="48"/>
        <v>1.3684210526315809E-2</v>
      </c>
    </row>
    <row r="986" spans="1:7" x14ac:dyDescent="0.35">
      <c r="A986" s="2">
        <v>45259</v>
      </c>
      <c r="B986" s="3">
        <v>4550.58</v>
      </c>
      <c r="C986" s="3">
        <v>110.37</v>
      </c>
      <c r="D986" s="3">
        <v>31.6</v>
      </c>
      <c r="E986" s="10">
        <f t="shared" si="46"/>
        <v>-9.4623580371872864E-4</v>
      </c>
      <c r="F986" s="10">
        <f t="shared" si="47"/>
        <v>1.4896551724137973E-2</v>
      </c>
      <c r="G986" s="10">
        <f t="shared" si="48"/>
        <v>9.3804084458290096E-2</v>
      </c>
    </row>
    <row r="987" spans="1:7" x14ac:dyDescent="0.35">
      <c r="A987" s="2">
        <v>45260</v>
      </c>
      <c r="B987" s="3">
        <v>4567.8</v>
      </c>
      <c r="C987" s="3">
        <v>110.27</v>
      </c>
      <c r="D987" s="3">
        <v>31.6</v>
      </c>
      <c r="E987" s="10">
        <f t="shared" si="46"/>
        <v>3.7841330116161575E-3</v>
      </c>
      <c r="F987" s="10">
        <f t="shared" si="47"/>
        <v>-9.0604330887024116E-4</v>
      </c>
      <c r="G987" s="10">
        <f t="shared" si="48"/>
        <v>0</v>
      </c>
    </row>
    <row r="988" spans="1:7" x14ac:dyDescent="0.35">
      <c r="A988" s="2">
        <v>45261</v>
      </c>
      <c r="B988" s="3">
        <v>4594.63</v>
      </c>
      <c r="C988" s="3">
        <v>113.48</v>
      </c>
      <c r="D988" s="3">
        <v>32.36</v>
      </c>
      <c r="E988" s="10">
        <f t="shared" si="46"/>
        <v>5.873724769035406E-3</v>
      </c>
      <c r="F988" s="10">
        <f t="shared" si="47"/>
        <v>2.9110365466582099E-2</v>
      </c>
      <c r="G988" s="10">
        <f t="shared" si="48"/>
        <v>2.4050632911392342E-2</v>
      </c>
    </row>
    <row r="989" spans="1:7" x14ac:dyDescent="0.35">
      <c r="A989" s="2">
        <v>45264</v>
      </c>
      <c r="B989" s="3">
        <v>4569.78</v>
      </c>
      <c r="C989" s="3">
        <v>115.15</v>
      </c>
      <c r="D989" s="3">
        <v>33.07</v>
      </c>
      <c r="E989" s="10">
        <f t="shared" si="46"/>
        <v>-5.4084877345945952E-3</v>
      </c>
      <c r="F989" s="10">
        <f t="shared" si="47"/>
        <v>1.471624955939374E-2</v>
      </c>
      <c r="G989" s="10">
        <f t="shared" si="48"/>
        <v>2.1940667490729322E-2</v>
      </c>
    </row>
    <row r="990" spans="1:7" x14ac:dyDescent="0.35">
      <c r="A990" s="2">
        <v>45265</v>
      </c>
      <c r="B990" s="3">
        <v>4567.18</v>
      </c>
      <c r="C990" s="3">
        <v>115.41</v>
      </c>
      <c r="D990" s="3">
        <v>32.68</v>
      </c>
      <c r="E990" s="10">
        <f t="shared" si="46"/>
        <v>-5.68955179461474E-4</v>
      </c>
      <c r="F990" s="10">
        <f t="shared" si="47"/>
        <v>2.2579244463742155E-3</v>
      </c>
      <c r="G990" s="10">
        <f t="shared" si="48"/>
        <v>-1.1793166011490793E-2</v>
      </c>
    </row>
    <row r="991" spans="1:7" x14ac:dyDescent="0.35">
      <c r="A991" s="2">
        <v>45266</v>
      </c>
      <c r="B991" s="3">
        <v>4549.34</v>
      </c>
      <c r="C991" s="3">
        <v>116.11</v>
      </c>
      <c r="D991" s="3">
        <v>32.909999999999997</v>
      </c>
      <c r="E991" s="10">
        <f t="shared" si="46"/>
        <v>-3.9061302598102426E-3</v>
      </c>
      <c r="F991" s="10">
        <f t="shared" si="47"/>
        <v>6.0653322935621075E-3</v>
      </c>
      <c r="G991" s="10">
        <f t="shared" si="48"/>
        <v>7.0379436964503328E-3</v>
      </c>
    </row>
    <row r="992" spans="1:7" x14ac:dyDescent="0.35">
      <c r="A992" s="2">
        <v>45267</v>
      </c>
      <c r="B992" s="3">
        <v>4585.59</v>
      </c>
      <c r="C992" s="3">
        <v>114.81</v>
      </c>
      <c r="D992" s="3">
        <v>33.51</v>
      </c>
      <c r="E992" s="10">
        <f t="shared" si="46"/>
        <v>7.9681887922204101E-3</v>
      </c>
      <c r="F992" s="10">
        <f t="shared" si="47"/>
        <v>-1.1196279390233375E-2</v>
      </c>
      <c r="G992" s="10">
        <f t="shared" si="48"/>
        <v>1.8231540565177801E-2</v>
      </c>
    </row>
    <row r="993" spans="1:7" x14ac:dyDescent="0.35">
      <c r="A993" s="2">
        <v>45268</v>
      </c>
      <c r="B993" s="3">
        <v>4604.37</v>
      </c>
      <c r="C993" s="3">
        <v>115.91</v>
      </c>
      <c r="D993" s="3">
        <v>33.75</v>
      </c>
      <c r="E993" s="10">
        <f t="shared" si="46"/>
        <v>4.0954381006587468E-3</v>
      </c>
      <c r="F993" s="10">
        <f t="shared" si="47"/>
        <v>9.5810469471299918E-3</v>
      </c>
      <c r="G993" s="10">
        <f t="shared" si="48"/>
        <v>7.1620411817368548E-3</v>
      </c>
    </row>
    <row r="994" spans="1:7" x14ac:dyDescent="0.35">
      <c r="A994" s="2">
        <v>45271</v>
      </c>
      <c r="B994" s="3">
        <v>4622.4399999999996</v>
      </c>
      <c r="C994" s="3">
        <v>118.61</v>
      </c>
      <c r="D994" s="3">
        <v>33.58</v>
      </c>
      <c r="E994" s="10">
        <f t="shared" si="46"/>
        <v>3.9245325636297059E-3</v>
      </c>
      <c r="F994" s="10">
        <f t="shared" si="47"/>
        <v>2.3293934949529832E-2</v>
      </c>
      <c r="G994" s="10">
        <f t="shared" si="48"/>
        <v>-5.0370370370370872E-3</v>
      </c>
    </row>
    <row r="995" spans="1:7" x14ac:dyDescent="0.35">
      <c r="A995" s="2">
        <v>45272</v>
      </c>
      <c r="B995" s="3">
        <v>4643.7</v>
      </c>
      <c r="C995" s="3">
        <v>119.64</v>
      </c>
      <c r="D995" s="3">
        <v>33.42</v>
      </c>
      <c r="E995" s="10">
        <f t="shared" si="46"/>
        <v>4.5993025328614802E-3</v>
      </c>
      <c r="F995" s="10">
        <f t="shared" si="47"/>
        <v>8.6839220976309001E-3</v>
      </c>
      <c r="G995" s="10">
        <f t="shared" si="48"/>
        <v>-4.7647409172125255E-3</v>
      </c>
    </row>
    <row r="996" spans="1:7" x14ac:dyDescent="0.35">
      <c r="A996" s="2">
        <v>45273</v>
      </c>
      <c r="B996" s="3">
        <v>4707.09</v>
      </c>
      <c r="C996" s="3">
        <v>121.17</v>
      </c>
      <c r="D996" s="3">
        <v>33.99</v>
      </c>
      <c r="E996" s="10">
        <f t="shared" si="46"/>
        <v>1.3650752632599076E-2</v>
      </c>
      <c r="F996" s="10">
        <f t="shared" si="47"/>
        <v>1.2788365095285867E-2</v>
      </c>
      <c r="G996" s="10">
        <f t="shared" si="48"/>
        <v>1.7055655296229811E-2</v>
      </c>
    </row>
    <row r="997" spans="1:7" x14ac:dyDescent="0.35">
      <c r="A997" s="2">
        <v>45274</v>
      </c>
      <c r="B997" s="3">
        <v>4719.55</v>
      </c>
      <c r="C997" s="3">
        <v>121.02</v>
      </c>
      <c r="D997" s="3">
        <v>36.25</v>
      </c>
      <c r="E997" s="10">
        <f t="shared" si="46"/>
        <v>2.6470706954827795E-3</v>
      </c>
      <c r="F997" s="10">
        <f t="shared" si="47"/>
        <v>-1.2379301807378532E-3</v>
      </c>
      <c r="G997" s="10">
        <f t="shared" si="48"/>
        <v>6.6490144160047004E-2</v>
      </c>
    </row>
    <row r="998" spans="1:7" x14ac:dyDescent="0.35">
      <c r="A998" s="2">
        <v>45275</v>
      </c>
      <c r="B998" s="3">
        <v>4719.1899999999996</v>
      </c>
      <c r="C998" s="3">
        <v>121.55</v>
      </c>
      <c r="D998" s="3">
        <v>35.729999999999997</v>
      </c>
      <c r="E998" s="10">
        <f t="shared" si="46"/>
        <v>-7.6278458751487336E-5</v>
      </c>
      <c r="F998" s="10">
        <f t="shared" si="47"/>
        <v>4.3794414146422177E-3</v>
      </c>
      <c r="G998" s="10">
        <f t="shared" si="48"/>
        <v>-1.4344827586206983E-2</v>
      </c>
    </row>
    <row r="999" spans="1:7" x14ac:dyDescent="0.35">
      <c r="A999" s="2">
        <v>45278</v>
      </c>
      <c r="B999" s="3">
        <v>4740.5600000000004</v>
      </c>
      <c r="C999" s="3">
        <v>121.14</v>
      </c>
      <c r="D999" s="3">
        <v>35.44</v>
      </c>
      <c r="E999" s="10">
        <f t="shared" si="46"/>
        <v>4.5283194785547525E-3</v>
      </c>
      <c r="F999" s="10">
        <f t="shared" si="47"/>
        <v>-3.3730974907445217E-3</v>
      </c>
      <c r="G999" s="10">
        <f t="shared" si="48"/>
        <v>-8.1164287713405871E-3</v>
      </c>
    </row>
    <row r="1000" spans="1:7" x14ac:dyDescent="0.35">
      <c r="A1000" s="2">
        <v>45279</v>
      </c>
      <c r="B1000" s="3">
        <v>4768.37</v>
      </c>
      <c r="C1000" s="3">
        <v>122.64</v>
      </c>
      <c r="D1000" s="3">
        <v>35.869999999999997</v>
      </c>
      <c r="E1000" s="10">
        <f t="shared" si="46"/>
        <v>5.8663955313295237E-3</v>
      </c>
      <c r="F1000" s="10">
        <f t="shared" si="47"/>
        <v>1.2382367508667657E-2</v>
      </c>
      <c r="G1000" s="10">
        <f t="shared" si="48"/>
        <v>1.2133182844243785E-2</v>
      </c>
    </row>
    <row r="1001" spans="1:7" x14ac:dyDescent="0.35">
      <c r="A1001" s="2">
        <v>45280</v>
      </c>
      <c r="B1001" s="3">
        <v>4698.3500000000004</v>
      </c>
      <c r="C1001" s="3">
        <v>121.43</v>
      </c>
      <c r="D1001" s="3">
        <v>35.47</v>
      </c>
      <c r="E1001" s="10">
        <f t="shared" si="46"/>
        <v>-1.4684263175886001E-2</v>
      </c>
      <c r="F1001" s="10">
        <f t="shared" si="47"/>
        <v>-9.8662752772341305E-3</v>
      </c>
      <c r="G1001" s="10">
        <f t="shared" si="48"/>
        <v>-1.1151379983272891E-2</v>
      </c>
    </row>
    <row r="1002" spans="1:7" x14ac:dyDescent="0.35">
      <c r="A1002" s="2">
        <v>45281</v>
      </c>
      <c r="B1002" s="3">
        <v>4746.75</v>
      </c>
      <c r="C1002" s="3">
        <v>122.53</v>
      </c>
      <c r="D1002" s="3">
        <v>36.25</v>
      </c>
      <c r="E1002" s="10">
        <f t="shared" si="46"/>
        <v>1.0301488820543304E-2</v>
      </c>
      <c r="F1002" s="10">
        <f t="shared" si="47"/>
        <v>9.058716956271055E-3</v>
      </c>
      <c r="G1002" s="10">
        <f t="shared" si="48"/>
        <v>2.199041443473361E-2</v>
      </c>
    </row>
    <row r="1003" spans="1:7" x14ac:dyDescent="0.35">
      <c r="A1003" s="2">
        <v>45282</v>
      </c>
      <c r="B1003" s="3">
        <v>4754.63</v>
      </c>
      <c r="C1003" s="3">
        <v>108.04</v>
      </c>
      <c r="D1003" s="3">
        <v>36.020000000000003</v>
      </c>
      <c r="E1003" s="10">
        <f t="shared" si="46"/>
        <v>1.6600832148312233E-3</v>
      </c>
      <c r="F1003" s="10">
        <f t="shared" si="47"/>
        <v>-0.1182567534481351</v>
      </c>
      <c r="G1003" s="10">
        <f t="shared" si="48"/>
        <v>-6.3448275862068105E-3</v>
      </c>
    </row>
    <row r="1004" spans="1:7" x14ac:dyDescent="0.35">
      <c r="A1004" s="2">
        <v>45286</v>
      </c>
      <c r="B1004" s="3">
        <v>4774.75</v>
      </c>
      <c r="C1004" s="3">
        <v>108.02</v>
      </c>
      <c r="D1004" s="3">
        <v>36.130000000000003</v>
      </c>
      <c r="E1004" s="10">
        <f t="shared" si="46"/>
        <v>4.2316647141838358E-3</v>
      </c>
      <c r="F1004" s="10">
        <f t="shared" si="47"/>
        <v>-1.8511662347288254E-4</v>
      </c>
      <c r="G1004" s="10">
        <f t="shared" si="48"/>
        <v>3.0538589672404058E-3</v>
      </c>
    </row>
    <row r="1005" spans="1:7" x14ac:dyDescent="0.35">
      <c r="A1005" s="2">
        <v>45287</v>
      </c>
      <c r="B1005" s="3">
        <v>4781.58</v>
      </c>
      <c r="C1005" s="3">
        <v>107.13</v>
      </c>
      <c r="D1005" s="3">
        <v>36.08</v>
      </c>
      <c r="E1005" s="10">
        <f t="shared" si="46"/>
        <v>1.4304413843656584E-3</v>
      </c>
      <c r="F1005" s="10">
        <f t="shared" si="47"/>
        <v>-8.2392149601925625E-3</v>
      </c>
      <c r="G1005" s="10">
        <f t="shared" si="48"/>
        <v>-1.3838915029062901E-3</v>
      </c>
    </row>
    <row r="1006" spans="1:7" x14ac:dyDescent="0.35">
      <c r="A1006" s="2">
        <v>45288</v>
      </c>
      <c r="B1006" s="3">
        <v>4783.3500000000004</v>
      </c>
      <c r="C1006" s="3">
        <v>108.82</v>
      </c>
      <c r="D1006" s="3">
        <v>36.200000000000003</v>
      </c>
      <c r="E1006" s="10">
        <f t="shared" si="46"/>
        <v>3.7017052940668913E-4</v>
      </c>
      <c r="F1006" s="10">
        <f t="shared" si="47"/>
        <v>1.5775226360496573E-2</v>
      </c>
      <c r="G1006" s="10">
        <f t="shared" si="48"/>
        <v>3.3259423503327204E-3</v>
      </c>
    </row>
    <row r="1007" spans="1:7" x14ac:dyDescent="0.35">
      <c r="A1007" s="2">
        <v>45289</v>
      </c>
      <c r="B1007" s="3">
        <v>4769.83</v>
      </c>
      <c r="C1007" s="3">
        <v>108.57</v>
      </c>
      <c r="D1007" s="3">
        <v>35.92</v>
      </c>
      <c r="E1007" s="10">
        <f t="shared" si="46"/>
        <v>-2.8264709879060566E-3</v>
      </c>
      <c r="F1007" s="10">
        <f t="shared" si="47"/>
        <v>-2.297371806653189E-3</v>
      </c>
      <c r="G1007" s="10">
        <f t="shared" si="48"/>
        <v>-7.7348066298342849E-3</v>
      </c>
    </row>
    <row r="1008" spans="1:7" x14ac:dyDescent="0.35">
      <c r="A1008" s="2">
        <v>45293</v>
      </c>
      <c r="B1008" s="3">
        <v>4742.83</v>
      </c>
      <c r="C1008" s="3">
        <v>106.55</v>
      </c>
      <c r="D1008" s="3">
        <v>36.049999999999997</v>
      </c>
      <c r="E1008" s="10">
        <f t="shared" si="46"/>
        <v>-5.6605790982068548E-3</v>
      </c>
      <c r="F1008" s="10">
        <f t="shared" si="47"/>
        <v>-1.8605507967210059E-2</v>
      </c>
      <c r="G1008" s="10">
        <f t="shared" si="48"/>
        <v>3.6191536748328354E-3</v>
      </c>
    </row>
    <row r="1009" spans="1:7" x14ac:dyDescent="0.35">
      <c r="A1009" s="2">
        <v>45294</v>
      </c>
      <c r="B1009" s="3">
        <v>4704.8100000000004</v>
      </c>
      <c r="C1009" s="3">
        <v>104.04</v>
      </c>
      <c r="D1009" s="3">
        <v>35.270000000000003</v>
      </c>
      <c r="E1009" s="10">
        <f t="shared" si="46"/>
        <v>-8.0163109367191159E-3</v>
      </c>
      <c r="F1009" s="10">
        <f t="shared" si="47"/>
        <v>-2.3557015485687387E-2</v>
      </c>
      <c r="G1009" s="10">
        <f t="shared" si="48"/>
        <v>-2.1636615811372929E-2</v>
      </c>
    </row>
    <row r="1010" spans="1:7" x14ac:dyDescent="0.35">
      <c r="A1010" s="2">
        <v>45295</v>
      </c>
      <c r="B1010" s="3">
        <v>4688.68</v>
      </c>
      <c r="C1010" s="3">
        <v>102.3</v>
      </c>
      <c r="D1010" s="3">
        <v>35.49</v>
      </c>
      <c r="E1010" s="10">
        <f t="shared" si="46"/>
        <v>-3.4284062480738025E-3</v>
      </c>
      <c r="F1010" s="10">
        <f t="shared" si="47"/>
        <v>-1.6724336793541031E-2</v>
      </c>
      <c r="G1010" s="10">
        <f t="shared" si="48"/>
        <v>6.2375956903883995E-3</v>
      </c>
    </row>
    <row r="1011" spans="1:7" x14ac:dyDescent="0.35">
      <c r="A1011" s="2">
        <v>45296</v>
      </c>
      <c r="B1011" s="3">
        <v>4697.24</v>
      </c>
      <c r="C1011" s="3">
        <v>102.08</v>
      </c>
      <c r="D1011" s="3">
        <v>35.99</v>
      </c>
      <c r="E1011" s="10">
        <f t="shared" si="46"/>
        <v>1.8256737503944587E-3</v>
      </c>
      <c r="F1011" s="10">
        <f t="shared" si="47"/>
        <v>-2.1505376344085913E-3</v>
      </c>
      <c r="G1011" s="10">
        <f t="shared" si="48"/>
        <v>1.4088475626937165E-2</v>
      </c>
    </row>
    <row r="1012" spans="1:7" x14ac:dyDescent="0.35">
      <c r="A1012" s="2">
        <v>45299</v>
      </c>
      <c r="B1012" s="3">
        <v>4763.54</v>
      </c>
      <c r="C1012" s="3">
        <v>103.62</v>
      </c>
      <c r="D1012" s="3">
        <v>36.700000000000003</v>
      </c>
      <c r="E1012" s="10">
        <f t="shared" si="46"/>
        <v>1.4114671594383123E-2</v>
      </c>
      <c r="F1012" s="10">
        <f t="shared" si="47"/>
        <v>1.5086206896551786E-2</v>
      </c>
      <c r="G1012" s="10">
        <f t="shared" si="48"/>
        <v>1.9727702139483213E-2</v>
      </c>
    </row>
    <row r="1013" spans="1:7" x14ac:dyDescent="0.35">
      <c r="A1013" s="2">
        <v>45300</v>
      </c>
      <c r="B1013" s="3">
        <v>4756.5</v>
      </c>
      <c r="C1013" s="3">
        <v>102.74</v>
      </c>
      <c r="D1013" s="3">
        <v>36.54</v>
      </c>
      <c r="E1013" s="10">
        <f t="shared" si="46"/>
        <v>-1.4778924917183364E-3</v>
      </c>
      <c r="F1013" s="10">
        <f t="shared" si="47"/>
        <v>-8.4925690021232358E-3</v>
      </c>
      <c r="G1013" s="10">
        <f t="shared" si="48"/>
        <v>-4.3596730245232607E-3</v>
      </c>
    </row>
    <row r="1014" spans="1:7" x14ac:dyDescent="0.35">
      <c r="A1014" s="2">
        <v>45301</v>
      </c>
      <c r="B1014" s="3">
        <v>4783.45</v>
      </c>
      <c r="C1014" s="3">
        <v>103.77</v>
      </c>
      <c r="D1014" s="3">
        <v>36.31</v>
      </c>
      <c r="E1014" s="10">
        <f t="shared" si="46"/>
        <v>5.6659308314937068E-3</v>
      </c>
      <c r="F1014" s="10">
        <f t="shared" si="47"/>
        <v>1.0025306599182413E-2</v>
      </c>
      <c r="G1014" s="10">
        <f t="shared" si="48"/>
        <v>-6.2944718117131059E-3</v>
      </c>
    </row>
    <row r="1015" spans="1:7" x14ac:dyDescent="0.35">
      <c r="A1015" s="2">
        <v>45302</v>
      </c>
      <c r="B1015" s="3">
        <v>4780.24</v>
      </c>
      <c r="C1015" s="3">
        <v>105.9</v>
      </c>
      <c r="D1015" s="3">
        <v>35.86</v>
      </c>
      <c r="E1015" s="10">
        <f t="shared" si="46"/>
        <v>-6.7106377196375763E-4</v>
      </c>
      <c r="F1015" s="10">
        <f t="shared" si="47"/>
        <v>2.052616363110735E-2</v>
      </c>
      <c r="G1015" s="10">
        <f t="shared" si="48"/>
        <v>-1.2393280088130069E-2</v>
      </c>
    </row>
    <row r="1016" spans="1:7" x14ac:dyDescent="0.35">
      <c r="A1016" s="2">
        <v>45303</v>
      </c>
      <c r="B1016" s="3">
        <v>4783.83</v>
      </c>
      <c r="C1016" s="3">
        <v>105.06</v>
      </c>
      <c r="D1016" s="3">
        <v>35.26</v>
      </c>
      <c r="E1016" s="10">
        <f t="shared" si="46"/>
        <v>7.5100831757404351E-4</v>
      </c>
      <c r="F1016" s="10">
        <f t="shared" si="47"/>
        <v>-7.932011331444791E-3</v>
      </c>
      <c r="G1016" s="10">
        <f t="shared" si="48"/>
        <v>-1.6731734523145605E-2</v>
      </c>
    </row>
    <row r="1017" spans="1:7" x14ac:dyDescent="0.35">
      <c r="A1017" s="2">
        <v>45307</v>
      </c>
      <c r="B1017" s="3">
        <v>4765.9799999999996</v>
      </c>
      <c r="C1017" s="3">
        <v>101.72</v>
      </c>
      <c r="D1017" s="3">
        <v>35.39</v>
      </c>
      <c r="E1017" s="10">
        <f t="shared" si="46"/>
        <v>-3.7313198838588254E-3</v>
      </c>
      <c r="F1017" s="10">
        <f t="shared" si="47"/>
        <v>-3.1791357319626914E-2</v>
      </c>
      <c r="G1017" s="10">
        <f t="shared" si="48"/>
        <v>3.6868973340896927E-3</v>
      </c>
    </row>
    <row r="1018" spans="1:7" x14ac:dyDescent="0.35">
      <c r="A1018" s="2">
        <v>45308</v>
      </c>
      <c r="B1018" s="3">
        <v>4739.21</v>
      </c>
      <c r="C1018" s="3">
        <v>100.82</v>
      </c>
      <c r="D1018" s="3">
        <v>35.01</v>
      </c>
      <c r="E1018" s="10">
        <f t="shared" si="46"/>
        <v>-5.6168930629166575E-3</v>
      </c>
      <c r="F1018" s="10">
        <f t="shared" si="47"/>
        <v>-8.8478175383405987E-3</v>
      </c>
      <c r="G1018" s="10">
        <f t="shared" si="48"/>
        <v>-1.0737496467928865E-2</v>
      </c>
    </row>
    <row r="1019" spans="1:7" x14ac:dyDescent="0.35">
      <c r="A1019" s="2">
        <v>45309</v>
      </c>
      <c r="B1019" s="3">
        <v>4780.9399999999996</v>
      </c>
      <c r="C1019" s="3">
        <v>100.94</v>
      </c>
      <c r="D1019" s="3">
        <v>34.58</v>
      </c>
      <c r="E1019" s="10">
        <f t="shared" si="46"/>
        <v>8.8052650125230916E-3</v>
      </c>
      <c r="F1019" s="10">
        <f t="shared" si="47"/>
        <v>1.1902400317397794E-3</v>
      </c>
      <c r="G1019" s="10">
        <f t="shared" si="48"/>
        <v>-1.2282205084261632E-2</v>
      </c>
    </row>
    <row r="1020" spans="1:7" x14ac:dyDescent="0.35">
      <c r="A1020" s="2">
        <v>45310</v>
      </c>
      <c r="B1020" s="3">
        <v>4839.8100000000004</v>
      </c>
      <c r="C1020" s="3">
        <v>101.78</v>
      </c>
      <c r="D1020" s="3">
        <v>35.51</v>
      </c>
      <c r="E1020" s="10">
        <f t="shared" si="46"/>
        <v>1.2313478102632705E-2</v>
      </c>
      <c r="F1020" s="10">
        <f t="shared" si="47"/>
        <v>8.3217753120666087E-3</v>
      </c>
      <c r="G1020" s="10">
        <f t="shared" si="48"/>
        <v>2.6894158473105834E-2</v>
      </c>
    </row>
    <row r="1021" spans="1:7" x14ac:dyDescent="0.35">
      <c r="A1021" s="2">
        <v>45313</v>
      </c>
      <c r="B1021" s="3">
        <v>4850.43</v>
      </c>
      <c r="C1021" s="3">
        <v>100.56</v>
      </c>
      <c r="D1021" s="3">
        <v>35.32</v>
      </c>
      <c r="E1021" s="10">
        <f t="shared" si="46"/>
        <v>2.1943010159489506E-3</v>
      </c>
      <c r="F1021" s="10">
        <f t="shared" si="47"/>
        <v>-1.1986637846335222E-2</v>
      </c>
      <c r="G1021" s="10">
        <f t="shared" si="48"/>
        <v>-5.3506054632497246E-3</v>
      </c>
    </row>
    <row r="1022" spans="1:7" x14ac:dyDescent="0.35">
      <c r="A1022" s="2">
        <v>45314</v>
      </c>
      <c r="B1022" s="3">
        <v>4864.6000000000004</v>
      </c>
      <c r="C1022" s="3">
        <v>101.9</v>
      </c>
      <c r="D1022" s="3">
        <v>35.229999999999997</v>
      </c>
      <c r="E1022" s="10">
        <f t="shared" si="46"/>
        <v>2.9213904746589626E-3</v>
      </c>
      <c r="F1022" s="10">
        <f t="shared" si="47"/>
        <v>1.3325377883850471E-2</v>
      </c>
      <c r="G1022" s="10">
        <f t="shared" si="48"/>
        <v>-2.5481313703285225E-3</v>
      </c>
    </row>
    <row r="1023" spans="1:7" x14ac:dyDescent="0.35">
      <c r="A1023" s="2">
        <v>45315</v>
      </c>
      <c r="B1023" s="3">
        <v>4868.55</v>
      </c>
      <c r="C1023" s="3">
        <v>100.76</v>
      </c>
      <c r="D1023" s="3">
        <v>34.700000000000003</v>
      </c>
      <c r="E1023" s="10">
        <f t="shared" si="46"/>
        <v>8.119886527154993E-4</v>
      </c>
      <c r="F1023" s="10">
        <f t="shared" si="47"/>
        <v>-1.11874386653582E-2</v>
      </c>
      <c r="G1023" s="10">
        <f t="shared" si="48"/>
        <v>-1.5043996593811924E-2</v>
      </c>
    </row>
    <row r="1024" spans="1:7" x14ac:dyDescent="0.35">
      <c r="A1024" s="2">
        <v>45316</v>
      </c>
      <c r="B1024" s="3">
        <v>4894.16</v>
      </c>
      <c r="C1024" s="3">
        <v>100.77</v>
      </c>
      <c r="D1024" s="3">
        <v>35.159999999999997</v>
      </c>
      <c r="E1024" s="10">
        <f t="shared" si="46"/>
        <v>5.2602931057501049E-3</v>
      </c>
      <c r="F1024" s="10">
        <f t="shared" si="47"/>
        <v>9.9245732433415096E-5</v>
      </c>
      <c r="G1024" s="10">
        <f t="shared" si="48"/>
        <v>1.3256484149855726E-2</v>
      </c>
    </row>
    <row r="1025" spans="1:7" x14ac:dyDescent="0.35">
      <c r="A1025" s="2">
        <v>45317</v>
      </c>
      <c r="B1025" s="3">
        <v>4890.97</v>
      </c>
      <c r="C1025" s="3">
        <v>102.75</v>
      </c>
      <c r="D1025" s="3">
        <v>35.18</v>
      </c>
      <c r="E1025" s="10">
        <f t="shared" si="46"/>
        <v>-6.5179724406222927E-4</v>
      </c>
      <c r="F1025" s="10">
        <f t="shared" si="47"/>
        <v>1.9648704971717813E-2</v>
      </c>
      <c r="G1025" s="10">
        <f t="shared" si="48"/>
        <v>5.688282138794974E-4</v>
      </c>
    </row>
    <row r="1026" spans="1:7" x14ac:dyDescent="0.35">
      <c r="A1026" s="2">
        <v>45320</v>
      </c>
      <c r="B1026" s="3">
        <v>4927.93</v>
      </c>
      <c r="C1026" s="3">
        <v>103.88</v>
      </c>
      <c r="D1026" s="3">
        <v>35.39</v>
      </c>
      <c r="E1026" s="10">
        <f t="shared" si="46"/>
        <v>7.5567832147815329E-3</v>
      </c>
      <c r="F1026" s="10">
        <f t="shared" si="47"/>
        <v>1.0997566909975625E-2</v>
      </c>
      <c r="G1026" s="10">
        <f t="shared" si="48"/>
        <v>5.969300739056306E-3</v>
      </c>
    </row>
    <row r="1027" spans="1:7" x14ac:dyDescent="0.35">
      <c r="A1027" s="2">
        <v>45321</v>
      </c>
      <c r="B1027" s="3">
        <v>4924.97</v>
      </c>
      <c r="C1027" s="3">
        <v>104.18</v>
      </c>
      <c r="D1027" s="3">
        <v>38.15</v>
      </c>
      <c r="E1027" s="10">
        <f t="shared" si="46"/>
        <v>-6.0065788272155578E-4</v>
      </c>
      <c r="F1027" s="10">
        <f t="shared" si="47"/>
        <v>2.8879476318830516E-3</v>
      </c>
      <c r="G1027" s="10">
        <f t="shared" si="48"/>
        <v>7.7988132240745911E-2</v>
      </c>
    </row>
    <row r="1028" spans="1:7" x14ac:dyDescent="0.35">
      <c r="A1028" s="2">
        <v>45322</v>
      </c>
      <c r="B1028" s="3">
        <v>4845.6499999999996</v>
      </c>
      <c r="C1028" s="3">
        <v>101.53</v>
      </c>
      <c r="D1028" s="3">
        <v>38.799999999999997</v>
      </c>
      <c r="E1028" s="10">
        <f t="shared" ref="E1028:E1091" si="49">(B1028-B1027)/B1027</f>
        <v>-1.6105681862021621E-2</v>
      </c>
      <c r="F1028" s="10">
        <f t="shared" ref="F1028:F1091" si="50">(C1028-C1027)/C1027</f>
        <v>-2.5436744096755667E-2</v>
      </c>
      <c r="G1028" s="10">
        <f t="shared" ref="G1028:G1091" si="51">(D1028-D1027)/D1027</f>
        <v>1.70380078636959E-2</v>
      </c>
    </row>
    <row r="1029" spans="1:7" x14ac:dyDescent="0.35">
      <c r="A1029" s="2">
        <v>45323</v>
      </c>
      <c r="B1029" s="3">
        <v>4906.1899999999996</v>
      </c>
      <c r="C1029" s="3">
        <v>101.76</v>
      </c>
      <c r="D1029" s="3">
        <v>38.869999999999997</v>
      </c>
      <c r="E1029" s="10">
        <f t="shared" si="49"/>
        <v>1.2493679898465627E-2</v>
      </c>
      <c r="F1029" s="10">
        <f t="shared" si="50"/>
        <v>2.2653402935093468E-3</v>
      </c>
      <c r="G1029" s="10">
        <f t="shared" si="51"/>
        <v>1.8041237113402137E-3</v>
      </c>
    </row>
    <row r="1030" spans="1:7" x14ac:dyDescent="0.35">
      <c r="A1030" s="2">
        <v>45324</v>
      </c>
      <c r="B1030" s="3">
        <v>4958.6099999999997</v>
      </c>
      <c r="C1030" s="3">
        <v>100.71</v>
      </c>
      <c r="D1030" s="3">
        <v>38.909999999999997</v>
      </c>
      <c r="E1030" s="10">
        <f t="shared" si="49"/>
        <v>1.0684461873673884E-2</v>
      </c>
      <c r="F1030" s="10">
        <f t="shared" si="50"/>
        <v>-1.0318396226415205E-2</v>
      </c>
      <c r="G1030" s="10">
        <f t="shared" si="51"/>
        <v>1.0290712631849538E-3</v>
      </c>
    </row>
    <row r="1031" spans="1:7" x14ac:dyDescent="0.35">
      <c r="A1031" s="2">
        <v>45327</v>
      </c>
      <c r="B1031" s="3">
        <v>4942.8100000000004</v>
      </c>
      <c r="C1031" s="3">
        <v>99.68</v>
      </c>
      <c r="D1031" s="3">
        <v>37.79</v>
      </c>
      <c r="E1031" s="10">
        <f t="shared" si="49"/>
        <v>-3.1863768273768804E-3</v>
      </c>
      <c r="F1031" s="10">
        <f t="shared" si="50"/>
        <v>-1.0227385562506077E-2</v>
      </c>
      <c r="G1031" s="10">
        <f t="shared" si="51"/>
        <v>-2.8784374196864495E-2</v>
      </c>
    </row>
    <row r="1032" spans="1:7" x14ac:dyDescent="0.35">
      <c r="A1032" s="2">
        <v>45328</v>
      </c>
      <c r="B1032" s="3">
        <v>4954.2299999999996</v>
      </c>
      <c r="C1032" s="3">
        <v>102.61</v>
      </c>
      <c r="D1032" s="3">
        <v>38.03</v>
      </c>
      <c r="E1032" s="10">
        <f t="shared" si="49"/>
        <v>2.3104266601384968E-3</v>
      </c>
      <c r="F1032" s="10">
        <f t="shared" si="50"/>
        <v>2.9394060995184514E-2</v>
      </c>
      <c r="G1032" s="10">
        <f t="shared" si="51"/>
        <v>6.3508864779042605E-3</v>
      </c>
    </row>
    <row r="1033" spans="1:7" x14ac:dyDescent="0.35">
      <c r="A1033" s="2">
        <v>45329</v>
      </c>
      <c r="B1033" s="3">
        <v>4995.0600000000004</v>
      </c>
      <c r="C1033" s="3">
        <v>103.79</v>
      </c>
      <c r="D1033" s="3">
        <v>38.72</v>
      </c>
      <c r="E1033" s="10">
        <f t="shared" si="49"/>
        <v>8.2414421615469684E-3</v>
      </c>
      <c r="F1033" s="10">
        <f t="shared" si="50"/>
        <v>1.1499853815417667E-2</v>
      </c>
      <c r="G1033" s="10">
        <f t="shared" si="51"/>
        <v>1.8143570865106436E-2</v>
      </c>
    </row>
    <row r="1034" spans="1:7" x14ac:dyDescent="0.35">
      <c r="A1034" s="2">
        <v>45330</v>
      </c>
      <c r="B1034" s="3">
        <v>4997.91</v>
      </c>
      <c r="C1034" s="3">
        <v>103.77</v>
      </c>
      <c r="D1034" s="3">
        <v>38.65</v>
      </c>
      <c r="E1034" s="10">
        <f t="shared" si="49"/>
        <v>5.7056371695223961E-4</v>
      </c>
      <c r="F1034" s="10">
        <f t="shared" si="50"/>
        <v>-1.9269679159851846E-4</v>
      </c>
      <c r="G1034" s="10">
        <f t="shared" si="51"/>
        <v>-1.8078512396694289E-3</v>
      </c>
    </row>
    <row r="1035" spans="1:7" x14ac:dyDescent="0.35">
      <c r="A1035" s="2">
        <v>45331</v>
      </c>
      <c r="B1035" s="3">
        <v>5026.6099999999997</v>
      </c>
      <c r="C1035" s="3">
        <v>104.5</v>
      </c>
      <c r="D1035" s="3">
        <v>38.56</v>
      </c>
      <c r="E1035" s="10">
        <f t="shared" si="49"/>
        <v>5.7424003233351182E-3</v>
      </c>
      <c r="F1035" s="10">
        <f t="shared" si="50"/>
        <v>7.0347884745109767E-3</v>
      </c>
      <c r="G1035" s="10">
        <f t="shared" si="51"/>
        <v>-2.32858990944363E-3</v>
      </c>
    </row>
    <row r="1036" spans="1:7" x14ac:dyDescent="0.35">
      <c r="A1036" s="2">
        <v>45334</v>
      </c>
      <c r="B1036" s="3">
        <v>5021.84</v>
      </c>
      <c r="C1036" s="3">
        <v>107.18</v>
      </c>
      <c r="D1036" s="3">
        <v>39.28</v>
      </c>
      <c r="E1036" s="10">
        <f t="shared" si="49"/>
        <v>-9.4894968975105037E-4</v>
      </c>
      <c r="F1036" s="10">
        <f t="shared" si="50"/>
        <v>2.5645933014354132E-2</v>
      </c>
      <c r="G1036" s="10">
        <f t="shared" si="51"/>
        <v>1.867219917012445E-2</v>
      </c>
    </row>
    <row r="1037" spans="1:7" x14ac:dyDescent="0.35">
      <c r="A1037" s="2">
        <v>45335</v>
      </c>
      <c r="B1037" s="3">
        <v>4953.17</v>
      </c>
      <c r="C1037" s="3">
        <v>105</v>
      </c>
      <c r="D1037" s="3">
        <v>38.31</v>
      </c>
      <c r="E1037" s="10">
        <f t="shared" si="49"/>
        <v>-1.3674270785210215E-2</v>
      </c>
      <c r="F1037" s="10">
        <f t="shared" si="50"/>
        <v>-2.033961559992542E-2</v>
      </c>
      <c r="G1037" s="10">
        <f t="shared" si="51"/>
        <v>-2.4694501018329908E-2</v>
      </c>
    </row>
    <row r="1038" spans="1:7" x14ac:dyDescent="0.35">
      <c r="A1038" s="2">
        <v>45336</v>
      </c>
      <c r="B1038" s="3">
        <v>5000.62</v>
      </c>
      <c r="C1038" s="3">
        <v>106.33</v>
      </c>
      <c r="D1038" s="3">
        <v>38.369999999999997</v>
      </c>
      <c r="E1038" s="10">
        <f t="shared" si="49"/>
        <v>9.5797236921001741E-3</v>
      </c>
      <c r="F1038" s="10">
        <f t="shared" si="50"/>
        <v>1.2666666666666651E-2</v>
      </c>
      <c r="G1038" s="10">
        <f t="shared" si="51"/>
        <v>1.566170712607548E-3</v>
      </c>
    </row>
    <row r="1039" spans="1:7" x14ac:dyDescent="0.35">
      <c r="A1039" s="2">
        <v>45337</v>
      </c>
      <c r="B1039" s="3">
        <v>5029.7299999999996</v>
      </c>
      <c r="C1039" s="3">
        <v>106.05</v>
      </c>
      <c r="D1039" s="3">
        <v>38.99</v>
      </c>
      <c r="E1039" s="10">
        <f t="shared" si="49"/>
        <v>5.8212781615079078E-3</v>
      </c>
      <c r="F1039" s="10">
        <f t="shared" si="50"/>
        <v>-2.6333113890717685E-3</v>
      </c>
      <c r="G1039" s="10">
        <f t="shared" si="51"/>
        <v>1.6158457127964675E-2</v>
      </c>
    </row>
    <row r="1040" spans="1:7" x14ac:dyDescent="0.35">
      <c r="A1040" s="2">
        <v>45338</v>
      </c>
      <c r="B1040" s="3">
        <v>5005.57</v>
      </c>
      <c r="C1040" s="3">
        <v>103.51</v>
      </c>
      <c r="D1040" s="3">
        <v>38.700000000000003</v>
      </c>
      <c r="E1040" s="10">
        <f t="shared" si="49"/>
        <v>-4.8034387531736009E-3</v>
      </c>
      <c r="F1040" s="10">
        <f t="shared" si="50"/>
        <v>-2.3950966525223875E-2</v>
      </c>
      <c r="G1040" s="10">
        <f t="shared" si="51"/>
        <v>-7.4378045652731244E-3</v>
      </c>
    </row>
    <row r="1041" spans="1:7" x14ac:dyDescent="0.35">
      <c r="A1041" s="2">
        <v>45342</v>
      </c>
      <c r="B1041" s="3">
        <v>4975.51</v>
      </c>
      <c r="C1041" s="3">
        <v>103.3</v>
      </c>
      <c r="D1041" s="3">
        <v>39.01</v>
      </c>
      <c r="E1041" s="10">
        <f t="shared" si="49"/>
        <v>-6.0053100845656919E-3</v>
      </c>
      <c r="F1041" s="10">
        <f t="shared" si="50"/>
        <v>-2.0287894889383438E-3</v>
      </c>
      <c r="G1041" s="10">
        <f t="shared" si="51"/>
        <v>8.0103359173125353E-3</v>
      </c>
    </row>
    <row r="1042" spans="1:7" x14ac:dyDescent="0.35">
      <c r="A1042" s="2">
        <v>45343</v>
      </c>
      <c r="B1042" s="3">
        <v>4981.8</v>
      </c>
      <c r="C1042" s="3">
        <v>105.27</v>
      </c>
      <c r="D1042" s="3">
        <v>39.49</v>
      </c>
      <c r="E1042" s="10">
        <f t="shared" si="49"/>
        <v>1.2641920124771056E-3</v>
      </c>
      <c r="F1042" s="10">
        <f t="shared" si="50"/>
        <v>1.9070667957405606E-2</v>
      </c>
      <c r="G1042" s="10">
        <f t="shared" si="51"/>
        <v>1.2304537298128788E-2</v>
      </c>
    </row>
    <row r="1043" spans="1:7" x14ac:dyDescent="0.35">
      <c r="A1043" s="2">
        <v>45344</v>
      </c>
      <c r="B1043" s="3">
        <v>5087.03</v>
      </c>
      <c r="C1043" s="3">
        <v>105.08</v>
      </c>
      <c r="D1043" s="3">
        <v>39.340000000000003</v>
      </c>
      <c r="E1043" s="10">
        <f t="shared" si="49"/>
        <v>2.112288730980761E-2</v>
      </c>
      <c r="F1043" s="10">
        <f t="shared" si="50"/>
        <v>-1.8048826826256078E-3</v>
      </c>
      <c r="G1043" s="10">
        <f t="shared" si="51"/>
        <v>-3.7984299822739574E-3</v>
      </c>
    </row>
    <row r="1044" spans="1:7" x14ac:dyDescent="0.35">
      <c r="A1044" s="2">
        <v>45345</v>
      </c>
      <c r="B1044" s="3">
        <v>5088.8</v>
      </c>
      <c r="C1044" s="3">
        <v>105.63</v>
      </c>
      <c r="D1044" s="3">
        <v>39.630000000000003</v>
      </c>
      <c r="E1044" s="10">
        <f t="shared" si="49"/>
        <v>3.4794369209547351E-4</v>
      </c>
      <c r="F1044" s="10">
        <f t="shared" si="50"/>
        <v>5.2341073467833763E-3</v>
      </c>
      <c r="G1044" s="10">
        <f t="shared" si="51"/>
        <v>7.3716319267920468E-3</v>
      </c>
    </row>
    <row r="1045" spans="1:7" x14ac:dyDescent="0.35">
      <c r="A1045" s="2">
        <v>45348</v>
      </c>
      <c r="B1045" s="3">
        <v>5069.53</v>
      </c>
      <c r="C1045" s="3">
        <v>104.54</v>
      </c>
      <c r="D1045" s="3">
        <v>39.79</v>
      </c>
      <c r="E1045" s="10">
        <f t="shared" si="49"/>
        <v>-3.7867473667663174E-3</v>
      </c>
      <c r="F1045" s="10">
        <f t="shared" si="50"/>
        <v>-1.0319038152040038E-2</v>
      </c>
      <c r="G1045" s="10">
        <f t="shared" si="51"/>
        <v>4.0373454453695827E-3</v>
      </c>
    </row>
    <row r="1046" spans="1:7" x14ac:dyDescent="0.35">
      <c r="A1046" s="2">
        <v>45349</v>
      </c>
      <c r="B1046" s="3">
        <v>5078.18</v>
      </c>
      <c r="C1046" s="3">
        <v>105.15</v>
      </c>
      <c r="D1046" s="3">
        <v>40.18</v>
      </c>
      <c r="E1046" s="10">
        <f t="shared" si="49"/>
        <v>1.7062725735917425E-3</v>
      </c>
      <c r="F1046" s="10">
        <f t="shared" si="50"/>
        <v>5.8350870480198911E-3</v>
      </c>
      <c r="G1046" s="10">
        <f t="shared" si="51"/>
        <v>9.8014576526765668E-3</v>
      </c>
    </row>
    <row r="1047" spans="1:7" x14ac:dyDescent="0.35">
      <c r="A1047" s="2">
        <v>45350</v>
      </c>
      <c r="B1047" s="3">
        <v>5069.76</v>
      </c>
      <c r="C1047" s="3">
        <v>104.35</v>
      </c>
      <c r="D1047" s="3">
        <v>40.630000000000003</v>
      </c>
      <c r="E1047" s="10">
        <f t="shared" si="49"/>
        <v>-1.6580743494716754E-3</v>
      </c>
      <c r="F1047" s="10">
        <f t="shared" si="50"/>
        <v>-7.6081787922017245E-3</v>
      </c>
      <c r="G1047" s="10">
        <f t="shared" si="51"/>
        <v>1.1199601791936357E-2</v>
      </c>
    </row>
    <row r="1048" spans="1:7" x14ac:dyDescent="0.35">
      <c r="A1048" s="2">
        <v>45351</v>
      </c>
      <c r="B1048" s="3">
        <v>5096.2700000000004</v>
      </c>
      <c r="C1048" s="3">
        <v>103.93</v>
      </c>
      <c r="D1048" s="3">
        <v>40.98</v>
      </c>
      <c r="E1048" s="10">
        <f t="shared" si="49"/>
        <v>5.2290443729092143E-3</v>
      </c>
      <c r="F1048" s="10">
        <f t="shared" si="50"/>
        <v>-4.024916147580139E-3</v>
      </c>
      <c r="G1048" s="10">
        <f t="shared" si="51"/>
        <v>8.6143243908440633E-3</v>
      </c>
    </row>
    <row r="1049" spans="1:7" x14ac:dyDescent="0.35">
      <c r="A1049" s="2">
        <v>45352</v>
      </c>
      <c r="B1049" s="3">
        <v>5137.08</v>
      </c>
      <c r="C1049" s="3">
        <v>101.88</v>
      </c>
      <c r="D1049" s="3">
        <v>40.99</v>
      </c>
      <c r="E1049" s="10">
        <f t="shared" si="49"/>
        <v>8.0078174821976641E-3</v>
      </c>
      <c r="F1049" s="10">
        <f t="shared" si="50"/>
        <v>-1.9724814779178403E-2</v>
      </c>
      <c r="G1049" s="10">
        <f t="shared" si="51"/>
        <v>2.4402147388982715E-4</v>
      </c>
    </row>
    <row r="1050" spans="1:7" x14ac:dyDescent="0.35">
      <c r="A1050" s="2">
        <v>45355</v>
      </c>
      <c r="B1050" s="3">
        <v>5130.95</v>
      </c>
      <c r="C1050" s="3">
        <v>99.54</v>
      </c>
      <c r="D1050" s="3">
        <v>40.93</v>
      </c>
      <c r="E1050" s="10">
        <f t="shared" si="49"/>
        <v>-1.1932849011500909E-3</v>
      </c>
      <c r="F1050" s="10">
        <f t="shared" si="50"/>
        <v>-2.2968197879858553E-2</v>
      </c>
      <c r="G1050" s="10">
        <f t="shared" si="51"/>
        <v>-1.4637716516224023E-3</v>
      </c>
    </row>
    <row r="1051" spans="1:7" x14ac:dyDescent="0.35">
      <c r="A1051" s="2">
        <v>45356</v>
      </c>
      <c r="B1051" s="3">
        <v>5078.6499999999996</v>
      </c>
      <c r="C1051" s="3">
        <v>98.31</v>
      </c>
      <c r="D1051" s="3">
        <v>40.65</v>
      </c>
      <c r="E1051" s="10">
        <f t="shared" si="49"/>
        <v>-1.019304417310638E-2</v>
      </c>
      <c r="F1051" s="10">
        <f t="shared" si="50"/>
        <v>-1.2356841470765561E-2</v>
      </c>
      <c r="G1051" s="10">
        <f t="shared" si="51"/>
        <v>-6.8409479599316186E-3</v>
      </c>
    </row>
    <row r="1052" spans="1:7" x14ac:dyDescent="0.35">
      <c r="A1052" s="2">
        <v>45357</v>
      </c>
      <c r="B1052" s="3">
        <v>5104.76</v>
      </c>
      <c r="C1052" s="3">
        <v>97.63</v>
      </c>
      <c r="D1052" s="3">
        <v>40.15</v>
      </c>
      <c r="E1052" s="10">
        <f t="shared" si="49"/>
        <v>5.1411300247114064E-3</v>
      </c>
      <c r="F1052" s="10">
        <f t="shared" si="50"/>
        <v>-6.9168955345336874E-3</v>
      </c>
      <c r="G1052" s="10">
        <f t="shared" si="51"/>
        <v>-1.2300123001230012E-2</v>
      </c>
    </row>
    <row r="1053" spans="1:7" x14ac:dyDescent="0.35">
      <c r="A1053" s="2">
        <v>45358</v>
      </c>
      <c r="B1053" s="3">
        <v>5157.3599999999997</v>
      </c>
      <c r="C1053" s="3">
        <v>98.19</v>
      </c>
      <c r="D1053" s="3">
        <v>39.35</v>
      </c>
      <c r="E1053" s="10">
        <f t="shared" si="49"/>
        <v>1.0304108322428372E-2</v>
      </c>
      <c r="F1053" s="10">
        <f t="shared" si="50"/>
        <v>5.7359418211615516E-3</v>
      </c>
      <c r="G1053" s="10">
        <f t="shared" si="51"/>
        <v>-1.9925280199252732E-2</v>
      </c>
    </row>
    <row r="1054" spans="1:7" x14ac:dyDescent="0.35">
      <c r="A1054" s="2">
        <v>45359</v>
      </c>
      <c r="B1054" s="3">
        <v>5123.6899999999996</v>
      </c>
      <c r="C1054" s="3">
        <v>99.16</v>
      </c>
      <c r="D1054" s="3">
        <v>39.5</v>
      </c>
      <c r="E1054" s="10">
        <f t="shared" si="49"/>
        <v>-6.5285339786247372E-3</v>
      </c>
      <c r="F1054" s="10">
        <f t="shared" si="50"/>
        <v>9.8788063957633045E-3</v>
      </c>
      <c r="G1054" s="10">
        <f t="shared" si="51"/>
        <v>3.8119440914866219E-3</v>
      </c>
    </row>
    <row r="1055" spans="1:7" x14ac:dyDescent="0.35">
      <c r="A1055" s="2">
        <v>45362</v>
      </c>
      <c r="B1055" s="3">
        <v>5117.9399999999996</v>
      </c>
      <c r="C1055" s="3">
        <v>101.08</v>
      </c>
      <c r="D1055" s="3">
        <v>39.53</v>
      </c>
      <c r="E1055" s="10">
        <f t="shared" si="49"/>
        <v>-1.1222380745127048E-3</v>
      </c>
      <c r="F1055" s="10">
        <f t="shared" si="50"/>
        <v>1.936264622831789E-2</v>
      </c>
      <c r="G1055" s="10">
        <f t="shared" si="51"/>
        <v>7.5949367088610478E-4</v>
      </c>
    </row>
    <row r="1056" spans="1:7" x14ac:dyDescent="0.35">
      <c r="A1056" s="2">
        <v>45363</v>
      </c>
      <c r="B1056" s="3">
        <v>5175.2700000000004</v>
      </c>
      <c r="C1056" s="3">
        <v>100.18</v>
      </c>
      <c r="D1056" s="3">
        <v>39.21</v>
      </c>
      <c r="E1056" s="10">
        <f t="shared" si="49"/>
        <v>1.1201772588189943E-2</v>
      </c>
      <c r="F1056" s="10">
        <f t="shared" si="50"/>
        <v>-8.9038385437276556E-3</v>
      </c>
      <c r="G1056" s="10">
        <f t="shared" si="51"/>
        <v>-8.0951176321780987E-3</v>
      </c>
    </row>
    <row r="1057" spans="1:7" x14ac:dyDescent="0.35">
      <c r="A1057" s="2">
        <v>45364</v>
      </c>
      <c r="B1057" s="3">
        <v>5165.3100000000004</v>
      </c>
      <c r="C1057" s="3">
        <v>101.36</v>
      </c>
      <c r="D1057" s="3">
        <v>40.26</v>
      </c>
      <c r="E1057" s="10">
        <f t="shared" si="49"/>
        <v>-1.9245372705192262E-3</v>
      </c>
      <c r="F1057" s="10">
        <f t="shared" si="50"/>
        <v>1.1778798163305975E-2</v>
      </c>
      <c r="G1057" s="10">
        <f t="shared" si="51"/>
        <v>2.6778882938025942E-2</v>
      </c>
    </row>
    <row r="1058" spans="1:7" x14ac:dyDescent="0.35">
      <c r="A1058" s="2">
        <v>45365</v>
      </c>
      <c r="B1058" s="3">
        <v>5150.4799999999996</v>
      </c>
      <c r="C1058" s="3">
        <v>100.26</v>
      </c>
      <c r="D1058" s="3">
        <v>39.380000000000003</v>
      </c>
      <c r="E1058" s="10">
        <f t="shared" si="49"/>
        <v>-2.8710764697570594E-3</v>
      </c>
      <c r="F1058" s="10">
        <f t="shared" si="50"/>
        <v>-1.0852407261246984E-2</v>
      </c>
      <c r="G1058" s="10">
        <f t="shared" si="51"/>
        <v>-2.1857923497267649E-2</v>
      </c>
    </row>
    <row r="1059" spans="1:7" x14ac:dyDescent="0.35">
      <c r="A1059" s="2">
        <v>45366</v>
      </c>
      <c r="B1059" s="3">
        <v>5117.09</v>
      </c>
      <c r="C1059" s="3">
        <v>99.64</v>
      </c>
      <c r="D1059" s="3">
        <v>40.69</v>
      </c>
      <c r="E1059" s="10">
        <f t="shared" si="49"/>
        <v>-6.4828909150214005E-3</v>
      </c>
      <c r="F1059" s="10">
        <f t="shared" si="50"/>
        <v>-6.1839218033114358E-3</v>
      </c>
      <c r="G1059" s="10">
        <f t="shared" si="51"/>
        <v>3.3265617064499618E-2</v>
      </c>
    </row>
    <row r="1060" spans="1:7" x14ac:dyDescent="0.35">
      <c r="A1060" s="2">
        <v>45369</v>
      </c>
      <c r="B1060" s="3">
        <v>5149.42</v>
      </c>
      <c r="C1060" s="3">
        <v>98.74</v>
      </c>
      <c r="D1060" s="3">
        <v>40.82</v>
      </c>
      <c r="E1060" s="10">
        <f t="shared" si="49"/>
        <v>6.3180440445643766E-3</v>
      </c>
      <c r="F1060" s="10">
        <f t="shared" si="50"/>
        <v>-9.0325170614211723E-3</v>
      </c>
      <c r="G1060" s="10">
        <f t="shared" si="51"/>
        <v>3.1948881789138012E-3</v>
      </c>
    </row>
    <row r="1061" spans="1:7" x14ac:dyDescent="0.35">
      <c r="A1061" s="2">
        <v>45370</v>
      </c>
      <c r="B1061" s="3">
        <v>5178.51</v>
      </c>
      <c r="C1061" s="3">
        <v>99.96</v>
      </c>
      <c r="D1061" s="3">
        <v>41.51</v>
      </c>
      <c r="E1061" s="10">
        <f t="shared" si="49"/>
        <v>5.6491799076401122E-3</v>
      </c>
      <c r="F1061" s="10">
        <f t="shared" si="50"/>
        <v>1.2355681588008902E-2</v>
      </c>
      <c r="G1061" s="10">
        <f t="shared" si="51"/>
        <v>1.6903478686918123E-2</v>
      </c>
    </row>
    <row r="1062" spans="1:7" x14ac:dyDescent="0.35">
      <c r="A1062" s="2">
        <v>45371</v>
      </c>
      <c r="B1062" s="3">
        <v>5224.62</v>
      </c>
      <c r="C1062" s="3">
        <v>100.27</v>
      </c>
      <c r="D1062" s="3">
        <v>42.85</v>
      </c>
      <c r="E1062" s="10">
        <f t="shared" si="49"/>
        <v>8.9041056211148911E-3</v>
      </c>
      <c r="F1062" s="10">
        <f t="shared" si="50"/>
        <v>3.1012404961985023E-3</v>
      </c>
      <c r="G1062" s="10">
        <f t="shared" si="51"/>
        <v>3.2281377981209433E-2</v>
      </c>
    </row>
    <row r="1063" spans="1:7" x14ac:dyDescent="0.35">
      <c r="A1063" s="2">
        <v>45372</v>
      </c>
      <c r="B1063" s="3">
        <v>5241.53</v>
      </c>
      <c r="C1063" s="3">
        <v>100.82</v>
      </c>
      <c r="D1063" s="3">
        <v>43.42</v>
      </c>
      <c r="E1063" s="10">
        <f t="shared" si="49"/>
        <v>3.2365990253836363E-3</v>
      </c>
      <c r="F1063" s="10">
        <f t="shared" si="50"/>
        <v>5.4851899870349777E-3</v>
      </c>
      <c r="G1063" s="10">
        <f t="shared" si="51"/>
        <v>1.3302217036172702E-2</v>
      </c>
    </row>
    <row r="1064" spans="1:7" x14ac:dyDescent="0.35">
      <c r="A1064" s="2">
        <v>45373</v>
      </c>
      <c r="B1064" s="3">
        <v>5234.18</v>
      </c>
      <c r="C1064" s="3">
        <v>93.86</v>
      </c>
      <c r="D1064" s="3">
        <v>43.06</v>
      </c>
      <c r="E1064" s="10">
        <f t="shared" si="49"/>
        <v>-1.4022623165372429E-3</v>
      </c>
      <c r="F1064" s="10">
        <f t="shared" si="50"/>
        <v>-6.9033921840904525E-2</v>
      </c>
      <c r="G1064" s="10">
        <f t="shared" si="51"/>
        <v>-8.2911100875172599E-3</v>
      </c>
    </row>
    <row r="1065" spans="1:7" x14ac:dyDescent="0.35">
      <c r="A1065" s="2">
        <v>45376</v>
      </c>
      <c r="B1065" s="3">
        <v>5218.1899999999996</v>
      </c>
      <c r="C1065" s="3">
        <v>93.75</v>
      </c>
      <c r="D1065" s="3">
        <v>43.55</v>
      </c>
      <c r="E1065" s="10">
        <f t="shared" si="49"/>
        <v>-3.054919777310045E-3</v>
      </c>
      <c r="F1065" s="10">
        <f t="shared" si="50"/>
        <v>-1.171958235670141E-3</v>
      </c>
      <c r="G1065" s="10">
        <f t="shared" si="51"/>
        <v>1.13794705062702E-2</v>
      </c>
    </row>
    <row r="1066" spans="1:7" x14ac:dyDescent="0.35">
      <c r="A1066" s="2">
        <v>45377</v>
      </c>
      <c r="B1066" s="3">
        <v>5203.58</v>
      </c>
      <c r="C1066" s="3">
        <v>92.58</v>
      </c>
      <c r="D1066" s="3">
        <v>44</v>
      </c>
      <c r="E1066" s="10">
        <f t="shared" si="49"/>
        <v>-2.7998213940082046E-3</v>
      </c>
      <c r="F1066" s="10">
        <f t="shared" si="50"/>
        <v>-1.2480000000000019E-2</v>
      </c>
      <c r="G1066" s="10">
        <f t="shared" si="51"/>
        <v>1.0332950631458161E-2</v>
      </c>
    </row>
    <row r="1067" spans="1:7" x14ac:dyDescent="0.35">
      <c r="A1067" s="2">
        <v>45378</v>
      </c>
      <c r="B1067" s="3">
        <v>5248.49</v>
      </c>
      <c r="C1067" s="3">
        <v>94.13</v>
      </c>
      <c r="D1067" s="3">
        <v>44.59</v>
      </c>
      <c r="E1067" s="10">
        <f t="shared" si="49"/>
        <v>8.6305966277062818E-3</v>
      </c>
      <c r="F1067" s="10">
        <f t="shared" si="50"/>
        <v>1.6742276949665125E-2</v>
      </c>
      <c r="G1067" s="10">
        <f t="shared" si="51"/>
        <v>1.3409090909090987E-2</v>
      </c>
    </row>
    <row r="1068" spans="1:7" x14ac:dyDescent="0.35">
      <c r="A1068" s="2">
        <v>45379</v>
      </c>
      <c r="B1068" s="3">
        <v>5254.35</v>
      </c>
      <c r="C1068" s="3">
        <v>93.98</v>
      </c>
      <c r="D1068" s="3">
        <v>45.35</v>
      </c>
      <c r="E1068" s="10">
        <f t="shared" si="49"/>
        <v>1.1165116061954167E-3</v>
      </c>
      <c r="F1068" s="10">
        <f t="shared" si="50"/>
        <v>-1.5935408477636406E-3</v>
      </c>
      <c r="G1068" s="10">
        <f t="shared" si="51"/>
        <v>1.7044180309486387E-2</v>
      </c>
    </row>
    <row r="1069" spans="1:7" x14ac:dyDescent="0.35">
      <c r="A1069" s="2">
        <v>45383</v>
      </c>
      <c r="B1069" s="3">
        <v>5243.77</v>
      </c>
      <c r="C1069" s="3">
        <v>92.56</v>
      </c>
      <c r="D1069" s="3">
        <v>45.4</v>
      </c>
      <c r="E1069" s="10">
        <f t="shared" si="49"/>
        <v>-2.0135697089078432E-3</v>
      </c>
      <c r="F1069" s="10">
        <f t="shared" si="50"/>
        <v>-1.5109597786763159E-2</v>
      </c>
      <c r="G1069" s="10">
        <f t="shared" si="51"/>
        <v>1.1025358324144908E-3</v>
      </c>
    </row>
    <row r="1070" spans="1:7" x14ac:dyDescent="0.35">
      <c r="A1070" s="2">
        <v>45384</v>
      </c>
      <c r="B1070" s="3">
        <v>5205.8100000000004</v>
      </c>
      <c r="C1070" s="3">
        <v>90.95</v>
      </c>
      <c r="D1070" s="3">
        <v>44.89</v>
      </c>
      <c r="E1070" s="10">
        <f t="shared" si="49"/>
        <v>-7.2390665494482089E-3</v>
      </c>
      <c r="F1070" s="10">
        <f t="shared" si="50"/>
        <v>-1.7394122731201375E-2</v>
      </c>
      <c r="G1070" s="10">
        <f t="shared" si="51"/>
        <v>-1.1233480176211411E-2</v>
      </c>
    </row>
    <row r="1071" spans="1:7" x14ac:dyDescent="0.35">
      <c r="A1071" s="2">
        <v>45385</v>
      </c>
      <c r="B1071" s="3">
        <v>5211.49</v>
      </c>
      <c r="C1071" s="3">
        <v>90.33</v>
      </c>
      <c r="D1071" s="3">
        <v>45.17</v>
      </c>
      <c r="E1071" s="10">
        <f t="shared" si="49"/>
        <v>1.0910886106099496E-3</v>
      </c>
      <c r="F1071" s="10">
        <f t="shared" si="50"/>
        <v>-6.8169323804288572E-3</v>
      </c>
      <c r="G1071" s="10">
        <f t="shared" si="51"/>
        <v>6.2374693695700853E-3</v>
      </c>
    </row>
    <row r="1072" spans="1:7" x14ac:dyDescent="0.35">
      <c r="A1072" s="2">
        <v>45386</v>
      </c>
      <c r="B1072" s="3">
        <v>5147.21</v>
      </c>
      <c r="C1072" s="3">
        <v>89.07</v>
      </c>
      <c r="D1072" s="3">
        <v>43.68</v>
      </c>
      <c r="E1072" s="10">
        <f t="shared" si="49"/>
        <v>-1.2334284436888443E-2</v>
      </c>
      <c r="F1072" s="10">
        <f t="shared" si="50"/>
        <v>-1.3948854201262096E-2</v>
      </c>
      <c r="G1072" s="10">
        <f t="shared" si="51"/>
        <v>-3.2986495461589591E-2</v>
      </c>
    </row>
    <row r="1073" spans="1:7" x14ac:dyDescent="0.35">
      <c r="A1073" s="2">
        <v>45387</v>
      </c>
      <c r="B1073" s="3">
        <v>5204.34</v>
      </c>
      <c r="C1073" s="3">
        <v>88.84</v>
      </c>
      <c r="D1073" s="3">
        <v>44.23</v>
      </c>
      <c r="E1073" s="10">
        <f t="shared" si="49"/>
        <v>1.1099216857287755E-2</v>
      </c>
      <c r="F1073" s="10">
        <f t="shared" si="50"/>
        <v>-2.5822386886717166E-3</v>
      </c>
      <c r="G1073" s="10">
        <f t="shared" si="51"/>
        <v>1.2591575091575026E-2</v>
      </c>
    </row>
    <row r="1074" spans="1:7" x14ac:dyDescent="0.35">
      <c r="A1074" s="2">
        <v>45390</v>
      </c>
      <c r="B1074" s="3">
        <v>5202.3900000000003</v>
      </c>
      <c r="C1074" s="3">
        <v>90</v>
      </c>
      <c r="D1074" s="3">
        <v>44.34</v>
      </c>
      <c r="E1074" s="10">
        <f t="shared" si="49"/>
        <v>-3.7468728023146413E-4</v>
      </c>
      <c r="F1074" s="10">
        <f t="shared" si="50"/>
        <v>1.305718144979735E-2</v>
      </c>
      <c r="G1074" s="10">
        <f t="shared" si="51"/>
        <v>2.4869997739092593E-3</v>
      </c>
    </row>
    <row r="1075" spans="1:7" x14ac:dyDescent="0.35">
      <c r="A1075" s="2">
        <v>45391</v>
      </c>
      <c r="B1075" s="3">
        <v>5209.91</v>
      </c>
      <c r="C1075" s="3">
        <v>91</v>
      </c>
      <c r="D1075" s="3">
        <v>44.73</v>
      </c>
      <c r="E1075" s="10">
        <f t="shared" si="49"/>
        <v>1.4454894769518483E-3</v>
      </c>
      <c r="F1075" s="10">
        <f t="shared" si="50"/>
        <v>1.1111111111111112E-2</v>
      </c>
      <c r="G1075" s="10">
        <f t="shared" si="51"/>
        <v>8.7956698240864561E-3</v>
      </c>
    </row>
    <row r="1076" spans="1:7" x14ac:dyDescent="0.35">
      <c r="A1076" s="2">
        <v>45392</v>
      </c>
      <c r="B1076" s="3">
        <v>5160.6400000000003</v>
      </c>
      <c r="C1076" s="3">
        <v>89</v>
      </c>
      <c r="D1076" s="3">
        <v>43.94</v>
      </c>
      <c r="E1076" s="10">
        <f t="shared" si="49"/>
        <v>-9.456977183866809E-3</v>
      </c>
      <c r="F1076" s="10">
        <f t="shared" si="50"/>
        <v>-2.197802197802198E-2</v>
      </c>
      <c r="G1076" s="10">
        <f t="shared" si="51"/>
        <v>-1.7661524703778207E-2</v>
      </c>
    </row>
    <row r="1077" spans="1:7" x14ac:dyDescent="0.35">
      <c r="A1077" s="2">
        <v>45393</v>
      </c>
      <c r="B1077" s="3">
        <v>5199.0600000000004</v>
      </c>
      <c r="C1077" s="3">
        <v>92</v>
      </c>
      <c r="D1077" s="3">
        <v>43.84</v>
      </c>
      <c r="E1077" s="10">
        <f t="shared" si="49"/>
        <v>7.4448130464438659E-3</v>
      </c>
      <c r="F1077" s="10">
        <f t="shared" si="50"/>
        <v>3.3707865168539325E-2</v>
      </c>
      <c r="G1077" s="10">
        <f t="shared" si="51"/>
        <v>-2.2758306781974127E-3</v>
      </c>
    </row>
    <row r="1078" spans="1:7" x14ac:dyDescent="0.35">
      <c r="A1078" s="2">
        <v>45394</v>
      </c>
      <c r="B1078" s="3">
        <v>5123.41</v>
      </c>
      <c r="C1078" s="3">
        <v>92</v>
      </c>
      <c r="D1078" s="3">
        <v>43.08</v>
      </c>
      <c r="E1078" s="10">
        <f t="shared" si="49"/>
        <v>-1.4550707243232534E-2</v>
      </c>
      <c r="F1078" s="10">
        <f t="shared" si="50"/>
        <v>0</v>
      </c>
      <c r="G1078" s="10">
        <f t="shared" si="51"/>
        <v>-1.7335766423357778E-2</v>
      </c>
    </row>
    <row r="1079" spans="1:7" x14ac:dyDescent="0.35">
      <c r="A1079" s="2">
        <v>45397</v>
      </c>
      <c r="B1079" s="3">
        <v>5061.82</v>
      </c>
      <c r="C1079" s="3">
        <v>93.1</v>
      </c>
      <c r="D1079" s="3">
        <v>42.69</v>
      </c>
      <c r="E1079" s="10">
        <f t="shared" si="49"/>
        <v>-1.2021290507689244E-2</v>
      </c>
      <c r="F1079" s="10">
        <f t="shared" si="50"/>
        <v>1.1956521739130373E-2</v>
      </c>
      <c r="G1079" s="10">
        <f t="shared" si="51"/>
        <v>-9.0529247910863652E-3</v>
      </c>
    </row>
    <row r="1080" spans="1:7" x14ac:dyDescent="0.35">
      <c r="A1080" s="2">
        <v>45398</v>
      </c>
      <c r="B1080" s="3">
        <v>5051.41</v>
      </c>
      <c r="C1080" s="3">
        <v>93.39</v>
      </c>
      <c r="D1080" s="3">
        <v>42.66</v>
      </c>
      <c r="E1080" s="10">
        <f t="shared" si="49"/>
        <v>-2.0565725371506404E-3</v>
      </c>
      <c r="F1080" s="10">
        <f t="shared" si="50"/>
        <v>3.1149301825994227E-3</v>
      </c>
      <c r="G1080" s="10">
        <f t="shared" si="51"/>
        <v>-7.0274068868590158E-4</v>
      </c>
    </row>
    <row r="1081" spans="1:7" x14ac:dyDescent="0.35">
      <c r="A1081" s="2">
        <v>45399</v>
      </c>
      <c r="B1081" s="3">
        <v>5022.21</v>
      </c>
      <c r="C1081" s="3">
        <v>94.84</v>
      </c>
      <c r="D1081" s="3">
        <v>42.46</v>
      </c>
      <c r="E1081" s="10">
        <f t="shared" si="49"/>
        <v>-5.7805642384997098E-3</v>
      </c>
      <c r="F1081" s="10">
        <f t="shared" si="50"/>
        <v>1.5526287611093295E-2</v>
      </c>
      <c r="G1081" s="10">
        <f t="shared" si="51"/>
        <v>-4.6882325363337028E-3</v>
      </c>
    </row>
    <row r="1082" spans="1:7" x14ac:dyDescent="0.35">
      <c r="A1082" s="2">
        <v>45400</v>
      </c>
      <c r="B1082" s="3">
        <v>5011.12</v>
      </c>
      <c r="C1082" s="3">
        <v>95.74</v>
      </c>
      <c r="D1082" s="3">
        <v>42.44</v>
      </c>
      <c r="E1082" s="10">
        <f t="shared" si="49"/>
        <v>-2.2081912146246665E-3</v>
      </c>
      <c r="F1082" s="10">
        <f t="shared" si="50"/>
        <v>9.489666807254233E-3</v>
      </c>
      <c r="G1082" s="10">
        <f t="shared" si="51"/>
        <v>-4.710315591145343E-4</v>
      </c>
    </row>
    <row r="1083" spans="1:7" x14ac:dyDescent="0.35">
      <c r="A1083" s="2">
        <v>45401</v>
      </c>
      <c r="B1083" s="3">
        <v>4967.2299999999996</v>
      </c>
      <c r="C1083" s="3">
        <v>94.53</v>
      </c>
      <c r="D1083" s="3">
        <v>42.37</v>
      </c>
      <c r="E1083" s="10">
        <f t="shared" si="49"/>
        <v>-8.7585210491866738E-3</v>
      </c>
      <c r="F1083" s="10">
        <f t="shared" si="50"/>
        <v>-1.263839565489862E-2</v>
      </c>
      <c r="G1083" s="10">
        <f t="shared" si="51"/>
        <v>-1.6493873704052848E-3</v>
      </c>
    </row>
    <row r="1084" spans="1:7" x14ac:dyDescent="0.35">
      <c r="A1084" s="2">
        <v>45404</v>
      </c>
      <c r="B1084" s="3">
        <v>5010.6000000000004</v>
      </c>
      <c r="C1084" s="3">
        <v>94.19</v>
      </c>
      <c r="D1084" s="3">
        <v>43.21</v>
      </c>
      <c r="E1084" s="10">
        <f t="shared" si="49"/>
        <v>8.7312244450127741E-3</v>
      </c>
      <c r="F1084" s="10">
        <f t="shared" si="50"/>
        <v>-3.5967417750978887E-3</v>
      </c>
      <c r="G1084" s="10">
        <f t="shared" si="51"/>
        <v>1.9825348123672492E-2</v>
      </c>
    </row>
    <row r="1085" spans="1:7" x14ac:dyDescent="0.35">
      <c r="A1085" s="2">
        <v>45405</v>
      </c>
      <c r="B1085" s="3">
        <v>5070.55</v>
      </c>
      <c r="C1085" s="3">
        <v>94.02</v>
      </c>
      <c r="D1085" s="3">
        <v>45.1</v>
      </c>
      <c r="E1085" s="10">
        <f t="shared" si="49"/>
        <v>1.1964634973855389E-2</v>
      </c>
      <c r="F1085" s="10">
        <f t="shared" si="50"/>
        <v>-1.8048625119439611E-3</v>
      </c>
      <c r="G1085" s="10">
        <f t="shared" si="51"/>
        <v>4.3739875028928503E-2</v>
      </c>
    </row>
    <row r="1086" spans="1:7" x14ac:dyDescent="0.35">
      <c r="A1086" s="2">
        <v>45406</v>
      </c>
      <c r="B1086" s="3">
        <v>5071.63</v>
      </c>
      <c r="C1086" s="3">
        <v>94.64</v>
      </c>
      <c r="D1086" s="3">
        <v>45.08</v>
      </c>
      <c r="E1086" s="10">
        <f t="shared" si="49"/>
        <v>2.1299464555125721E-4</v>
      </c>
      <c r="F1086" s="10">
        <f t="shared" si="50"/>
        <v>6.5943416294405935E-3</v>
      </c>
      <c r="G1086" s="10">
        <f t="shared" si="51"/>
        <v>-4.4345898004441523E-4</v>
      </c>
    </row>
    <row r="1087" spans="1:7" x14ac:dyDescent="0.35">
      <c r="A1087" s="2">
        <v>45407</v>
      </c>
      <c r="B1087" s="3">
        <v>5048.42</v>
      </c>
      <c r="C1087" s="3">
        <v>93.94</v>
      </c>
      <c r="D1087" s="3">
        <v>45.62</v>
      </c>
      <c r="E1087" s="10">
        <f t="shared" si="49"/>
        <v>-4.5764379499293201E-3</v>
      </c>
      <c r="F1087" s="10">
        <f t="shared" si="50"/>
        <v>-7.3964497041420418E-3</v>
      </c>
      <c r="G1087" s="10">
        <f t="shared" si="51"/>
        <v>1.1978704525288358E-2</v>
      </c>
    </row>
    <row r="1088" spans="1:7" x14ac:dyDescent="0.35">
      <c r="A1088" s="2">
        <v>45408</v>
      </c>
      <c r="B1088" s="3">
        <v>5099.96</v>
      </c>
      <c r="C1088" s="3">
        <v>94.12</v>
      </c>
      <c r="D1088" s="3">
        <v>45.84</v>
      </c>
      <c r="E1088" s="10">
        <f t="shared" si="49"/>
        <v>1.0209134739185718E-2</v>
      </c>
      <c r="F1088" s="10">
        <f t="shared" si="50"/>
        <v>1.9161166702151035E-3</v>
      </c>
      <c r="G1088" s="10">
        <f t="shared" si="51"/>
        <v>4.8224462954845676E-3</v>
      </c>
    </row>
    <row r="1089" spans="1:7" x14ac:dyDescent="0.35">
      <c r="A1089" s="2">
        <v>45411</v>
      </c>
      <c r="B1089" s="3">
        <v>5116.17</v>
      </c>
      <c r="C1089" s="3">
        <v>94.06</v>
      </c>
      <c r="D1089" s="3">
        <v>46.04</v>
      </c>
      <c r="E1089" s="10">
        <f t="shared" si="49"/>
        <v>3.1784563016180592E-3</v>
      </c>
      <c r="F1089" s="10">
        <f t="shared" si="50"/>
        <v>-6.3748406289845165E-4</v>
      </c>
      <c r="G1089" s="10">
        <f t="shared" si="51"/>
        <v>4.3630017452006044E-3</v>
      </c>
    </row>
    <row r="1090" spans="1:7" x14ac:dyDescent="0.35">
      <c r="A1090" s="2">
        <v>45412</v>
      </c>
      <c r="B1090" s="3">
        <v>5035.6899999999996</v>
      </c>
      <c r="C1090" s="3">
        <v>92.26</v>
      </c>
      <c r="D1090" s="3">
        <v>44.53</v>
      </c>
      <c r="E1090" s="10">
        <f t="shared" si="49"/>
        <v>-1.5730517164206911E-2</v>
      </c>
      <c r="F1090" s="10">
        <f t="shared" si="50"/>
        <v>-1.9136721241760548E-2</v>
      </c>
      <c r="G1090" s="10">
        <f t="shared" si="51"/>
        <v>-3.2797567332754081E-2</v>
      </c>
    </row>
    <row r="1091" spans="1:7" x14ac:dyDescent="0.35">
      <c r="A1091" s="2">
        <v>45413</v>
      </c>
      <c r="B1091" s="3">
        <v>5018.3900000000003</v>
      </c>
      <c r="C1091" s="3">
        <v>90.34</v>
      </c>
      <c r="D1091" s="3">
        <v>44.47</v>
      </c>
      <c r="E1091" s="10">
        <f t="shared" si="49"/>
        <v>-3.4354775611682357E-3</v>
      </c>
      <c r="F1091" s="10">
        <f t="shared" si="50"/>
        <v>-2.0810752221981376E-2</v>
      </c>
      <c r="G1091" s="10">
        <f t="shared" si="51"/>
        <v>-1.3474062429823103E-3</v>
      </c>
    </row>
    <row r="1092" spans="1:7" x14ac:dyDescent="0.35">
      <c r="A1092" s="2">
        <v>45414</v>
      </c>
      <c r="B1092" s="3">
        <v>5064.2</v>
      </c>
      <c r="C1092" s="3">
        <v>92.41</v>
      </c>
      <c r="D1092" s="3">
        <v>44.67</v>
      </c>
      <c r="E1092" s="10">
        <f t="shared" ref="E1092:E1155" si="52">(B1092-B1091)/B1091</f>
        <v>9.128425650457515E-3</v>
      </c>
      <c r="F1092" s="10">
        <f t="shared" ref="F1092:F1155" si="53">(C1092-C1091)/C1091</f>
        <v>2.2913438122647699E-2</v>
      </c>
      <c r="G1092" s="10">
        <f t="shared" ref="G1092:G1155" si="54">(D1092-D1091)/D1091</f>
        <v>4.4974139869575639E-3</v>
      </c>
    </row>
    <row r="1093" spans="1:7" x14ac:dyDescent="0.35">
      <c r="A1093" s="2">
        <v>45415</v>
      </c>
      <c r="B1093" s="3">
        <v>5127.79</v>
      </c>
      <c r="C1093" s="3">
        <v>92.15</v>
      </c>
      <c r="D1093" s="3">
        <v>44.86</v>
      </c>
      <c r="E1093" s="10">
        <f t="shared" si="52"/>
        <v>1.2556771059594832E-2</v>
      </c>
      <c r="F1093" s="10">
        <f t="shared" si="53"/>
        <v>-2.8135483172815811E-3</v>
      </c>
      <c r="G1093" s="10">
        <f t="shared" si="54"/>
        <v>4.2534139243339542E-3</v>
      </c>
    </row>
    <row r="1094" spans="1:7" x14ac:dyDescent="0.35">
      <c r="A1094" s="2">
        <v>45418</v>
      </c>
      <c r="B1094" s="3">
        <v>5180.74</v>
      </c>
      <c r="C1094" s="3">
        <v>93.36</v>
      </c>
      <c r="D1094" s="3">
        <v>45.06</v>
      </c>
      <c r="E1094" s="10">
        <f t="shared" si="52"/>
        <v>1.0326085896653299E-2</v>
      </c>
      <c r="F1094" s="10">
        <f t="shared" si="53"/>
        <v>1.3130765056972259E-2</v>
      </c>
      <c r="G1094" s="10">
        <f t="shared" si="54"/>
        <v>4.4583147570219092E-3</v>
      </c>
    </row>
    <row r="1095" spans="1:7" x14ac:dyDescent="0.35">
      <c r="A1095" s="2">
        <v>45419</v>
      </c>
      <c r="B1095" s="3">
        <v>5187.7</v>
      </c>
      <c r="C1095" s="3">
        <v>93.78</v>
      </c>
      <c r="D1095" s="3">
        <v>45.28</v>
      </c>
      <c r="E1095" s="10">
        <f t="shared" si="52"/>
        <v>1.3434374239973512E-3</v>
      </c>
      <c r="F1095" s="10">
        <f t="shared" si="53"/>
        <v>4.4987146529563166E-3</v>
      </c>
      <c r="G1095" s="10">
        <f t="shared" si="54"/>
        <v>4.8823790501553227E-3</v>
      </c>
    </row>
    <row r="1096" spans="1:7" x14ac:dyDescent="0.35">
      <c r="A1096" s="2">
        <v>45420</v>
      </c>
      <c r="B1096" s="3">
        <v>5187.67</v>
      </c>
      <c r="C1096" s="3">
        <v>93.59</v>
      </c>
      <c r="D1096" s="3">
        <v>45.05</v>
      </c>
      <c r="E1096" s="10">
        <f t="shared" si="52"/>
        <v>-5.7829095745215304E-6</v>
      </c>
      <c r="F1096" s="10">
        <f t="shared" si="53"/>
        <v>-2.0260183407975873E-3</v>
      </c>
      <c r="G1096" s="10">
        <f t="shared" si="54"/>
        <v>-5.079505300353445E-3</v>
      </c>
    </row>
    <row r="1097" spans="1:7" x14ac:dyDescent="0.35">
      <c r="A1097" s="2">
        <v>45421</v>
      </c>
      <c r="B1097" s="3">
        <v>5214.08</v>
      </c>
      <c r="C1097" s="3">
        <v>93.39</v>
      </c>
      <c r="D1097" s="3">
        <v>45.36</v>
      </c>
      <c r="E1097" s="10">
        <f t="shared" si="52"/>
        <v>5.0909175024625416E-3</v>
      </c>
      <c r="F1097" s="10">
        <f t="shared" si="53"/>
        <v>-2.1369804466289436E-3</v>
      </c>
      <c r="G1097" s="10">
        <f t="shared" si="54"/>
        <v>6.8812430632630922E-3</v>
      </c>
    </row>
    <row r="1098" spans="1:7" x14ac:dyDescent="0.35">
      <c r="A1098" s="2">
        <v>45422</v>
      </c>
      <c r="B1098" s="3">
        <v>5222.68</v>
      </c>
      <c r="C1098" s="3">
        <v>90.94</v>
      </c>
      <c r="D1098" s="3">
        <v>45.21</v>
      </c>
      <c r="E1098" s="10">
        <f t="shared" si="52"/>
        <v>1.6493801399288779E-3</v>
      </c>
      <c r="F1098" s="10">
        <f t="shared" si="53"/>
        <v>-2.623407217046796E-2</v>
      </c>
      <c r="G1098" s="10">
        <f t="shared" si="54"/>
        <v>-3.3068783068782755E-3</v>
      </c>
    </row>
    <row r="1099" spans="1:7" x14ac:dyDescent="0.35">
      <c r="A1099" s="2">
        <v>45425</v>
      </c>
      <c r="B1099" s="3">
        <v>5221.42</v>
      </c>
      <c r="C1099" s="3">
        <v>92.72</v>
      </c>
      <c r="D1099" s="3">
        <v>45.17</v>
      </c>
      <c r="E1099" s="10">
        <f t="shared" si="52"/>
        <v>-2.412554473948659E-4</v>
      </c>
      <c r="F1099" s="10">
        <f t="shared" si="53"/>
        <v>1.9573345062678701E-2</v>
      </c>
      <c r="G1099" s="10">
        <f t="shared" si="54"/>
        <v>-8.8476000884758126E-4</v>
      </c>
    </row>
    <row r="1100" spans="1:7" x14ac:dyDescent="0.35">
      <c r="A1100" s="2">
        <v>45426</v>
      </c>
      <c r="B1100" s="3">
        <v>5246.68</v>
      </c>
      <c r="C1100" s="3">
        <v>92.79</v>
      </c>
      <c r="D1100" s="3">
        <v>45.03</v>
      </c>
      <c r="E1100" s="10">
        <f t="shared" si="52"/>
        <v>4.8377644395586296E-3</v>
      </c>
      <c r="F1100" s="10">
        <f t="shared" si="53"/>
        <v>7.5496117342544638E-4</v>
      </c>
      <c r="G1100" s="10">
        <f t="shared" si="54"/>
        <v>-3.0994022581359434E-3</v>
      </c>
    </row>
    <row r="1101" spans="1:7" x14ac:dyDescent="0.35">
      <c r="A1101" s="2">
        <v>45427</v>
      </c>
      <c r="B1101" s="3">
        <v>5308.15</v>
      </c>
      <c r="C1101" s="3">
        <v>91.67</v>
      </c>
      <c r="D1101" s="3">
        <v>45.49</v>
      </c>
      <c r="E1101" s="10">
        <f t="shared" si="52"/>
        <v>1.17159803914093E-2</v>
      </c>
      <c r="F1101" s="10">
        <f t="shared" si="53"/>
        <v>-1.2070266192477686E-2</v>
      </c>
      <c r="G1101" s="10">
        <f t="shared" si="54"/>
        <v>1.0215411947590514E-2</v>
      </c>
    </row>
    <row r="1102" spans="1:7" x14ac:dyDescent="0.35">
      <c r="A1102" s="2">
        <v>45428</v>
      </c>
      <c r="B1102" s="3">
        <v>5297.1</v>
      </c>
      <c r="C1102" s="3">
        <v>91.77</v>
      </c>
      <c r="D1102" s="3">
        <v>45.87</v>
      </c>
      <c r="E1102" s="10">
        <f t="shared" si="52"/>
        <v>-2.0817045486655941E-3</v>
      </c>
      <c r="F1102" s="10">
        <f t="shared" si="53"/>
        <v>1.0908694229300132E-3</v>
      </c>
      <c r="G1102" s="10">
        <f t="shared" si="54"/>
        <v>8.3534842822597377E-3</v>
      </c>
    </row>
    <row r="1103" spans="1:7" x14ac:dyDescent="0.35">
      <c r="A1103" s="2">
        <v>45429</v>
      </c>
      <c r="B1103" s="3">
        <v>5303.27</v>
      </c>
      <c r="C1103" s="3">
        <v>92.18</v>
      </c>
      <c r="D1103" s="3">
        <v>45.76</v>
      </c>
      <c r="E1103" s="10">
        <f t="shared" si="52"/>
        <v>1.1647882803798441E-3</v>
      </c>
      <c r="F1103" s="10">
        <f t="shared" si="53"/>
        <v>4.4676909665469196E-3</v>
      </c>
      <c r="G1103" s="10">
        <f t="shared" si="54"/>
        <v>-2.3980815347721699E-3</v>
      </c>
    </row>
    <row r="1104" spans="1:7" x14ac:dyDescent="0.35">
      <c r="A1104" s="2">
        <v>45432</v>
      </c>
      <c r="B1104" s="3">
        <v>5308.13</v>
      </c>
      <c r="C1104" s="3">
        <v>91.77</v>
      </c>
      <c r="D1104" s="3">
        <v>45.11</v>
      </c>
      <c r="E1104" s="10">
        <f t="shared" si="52"/>
        <v>9.1641572086649786E-4</v>
      </c>
      <c r="F1104" s="10">
        <f t="shared" si="53"/>
        <v>-4.4478194836191235E-3</v>
      </c>
      <c r="G1104" s="10">
        <f t="shared" si="54"/>
        <v>-1.4204545454545425E-2</v>
      </c>
    </row>
    <row r="1105" spans="1:7" x14ac:dyDescent="0.35">
      <c r="A1105" s="2">
        <v>45433</v>
      </c>
      <c r="B1105" s="3">
        <v>5321.41</v>
      </c>
      <c r="C1105" s="3">
        <v>92.82</v>
      </c>
      <c r="D1105" s="3">
        <v>44.92</v>
      </c>
      <c r="E1105" s="10">
        <f t="shared" si="52"/>
        <v>2.5018226757821953E-3</v>
      </c>
      <c r="F1105" s="10">
        <f t="shared" si="53"/>
        <v>1.1441647597253975E-2</v>
      </c>
      <c r="G1105" s="10">
        <f t="shared" si="54"/>
        <v>-4.2119264021280812E-3</v>
      </c>
    </row>
    <row r="1106" spans="1:7" x14ac:dyDescent="0.35">
      <c r="A1106" s="2">
        <v>45434</v>
      </c>
      <c r="B1106" s="3">
        <v>5307.01</v>
      </c>
      <c r="C1106" s="3">
        <v>92.5</v>
      </c>
      <c r="D1106" s="3">
        <v>43.97</v>
      </c>
      <c r="E1106" s="10">
        <f t="shared" si="52"/>
        <v>-2.7060497123881895E-3</v>
      </c>
      <c r="F1106" s="10">
        <f t="shared" si="53"/>
        <v>-3.4475328592974918E-3</v>
      </c>
      <c r="G1106" s="10">
        <f t="shared" si="54"/>
        <v>-2.1148708815672369E-2</v>
      </c>
    </row>
    <row r="1107" spans="1:7" x14ac:dyDescent="0.35">
      <c r="A1107" s="2">
        <v>45435</v>
      </c>
      <c r="B1107" s="3">
        <v>5267.84</v>
      </c>
      <c r="C1107" s="3">
        <v>91.4</v>
      </c>
      <c r="D1107" s="3">
        <v>43.73</v>
      </c>
      <c r="E1107" s="10">
        <f t="shared" si="52"/>
        <v>-7.3808038801509834E-3</v>
      </c>
      <c r="F1107" s="10">
        <f t="shared" si="53"/>
        <v>-1.1891891891891831E-2</v>
      </c>
      <c r="G1107" s="10">
        <f t="shared" si="54"/>
        <v>-5.4582670002274736E-3</v>
      </c>
    </row>
    <row r="1108" spans="1:7" x14ac:dyDescent="0.35">
      <c r="A1108" s="2">
        <v>45436</v>
      </c>
      <c r="B1108" s="3">
        <v>5304.72</v>
      </c>
      <c r="C1108" s="3">
        <v>91.75</v>
      </c>
      <c r="D1108" s="3">
        <v>44.11</v>
      </c>
      <c r="E1108" s="10">
        <f t="shared" si="52"/>
        <v>7.0009719353663191E-3</v>
      </c>
      <c r="F1108" s="10">
        <f t="shared" si="53"/>
        <v>3.8293216630196311E-3</v>
      </c>
      <c r="G1108" s="10">
        <f t="shared" si="54"/>
        <v>8.6896867139264252E-3</v>
      </c>
    </row>
    <row r="1109" spans="1:7" x14ac:dyDescent="0.35">
      <c r="A1109" s="2">
        <v>45440</v>
      </c>
      <c r="B1109" s="3">
        <v>5306.04</v>
      </c>
      <c r="C1109" s="3">
        <v>92</v>
      </c>
      <c r="D1109" s="3">
        <v>43.09</v>
      </c>
      <c r="E1109" s="10">
        <f t="shared" si="52"/>
        <v>2.4883499977373149E-4</v>
      </c>
      <c r="F1109" s="10">
        <f t="shared" si="53"/>
        <v>2.7247956403269754E-3</v>
      </c>
      <c r="G1109" s="10">
        <f t="shared" si="54"/>
        <v>-2.3124008161414557E-2</v>
      </c>
    </row>
    <row r="1110" spans="1:7" x14ac:dyDescent="0.35">
      <c r="A1110" s="2">
        <v>45441</v>
      </c>
      <c r="B1110" s="3">
        <v>5266.95</v>
      </c>
      <c r="C1110" s="3">
        <v>91.67</v>
      </c>
      <c r="D1110" s="3">
        <v>42.64</v>
      </c>
      <c r="E1110" s="10">
        <f t="shared" si="52"/>
        <v>-7.3670760114888214E-3</v>
      </c>
      <c r="F1110" s="10">
        <f t="shared" si="53"/>
        <v>-3.5869565217391121E-3</v>
      </c>
      <c r="G1110" s="10">
        <f t="shared" si="54"/>
        <v>-1.0443258296588601E-2</v>
      </c>
    </row>
    <row r="1111" spans="1:7" x14ac:dyDescent="0.35">
      <c r="A1111" s="2">
        <v>45442</v>
      </c>
      <c r="B1111" s="3">
        <v>5235.4799999999996</v>
      </c>
      <c r="C1111" s="3">
        <v>93.45</v>
      </c>
      <c r="D1111" s="3">
        <v>43.41</v>
      </c>
      <c r="E1111" s="10">
        <f t="shared" si="52"/>
        <v>-5.9749950160909553E-3</v>
      </c>
      <c r="F1111" s="10">
        <f t="shared" si="53"/>
        <v>1.9417475728155352E-2</v>
      </c>
      <c r="G1111" s="10">
        <f t="shared" si="54"/>
        <v>1.8058161350844183E-2</v>
      </c>
    </row>
    <row r="1112" spans="1:7" x14ac:dyDescent="0.35">
      <c r="A1112" s="2">
        <v>45443</v>
      </c>
      <c r="B1112" s="3">
        <v>5277.51</v>
      </c>
      <c r="C1112" s="3">
        <v>95.05</v>
      </c>
      <c r="D1112" s="3">
        <v>44.99</v>
      </c>
      <c r="E1112" s="10">
        <f t="shared" si="52"/>
        <v>8.0279172110294863E-3</v>
      </c>
      <c r="F1112" s="10">
        <f t="shared" si="53"/>
        <v>1.7121455323702454E-2</v>
      </c>
      <c r="G1112" s="10">
        <f t="shared" si="54"/>
        <v>3.6397143515319176E-2</v>
      </c>
    </row>
    <row r="1113" spans="1:7" x14ac:dyDescent="0.35">
      <c r="A1113" s="2">
        <v>45446</v>
      </c>
      <c r="B1113" s="3">
        <v>5283.4</v>
      </c>
      <c r="C1113" s="3">
        <v>94.4</v>
      </c>
      <c r="D1113" s="3">
        <v>45.74</v>
      </c>
      <c r="E1113" s="10">
        <f t="shared" si="52"/>
        <v>1.1160566251886624E-3</v>
      </c>
      <c r="F1113" s="10">
        <f t="shared" si="53"/>
        <v>-6.8385060494475696E-3</v>
      </c>
      <c r="G1113" s="10">
        <f t="shared" si="54"/>
        <v>1.6670371193598578E-2</v>
      </c>
    </row>
    <row r="1114" spans="1:7" x14ac:dyDescent="0.35">
      <c r="A1114" s="2">
        <v>45447</v>
      </c>
      <c r="B1114" s="3">
        <v>5291.34</v>
      </c>
      <c r="C1114" s="3">
        <v>94.74</v>
      </c>
      <c r="D1114" s="3">
        <v>45.26</v>
      </c>
      <c r="E1114" s="10">
        <f t="shared" si="52"/>
        <v>1.502820153689009E-3</v>
      </c>
      <c r="F1114" s="10">
        <f t="shared" si="53"/>
        <v>3.6016949152541228E-3</v>
      </c>
      <c r="G1114" s="10">
        <f t="shared" si="54"/>
        <v>-1.0494097070397987E-2</v>
      </c>
    </row>
    <row r="1115" spans="1:7" x14ac:dyDescent="0.35">
      <c r="A1115" s="2">
        <v>45448</v>
      </c>
      <c r="B1115" s="3">
        <v>5354.03</v>
      </c>
      <c r="C1115" s="3">
        <v>94.32</v>
      </c>
      <c r="D1115" s="3">
        <v>45.62</v>
      </c>
      <c r="E1115" s="10">
        <f t="shared" si="52"/>
        <v>1.1847660516995619E-2</v>
      </c>
      <c r="F1115" s="10">
        <f t="shared" si="53"/>
        <v>-4.4331855604813359E-3</v>
      </c>
      <c r="G1115" s="10">
        <f t="shared" si="54"/>
        <v>7.954043305346872E-3</v>
      </c>
    </row>
    <row r="1116" spans="1:7" x14ac:dyDescent="0.35">
      <c r="A1116" s="2">
        <v>45449</v>
      </c>
      <c r="B1116" s="3">
        <v>5352.96</v>
      </c>
      <c r="C1116" s="3">
        <v>95.72</v>
      </c>
      <c r="D1116" s="3">
        <v>45.61</v>
      </c>
      <c r="E1116" s="10">
        <f t="shared" si="52"/>
        <v>-1.9984945919236706E-4</v>
      </c>
      <c r="F1116" s="10">
        <f t="shared" si="53"/>
        <v>1.4843087362171393E-2</v>
      </c>
      <c r="G1116" s="10">
        <f t="shared" si="54"/>
        <v>-2.1920210434015806E-4</v>
      </c>
    </row>
    <row r="1117" spans="1:7" x14ac:dyDescent="0.35">
      <c r="A1117" s="2">
        <v>45450</v>
      </c>
      <c r="B1117" s="3">
        <v>5346.99</v>
      </c>
      <c r="C1117" s="3">
        <v>96.55</v>
      </c>
      <c r="D1117" s="3">
        <v>45.72</v>
      </c>
      <c r="E1117" s="10">
        <f t="shared" si="52"/>
        <v>-1.1152708034433761E-3</v>
      </c>
      <c r="F1117" s="10">
        <f t="shared" si="53"/>
        <v>8.6711241119932954E-3</v>
      </c>
      <c r="G1117" s="10">
        <f t="shared" si="54"/>
        <v>2.4117518088138442E-3</v>
      </c>
    </row>
    <row r="1118" spans="1:7" x14ac:dyDescent="0.35">
      <c r="A1118" s="2">
        <v>45453</v>
      </c>
      <c r="B1118" s="3">
        <v>5360.79</v>
      </c>
      <c r="C1118" s="3">
        <v>96</v>
      </c>
      <c r="D1118" s="3">
        <v>47.57</v>
      </c>
      <c r="E1118" s="10">
        <f t="shared" si="52"/>
        <v>2.5808913052016522E-3</v>
      </c>
      <c r="F1118" s="10">
        <f t="shared" si="53"/>
        <v>-5.6965302951838132E-3</v>
      </c>
      <c r="G1118" s="10">
        <f t="shared" si="54"/>
        <v>4.0463692038495223E-2</v>
      </c>
    </row>
    <row r="1119" spans="1:7" x14ac:dyDescent="0.35">
      <c r="A1119" s="2">
        <v>45454</v>
      </c>
      <c r="B1119" s="3">
        <v>5375.32</v>
      </c>
      <c r="C1119" s="3">
        <v>95.87</v>
      </c>
      <c r="D1119" s="3">
        <v>48.21</v>
      </c>
      <c r="E1119" s="10">
        <f t="shared" si="52"/>
        <v>2.7104214117694863E-3</v>
      </c>
      <c r="F1119" s="10">
        <f t="shared" si="53"/>
        <v>-1.3541666666666192E-3</v>
      </c>
      <c r="G1119" s="10">
        <f t="shared" si="54"/>
        <v>1.3453857473197404E-2</v>
      </c>
    </row>
    <row r="1120" spans="1:7" x14ac:dyDescent="0.35">
      <c r="A1120" s="2">
        <v>45455</v>
      </c>
      <c r="B1120" s="3">
        <v>5421.03</v>
      </c>
      <c r="C1120" s="3">
        <v>93.68</v>
      </c>
      <c r="D1120" s="3">
        <v>48.86</v>
      </c>
      <c r="E1120" s="10">
        <f t="shared" si="52"/>
        <v>8.5036797809246775E-3</v>
      </c>
      <c r="F1120" s="10">
        <f t="shared" si="53"/>
        <v>-2.2843433816626658E-2</v>
      </c>
      <c r="G1120" s="10">
        <f t="shared" si="54"/>
        <v>1.3482679941920733E-2</v>
      </c>
    </row>
    <row r="1121" spans="1:7" x14ac:dyDescent="0.35">
      <c r="A1121" s="2">
        <v>45456</v>
      </c>
      <c r="B1121" s="3">
        <v>5433.74</v>
      </c>
      <c r="C1121" s="3">
        <v>94.18</v>
      </c>
      <c r="D1121" s="3">
        <v>47.65</v>
      </c>
      <c r="E1121" s="10">
        <f t="shared" si="52"/>
        <v>2.3445728948188883E-3</v>
      </c>
      <c r="F1121" s="10">
        <f t="shared" si="53"/>
        <v>5.3373185311699402E-3</v>
      </c>
      <c r="G1121" s="10">
        <f t="shared" si="54"/>
        <v>-2.4764633647155154E-2</v>
      </c>
    </row>
    <row r="1122" spans="1:7" x14ac:dyDescent="0.35">
      <c r="A1122" s="2">
        <v>45457</v>
      </c>
      <c r="B1122" s="3">
        <v>5431.6</v>
      </c>
      <c r="C1122" s="3">
        <v>93.39</v>
      </c>
      <c r="D1122" s="3">
        <v>46.77</v>
      </c>
      <c r="E1122" s="10">
        <f t="shared" si="52"/>
        <v>-3.9383555341245956E-4</v>
      </c>
      <c r="F1122" s="10">
        <f t="shared" si="53"/>
        <v>-8.388192822255322E-3</v>
      </c>
      <c r="G1122" s="10">
        <f t="shared" si="54"/>
        <v>-1.8467995802728131E-2</v>
      </c>
    </row>
    <row r="1123" spans="1:7" x14ac:dyDescent="0.35">
      <c r="A1123" s="2">
        <v>45460</v>
      </c>
      <c r="B1123" s="3">
        <v>5473.23</v>
      </c>
      <c r="C1123" s="3">
        <v>95</v>
      </c>
      <c r="D1123" s="3">
        <v>47.4</v>
      </c>
      <c r="E1123" s="10">
        <f t="shared" si="52"/>
        <v>7.6644082774871489E-3</v>
      </c>
      <c r="F1123" s="10">
        <f t="shared" si="53"/>
        <v>1.7239533140593205E-2</v>
      </c>
      <c r="G1123" s="10">
        <f t="shared" si="54"/>
        <v>1.347017318794089E-2</v>
      </c>
    </row>
    <row r="1124" spans="1:7" x14ac:dyDescent="0.35">
      <c r="A1124" s="2">
        <v>45461</v>
      </c>
      <c r="B1124" s="3">
        <v>5487.03</v>
      </c>
      <c r="C1124" s="3">
        <v>94.78</v>
      </c>
      <c r="D1124" s="3">
        <v>47.44</v>
      </c>
      <c r="E1124" s="10">
        <f t="shared" si="52"/>
        <v>2.5213630708010048E-3</v>
      </c>
      <c r="F1124" s="10">
        <f t="shared" si="53"/>
        <v>-2.3157894736841986E-3</v>
      </c>
      <c r="G1124" s="10">
        <f t="shared" si="54"/>
        <v>8.4388185654006641E-4</v>
      </c>
    </row>
    <row r="1125" spans="1:7" x14ac:dyDescent="0.35">
      <c r="A1125" s="2">
        <v>45463</v>
      </c>
      <c r="B1125" s="3">
        <v>5473.17</v>
      </c>
      <c r="C1125" s="3">
        <v>95.57</v>
      </c>
      <c r="D1125" s="3">
        <v>47.77</v>
      </c>
      <c r="E1125" s="10">
        <f t="shared" si="52"/>
        <v>-2.5259566650810499E-3</v>
      </c>
      <c r="F1125" s="10">
        <f t="shared" si="53"/>
        <v>8.3350917915171133E-3</v>
      </c>
      <c r="G1125" s="10">
        <f t="shared" si="54"/>
        <v>6.9561551433390684E-3</v>
      </c>
    </row>
    <row r="1126" spans="1:7" x14ac:dyDescent="0.35">
      <c r="A1126" s="2">
        <v>45464</v>
      </c>
      <c r="B1126" s="3">
        <v>5464.62</v>
      </c>
      <c r="C1126" s="3">
        <v>97.18</v>
      </c>
      <c r="D1126" s="3">
        <v>47.72</v>
      </c>
      <c r="E1126" s="10">
        <f t="shared" si="52"/>
        <v>-1.5621659842468226E-3</v>
      </c>
      <c r="F1126" s="10">
        <f t="shared" si="53"/>
        <v>1.6846290676990831E-2</v>
      </c>
      <c r="G1126" s="10">
        <f t="shared" si="54"/>
        <v>-1.0466820180030198E-3</v>
      </c>
    </row>
    <row r="1127" spans="1:7" x14ac:dyDescent="0.35">
      <c r="A1127" s="2">
        <v>45467</v>
      </c>
      <c r="B1127" s="3">
        <v>5447.87</v>
      </c>
      <c r="C1127" s="3">
        <v>97.17</v>
      </c>
      <c r="D1127" s="3">
        <v>48.11</v>
      </c>
      <c r="E1127" s="10">
        <f t="shared" si="52"/>
        <v>-3.0651719607218799E-3</v>
      </c>
      <c r="F1127" s="10">
        <f t="shared" si="53"/>
        <v>-1.0290183165265605E-4</v>
      </c>
      <c r="G1127" s="10">
        <f t="shared" si="54"/>
        <v>8.1726739312657296E-3</v>
      </c>
    </row>
    <row r="1128" spans="1:7" x14ac:dyDescent="0.35">
      <c r="A1128" s="2">
        <v>45468</v>
      </c>
      <c r="B1128" s="3">
        <v>5469.3</v>
      </c>
      <c r="C1128" s="3">
        <v>94.75</v>
      </c>
      <c r="D1128" s="3">
        <v>46.41</v>
      </c>
      <c r="E1128" s="10">
        <f t="shared" si="52"/>
        <v>3.9336474622192327E-3</v>
      </c>
      <c r="F1128" s="10">
        <f t="shared" si="53"/>
        <v>-2.4904806010085434E-2</v>
      </c>
      <c r="G1128" s="10">
        <f t="shared" si="54"/>
        <v>-3.5335689045936453E-2</v>
      </c>
    </row>
    <row r="1129" spans="1:7" x14ac:dyDescent="0.35">
      <c r="A1129" s="2">
        <v>45469</v>
      </c>
      <c r="B1129" s="3">
        <v>5477.9</v>
      </c>
      <c r="C1129" s="3">
        <v>94.06</v>
      </c>
      <c r="D1129" s="3">
        <v>45.77</v>
      </c>
      <c r="E1129" s="10">
        <f t="shared" si="52"/>
        <v>1.5724132887205773E-3</v>
      </c>
      <c r="F1129" s="10">
        <f t="shared" si="53"/>
        <v>-7.2823218997361237E-3</v>
      </c>
      <c r="G1129" s="10">
        <f t="shared" si="54"/>
        <v>-1.3790131437190122E-2</v>
      </c>
    </row>
    <row r="1130" spans="1:7" x14ac:dyDescent="0.35">
      <c r="A1130" s="2">
        <v>45470</v>
      </c>
      <c r="B1130" s="3">
        <v>5482.87</v>
      </c>
      <c r="C1130" s="3">
        <v>94.19</v>
      </c>
      <c r="D1130" s="3">
        <v>45.58</v>
      </c>
      <c r="E1130" s="10">
        <f t="shared" si="52"/>
        <v>9.0728198762304077E-4</v>
      </c>
      <c r="F1130" s="10">
        <f t="shared" si="53"/>
        <v>1.3820965341271045E-3</v>
      </c>
      <c r="G1130" s="10">
        <f t="shared" si="54"/>
        <v>-4.1511907362902518E-3</v>
      </c>
    </row>
    <row r="1131" spans="1:7" x14ac:dyDescent="0.35">
      <c r="A1131" s="2">
        <v>45471</v>
      </c>
      <c r="B1131" s="3">
        <v>5460.48</v>
      </c>
      <c r="C1131" s="3">
        <v>75.37</v>
      </c>
      <c r="D1131" s="3">
        <v>46.46</v>
      </c>
      <c r="E1131" s="10">
        <f t="shared" si="52"/>
        <v>-4.0836277351095915E-3</v>
      </c>
      <c r="F1131" s="10">
        <f t="shared" si="53"/>
        <v>-0.19980889691049999</v>
      </c>
      <c r="G1131" s="10">
        <f t="shared" si="54"/>
        <v>1.9306713470820591E-2</v>
      </c>
    </row>
    <row r="1132" spans="1:7" x14ac:dyDescent="0.35">
      <c r="A1132" s="2">
        <v>45474</v>
      </c>
      <c r="B1132" s="3">
        <v>5475.09</v>
      </c>
      <c r="C1132" s="3">
        <v>76.83</v>
      </c>
      <c r="D1132" s="3">
        <v>46.68</v>
      </c>
      <c r="E1132" s="10">
        <f t="shared" si="52"/>
        <v>2.6755889592124838E-3</v>
      </c>
      <c r="F1132" s="10">
        <f t="shared" si="53"/>
        <v>1.9371102560700459E-2</v>
      </c>
      <c r="G1132" s="10">
        <f t="shared" si="54"/>
        <v>4.7352561343090589E-3</v>
      </c>
    </row>
    <row r="1133" spans="1:7" x14ac:dyDescent="0.35">
      <c r="A1133" s="2">
        <v>45475</v>
      </c>
      <c r="B1133" s="3">
        <v>5509.01</v>
      </c>
      <c r="C1133" s="3">
        <v>76.040000000000006</v>
      </c>
      <c r="D1133" s="3">
        <v>46.95</v>
      </c>
      <c r="E1133" s="10">
        <f t="shared" si="52"/>
        <v>6.1953319488812185E-3</v>
      </c>
      <c r="F1133" s="10">
        <f t="shared" si="53"/>
        <v>-1.0282441754522869E-2</v>
      </c>
      <c r="G1133" s="10">
        <f t="shared" si="54"/>
        <v>5.7840616966581644E-3</v>
      </c>
    </row>
    <row r="1134" spans="1:7" x14ac:dyDescent="0.35">
      <c r="A1134" s="2">
        <v>45476</v>
      </c>
      <c r="B1134" s="3">
        <v>5537.02</v>
      </c>
      <c r="C1134" s="3">
        <v>75.239999999999995</v>
      </c>
      <c r="D1134" s="3">
        <v>46.71</v>
      </c>
      <c r="E1134" s="10">
        <f t="shared" si="52"/>
        <v>5.0843981041966196E-3</v>
      </c>
      <c r="F1134" s="10">
        <f t="shared" si="53"/>
        <v>-1.0520778537611932E-2</v>
      </c>
      <c r="G1134" s="10">
        <f t="shared" si="54"/>
        <v>-5.1118210862620226E-3</v>
      </c>
    </row>
    <row r="1135" spans="1:7" x14ac:dyDescent="0.35">
      <c r="A1135" s="2">
        <v>45478</v>
      </c>
      <c r="B1135" s="3">
        <v>5567.19</v>
      </c>
      <c r="C1135" s="3">
        <v>75.430000000000007</v>
      </c>
      <c r="D1135" s="3">
        <v>46.52</v>
      </c>
      <c r="E1135" s="10">
        <f t="shared" si="52"/>
        <v>5.4487793072806601E-3</v>
      </c>
      <c r="F1135" s="10">
        <f t="shared" si="53"/>
        <v>2.5252525252526842E-3</v>
      </c>
      <c r="G1135" s="10">
        <f t="shared" si="54"/>
        <v>-4.0676514664953487E-3</v>
      </c>
    </row>
    <row r="1136" spans="1:7" x14ac:dyDescent="0.35">
      <c r="A1136" s="2">
        <v>45481</v>
      </c>
      <c r="B1136" s="3">
        <v>5572.85</v>
      </c>
      <c r="C1136" s="3">
        <v>73.05</v>
      </c>
      <c r="D1136" s="3">
        <v>46.55</v>
      </c>
      <c r="E1136" s="10">
        <f t="shared" si="52"/>
        <v>1.0166708878268506E-3</v>
      </c>
      <c r="F1136" s="10">
        <f t="shared" si="53"/>
        <v>-3.1552432719077414E-2</v>
      </c>
      <c r="G1136" s="10">
        <f t="shared" si="54"/>
        <v>6.4488392089411071E-4</v>
      </c>
    </row>
    <row r="1137" spans="1:7" x14ac:dyDescent="0.35">
      <c r="A1137" s="2">
        <v>45482</v>
      </c>
      <c r="B1137" s="3">
        <v>5576.98</v>
      </c>
      <c r="C1137" s="3">
        <v>72.459999999999994</v>
      </c>
      <c r="D1137" s="3">
        <v>46.26</v>
      </c>
      <c r="E1137" s="10">
        <f t="shared" si="52"/>
        <v>7.4109297756070941E-4</v>
      </c>
      <c r="F1137" s="10">
        <f t="shared" si="53"/>
        <v>-8.0766598220397452E-3</v>
      </c>
      <c r="G1137" s="10">
        <f t="shared" si="54"/>
        <v>-6.2298603651986927E-3</v>
      </c>
    </row>
    <row r="1138" spans="1:7" x14ac:dyDescent="0.35">
      <c r="A1138" s="2">
        <v>45483</v>
      </c>
      <c r="B1138" s="3">
        <v>5633.91</v>
      </c>
      <c r="C1138" s="3">
        <v>72.540000000000006</v>
      </c>
      <c r="D1138" s="3">
        <v>46.53</v>
      </c>
      <c r="E1138" s="10">
        <f t="shared" si="52"/>
        <v>1.0208033738690168E-2</v>
      </c>
      <c r="F1138" s="10">
        <f t="shared" si="53"/>
        <v>1.1040574109855439E-3</v>
      </c>
      <c r="G1138" s="10">
        <f t="shared" si="54"/>
        <v>5.8365758754864491E-3</v>
      </c>
    </row>
    <row r="1139" spans="1:7" x14ac:dyDescent="0.35">
      <c r="A1139" s="2">
        <v>45484</v>
      </c>
      <c r="B1139" s="3">
        <v>5584.54</v>
      </c>
      <c r="C1139" s="3">
        <v>73.39</v>
      </c>
      <c r="D1139" s="3">
        <v>47.93</v>
      </c>
      <c r="E1139" s="10">
        <f t="shared" si="52"/>
        <v>-8.7630082837673821E-3</v>
      </c>
      <c r="F1139" s="10">
        <f t="shared" si="53"/>
        <v>1.171767300799551E-2</v>
      </c>
      <c r="G1139" s="10">
        <f t="shared" si="54"/>
        <v>3.0088115194498142E-2</v>
      </c>
    </row>
    <row r="1140" spans="1:7" x14ac:dyDescent="0.35">
      <c r="A1140" s="2">
        <v>45485</v>
      </c>
      <c r="B1140" s="3">
        <v>5615.35</v>
      </c>
      <c r="C1140" s="3">
        <v>73.42</v>
      </c>
      <c r="D1140" s="3">
        <v>49.01</v>
      </c>
      <c r="E1140" s="10">
        <f t="shared" si="52"/>
        <v>5.5170166208855882E-3</v>
      </c>
      <c r="F1140" s="10">
        <f t="shared" si="53"/>
        <v>4.087750374710606E-4</v>
      </c>
      <c r="G1140" s="10">
        <f t="shared" si="54"/>
        <v>2.253286042144791E-2</v>
      </c>
    </row>
    <row r="1141" spans="1:7" x14ac:dyDescent="0.35">
      <c r="A1141" s="2">
        <v>45488</v>
      </c>
      <c r="B1141" s="3">
        <v>5631.22</v>
      </c>
      <c r="C1141" s="3">
        <v>71.31</v>
      </c>
      <c r="D1141" s="3">
        <v>49.3</v>
      </c>
      <c r="E1141" s="10">
        <f t="shared" si="52"/>
        <v>2.8261818052302866E-3</v>
      </c>
      <c r="F1141" s="10">
        <f t="shared" si="53"/>
        <v>-2.8738763279760274E-2</v>
      </c>
      <c r="G1141" s="10">
        <f t="shared" si="54"/>
        <v>5.917159763313592E-3</v>
      </c>
    </row>
    <row r="1142" spans="1:7" x14ac:dyDescent="0.35">
      <c r="A1142" s="2">
        <v>45489</v>
      </c>
      <c r="B1142" s="3">
        <v>5667.2</v>
      </c>
      <c r="C1142" s="3">
        <v>72.81</v>
      </c>
      <c r="D1142" s="3">
        <v>49.77</v>
      </c>
      <c r="E1142" s="10">
        <f t="shared" si="52"/>
        <v>6.389379210899159E-3</v>
      </c>
      <c r="F1142" s="10">
        <f t="shared" si="53"/>
        <v>2.1034917963819941E-2</v>
      </c>
      <c r="G1142" s="10">
        <f t="shared" si="54"/>
        <v>9.5334685598378495E-3</v>
      </c>
    </row>
    <row r="1143" spans="1:7" x14ac:dyDescent="0.35">
      <c r="A1143" s="2">
        <v>45490</v>
      </c>
      <c r="B1143" s="3">
        <v>5588.27</v>
      </c>
      <c r="C1143" s="3">
        <v>73.069999999999993</v>
      </c>
      <c r="D1143" s="3">
        <v>49.9</v>
      </c>
      <c r="E1143" s="10">
        <f t="shared" si="52"/>
        <v>-1.3927512704686508E-2</v>
      </c>
      <c r="F1143" s="10">
        <f t="shared" si="53"/>
        <v>3.5709380579589467E-3</v>
      </c>
      <c r="G1143" s="10">
        <f t="shared" si="54"/>
        <v>2.6120152702430268E-3</v>
      </c>
    </row>
    <row r="1144" spans="1:7" x14ac:dyDescent="0.35">
      <c r="A1144" s="2">
        <v>45491</v>
      </c>
      <c r="B1144" s="3">
        <v>5544.59</v>
      </c>
      <c r="C1144" s="3">
        <v>72.38</v>
      </c>
      <c r="D1144" s="3">
        <v>49.65</v>
      </c>
      <c r="E1144" s="10">
        <f t="shared" si="52"/>
        <v>-7.8163725088444703E-3</v>
      </c>
      <c r="F1144" s="10">
        <f t="shared" si="53"/>
        <v>-9.4429998631448998E-3</v>
      </c>
      <c r="G1144" s="10">
        <f t="shared" si="54"/>
        <v>-5.0100200400801601E-3</v>
      </c>
    </row>
    <row r="1145" spans="1:7" x14ac:dyDescent="0.35">
      <c r="A1145" s="2">
        <v>45492</v>
      </c>
      <c r="B1145" s="3">
        <v>5505</v>
      </c>
      <c r="C1145" s="3">
        <v>72.7</v>
      </c>
      <c r="D1145" s="3">
        <v>48.3</v>
      </c>
      <c r="E1145" s="10">
        <f t="shared" si="52"/>
        <v>-7.1402935113326947E-3</v>
      </c>
      <c r="F1145" s="10">
        <f t="shared" si="53"/>
        <v>4.4211108040896297E-3</v>
      </c>
      <c r="G1145" s="10">
        <f t="shared" si="54"/>
        <v>-2.7190332326284018E-2</v>
      </c>
    </row>
    <row r="1146" spans="1:7" x14ac:dyDescent="0.35">
      <c r="A1146" s="2">
        <v>45495</v>
      </c>
      <c r="B1146" s="3">
        <v>5564.41</v>
      </c>
      <c r="C1146" s="3">
        <v>74.86</v>
      </c>
      <c r="D1146" s="3">
        <v>49.56</v>
      </c>
      <c r="E1146" s="10">
        <f t="shared" si="52"/>
        <v>1.0792007266121681E-2</v>
      </c>
      <c r="F1146" s="10">
        <f t="shared" si="53"/>
        <v>2.9711141678129251E-2</v>
      </c>
      <c r="G1146" s="10">
        <f t="shared" si="54"/>
        <v>2.6086956521739237E-2</v>
      </c>
    </row>
    <row r="1147" spans="1:7" x14ac:dyDescent="0.35">
      <c r="A1147" s="2">
        <v>45496</v>
      </c>
      <c r="B1147" s="3">
        <v>5555.74</v>
      </c>
      <c r="C1147" s="3">
        <v>73.400000000000006</v>
      </c>
      <c r="D1147" s="3">
        <v>46.38</v>
      </c>
      <c r="E1147" s="10">
        <f t="shared" si="52"/>
        <v>-1.5581166736455569E-3</v>
      </c>
      <c r="F1147" s="10">
        <f t="shared" si="53"/>
        <v>-1.9503072401816642E-2</v>
      </c>
      <c r="G1147" s="10">
        <f t="shared" si="54"/>
        <v>-6.4164648910411612E-2</v>
      </c>
    </row>
    <row r="1148" spans="1:7" x14ac:dyDescent="0.35">
      <c r="A1148" s="2">
        <v>45497</v>
      </c>
      <c r="B1148" s="3">
        <v>5427.13</v>
      </c>
      <c r="C1148" s="3">
        <v>71.09</v>
      </c>
      <c r="D1148" s="3">
        <v>46.49</v>
      </c>
      <c r="E1148" s="10">
        <f t="shared" si="52"/>
        <v>-2.314903145215573E-2</v>
      </c>
      <c r="F1148" s="10">
        <f t="shared" si="53"/>
        <v>-3.1471389645776594E-2</v>
      </c>
      <c r="G1148" s="10">
        <f t="shared" si="54"/>
        <v>2.3717119448037824E-3</v>
      </c>
    </row>
    <row r="1149" spans="1:7" x14ac:dyDescent="0.35">
      <c r="A1149" s="2">
        <v>45498</v>
      </c>
      <c r="B1149" s="3">
        <v>5399.22</v>
      </c>
      <c r="C1149" s="3">
        <v>71.41</v>
      </c>
      <c r="D1149" s="3">
        <v>44.13</v>
      </c>
      <c r="E1149" s="10">
        <f t="shared" si="52"/>
        <v>-5.1426813066943033E-3</v>
      </c>
      <c r="F1149" s="10">
        <f t="shared" si="53"/>
        <v>4.5013363342241266E-3</v>
      </c>
      <c r="G1149" s="10">
        <f t="shared" si="54"/>
        <v>-5.0763605076360491E-2</v>
      </c>
    </row>
    <row r="1150" spans="1:7" x14ac:dyDescent="0.35">
      <c r="A1150" s="2">
        <v>45499</v>
      </c>
      <c r="B1150" s="3">
        <v>5459.1</v>
      </c>
      <c r="C1150" s="3">
        <v>72.56</v>
      </c>
      <c r="D1150" s="3">
        <v>44.12</v>
      </c>
      <c r="E1150" s="10">
        <f t="shared" si="52"/>
        <v>1.1090490848678162E-2</v>
      </c>
      <c r="F1150" s="10">
        <f t="shared" si="53"/>
        <v>1.6104187088643127E-2</v>
      </c>
      <c r="G1150" s="10">
        <f t="shared" si="54"/>
        <v>-2.2660321776580818E-4</v>
      </c>
    </row>
    <row r="1151" spans="1:7" x14ac:dyDescent="0.35">
      <c r="A1151" s="2">
        <v>45502</v>
      </c>
      <c r="B1151" s="3">
        <v>5463.54</v>
      </c>
      <c r="C1151" s="3">
        <v>73.55</v>
      </c>
      <c r="D1151" s="3">
        <v>44.15</v>
      </c>
      <c r="E1151" s="10">
        <f t="shared" si="52"/>
        <v>8.1332087706757511E-4</v>
      </c>
      <c r="F1151" s="10">
        <f t="shared" si="53"/>
        <v>1.3643880926130029E-2</v>
      </c>
      <c r="G1151" s="10">
        <f t="shared" si="54"/>
        <v>6.799637352674782E-4</v>
      </c>
    </row>
    <row r="1152" spans="1:7" x14ac:dyDescent="0.35">
      <c r="A1152" s="2">
        <v>45503</v>
      </c>
      <c r="B1152" s="3">
        <v>5436.44</v>
      </c>
      <c r="C1152" s="3">
        <v>74.319999999999993</v>
      </c>
      <c r="D1152" s="3">
        <v>44.23</v>
      </c>
      <c r="E1152" s="10">
        <f t="shared" si="52"/>
        <v>-4.960154039322557E-3</v>
      </c>
      <c r="F1152" s="10">
        <f t="shared" si="53"/>
        <v>1.0469068660774929E-2</v>
      </c>
      <c r="G1152" s="10">
        <f t="shared" si="54"/>
        <v>1.8120045300112865E-3</v>
      </c>
    </row>
    <row r="1153" spans="1:7" x14ac:dyDescent="0.35">
      <c r="A1153" s="2">
        <v>45504</v>
      </c>
      <c r="B1153" s="3">
        <v>5522.3</v>
      </c>
      <c r="C1153" s="3">
        <v>74.86</v>
      </c>
      <c r="D1153" s="3">
        <v>44.32</v>
      </c>
      <c r="E1153" s="10">
        <f t="shared" si="52"/>
        <v>1.5793423637527608E-2</v>
      </c>
      <c r="F1153" s="10">
        <f t="shared" si="53"/>
        <v>7.2658772874058973E-3</v>
      </c>
      <c r="G1153" s="10">
        <f t="shared" si="54"/>
        <v>2.0348179968348048E-3</v>
      </c>
    </row>
    <row r="1154" spans="1:7" x14ac:dyDescent="0.35">
      <c r="A1154" s="2">
        <v>45505</v>
      </c>
      <c r="B1154" s="3">
        <v>5446.68</v>
      </c>
      <c r="C1154" s="3">
        <v>73.849999999999994</v>
      </c>
      <c r="D1154" s="3">
        <v>43.37</v>
      </c>
      <c r="E1154" s="10">
        <f t="shared" si="52"/>
        <v>-1.3693569708273706E-2</v>
      </c>
      <c r="F1154" s="10">
        <f t="shared" si="53"/>
        <v>-1.3491851456051364E-2</v>
      </c>
      <c r="G1154" s="10">
        <f t="shared" si="54"/>
        <v>-2.1435018050541581E-2</v>
      </c>
    </row>
    <row r="1155" spans="1:7" x14ac:dyDescent="0.35">
      <c r="A1155" s="2">
        <v>45506</v>
      </c>
      <c r="B1155" s="3">
        <v>5346.56</v>
      </c>
      <c r="C1155" s="3">
        <v>74.010000000000005</v>
      </c>
      <c r="D1155" s="3">
        <v>41.17</v>
      </c>
      <c r="E1155" s="10">
        <f t="shared" si="52"/>
        <v>-1.8381839946536218E-2</v>
      </c>
      <c r="F1155" s="10">
        <f t="shared" si="53"/>
        <v>2.1665538253217444E-3</v>
      </c>
      <c r="G1155" s="10">
        <f t="shared" si="54"/>
        <v>-5.0726308508185283E-2</v>
      </c>
    </row>
    <row r="1156" spans="1:7" x14ac:dyDescent="0.35">
      <c r="A1156" s="2">
        <v>45509</v>
      </c>
      <c r="B1156" s="3">
        <v>5186.33</v>
      </c>
      <c r="C1156" s="3">
        <v>71.42</v>
      </c>
      <c r="D1156" s="3">
        <v>39.950000000000003</v>
      </c>
      <c r="E1156" s="10">
        <f t="shared" ref="E1156:E1219" si="55">(B1156-B1155)/B1155</f>
        <v>-2.9968802370122182E-2</v>
      </c>
      <c r="F1156" s="10">
        <f t="shared" ref="F1156:F1219" si="56">(C1156-C1155)/C1155</f>
        <v>-3.4995270909336622E-2</v>
      </c>
      <c r="G1156" s="10">
        <f t="shared" ref="G1156:G1219" si="57">(D1156-D1155)/D1155</f>
        <v>-2.9633228078698053E-2</v>
      </c>
    </row>
    <row r="1157" spans="1:7" x14ac:dyDescent="0.35">
      <c r="A1157" s="2">
        <v>45510</v>
      </c>
      <c r="B1157" s="3">
        <v>5240.03</v>
      </c>
      <c r="C1157" s="3">
        <v>72.5</v>
      </c>
      <c r="D1157" s="3">
        <v>40.61</v>
      </c>
      <c r="E1157" s="10">
        <f t="shared" si="55"/>
        <v>1.0354142524675409E-2</v>
      </c>
      <c r="F1157" s="10">
        <f t="shared" si="56"/>
        <v>1.5121814617754106E-2</v>
      </c>
      <c r="G1157" s="10">
        <f t="shared" si="57"/>
        <v>1.6520650813516811E-2</v>
      </c>
    </row>
    <row r="1158" spans="1:7" x14ac:dyDescent="0.35">
      <c r="A1158" s="2">
        <v>45511</v>
      </c>
      <c r="B1158" s="3">
        <v>5199.5</v>
      </c>
      <c r="C1158" s="3">
        <v>72.62</v>
      </c>
      <c r="D1158" s="3">
        <v>40.65</v>
      </c>
      <c r="E1158" s="10">
        <f t="shared" si="55"/>
        <v>-7.7346885418594453E-3</v>
      </c>
      <c r="F1158" s="10">
        <f t="shared" si="56"/>
        <v>1.6551724137931661E-3</v>
      </c>
      <c r="G1158" s="10">
        <f t="shared" si="57"/>
        <v>9.8497906919475862E-4</v>
      </c>
    </row>
    <row r="1159" spans="1:7" x14ac:dyDescent="0.35">
      <c r="A1159" s="2">
        <v>45512</v>
      </c>
      <c r="B1159" s="3">
        <v>5319.31</v>
      </c>
      <c r="C1159" s="3">
        <v>74.19</v>
      </c>
      <c r="D1159" s="3">
        <v>42.73</v>
      </c>
      <c r="E1159" s="10">
        <f t="shared" si="55"/>
        <v>2.3042600250024119E-2</v>
      </c>
      <c r="F1159" s="10">
        <f t="shared" si="56"/>
        <v>2.1619388598182222E-2</v>
      </c>
      <c r="G1159" s="10">
        <f t="shared" si="57"/>
        <v>5.116851168511681E-2</v>
      </c>
    </row>
    <row r="1160" spans="1:7" x14ac:dyDescent="0.35">
      <c r="A1160" s="2">
        <v>45513</v>
      </c>
      <c r="B1160" s="3">
        <v>5344.16</v>
      </c>
      <c r="C1160" s="3">
        <v>74.34</v>
      </c>
      <c r="D1160" s="3">
        <v>43.48</v>
      </c>
      <c r="E1160" s="10">
        <f t="shared" si="55"/>
        <v>4.6716585421792403E-3</v>
      </c>
      <c r="F1160" s="10">
        <f t="shared" si="56"/>
        <v>2.02183582693093E-3</v>
      </c>
      <c r="G1160" s="10">
        <f t="shared" si="57"/>
        <v>1.755207114439504E-2</v>
      </c>
    </row>
    <row r="1161" spans="1:7" x14ac:dyDescent="0.35">
      <c r="A1161" s="2">
        <v>45516</v>
      </c>
      <c r="B1161" s="3">
        <v>5344.39</v>
      </c>
      <c r="C1161" s="3">
        <v>74.64</v>
      </c>
      <c r="D1161" s="3">
        <v>42.99</v>
      </c>
      <c r="E1161" s="10">
        <f t="shared" si="55"/>
        <v>4.3037633603872814E-5</v>
      </c>
      <c r="F1161" s="10">
        <f t="shared" si="56"/>
        <v>4.0355125100887427E-3</v>
      </c>
      <c r="G1161" s="10">
        <f t="shared" si="57"/>
        <v>-1.1269549218031161E-2</v>
      </c>
    </row>
    <row r="1162" spans="1:7" x14ac:dyDescent="0.35">
      <c r="A1162" s="2">
        <v>45517</v>
      </c>
      <c r="B1162" s="3">
        <v>5434.43</v>
      </c>
      <c r="C1162" s="3">
        <v>78.5</v>
      </c>
      <c r="D1162" s="3">
        <v>43.32</v>
      </c>
      <c r="E1162" s="10">
        <f t="shared" si="55"/>
        <v>1.6847572875482508E-2</v>
      </c>
      <c r="F1162" s="10">
        <f t="shared" si="56"/>
        <v>5.171489817792068E-2</v>
      </c>
      <c r="G1162" s="10">
        <f t="shared" si="57"/>
        <v>7.6762037683181733E-3</v>
      </c>
    </row>
    <row r="1163" spans="1:7" x14ac:dyDescent="0.35">
      <c r="A1163" s="2">
        <v>45518</v>
      </c>
      <c r="B1163" s="3">
        <v>5455.21</v>
      </c>
      <c r="C1163" s="3">
        <v>78.52</v>
      </c>
      <c r="D1163" s="3">
        <v>43.61</v>
      </c>
      <c r="E1163" s="10">
        <f t="shared" si="55"/>
        <v>3.8237680860733776E-3</v>
      </c>
      <c r="F1163" s="10">
        <f t="shared" si="56"/>
        <v>2.5477707006364356E-4</v>
      </c>
      <c r="G1163" s="10">
        <f t="shared" si="57"/>
        <v>6.6943674976915777E-3</v>
      </c>
    </row>
    <row r="1164" spans="1:7" x14ac:dyDescent="0.35">
      <c r="A1164" s="2">
        <v>45519</v>
      </c>
      <c r="B1164" s="3">
        <v>5543.22</v>
      </c>
      <c r="C1164" s="3">
        <v>82.5</v>
      </c>
      <c r="D1164" s="3">
        <v>44.86</v>
      </c>
      <c r="E1164" s="10">
        <f t="shared" si="55"/>
        <v>1.6133201104998749E-2</v>
      </c>
      <c r="F1164" s="10">
        <f t="shared" si="56"/>
        <v>5.0687722873153387E-2</v>
      </c>
      <c r="G1164" s="10">
        <f t="shared" si="57"/>
        <v>2.8663150653519834E-2</v>
      </c>
    </row>
    <row r="1165" spans="1:7" x14ac:dyDescent="0.35">
      <c r="A1165" s="2">
        <v>45520</v>
      </c>
      <c r="B1165" s="3">
        <v>5554.25</v>
      </c>
      <c r="C1165" s="3">
        <v>83.23</v>
      </c>
      <c r="D1165" s="3">
        <v>45.32</v>
      </c>
      <c r="E1165" s="10">
        <f t="shared" si="55"/>
        <v>1.9898181923141685E-3</v>
      </c>
      <c r="F1165" s="10">
        <f t="shared" si="56"/>
        <v>8.8484848484848971E-3</v>
      </c>
      <c r="G1165" s="10">
        <f t="shared" si="57"/>
        <v>1.0254123941150264E-2</v>
      </c>
    </row>
    <row r="1166" spans="1:7" x14ac:dyDescent="0.35">
      <c r="A1166" s="2">
        <v>45523</v>
      </c>
      <c r="B1166" s="3">
        <v>5608.25</v>
      </c>
      <c r="C1166" s="3">
        <v>83.28</v>
      </c>
      <c r="D1166" s="3">
        <v>45.76</v>
      </c>
      <c r="E1166" s="10">
        <f t="shared" si="55"/>
        <v>9.722284736913174E-3</v>
      </c>
      <c r="F1166" s="10">
        <f t="shared" si="56"/>
        <v>6.0074492370536053E-4</v>
      </c>
      <c r="G1166" s="10">
        <f t="shared" si="57"/>
        <v>9.7087378640776205E-3</v>
      </c>
    </row>
    <row r="1167" spans="1:7" x14ac:dyDescent="0.35">
      <c r="A1167" s="2">
        <v>45524</v>
      </c>
      <c r="B1167" s="3">
        <v>5597.12</v>
      </c>
      <c r="C1167" s="3">
        <v>83.56</v>
      </c>
      <c r="D1167" s="3">
        <v>45.98</v>
      </c>
      <c r="E1167" s="10">
        <f t="shared" si="55"/>
        <v>-1.9845762938528258E-3</v>
      </c>
      <c r="F1167" s="10">
        <f t="shared" si="56"/>
        <v>3.3621517771373816E-3</v>
      </c>
      <c r="G1167" s="10">
        <f t="shared" si="57"/>
        <v>4.8076923076922828E-3</v>
      </c>
    </row>
    <row r="1168" spans="1:7" x14ac:dyDescent="0.35">
      <c r="A1168" s="2">
        <v>45525</v>
      </c>
      <c r="B1168" s="3">
        <v>5620.85</v>
      </c>
      <c r="C1168" s="3">
        <v>84</v>
      </c>
      <c r="D1168" s="3">
        <v>46.56</v>
      </c>
      <c r="E1168" s="10">
        <f t="shared" si="55"/>
        <v>4.2396804070665758E-3</v>
      </c>
      <c r="F1168" s="10">
        <f t="shared" si="56"/>
        <v>5.2656773575873346E-3</v>
      </c>
      <c r="G1168" s="10">
        <f t="shared" si="57"/>
        <v>1.2614180078295029E-2</v>
      </c>
    </row>
    <row r="1169" spans="1:7" x14ac:dyDescent="0.35">
      <c r="A1169" s="2">
        <v>45526</v>
      </c>
      <c r="B1169" s="3">
        <v>5570.64</v>
      </c>
      <c r="C1169" s="3">
        <v>83.41</v>
      </c>
      <c r="D1169" s="3">
        <v>46.46</v>
      </c>
      <c r="E1169" s="10">
        <f t="shared" si="55"/>
        <v>-8.9328126528905837E-3</v>
      </c>
      <c r="F1169" s="10">
        <f t="shared" si="56"/>
        <v>-7.0238095238095641E-3</v>
      </c>
      <c r="G1169" s="10">
        <f t="shared" si="57"/>
        <v>-2.1477663230240855E-3</v>
      </c>
    </row>
    <row r="1170" spans="1:7" x14ac:dyDescent="0.35">
      <c r="A1170" s="2">
        <v>45527</v>
      </c>
      <c r="B1170" s="3">
        <v>5634.61</v>
      </c>
      <c r="C1170" s="3">
        <v>84.05</v>
      </c>
      <c r="D1170" s="3">
        <v>48.57</v>
      </c>
      <c r="E1170" s="10">
        <f t="shared" si="55"/>
        <v>1.1483420217425528E-2</v>
      </c>
      <c r="F1170" s="10">
        <f t="shared" si="56"/>
        <v>7.6729408943771804E-3</v>
      </c>
      <c r="G1170" s="10">
        <f t="shared" si="57"/>
        <v>4.5415411106328012E-2</v>
      </c>
    </row>
    <row r="1171" spans="1:7" x14ac:dyDescent="0.35">
      <c r="A1171" s="2">
        <v>45530</v>
      </c>
      <c r="B1171" s="3">
        <v>5616.84</v>
      </c>
      <c r="C1171" s="3">
        <v>84.28</v>
      </c>
      <c r="D1171" s="3">
        <v>48.75</v>
      </c>
      <c r="E1171" s="10">
        <f t="shared" si="55"/>
        <v>-3.1537231503155549E-3</v>
      </c>
      <c r="F1171" s="10">
        <f t="shared" si="56"/>
        <v>2.736466389054182E-3</v>
      </c>
      <c r="G1171" s="10">
        <f t="shared" si="57"/>
        <v>3.7059913526868377E-3</v>
      </c>
    </row>
    <row r="1172" spans="1:7" x14ac:dyDescent="0.35">
      <c r="A1172" s="2">
        <v>45531</v>
      </c>
      <c r="B1172" s="3">
        <v>5625.8</v>
      </c>
      <c r="C1172" s="3">
        <v>85.29</v>
      </c>
      <c r="D1172" s="3">
        <v>49.25</v>
      </c>
      <c r="E1172" s="10">
        <f t="shared" si="55"/>
        <v>1.5952029967027789E-3</v>
      </c>
      <c r="F1172" s="10">
        <f t="shared" si="56"/>
        <v>1.1983863312767028E-2</v>
      </c>
      <c r="G1172" s="10">
        <f t="shared" si="57"/>
        <v>1.0256410256410256E-2</v>
      </c>
    </row>
    <row r="1173" spans="1:7" x14ac:dyDescent="0.35">
      <c r="A1173" s="2">
        <v>45532</v>
      </c>
      <c r="B1173" s="3">
        <v>5592.18</v>
      </c>
      <c r="C1173" s="3">
        <v>82.79</v>
      </c>
      <c r="D1173" s="3">
        <v>49.05</v>
      </c>
      <c r="E1173" s="10">
        <f t="shared" si="55"/>
        <v>-5.9760389633474152E-3</v>
      </c>
      <c r="F1173" s="10">
        <f t="shared" si="56"/>
        <v>-2.9311759878063077E-2</v>
      </c>
      <c r="G1173" s="10">
        <f t="shared" si="57"/>
        <v>-4.0609137055838138E-3</v>
      </c>
    </row>
    <row r="1174" spans="1:7" x14ac:dyDescent="0.35">
      <c r="A1174" s="2">
        <v>45533</v>
      </c>
      <c r="B1174" s="3">
        <v>5591.96</v>
      </c>
      <c r="C1174" s="3">
        <v>83.26</v>
      </c>
      <c r="D1174" s="3">
        <v>49.47</v>
      </c>
      <c r="E1174" s="10">
        <f t="shared" si="55"/>
        <v>-3.9340650694408023E-5</v>
      </c>
      <c r="F1174" s="10">
        <f t="shared" si="56"/>
        <v>5.6770141321415488E-3</v>
      </c>
      <c r="G1174" s="10">
        <f t="shared" si="57"/>
        <v>8.5626911314985055E-3</v>
      </c>
    </row>
    <row r="1175" spans="1:7" x14ac:dyDescent="0.35">
      <c r="A1175" s="2">
        <v>45534</v>
      </c>
      <c r="B1175" s="3">
        <v>5648.4</v>
      </c>
      <c r="C1175" s="3">
        <v>83.32</v>
      </c>
      <c r="D1175" s="3">
        <v>49.78</v>
      </c>
      <c r="E1175" s="10">
        <f t="shared" si="55"/>
        <v>1.0093062182132849E-2</v>
      </c>
      <c r="F1175" s="10">
        <f t="shared" si="56"/>
        <v>7.2063415805894858E-4</v>
      </c>
      <c r="G1175" s="10">
        <f t="shared" si="57"/>
        <v>6.2664240954114067E-3</v>
      </c>
    </row>
    <row r="1176" spans="1:7" x14ac:dyDescent="0.35">
      <c r="A1176" s="2">
        <v>45538</v>
      </c>
      <c r="B1176" s="3">
        <v>5528.93</v>
      </c>
      <c r="C1176" s="3">
        <v>81.319999999999993</v>
      </c>
      <c r="D1176" s="3">
        <v>48.41</v>
      </c>
      <c r="E1176" s="10">
        <f t="shared" si="55"/>
        <v>-2.1151122441753302E-2</v>
      </c>
      <c r="F1176" s="10">
        <f t="shared" si="56"/>
        <v>-2.4003840614498322E-2</v>
      </c>
      <c r="G1176" s="10">
        <f t="shared" si="57"/>
        <v>-2.7521092808356861E-2</v>
      </c>
    </row>
    <row r="1177" spans="1:7" x14ac:dyDescent="0.35">
      <c r="A1177" s="2">
        <v>45539</v>
      </c>
      <c r="B1177" s="3">
        <v>5520.07</v>
      </c>
      <c r="C1177" s="3">
        <v>81.02</v>
      </c>
      <c r="D1177" s="3">
        <v>48.45</v>
      </c>
      <c r="E1177" s="10">
        <f t="shared" si="55"/>
        <v>-1.6024800458679313E-3</v>
      </c>
      <c r="F1177" s="10">
        <f t="shared" si="56"/>
        <v>-3.6891293654697146E-3</v>
      </c>
      <c r="G1177" s="10">
        <f t="shared" si="57"/>
        <v>8.2627556290035644E-4</v>
      </c>
    </row>
    <row r="1178" spans="1:7" x14ac:dyDescent="0.35">
      <c r="A1178" s="2">
        <v>45540</v>
      </c>
      <c r="B1178" s="3">
        <v>5503.41</v>
      </c>
      <c r="C1178" s="3">
        <v>80.83</v>
      </c>
      <c r="D1178" s="3">
        <v>48.15</v>
      </c>
      <c r="E1178" s="10">
        <f t="shared" si="55"/>
        <v>-3.018077669304892E-3</v>
      </c>
      <c r="F1178" s="10">
        <f t="shared" si="56"/>
        <v>-2.345099975314709E-3</v>
      </c>
      <c r="G1178" s="10">
        <f t="shared" si="57"/>
        <v>-6.1919504643963728E-3</v>
      </c>
    </row>
    <row r="1179" spans="1:7" x14ac:dyDescent="0.35">
      <c r="A1179" s="2">
        <v>45541</v>
      </c>
      <c r="B1179" s="3">
        <v>5408.42</v>
      </c>
      <c r="C1179" s="3">
        <v>80.63</v>
      </c>
      <c r="D1179" s="3">
        <v>47.14</v>
      </c>
      <c r="E1179" s="10">
        <f t="shared" si="55"/>
        <v>-1.7260207762096552E-2</v>
      </c>
      <c r="F1179" s="10">
        <f t="shared" si="56"/>
        <v>-2.4743288383026456E-3</v>
      </c>
      <c r="G1179" s="10">
        <f t="shared" si="57"/>
        <v>-2.0976116303219067E-2</v>
      </c>
    </row>
    <row r="1180" spans="1:7" x14ac:dyDescent="0.35">
      <c r="A1180" s="2">
        <v>45544</v>
      </c>
      <c r="B1180" s="3">
        <v>5471.05</v>
      </c>
      <c r="C1180" s="3">
        <v>79.489999999999995</v>
      </c>
      <c r="D1180" s="3">
        <v>47.4</v>
      </c>
      <c r="E1180" s="10">
        <f t="shared" si="55"/>
        <v>1.1580091782812746E-2</v>
      </c>
      <c r="F1180" s="10">
        <f t="shared" si="56"/>
        <v>-1.4138658067716739E-2</v>
      </c>
      <c r="G1180" s="10">
        <f t="shared" si="57"/>
        <v>5.5154857870173529E-3</v>
      </c>
    </row>
    <row r="1181" spans="1:7" x14ac:dyDescent="0.35">
      <c r="A1181" s="2">
        <v>45545</v>
      </c>
      <c r="B1181" s="3">
        <v>5495.52</v>
      </c>
      <c r="C1181" s="3">
        <v>78.09</v>
      </c>
      <c r="D1181" s="3">
        <v>44.82</v>
      </c>
      <c r="E1181" s="10">
        <f t="shared" si="55"/>
        <v>4.4726332239698515E-3</v>
      </c>
      <c r="F1181" s="10">
        <f t="shared" si="56"/>
        <v>-1.7612278273996623E-2</v>
      </c>
      <c r="G1181" s="10">
        <f t="shared" si="57"/>
        <v>-5.4430379746835407E-2</v>
      </c>
    </row>
    <row r="1182" spans="1:7" x14ac:dyDescent="0.35">
      <c r="A1182" s="2">
        <v>45546</v>
      </c>
      <c r="B1182" s="3">
        <v>5554.13</v>
      </c>
      <c r="C1182" s="3">
        <v>78.400000000000006</v>
      </c>
      <c r="D1182" s="3">
        <v>44.67</v>
      </c>
      <c r="E1182" s="10">
        <f t="shared" si="55"/>
        <v>1.06650508050193E-2</v>
      </c>
      <c r="F1182" s="10">
        <f t="shared" si="56"/>
        <v>3.9697784607504449E-3</v>
      </c>
      <c r="G1182" s="10">
        <f t="shared" si="57"/>
        <v>-3.346720214190062E-3</v>
      </c>
    </row>
    <row r="1183" spans="1:7" x14ac:dyDescent="0.35">
      <c r="A1183" s="2">
        <v>45547</v>
      </c>
      <c r="B1183" s="3">
        <v>5595.76</v>
      </c>
      <c r="C1183" s="3">
        <v>78.400000000000006</v>
      </c>
      <c r="D1183" s="3">
        <v>46.12</v>
      </c>
      <c r="E1183" s="10">
        <f t="shared" si="55"/>
        <v>7.4953232999587886E-3</v>
      </c>
      <c r="F1183" s="10">
        <f t="shared" si="56"/>
        <v>0</v>
      </c>
      <c r="G1183" s="10">
        <f t="shared" si="57"/>
        <v>3.2460264159390996E-2</v>
      </c>
    </row>
    <row r="1184" spans="1:7" x14ac:dyDescent="0.35">
      <c r="A1184" s="2">
        <v>45548</v>
      </c>
      <c r="B1184" s="3">
        <v>5626.02</v>
      </c>
      <c r="C1184" s="3">
        <v>79.010000000000005</v>
      </c>
      <c r="D1184" s="3">
        <v>46.3</v>
      </c>
      <c r="E1184" s="10">
        <f t="shared" si="55"/>
        <v>5.4076658041088644E-3</v>
      </c>
      <c r="F1184" s="10">
        <f t="shared" si="56"/>
        <v>7.780612244897951E-3</v>
      </c>
      <c r="G1184" s="10">
        <f t="shared" si="57"/>
        <v>3.9028620988725005E-3</v>
      </c>
    </row>
    <row r="1185" spans="1:7" x14ac:dyDescent="0.35">
      <c r="A1185" s="2">
        <v>45551</v>
      </c>
      <c r="B1185" s="3">
        <v>5633.09</v>
      </c>
      <c r="C1185" s="3">
        <v>79.8</v>
      </c>
      <c r="D1185" s="3">
        <v>46.87</v>
      </c>
      <c r="E1185" s="10">
        <f t="shared" si="55"/>
        <v>1.2566610143582334E-3</v>
      </c>
      <c r="F1185" s="10">
        <f t="shared" si="56"/>
        <v>9.9987343374255411E-3</v>
      </c>
      <c r="G1185" s="10">
        <f t="shared" si="57"/>
        <v>1.2311015118790503E-2</v>
      </c>
    </row>
    <row r="1186" spans="1:7" x14ac:dyDescent="0.35">
      <c r="A1186" s="2">
        <v>45552</v>
      </c>
      <c r="B1186" s="3">
        <v>5634.58</v>
      </c>
      <c r="C1186" s="3">
        <v>80.64</v>
      </c>
      <c r="D1186" s="3">
        <v>47.52</v>
      </c>
      <c r="E1186" s="10">
        <f t="shared" si="55"/>
        <v>2.6450846693374004E-4</v>
      </c>
      <c r="F1186" s="10">
        <f t="shared" si="56"/>
        <v>1.0526315789473727E-2</v>
      </c>
      <c r="G1186" s="10">
        <f t="shared" si="57"/>
        <v>1.3868145935566583E-2</v>
      </c>
    </row>
    <row r="1187" spans="1:7" x14ac:dyDescent="0.35">
      <c r="A1187" s="2">
        <v>45553</v>
      </c>
      <c r="B1187" s="3">
        <v>5618.26</v>
      </c>
      <c r="C1187" s="3">
        <v>80.900000000000006</v>
      </c>
      <c r="D1187" s="3">
        <v>48.66</v>
      </c>
      <c r="E1187" s="10">
        <f t="shared" si="55"/>
        <v>-2.8964004415590354E-3</v>
      </c>
      <c r="F1187" s="10">
        <f t="shared" si="56"/>
        <v>3.2242063492064128E-3</v>
      </c>
      <c r="G1187" s="10">
        <f t="shared" si="57"/>
        <v>2.3989898989898849E-2</v>
      </c>
    </row>
    <row r="1188" spans="1:7" x14ac:dyDescent="0.35">
      <c r="A1188" s="2">
        <v>45554</v>
      </c>
      <c r="B1188" s="3">
        <v>5713.64</v>
      </c>
      <c r="C1188" s="3">
        <v>80.98</v>
      </c>
      <c r="D1188" s="3">
        <v>48.62</v>
      </c>
      <c r="E1188" s="10">
        <f t="shared" si="55"/>
        <v>1.6976786407179464E-2</v>
      </c>
      <c r="F1188" s="10">
        <f t="shared" si="56"/>
        <v>9.8887515451172173E-4</v>
      </c>
      <c r="G1188" s="10">
        <f t="shared" si="57"/>
        <v>-8.2203041512534216E-4</v>
      </c>
    </row>
    <row r="1189" spans="1:7" x14ac:dyDescent="0.35">
      <c r="A1189" s="2">
        <v>45555</v>
      </c>
      <c r="B1189" s="3">
        <v>5702.55</v>
      </c>
      <c r="C1189" s="3">
        <v>86.52</v>
      </c>
      <c r="D1189" s="3">
        <v>48.88</v>
      </c>
      <c r="E1189" s="10">
        <f t="shared" si="55"/>
        <v>-1.9409693295342628E-3</v>
      </c>
      <c r="F1189" s="10">
        <f t="shared" si="56"/>
        <v>6.841195356878231E-2</v>
      </c>
      <c r="G1189" s="10">
        <f t="shared" si="57"/>
        <v>5.347593582887806E-3</v>
      </c>
    </row>
    <row r="1190" spans="1:7" x14ac:dyDescent="0.35">
      <c r="A1190" s="2">
        <v>45558</v>
      </c>
      <c r="B1190" s="3">
        <v>5718.57</v>
      </c>
      <c r="C1190" s="3">
        <v>86.2</v>
      </c>
      <c r="D1190" s="3">
        <v>48.04</v>
      </c>
      <c r="E1190" s="10">
        <f t="shared" si="55"/>
        <v>2.8092695373121718E-3</v>
      </c>
      <c r="F1190" s="10">
        <f t="shared" si="56"/>
        <v>-3.6985668053628432E-3</v>
      </c>
      <c r="G1190" s="10">
        <f t="shared" si="57"/>
        <v>-1.7184942716857679E-2</v>
      </c>
    </row>
    <row r="1191" spans="1:7" x14ac:dyDescent="0.35">
      <c r="A1191" s="2">
        <v>45559</v>
      </c>
      <c r="B1191" s="3">
        <v>5732.93</v>
      </c>
      <c r="C1191" s="3">
        <v>87.46</v>
      </c>
      <c r="D1191" s="3">
        <v>48.07</v>
      </c>
      <c r="E1191" s="10">
        <f t="shared" si="55"/>
        <v>2.5111172898120652E-3</v>
      </c>
      <c r="F1191" s="10">
        <f t="shared" si="56"/>
        <v>1.4617169373549777E-2</v>
      </c>
      <c r="G1191" s="10">
        <f t="shared" si="57"/>
        <v>6.2447960033307941E-4</v>
      </c>
    </row>
    <row r="1192" spans="1:7" x14ac:dyDescent="0.35">
      <c r="A1192" s="2">
        <v>45560</v>
      </c>
      <c r="B1192" s="3">
        <v>5722.26</v>
      </c>
      <c r="C1192" s="3">
        <v>88</v>
      </c>
      <c r="D1192" s="3">
        <v>45.73</v>
      </c>
      <c r="E1192" s="10">
        <f t="shared" si="55"/>
        <v>-1.8611774432968956E-3</v>
      </c>
      <c r="F1192" s="10">
        <f t="shared" si="56"/>
        <v>6.1742510862109112E-3</v>
      </c>
      <c r="G1192" s="10">
        <f t="shared" si="57"/>
        <v>-4.8679009777408015E-2</v>
      </c>
    </row>
    <row r="1193" spans="1:7" x14ac:dyDescent="0.35">
      <c r="A1193" s="2">
        <v>45561</v>
      </c>
      <c r="B1193" s="3">
        <v>5745.37</v>
      </c>
      <c r="C1193" s="3">
        <v>89.39</v>
      </c>
      <c r="D1193" s="3">
        <v>45.81</v>
      </c>
      <c r="E1193" s="10">
        <f t="shared" si="55"/>
        <v>4.03861411400385E-3</v>
      </c>
      <c r="F1193" s="10">
        <f t="shared" si="56"/>
        <v>1.5795454545454553E-2</v>
      </c>
      <c r="G1193" s="10">
        <f t="shared" si="57"/>
        <v>1.749398644216169E-3</v>
      </c>
    </row>
    <row r="1194" spans="1:7" x14ac:dyDescent="0.35">
      <c r="A1194" s="2">
        <v>45562</v>
      </c>
      <c r="B1194" s="3">
        <v>5738.17</v>
      </c>
      <c r="C1194" s="3">
        <v>89.44</v>
      </c>
      <c r="D1194" s="3">
        <v>46.48</v>
      </c>
      <c r="E1194" s="10">
        <f t="shared" si="55"/>
        <v>-1.2531829977877522E-3</v>
      </c>
      <c r="F1194" s="10">
        <f t="shared" si="56"/>
        <v>5.5934668307413757E-4</v>
      </c>
      <c r="G1194" s="10">
        <f t="shared" si="57"/>
        <v>1.4625627592228652E-2</v>
      </c>
    </row>
    <row r="1195" spans="1:7" x14ac:dyDescent="0.35">
      <c r="A1195" s="2">
        <v>45565</v>
      </c>
      <c r="B1195" s="3">
        <v>5762.48</v>
      </c>
      <c r="C1195" s="3">
        <v>88.4</v>
      </c>
      <c r="D1195" s="3">
        <v>44.84</v>
      </c>
      <c r="E1195" s="10">
        <f t="shared" si="55"/>
        <v>4.2365423122701995E-3</v>
      </c>
      <c r="F1195" s="10">
        <f t="shared" si="56"/>
        <v>-1.1627906976744097E-2</v>
      </c>
      <c r="G1195" s="10">
        <f t="shared" si="57"/>
        <v>-3.5283993115318275E-2</v>
      </c>
    </row>
    <row r="1196" spans="1:7" x14ac:dyDescent="0.35">
      <c r="A1196" s="2">
        <v>45566</v>
      </c>
      <c r="B1196" s="3">
        <v>5708.75</v>
      </c>
      <c r="C1196" s="3">
        <v>89.13</v>
      </c>
      <c r="D1196" s="3">
        <v>44.88</v>
      </c>
      <c r="E1196" s="10">
        <f t="shared" si="55"/>
        <v>-9.3241104524440111E-3</v>
      </c>
      <c r="F1196" s="10">
        <f t="shared" si="56"/>
        <v>8.257918552036083E-3</v>
      </c>
      <c r="G1196" s="10">
        <f t="shared" si="57"/>
        <v>8.9206066012486945E-4</v>
      </c>
    </row>
    <row r="1197" spans="1:7" x14ac:dyDescent="0.35">
      <c r="A1197" s="2">
        <v>45567</v>
      </c>
      <c r="B1197" s="3">
        <v>5709.54</v>
      </c>
      <c r="C1197" s="3">
        <v>83.1</v>
      </c>
      <c r="D1197" s="3">
        <v>44.82</v>
      </c>
      <c r="E1197" s="10">
        <f t="shared" si="55"/>
        <v>1.3838405955769015E-4</v>
      </c>
      <c r="F1197" s="10">
        <f t="shared" si="56"/>
        <v>-6.7653988556041753E-2</v>
      </c>
      <c r="G1197" s="10">
        <f t="shared" si="57"/>
        <v>-1.3368983957219758E-3</v>
      </c>
    </row>
    <row r="1198" spans="1:7" x14ac:dyDescent="0.35">
      <c r="A1198" s="2">
        <v>45568</v>
      </c>
      <c r="B1198" s="3">
        <v>5699.94</v>
      </c>
      <c r="C1198" s="3">
        <v>82.1</v>
      </c>
      <c r="D1198" s="3">
        <v>44.98</v>
      </c>
      <c r="E1198" s="10">
        <f t="shared" si="55"/>
        <v>-1.6813963997100228E-3</v>
      </c>
      <c r="F1198" s="10">
        <f t="shared" si="56"/>
        <v>-1.2033694344163659E-2</v>
      </c>
      <c r="G1198" s="10">
        <f t="shared" si="57"/>
        <v>3.5698348951360239E-3</v>
      </c>
    </row>
    <row r="1199" spans="1:7" x14ac:dyDescent="0.35">
      <c r="A1199" s="2">
        <v>45569</v>
      </c>
      <c r="B1199" s="3">
        <v>5751.07</v>
      </c>
      <c r="C1199" s="3">
        <v>82.25</v>
      </c>
      <c r="D1199" s="3">
        <v>45.68</v>
      </c>
      <c r="E1199" s="10">
        <f t="shared" si="55"/>
        <v>8.9702698624897995E-3</v>
      </c>
      <c r="F1199" s="10">
        <f t="shared" si="56"/>
        <v>1.8270401948843567E-3</v>
      </c>
      <c r="G1199" s="10">
        <f t="shared" si="57"/>
        <v>1.5562472209871118E-2</v>
      </c>
    </row>
    <row r="1200" spans="1:7" x14ac:dyDescent="0.35">
      <c r="A1200" s="2">
        <v>45572</v>
      </c>
      <c r="B1200" s="3">
        <v>5695.94</v>
      </c>
      <c r="C1200" s="3">
        <v>80.83</v>
      </c>
      <c r="D1200" s="3">
        <v>45.98</v>
      </c>
      <c r="E1200" s="10">
        <f t="shared" si="55"/>
        <v>-9.586042249529237E-3</v>
      </c>
      <c r="F1200" s="10">
        <f t="shared" si="56"/>
        <v>-1.7264437689969627E-2</v>
      </c>
      <c r="G1200" s="10">
        <f t="shared" si="57"/>
        <v>6.5674255691768203E-3</v>
      </c>
    </row>
    <row r="1201" spans="1:7" x14ac:dyDescent="0.35">
      <c r="A1201" s="2">
        <v>45573</v>
      </c>
      <c r="B1201" s="3">
        <v>5751.13</v>
      </c>
      <c r="C1201" s="3">
        <v>80.77</v>
      </c>
      <c r="D1201" s="3">
        <v>46.01</v>
      </c>
      <c r="E1201" s="10">
        <f t="shared" si="55"/>
        <v>9.6893576828408507E-3</v>
      </c>
      <c r="F1201" s="10">
        <f t="shared" si="56"/>
        <v>-7.4229865149081124E-4</v>
      </c>
      <c r="G1201" s="10">
        <f t="shared" si="57"/>
        <v>6.5245759025665806E-4</v>
      </c>
    </row>
    <row r="1202" spans="1:7" x14ac:dyDescent="0.35">
      <c r="A1202" s="2">
        <v>45574</v>
      </c>
      <c r="B1202" s="3">
        <v>5792.04</v>
      </c>
      <c r="C1202" s="3">
        <v>82.45</v>
      </c>
      <c r="D1202" s="3">
        <v>47.93</v>
      </c>
      <c r="E1202" s="10">
        <f t="shared" si="55"/>
        <v>7.1133846739683945E-3</v>
      </c>
      <c r="F1202" s="10">
        <f t="shared" si="56"/>
        <v>2.0799801906648593E-2</v>
      </c>
      <c r="G1202" s="10">
        <f t="shared" si="57"/>
        <v>4.173005868289506E-2</v>
      </c>
    </row>
    <row r="1203" spans="1:7" x14ac:dyDescent="0.35">
      <c r="A1203" s="2">
        <v>45575</v>
      </c>
      <c r="B1203" s="3">
        <v>5780.05</v>
      </c>
      <c r="C1203" s="3">
        <v>82.1</v>
      </c>
      <c r="D1203" s="3">
        <v>47.69</v>
      </c>
      <c r="E1203" s="10">
        <f t="shared" si="55"/>
        <v>-2.0700823889337402E-3</v>
      </c>
      <c r="F1203" s="10">
        <f t="shared" si="56"/>
        <v>-4.2449969678594116E-3</v>
      </c>
      <c r="G1203" s="10">
        <f t="shared" si="57"/>
        <v>-5.0073023158773624E-3</v>
      </c>
    </row>
    <row r="1204" spans="1:7" x14ac:dyDescent="0.35">
      <c r="A1204" s="2">
        <v>45576</v>
      </c>
      <c r="B1204" s="3">
        <v>5815.03</v>
      </c>
      <c r="C1204" s="3">
        <v>82.15</v>
      </c>
      <c r="D1204" s="3">
        <v>47.87</v>
      </c>
      <c r="E1204" s="10">
        <f t="shared" si="55"/>
        <v>6.0518507625365809E-3</v>
      </c>
      <c r="F1204" s="10">
        <f t="shared" si="56"/>
        <v>6.0901339829490101E-4</v>
      </c>
      <c r="G1204" s="10">
        <f t="shared" si="57"/>
        <v>3.7743761794925505E-3</v>
      </c>
    </row>
    <row r="1205" spans="1:7" x14ac:dyDescent="0.35">
      <c r="A1205" s="2">
        <v>45579</v>
      </c>
      <c r="B1205" s="3">
        <v>5859.85</v>
      </c>
      <c r="C1205" s="3">
        <v>81.599999999999994</v>
      </c>
      <c r="D1205" s="3">
        <v>48.63</v>
      </c>
      <c r="E1205" s="10">
        <f t="shared" si="55"/>
        <v>7.7076128584032452E-3</v>
      </c>
      <c r="F1205" s="10">
        <f t="shared" si="56"/>
        <v>-6.6950699939137106E-3</v>
      </c>
      <c r="G1205" s="10">
        <f t="shared" si="57"/>
        <v>1.587633173177366E-2</v>
      </c>
    </row>
    <row r="1206" spans="1:7" x14ac:dyDescent="0.35">
      <c r="A1206" s="2">
        <v>45580</v>
      </c>
      <c r="B1206" s="3">
        <v>5815.26</v>
      </c>
      <c r="C1206" s="3">
        <v>82.12</v>
      </c>
      <c r="D1206" s="3">
        <v>47.85</v>
      </c>
      <c r="E1206" s="10">
        <f t="shared" si="55"/>
        <v>-7.6094097971791327E-3</v>
      </c>
      <c r="F1206" s="10">
        <f t="shared" si="56"/>
        <v>6.3725490196079688E-3</v>
      </c>
      <c r="G1206" s="10">
        <f t="shared" si="57"/>
        <v>-1.6039481801357211E-2</v>
      </c>
    </row>
    <row r="1207" spans="1:7" x14ac:dyDescent="0.35">
      <c r="A1207" s="2">
        <v>45581</v>
      </c>
      <c r="B1207" s="3">
        <v>5842.47</v>
      </c>
      <c r="C1207" s="3">
        <v>83.94</v>
      </c>
      <c r="D1207" s="3">
        <v>49.01</v>
      </c>
      <c r="E1207" s="10">
        <f t="shared" si="55"/>
        <v>4.6790685197222537E-3</v>
      </c>
      <c r="F1207" s="10">
        <f t="shared" si="56"/>
        <v>2.2162688748173322E-2</v>
      </c>
      <c r="G1207" s="10">
        <f t="shared" si="57"/>
        <v>2.424242424242417E-2</v>
      </c>
    </row>
    <row r="1208" spans="1:7" x14ac:dyDescent="0.35">
      <c r="A1208" s="2">
        <v>45582</v>
      </c>
      <c r="B1208" s="3">
        <v>5841.47</v>
      </c>
      <c r="C1208" s="3">
        <v>83.4</v>
      </c>
      <c r="D1208" s="3">
        <v>49.38</v>
      </c>
      <c r="E1208" s="10">
        <f t="shared" si="55"/>
        <v>-1.7116048520574346E-4</v>
      </c>
      <c r="F1208" s="10">
        <f t="shared" si="56"/>
        <v>-6.4331665475338582E-3</v>
      </c>
      <c r="G1208" s="10">
        <f t="shared" si="57"/>
        <v>7.5494796980209054E-3</v>
      </c>
    </row>
    <row r="1209" spans="1:7" x14ac:dyDescent="0.35">
      <c r="A1209" s="2">
        <v>45583</v>
      </c>
      <c r="B1209" s="3">
        <v>5864.67</v>
      </c>
      <c r="C1209" s="3">
        <v>82.92</v>
      </c>
      <c r="D1209" s="3">
        <v>49.18</v>
      </c>
      <c r="E1209" s="10">
        <f t="shared" si="55"/>
        <v>3.9716030382762934E-3</v>
      </c>
      <c r="F1209" s="10">
        <f t="shared" si="56"/>
        <v>-5.7553956834532844E-3</v>
      </c>
      <c r="G1209" s="10">
        <f t="shared" si="57"/>
        <v>-4.0502227622519812E-3</v>
      </c>
    </row>
    <row r="1210" spans="1:7" x14ac:dyDescent="0.35">
      <c r="A1210" s="2">
        <v>45586</v>
      </c>
      <c r="B1210" s="3">
        <v>5853.98</v>
      </c>
      <c r="C1210" s="3">
        <v>81.48</v>
      </c>
      <c r="D1210" s="3">
        <v>48.93</v>
      </c>
      <c r="E1210" s="10">
        <f t="shared" si="55"/>
        <v>-1.8227794573267566E-3</v>
      </c>
      <c r="F1210" s="10">
        <f t="shared" si="56"/>
        <v>-1.7366136034732246E-2</v>
      </c>
      <c r="G1210" s="10">
        <f t="shared" si="57"/>
        <v>-5.0833672224481494E-3</v>
      </c>
    </row>
    <row r="1211" spans="1:7" x14ac:dyDescent="0.35">
      <c r="A1211" s="2">
        <v>45587</v>
      </c>
      <c r="B1211" s="3">
        <v>5851.2</v>
      </c>
      <c r="C1211" s="3">
        <v>81.42</v>
      </c>
      <c r="D1211" s="3">
        <v>53.73</v>
      </c>
      <c r="E1211" s="10">
        <f t="shared" si="55"/>
        <v>-4.748905872585396E-4</v>
      </c>
      <c r="F1211" s="10">
        <f t="shared" si="56"/>
        <v>-7.363770250368467E-4</v>
      </c>
      <c r="G1211" s="10">
        <f t="shared" si="57"/>
        <v>9.8099325567136672E-2</v>
      </c>
    </row>
    <row r="1212" spans="1:7" x14ac:dyDescent="0.35">
      <c r="A1212" s="2">
        <v>45588</v>
      </c>
      <c r="B1212" s="3">
        <v>5797.42</v>
      </c>
      <c r="C1212" s="3">
        <v>80.05</v>
      </c>
      <c r="D1212" s="3">
        <v>52.92</v>
      </c>
      <c r="E1212" s="10">
        <f t="shared" si="55"/>
        <v>-9.1912770030078868E-3</v>
      </c>
      <c r="F1212" s="10">
        <f t="shared" si="56"/>
        <v>-1.6826332596413713E-2</v>
      </c>
      <c r="G1212" s="10">
        <f t="shared" si="57"/>
        <v>-1.5075376884422021E-2</v>
      </c>
    </row>
    <row r="1213" spans="1:7" x14ac:dyDescent="0.35">
      <c r="A1213" s="2">
        <v>45589</v>
      </c>
      <c r="B1213" s="3">
        <v>5809.86</v>
      </c>
      <c r="C1213" s="3">
        <v>79.040000000000006</v>
      </c>
      <c r="D1213" s="3">
        <v>52.72</v>
      </c>
      <c r="E1213" s="10">
        <f t="shared" si="55"/>
        <v>2.1457820892741251E-3</v>
      </c>
      <c r="F1213" s="10">
        <f t="shared" si="56"/>
        <v>-1.2617114303560162E-2</v>
      </c>
      <c r="G1213" s="10">
        <f t="shared" si="57"/>
        <v>-3.7792894935752613E-3</v>
      </c>
    </row>
    <row r="1214" spans="1:7" x14ac:dyDescent="0.35">
      <c r="A1214" s="2">
        <v>45590</v>
      </c>
      <c r="B1214" s="3">
        <v>5808.12</v>
      </c>
      <c r="C1214" s="3">
        <v>78.849999999999994</v>
      </c>
      <c r="D1214" s="3">
        <v>52.07</v>
      </c>
      <c r="E1214" s="10">
        <f t="shared" si="55"/>
        <v>-2.9949086552856383E-4</v>
      </c>
      <c r="F1214" s="10">
        <f t="shared" si="56"/>
        <v>-2.4038461538463045E-3</v>
      </c>
      <c r="G1214" s="10">
        <f t="shared" si="57"/>
        <v>-1.2329286798179033E-2</v>
      </c>
    </row>
    <row r="1215" spans="1:7" x14ac:dyDescent="0.35">
      <c r="A1215" s="2">
        <v>45593</v>
      </c>
      <c r="B1215" s="3">
        <v>5823.52</v>
      </c>
      <c r="C1215" s="3">
        <v>78.91</v>
      </c>
      <c r="D1215" s="3">
        <v>52.73</v>
      </c>
      <c r="E1215" s="10">
        <f t="shared" si="55"/>
        <v>2.6514603692762108E-3</v>
      </c>
      <c r="F1215" s="10">
        <f t="shared" si="56"/>
        <v>7.6093849080535541E-4</v>
      </c>
      <c r="G1215" s="10">
        <f t="shared" si="57"/>
        <v>1.2675244862684782E-2</v>
      </c>
    </row>
    <row r="1216" spans="1:7" x14ac:dyDescent="0.35">
      <c r="A1216" s="2">
        <v>45594</v>
      </c>
      <c r="B1216" s="3">
        <v>5832.92</v>
      </c>
      <c r="C1216" s="3">
        <v>78.400000000000006</v>
      </c>
      <c r="D1216" s="3">
        <v>51.54</v>
      </c>
      <c r="E1216" s="10">
        <f t="shared" si="55"/>
        <v>1.6141440228589642E-3</v>
      </c>
      <c r="F1216" s="10">
        <f t="shared" si="56"/>
        <v>-6.4630591813457225E-3</v>
      </c>
      <c r="G1216" s="10">
        <f t="shared" si="57"/>
        <v>-2.2567798217333544E-2</v>
      </c>
    </row>
    <row r="1217" spans="1:7" x14ac:dyDescent="0.35">
      <c r="A1217" s="2">
        <v>45595</v>
      </c>
      <c r="B1217" s="3">
        <v>5813.67</v>
      </c>
      <c r="C1217" s="3">
        <v>76.45</v>
      </c>
      <c r="D1217" s="3">
        <v>51.97</v>
      </c>
      <c r="E1217" s="10">
        <f t="shared" si="55"/>
        <v>-3.3002338451410271E-3</v>
      </c>
      <c r="F1217" s="10">
        <f t="shared" si="56"/>
        <v>-2.4872448979591871E-2</v>
      </c>
      <c r="G1217" s="10">
        <f t="shared" si="57"/>
        <v>8.3430345362824933E-3</v>
      </c>
    </row>
    <row r="1218" spans="1:7" x14ac:dyDescent="0.35">
      <c r="A1218" s="2">
        <v>45596</v>
      </c>
      <c r="B1218" s="3">
        <v>5705.45</v>
      </c>
      <c r="C1218" s="3">
        <v>77.13</v>
      </c>
      <c r="D1218" s="3">
        <v>50.76</v>
      </c>
      <c r="E1218" s="10">
        <f t="shared" si="55"/>
        <v>-1.8614747655095704E-2</v>
      </c>
      <c r="F1218" s="10">
        <f t="shared" si="56"/>
        <v>8.8947024198821785E-3</v>
      </c>
      <c r="G1218" s="10">
        <f t="shared" si="57"/>
        <v>-2.3282663074850891E-2</v>
      </c>
    </row>
    <row r="1219" spans="1:7" x14ac:dyDescent="0.35">
      <c r="A1219" s="2">
        <v>45597</v>
      </c>
      <c r="B1219" s="3">
        <v>5728.8</v>
      </c>
      <c r="C1219" s="3">
        <v>78.06</v>
      </c>
      <c r="D1219" s="3">
        <v>50.96</v>
      </c>
      <c r="E1219" s="10">
        <f t="shared" si="55"/>
        <v>4.0925781489628979E-3</v>
      </c>
      <c r="F1219" s="10">
        <f t="shared" si="56"/>
        <v>1.2057565149747269E-2</v>
      </c>
      <c r="G1219" s="10">
        <f t="shared" si="57"/>
        <v>3.9401103230891025E-3</v>
      </c>
    </row>
    <row r="1220" spans="1:7" x14ac:dyDescent="0.35">
      <c r="A1220" s="2">
        <v>45600</v>
      </c>
      <c r="B1220" s="3">
        <v>5712.69</v>
      </c>
      <c r="C1220" s="3">
        <v>77.19</v>
      </c>
      <c r="D1220" s="3">
        <v>51.8</v>
      </c>
      <c r="E1220" s="10">
        <f t="shared" ref="E1220:E1283" si="58">(B1220-B1219)/B1219</f>
        <v>-2.81210724759122E-3</v>
      </c>
      <c r="F1220" s="10">
        <f t="shared" ref="F1220:F1283" si="59">(C1220-C1219)/C1219</f>
        <v>-1.1145272867025423E-2</v>
      </c>
      <c r="G1220" s="10">
        <f t="shared" ref="G1220:G1283" si="60">(D1220-D1219)/D1219</f>
        <v>1.6483516483516411E-2</v>
      </c>
    </row>
    <row r="1221" spans="1:7" x14ac:dyDescent="0.35">
      <c r="A1221" s="2">
        <v>45601</v>
      </c>
      <c r="B1221" s="3">
        <v>5782.76</v>
      </c>
      <c r="C1221" s="3">
        <v>77.98</v>
      </c>
      <c r="D1221" s="3">
        <v>53.7</v>
      </c>
      <c r="E1221" s="10">
        <f t="shared" si="58"/>
        <v>1.2265675189796861E-2</v>
      </c>
      <c r="F1221" s="10">
        <f t="shared" si="59"/>
        <v>1.0234486332426561E-2</v>
      </c>
      <c r="G1221" s="10">
        <f t="shared" si="60"/>
        <v>3.6679536679536794E-2</v>
      </c>
    </row>
    <row r="1222" spans="1:7" x14ac:dyDescent="0.35">
      <c r="A1222" s="2">
        <v>45602</v>
      </c>
      <c r="B1222" s="3">
        <v>5929.04</v>
      </c>
      <c r="C1222" s="3">
        <v>75.319999999999993</v>
      </c>
      <c r="D1222" s="3">
        <v>55.05</v>
      </c>
      <c r="E1222" s="10">
        <f t="shared" si="58"/>
        <v>2.5295879476236217E-2</v>
      </c>
      <c r="F1222" s="10">
        <f t="shared" si="59"/>
        <v>-3.411131059245974E-2</v>
      </c>
      <c r="G1222" s="10">
        <f t="shared" si="60"/>
        <v>2.5139664804469167E-2</v>
      </c>
    </row>
    <row r="1223" spans="1:7" x14ac:dyDescent="0.35">
      <c r="A1223" s="2">
        <v>45603</v>
      </c>
      <c r="B1223" s="3">
        <v>5973.1</v>
      </c>
      <c r="C1223" s="3">
        <v>75.92</v>
      </c>
      <c r="D1223" s="3">
        <v>55.39</v>
      </c>
      <c r="E1223" s="10">
        <f t="shared" si="58"/>
        <v>7.4312198939457987E-3</v>
      </c>
      <c r="F1223" s="10">
        <f t="shared" si="59"/>
        <v>7.9660116834839156E-3</v>
      </c>
      <c r="G1223" s="10">
        <f t="shared" si="60"/>
        <v>6.1762034514078737E-3</v>
      </c>
    </row>
    <row r="1224" spans="1:7" x14ac:dyDescent="0.35">
      <c r="A1224" s="2">
        <v>45604</v>
      </c>
      <c r="B1224" s="3">
        <v>5995.54</v>
      </c>
      <c r="C1224" s="3">
        <v>75.88</v>
      </c>
      <c r="D1224" s="3">
        <v>55.58</v>
      </c>
      <c r="E1224" s="10">
        <f t="shared" si="58"/>
        <v>3.7568431802580903E-3</v>
      </c>
      <c r="F1224" s="10">
        <f t="shared" si="59"/>
        <v>-5.2687038988417088E-4</v>
      </c>
      <c r="G1224" s="10">
        <f t="shared" si="60"/>
        <v>3.430222061743956E-3</v>
      </c>
    </row>
    <row r="1225" spans="1:7" x14ac:dyDescent="0.35">
      <c r="A1225" s="2">
        <v>45607</v>
      </c>
      <c r="B1225" s="3">
        <v>6001.35</v>
      </c>
      <c r="C1225" s="3">
        <v>76.599999999999994</v>
      </c>
      <c r="D1225" s="3">
        <v>57.66</v>
      </c>
      <c r="E1225" s="10">
        <f t="shared" si="58"/>
        <v>9.6905366322306251E-4</v>
      </c>
      <c r="F1225" s="10">
        <f t="shared" si="59"/>
        <v>9.4886663152345656E-3</v>
      </c>
      <c r="G1225" s="10">
        <f t="shared" si="60"/>
        <v>3.7423533645196086E-2</v>
      </c>
    </row>
    <row r="1226" spans="1:7" x14ac:dyDescent="0.35">
      <c r="A1226" s="2">
        <v>45608</v>
      </c>
      <c r="B1226" s="3">
        <v>5983.99</v>
      </c>
      <c r="C1226" s="3">
        <v>76.66</v>
      </c>
      <c r="D1226" s="3">
        <v>57.41</v>
      </c>
      <c r="E1226" s="10">
        <f t="shared" si="58"/>
        <v>-2.8926824797754808E-3</v>
      </c>
      <c r="F1226" s="10">
        <f t="shared" si="59"/>
        <v>7.8328981723240572E-4</v>
      </c>
      <c r="G1226" s="10">
        <f t="shared" si="60"/>
        <v>-4.3357613596947623E-3</v>
      </c>
    </row>
    <row r="1227" spans="1:7" x14ac:dyDescent="0.35">
      <c r="A1227" s="2">
        <v>45609</v>
      </c>
      <c r="B1227" s="3">
        <v>5985.38</v>
      </c>
      <c r="C1227" s="3">
        <v>76.52</v>
      </c>
      <c r="D1227" s="3">
        <v>57.71</v>
      </c>
      <c r="E1227" s="10">
        <f t="shared" si="58"/>
        <v>2.3228648443602469E-4</v>
      </c>
      <c r="F1227" s="10">
        <f t="shared" si="59"/>
        <v>-1.8262457605009207E-3</v>
      </c>
      <c r="G1227" s="10">
        <f t="shared" si="60"/>
        <v>5.2255704581084181E-3</v>
      </c>
    </row>
    <row r="1228" spans="1:7" x14ac:dyDescent="0.35">
      <c r="A1228" s="2">
        <v>45610</v>
      </c>
      <c r="B1228" s="3">
        <v>5949.17</v>
      </c>
      <c r="C1228" s="3">
        <v>75.680000000000007</v>
      </c>
      <c r="D1228" s="3">
        <v>57.62</v>
      </c>
      <c r="E1228" s="10">
        <f t="shared" si="58"/>
        <v>-6.0497412027306595E-3</v>
      </c>
      <c r="F1228" s="10">
        <f t="shared" si="59"/>
        <v>-1.0977522216413869E-2</v>
      </c>
      <c r="G1228" s="10">
        <f t="shared" si="60"/>
        <v>-1.5595217466644153E-3</v>
      </c>
    </row>
    <row r="1229" spans="1:7" x14ac:dyDescent="0.35">
      <c r="A1229" s="2">
        <v>45611</v>
      </c>
      <c r="B1229" s="3">
        <v>5870.62</v>
      </c>
      <c r="C1229" s="3">
        <v>76.66</v>
      </c>
      <c r="D1229" s="3">
        <v>57.04</v>
      </c>
      <c r="E1229" s="10">
        <f t="shared" si="58"/>
        <v>-1.3203522508181844E-2</v>
      </c>
      <c r="F1229" s="10">
        <f t="shared" si="59"/>
        <v>1.2949260042283162E-2</v>
      </c>
      <c r="G1229" s="10">
        <f t="shared" si="60"/>
        <v>-1.0065949323151654E-2</v>
      </c>
    </row>
    <row r="1230" spans="1:7" x14ac:dyDescent="0.35">
      <c r="A1230" s="2">
        <v>45614</v>
      </c>
      <c r="B1230" s="3">
        <v>5893.62</v>
      </c>
      <c r="C1230" s="3">
        <v>74.89</v>
      </c>
      <c r="D1230" s="3">
        <v>56.25</v>
      </c>
      <c r="E1230" s="10">
        <f t="shared" si="58"/>
        <v>3.9178144727473416E-3</v>
      </c>
      <c r="F1230" s="10">
        <f t="shared" si="59"/>
        <v>-2.3088964257761493E-2</v>
      </c>
      <c r="G1230" s="10">
        <f t="shared" si="60"/>
        <v>-1.3849929873772777E-2</v>
      </c>
    </row>
    <row r="1231" spans="1:7" x14ac:dyDescent="0.35">
      <c r="A1231" s="2">
        <v>45615</v>
      </c>
      <c r="B1231" s="3">
        <v>5916.98</v>
      </c>
      <c r="C1231" s="3">
        <v>73.91</v>
      </c>
      <c r="D1231" s="3">
        <v>55.11</v>
      </c>
      <c r="E1231" s="10">
        <f t="shared" si="58"/>
        <v>3.9636081050355597E-3</v>
      </c>
      <c r="F1231" s="10">
        <f t="shared" si="59"/>
        <v>-1.3085859260248417E-2</v>
      </c>
      <c r="G1231" s="10">
        <f t="shared" si="60"/>
        <v>-2.0266666666666676E-2</v>
      </c>
    </row>
    <row r="1232" spans="1:7" x14ac:dyDescent="0.35">
      <c r="A1232" s="2">
        <v>45616</v>
      </c>
      <c r="B1232" s="3">
        <v>5917.11</v>
      </c>
      <c r="C1232" s="3">
        <v>73.36</v>
      </c>
      <c r="D1232" s="3">
        <v>54.87</v>
      </c>
      <c r="E1232" s="10">
        <f t="shared" si="58"/>
        <v>2.1970667468896151E-5</v>
      </c>
      <c r="F1232" s="10">
        <f t="shared" si="59"/>
        <v>-7.4414828845893273E-3</v>
      </c>
      <c r="G1232" s="10">
        <f t="shared" si="60"/>
        <v>-4.3549265106151694E-3</v>
      </c>
    </row>
    <row r="1233" spans="1:7" x14ac:dyDescent="0.35">
      <c r="A1233" s="2">
        <v>45617</v>
      </c>
      <c r="B1233" s="3">
        <v>5948.71</v>
      </c>
      <c r="C1233" s="3">
        <v>75.099999999999994</v>
      </c>
      <c r="D1233" s="3">
        <v>55.68</v>
      </c>
      <c r="E1233" s="10">
        <f t="shared" si="58"/>
        <v>5.3404449131417816E-3</v>
      </c>
      <c r="F1233" s="10">
        <f t="shared" si="59"/>
        <v>2.3718647764449222E-2</v>
      </c>
      <c r="G1233" s="10">
        <f t="shared" si="60"/>
        <v>1.4762165117550616E-2</v>
      </c>
    </row>
    <row r="1234" spans="1:7" x14ac:dyDescent="0.35">
      <c r="A1234" s="2">
        <v>45618</v>
      </c>
      <c r="B1234" s="3">
        <v>5969.34</v>
      </c>
      <c r="C1234" s="3">
        <v>77.400000000000006</v>
      </c>
      <c r="D1234" s="3">
        <v>58.53</v>
      </c>
      <c r="E1234" s="10">
        <f t="shared" si="58"/>
        <v>3.4679787718682048E-3</v>
      </c>
      <c r="F1234" s="10">
        <f t="shared" si="59"/>
        <v>3.0625832223701886E-2</v>
      </c>
      <c r="G1234" s="10">
        <f t="shared" si="60"/>
        <v>5.1185344827586229E-2</v>
      </c>
    </row>
    <row r="1235" spans="1:7" x14ac:dyDescent="0.35">
      <c r="A1235" s="2">
        <v>45621</v>
      </c>
      <c r="B1235" s="3">
        <v>5987.37</v>
      </c>
      <c r="C1235" s="3">
        <v>79.260000000000005</v>
      </c>
      <c r="D1235" s="3">
        <v>60.2</v>
      </c>
      <c r="E1235" s="10">
        <f t="shared" si="58"/>
        <v>3.0204344198855727E-3</v>
      </c>
      <c r="F1235" s="10">
        <f t="shared" si="59"/>
        <v>2.4031007751937974E-2</v>
      </c>
      <c r="G1235" s="10">
        <f t="shared" si="60"/>
        <v>2.8532376559029585E-2</v>
      </c>
    </row>
    <row r="1236" spans="1:7" x14ac:dyDescent="0.35">
      <c r="A1236" s="2">
        <v>45622</v>
      </c>
      <c r="B1236" s="3">
        <v>6021.63</v>
      </c>
      <c r="C1236" s="3">
        <v>77.61</v>
      </c>
      <c r="D1236" s="3">
        <v>54.79</v>
      </c>
      <c r="E1236" s="10">
        <f t="shared" si="58"/>
        <v>5.7220449045240597E-3</v>
      </c>
      <c r="F1236" s="10">
        <f t="shared" si="59"/>
        <v>-2.0817562452687427E-2</v>
      </c>
      <c r="G1236" s="10">
        <f t="shared" si="60"/>
        <v>-8.9867109634551551E-2</v>
      </c>
    </row>
    <row r="1237" spans="1:7" x14ac:dyDescent="0.35">
      <c r="A1237" s="2">
        <v>45623</v>
      </c>
      <c r="B1237" s="3">
        <v>5998.74</v>
      </c>
      <c r="C1237" s="3">
        <v>78.34</v>
      </c>
      <c r="D1237" s="3">
        <v>55.5</v>
      </c>
      <c r="E1237" s="10">
        <f t="shared" si="58"/>
        <v>-3.801296326742149E-3</v>
      </c>
      <c r="F1237" s="10">
        <f t="shared" si="59"/>
        <v>9.4060043808788033E-3</v>
      </c>
      <c r="G1237" s="10">
        <f t="shared" si="60"/>
        <v>1.2958569081949277E-2</v>
      </c>
    </row>
    <row r="1238" spans="1:7" x14ac:dyDescent="0.35">
      <c r="A1238" s="2">
        <v>45625</v>
      </c>
      <c r="B1238" s="3">
        <v>6032.38</v>
      </c>
      <c r="C1238" s="3">
        <v>78.77</v>
      </c>
      <c r="D1238" s="3">
        <v>55.59</v>
      </c>
      <c r="E1238" s="10">
        <f t="shared" si="58"/>
        <v>5.6078443139726559E-3</v>
      </c>
      <c r="F1238" s="10">
        <f t="shared" si="59"/>
        <v>5.4888945621648279E-3</v>
      </c>
      <c r="G1238" s="10">
        <f t="shared" si="60"/>
        <v>1.6216216216216831E-3</v>
      </c>
    </row>
    <row r="1239" spans="1:7" x14ac:dyDescent="0.35">
      <c r="A1239" s="2">
        <v>45628</v>
      </c>
      <c r="B1239" s="3">
        <v>6047.15</v>
      </c>
      <c r="C1239" s="3">
        <v>79.09</v>
      </c>
      <c r="D1239" s="3">
        <v>55.04</v>
      </c>
      <c r="E1239" s="10">
        <f t="shared" si="58"/>
        <v>2.4484531809997922E-3</v>
      </c>
      <c r="F1239" s="10">
        <f t="shared" si="59"/>
        <v>4.0624603275359579E-3</v>
      </c>
      <c r="G1239" s="10">
        <f t="shared" si="60"/>
        <v>-9.8938658032020916E-3</v>
      </c>
    </row>
    <row r="1240" spans="1:7" x14ac:dyDescent="0.35">
      <c r="A1240" s="2">
        <v>45629</v>
      </c>
      <c r="B1240" s="3">
        <v>6049.88</v>
      </c>
      <c r="C1240" s="3">
        <v>78.86</v>
      </c>
      <c r="D1240" s="3">
        <v>53.66</v>
      </c>
      <c r="E1240" s="10">
        <f t="shared" si="58"/>
        <v>4.5145233705141648E-4</v>
      </c>
      <c r="F1240" s="10">
        <f t="shared" si="59"/>
        <v>-2.9080794032115814E-3</v>
      </c>
      <c r="G1240" s="10">
        <f t="shared" si="60"/>
        <v>-2.5072674418604699E-2</v>
      </c>
    </row>
    <row r="1241" spans="1:7" x14ac:dyDescent="0.35">
      <c r="A1241" s="2">
        <v>45630</v>
      </c>
      <c r="B1241" s="3">
        <v>6086.49</v>
      </c>
      <c r="C1241" s="3">
        <v>78.37</v>
      </c>
      <c r="D1241" s="3">
        <v>53.36</v>
      </c>
      <c r="E1241" s="10">
        <f t="shared" si="58"/>
        <v>6.051359696390618E-3</v>
      </c>
      <c r="F1241" s="10">
        <f t="shared" si="59"/>
        <v>-6.2135429875728489E-3</v>
      </c>
      <c r="G1241" s="10">
        <f t="shared" si="60"/>
        <v>-5.5907566157286093E-3</v>
      </c>
    </row>
    <row r="1242" spans="1:7" x14ac:dyDescent="0.35">
      <c r="A1242" s="2">
        <v>45631</v>
      </c>
      <c r="B1242" s="3">
        <v>6075.11</v>
      </c>
      <c r="C1242" s="3">
        <v>78.58</v>
      </c>
      <c r="D1242" s="3">
        <v>53.39</v>
      </c>
      <c r="E1242" s="10">
        <f t="shared" si="58"/>
        <v>-1.8697147288503078E-3</v>
      </c>
      <c r="F1242" s="10">
        <f t="shared" si="59"/>
        <v>2.6795967844837785E-3</v>
      </c>
      <c r="G1242" s="10">
        <f t="shared" si="60"/>
        <v>5.6221889055474395E-4</v>
      </c>
    </row>
    <row r="1243" spans="1:7" x14ac:dyDescent="0.35">
      <c r="A1243" s="2">
        <v>45632</v>
      </c>
      <c r="B1243" s="3">
        <v>6090.27</v>
      </c>
      <c r="C1243" s="3">
        <v>78.89</v>
      </c>
      <c r="D1243" s="3">
        <v>53.41</v>
      </c>
      <c r="E1243" s="10">
        <f t="shared" si="58"/>
        <v>2.4954280663232048E-3</v>
      </c>
      <c r="F1243" s="10">
        <f t="shared" si="59"/>
        <v>3.9450241791804822E-3</v>
      </c>
      <c r="G1243" s="10">
        <f t="shared" si="60"/>
        <v>3.7460198539044802E-4</v>
      </c>
    </row>
    <row r="1244" spans="1:7" x14ac:dyDescent="0.35">
      <c r="A1244" s="2">
        <v>45635</v>
      </c>
      <c r="B1244" s="3">
        <v>6052.85</v>
      </c>
      <c r="C1244" s="3">
        <v>77.64</v>
      </c>
      <c r="D1244" s="3">
        <v>52.71</v>
      </c>
      <c r="E1244" s="10">
        <f t="shared" si="58"/>
        <v>-6.1442267748392223E-3</v>
      </c>
      <c r="F1244" s="10">
        <f t="shared" si="59"/>
        <v>-1.5844847255672454E-2</v>
      </c>
      <c r="G1244" s="10">
        <f t="shared" si="60"/>
        <v>-1.3106159895150642E-2</v>
      </c>
    </row>
    <row r="1245" spans="1:7" x14ac:dyDescent="0.35">
      <c r="A1245" s="2">
        <v>45636</v>
      </c>
      <c r="B1245" s="3">
        <v>6034.91</v>
      </c>
      <c r="C1245" s="3">
        <v>76.739999999999995</v>
      </c>
      <c r="D1245" s="3">
        <v>52.74</v>
      </c>
      <c r="E1245" s="10">
        <f t="shared" si="58"/>
        <v>-2.9638930421207379E-3</v>
      </c>
      <c r="F1245" s="10">
        <f t="shared" si="59"/>
        <v>-1.1591962905718775E-2</v>
      </c>
      <c r="G1245" s="10">
        <f t="shared" si="60"/>
        <v>5.6915196357429593E-4</v>
      </c>
    </row>
    <row r="1246" spans="1:7" x14ac:dyDescent="0.35">
      <c r="A1246" s="2">
        <v>45637</v>
      </c>
      <c r="B1246" s="3">
        <v>6084.19</v>
      </c>
      <c r="C1246" s="3">
        <v>78.849999999999994</v>
      </c>
      <c r="D1246" s="3">
        <v>52.04</v>
      </c>
      <c r="E1246" s="10">
        <f t="shared" si="58"/>
        <v>8.1658218598122841E-3</v>
      </c>
      <c r="F1246" s="10">
        <f t="shared" si="59"/>
        <v>2.7495439145165487E-2</v>
      </c>
      <c r="G1246" s="10">
        <f t="shared" si="60"/>
        <v>-1.3272658323852916E-2</v>
      </c>
    </row>
    <row r="1247" spans="1:7" x14ac:dyDescent="0.35">
      <c r="A1247" s="2">
        <v>45638</v>
      </c>
      <c r="B1247" s="3">
        <v>6051.25</v>
      </c>
      <c r="C1247" s="3">
        <v>77.959999999999994</v>
      </c>
      <c r="D1247" s="3">
        <v>52.3</v>
      </c>
      <c r="E1247" s="10">
        <f t="shared" si="58"/>
        <v>-5.4140321061636144E-3</v>
      </c>
      <c r="F1247" s="10">
        <f t="shared" si="59"/>
        <v>-1.1287254280279019E-2</v>
      </c>
      <c r="G1247" s="10">
        <f t="shared" si="60"/>
        <v>4.9961568024596082E-3</v>
      </c>
    </row>
    <row r="1248" spans="1:7" x14ac:dyDescent="0.35">
      <c r="A1248" s="2">
        <v>45639</v>
      </c>
      <c r="B1248" s="3">
        <v>6051.09</v>
      </c>
      <c r="C1248" s="3">
        <v>77.25</v>
      </c>
      <c r="D1248" s="3">
        <v>52.53</v>
      </c>
      <c r="E1248" s="10">
        <f t="shared" si="58"/>
        <v>-2.6440818012783223E-5</v>
      </c>
      <c r="F1248" s="10">
        <f t="shared" si="59"/>
        <v>-9.107234479220034E-3</v>
      </c>
      <c r="G1248" s="10">
        <f t="shared" si="60"/>
        <v>4.397705544933155E-3</v>
      </c>
    </row>
    <row r="1249" spans="1:7" x14ac:dyDescent="0.35">
      <c r="A1249" s="2">
        <v>45642</v>
      </c>
      <c r="B1249" s="3">
        <v>6074.08</v>
      </c>
      <c r="C1249" s="3">
        <v>77.2</v>
      </c>
      <c r="D1249" s="3">
        <v>52.24</v>
      </c>
      <c r="E1249" s="10">
        <f t="shared" si="58"/>
        <v>3.799315495224791E-3</v>
      </c>
      <c r="F1249" s="10">
        <f t="shared" si="59"/>
        <v>-6.4724919093847458E-4</v>
      </c>
      <c r="G1249" s="10">
        <f t="shared" si="60"/>
        <v>-5.5206548638872862E-3</v>
      </c>
    </row>
    <row r="1250" spans="1:7" x14ac:dyDescent="0.35">
      <c r="A1250" s="2">
        <v>45643</v>
      </c>
      <c r="B1250" s="3">
        <v>6050.61</v>
      </c>
      <c r="C1250" s="3">
        <v>78</v>
      </c>
      <c r="D1250" s="3">
        <v>51.15</v>
      </c>
      <c r="E1250" s="10">
        <f t="shared" si="58"/>
        <v>-3.8639596449174616E-3</v>
      </c>
      <c r="F1250" s="10">
        <f t="shared" si="59"/>
        <v>1.0362694300518097E-2</v>
      </c>
      <c r="G1250" s="10">
        <f t="shared" si="60"/>
        <v>-2.0865237366003129E-2</v>
      </c>
    </row>
    <row r="1251" spans="1:7" x14ac:dyDescent="0.35">
      <c r="A1251" s="2">
        <v>45644</v>
      </c>
      <c r="B1251" s="3">
        <v>5872.16</v>
      </c>
      <c r="C1251" s="3">
        <v>76.900000000000006</v>
      </c>
      <c r="D1251" s="3">
        <v>49.99</v>
      </c>
      <c r="E1251" s="10">
        <f t="shared" si="58"/>
        <v>-2.9492894104891875E-2</v>
      </c>
      <c r="F1251" s="10">
        <f t="shared" si="59"/>
        <v>-1.410256410256403E-2</v>
      </c>
      <c r="G1251" s="10">
        <f t="shared" si="60"/>
        <v>-2.2678396871945193E-2</v>
      </c>
    </row>
    <row r="1252" spans="1:7" x14ac:dyDescent="0.35">
      <c r="A1252" s="2">
        <v>45645</v>
      </c>
      <c r="B1252" s="3">
        <v>5867.08</v>
      </c>
      <c r="C1252" s="3">
        <v>77.099999999999994</v>
      </c>
      <c r="D1252" s="3">
        <v>50.34</v>
      </c>
      <c r="E1252" s="10">
        <f t="shared" si="58"/>
        <v>-8.6509904362277719E-4</v>
      </c>
      <c r="F1252" s="10">
        <f t="shared" si="59"/>
        <v>2.6007802340700732E-3</v>
      </c>
      <c r="G1252" s="10">
        <f t="shared" si="60"/>
        <v>7.0014002800560396E-3</v>
      </c>
    </row>
    <row r="1253" spans="1:7" x14ac:dyDescent="0.35">
      <c r="A1253" s="2">
        <v>45646</v>
      </c>
      <c r="B1253" s="3">
        <v>5930.85</v>
      </c>
      <c r="C1253" s="3">
        <v>76.94</v>
      </c>
      <c r="D1253" s="3">
        <v>51.81</v>
      </c>
      <c r="E1253" s="10">
        <f t="shared" si="58"/>
        <v>1.0869120584686153E-2</v>
      </c>
      <c r="F1253" s="10">
        <f t="shared" si="59"/>
        <v>-2.0752269779506691E-3</v>
      </c>
      <c r="G1253" s="10">
        <f t="shared" si="60"/>
        <v>2.920143027413585E-2</v>
      </c>
    </row>
    <row r="1254" spans="1:7" x14ac:dyDescent="0.35">
      <c r="A1254" s="2">
        <v>45649</v>
      </c>
      <c r="B1254" s="3">
        <v>5974.07</v>
      </c>
      <c r="C1254" s="3">
        <v>76.760000000000005</v>
      </c>
      <c r="D1254" s="3">
        <v>52.56</v>
      </c>
      <c r="E1254" s="10">
        <f t="shared" si="58"/>
        <v>7.2873196927926587E-3</v>
      </c>
      <c r="F1254" s="10">
        <f t="shared" si="59"/>
        <v>-2.3394853132309933E-3</v>
      </c>
      <c r="G1254" s="10">
        <f t="shared" si="60"/>
        <v>1.4475969889982628E-2</v>
      </c>
    </row>
    <row r="1255" spans="1:7" x14ac:dyDescent="0.35">
      <c r="A1255" s="2">
        <v>45650</v>
      </c>
      <c r="B1255" s="3">
        <v>6040.04</v>
      </c>
      <c r="C1255" s="3">
        <v>76.790000000000006</v>
      </c>
      <c r="D1255" s="3">
        <v>53.51</v>
      </c>
      <c r="E1255" s="10">
        <f t="shared" si="58"/>
        <v>1.1042722967759041E-2</v>
      </c>
      <c r="F1255" s="10">
        <f t="shared" si="59"/>
        <v>3.9082855653987931E-4</v>
      </c>
      <c r="G1255" s="10">
        <f t="shared" si="60"/>
        <v>1.8074581430745734E-2</v>
      </c>
    </row>
    <row r="1256" spans="1:7" x14ac:dyDescent="0.35">
      <c r="A1256" s="2">
        <v>45652</v>
      </c>
      <c r="B1256" s="3">
        <v>6037.59</v>
      </c>
      <c r="C1256" s="3">
        <v>76.94</v>
      </c>
      <c r="D1256" s="3">
        <v>54.18</v>
      </c>
      <c r="E1256" s="10">
        <f t="shared" si="58"/>
        <v>-4.056264528049182E-4</v>
      </c>
      <c r="F1256" s="10">
        <f t="shared" si="59"/>
        <v>1.9533793462689344E-3</v>
      </c>
      <c r="G1256" s="10">
        <f t="shared" si="60"/>
        <v>1.2521024107643464E-2</v>
      </c>
    </row>
    <row r="1257" spans="1:7" x14ac:dyDescent="0.35">
      <c r="A1257" s="2">
        <v>45653</v>
      </c>
      <c r="B1257" s="3">
        <v>5970.84</v>
      </c>
      <c r="C1257" s="3">
        <v>76.42</v>
      </c>
      <c r="D1257" s="3">
        <v>54.28</v>
      </c>
      <c r="E1257" s="10">
        <f t="shared" si="58"/>
        <v>-1.1055735815118284E-2</v>
      </c>
      <c r="F1257" s="10">
        <f t="shared" si="59"/>
        <v>-6.758513127111984E-3</v>
      </c>
      <c r="G1257" s="10">
        <f t="shared" si="60"/>
        <v>1.8456995201181509E-3</v>
      </c>
    </row>
    <row r="1258" spans="1:7" x14ac:dyDescent="0.35">
      <c r="A1258" s="2">
        <v>45656</v>
      </c>
      <c r="B1258" s="3">
        <v>5906.94</v>
      </c>
      <c r="C1258" s="3">
        <v>74.650000000000006</v>
      </c>
      <c r="D1258" s="3">
        <v>53.66</v>
      </c>
      <c r="E1258" s="10">
        <f t="shared" si="58"/>
        <v>-1.0702011777237464E-2</v>
      </c>
      <c r="F1258" s="10">
        <f t="shared" si="59"/>
        <v>-2.3161476053389113E-2</v>
      </c>
      <c r="G1258" s="10">
        <f t="shared" si="60"/>
        <v>-1.1422254974207895E-2</v>
      </c>
    </row>
    <row r="1259" spans="1:7" x14ac:dyDescent="0.35">
      <c r="A1259" s="2">
        <v>45657</v>
      </c>
      <c r="B1259" s="3">
        <v>5881.63</v>
      </c>
      <c r="C1259" s="3">
        <v>75.67</v>
      </c>
      <c r="D1259" s="3">
        <v>53.27</v>
      </c>
      <c r="E1259" s="10">
        <f t="shared" si="58"/>
        <v>-4.2847904329482763E-3</v>
      </c>
      <c r="F1259" s="10">
        <f t="shared" si="59"/>
        <v>1.3663764233087688E-2</v>
      </c>
      <c r="G1259" s="10">
        <f t="shared" si="60"/>
        <v>-7.2679836004471395E-3</v>
      </c>
    </row>
    <row r="1260" spans="1:7" x14ac:dyDescent="0.35">
      <c r="A1260" s="2">
        <v>45659</v>
      </c>
      <c r="B1260" s="3">
        <v>5868.55</v>
      </c>
      <c r="C1260" s="3">
        <v>73.67</v>
      </c>
      <c r="D1260" s="3">
        <v>51.37</v>
      </c>
      <c r="E1260" s="10">
        <f t="shared" si="58"/>
        <v>-2.2238733140302817E-3</v>
      </c>
      <c r="F1260" s="10">
        <f t="shared" si="59"/>
        <v>-2.6430553720100437E-2</v>
      </c>
      <c r="G1260" s="10">
        <f t="shared" si="60"/>
        <v>-3.5667354984043657E-2</v>
      </c>
    </row>
    <row r="1261" spans="1:7" x14ac:dyDescent="0.35">
      <c r="A1261" s="2">
        <v>45660</v>
      </c>
      <c r="B1261" s="3">
        <v>5942.47</v>
      </c>
      <c r="C1261" s="3">
        <v>73.31</v>
      </c>
      <c r="D1261" s="3">
        <v>51.77</v>
      </c>
      <c r="E1261" s="10">
        <f t="shared" si="58"/>
        <v>1.2595956411720113E-2</v>
      </c>
      <c r="F1261" s="10">
        <f t="shared" si="59"/>
        <v>-4.8866567123659489E-3</v>
      </c>
      <c r="G1261" s="10">
        <f t="shared" si="60"/>
        <v>7.7866459022777048E-3</v>
      </c>
    </row>
    <row r="1262" spans="1:7" x14ac:dyDescent="0.35">
      <c r="A1262" s="2">
        <v>45663</v>
      </c>
      <c r="B1262" s="3">
        <v>5975.38</v>
      </c>
      <c r="C1262" s="3">
        <v>72</v>
      </c>
      <c r="D1262" s="3">
        <v>53.53</v>
      </c>
      <c r="E1262" s="10">
        <f t="shared" si="58"/>
        <v>5.5381011599553477E-3</v>
      </c>
      <c r="F1262" s="10">
        <f t="shared" si="59"/>
        <v>-1.7869322057018171E-2</v>
      </c>
      <c r="G1262" s="10">
        <f t="shared" si="60"/>
        <v>3.3996523082866485E-2</v>
      </c>
    </row>
    <row r="1263" spans="1:7" x14ac:dyDescent="0.35">
      <c r="A1263" s="2">
        <v>45664</v>
      </c>
      <c r="B1263" s="3">
        <v>5909.03</v>
      </c>
      <c r="C1263" s="3">
        <v>72.09</v>
      </c>
      <c r="D1263" s="3">
        <v>51.98</v>
      </c>
      <c r="E1263" s="10">
        <f t="shared" si="58"/>
        <v>-1.1103896321238208E-2</v>
      </c>
      <c r="F1263" s="10">
        <f t="shared" si="59"/>
        <v>1.2500000000000473E-3</v>
      </c>
      <c r="G1263" s="10">
        <f t="shared" si="60"/>
        <v>-2.8955725761255449E-2</v>
      </c>
    </row>
    <row r="1264" spans="1:7" x14ac:dyDescent="0.35">
      <c r="A1264" s="2">
        <v>45665</v>
      </c>
      <c r="B1264" s="3">
        <v>5918.25</v>
      </c>
      <c r="C1264" s="3">
        <v>71.290000000000006</v>
      </c>
      <c r="D1264" s="3">
        <v>51</v>
      </c>
      <c r="E1264" s="10">
        <f t="shared" si="58"/>
        <v>1.5603237756451152E-3</v>
      </c>
      <c r="F1264" s="10">
        <f t="shared" si="59"/>
        <v>-1.1097239561658997E-2</v>
      </c>
      <c r="G1264" s="10">
        <f t="shared" si="60"/>
        <v>-1.8853405155829107E-2</v>
      </c>
    </row>
    <row r="1265" spans="1:7" x14ac:dyDescent="0.35">
      <c r="A1265" s="2">
        <v>45667</v>
      </c>
      <c r="B1265" s="3">
        <v>5827.04</v>
      </c>
      <c r="C1265" s="3">
        <v>71.2</v>
      </c>
      <c r="D1265" s="3">
        <v>49.85</v>
      </c>
      <c r="E1265" s="10">
        <f t="shared" si="58"/>
        <v>-1.5411650403413177E-2</v>
      </c>
      <c r="F1265" s="10">
        <f t="shared" si="59"/>
        <v>-1.2624491513536739E-3</v>
      </c>
      <c r="G1265" s="10">
        <f t="shared" si="60"/>
        <v>-2.2549019607843109E-2</v>
      </c>
    </row>
    <row r="1266" spans="1:7" x14ac:dyDescent="0.35">
      <c r="A1266" s="2">
        <v>45670</v>
      </c>
      <c r="B1266" s="3">
        <v>5836.22</v>
      </c>
      <c r="C1266" s="3">
        <v>72.08</v>
      </c>
      <c r="D1266" s="3">
        <v>49.93</v>
      </c>
      <c r="E1266" s="10">
        <f t="shared" si="58"/>
        <v>1.5754139322881413E-3</v>
      </c>
      <c r="F1266" s="10">
        <f t="shared" si="59"/>
        <v>1.2359550561797689E-2</v>
      </c>
      <c r="G1266" s="10">
        <f t="shared" si="60"/>
        <v>1.6048144433299556E-3</v>
      </c>
    </row>
    <row r="1267" spans="1:7" x14ac:dyDescent="0.35">
      <c r="A1267" s="2">
        <v>45671</v>
      </c>
      <c r="B1267" s="3">
        <v>5842.91</v>
      </c>
      <c r="C1267" s="3">
        <v>71.17</v>
      </c>
      <c r="D1267" s="3">
        <v>50.94</v>
      </c>
      <c r="E1267" s="10">
        <f t="shared" si="58"/>
        <v>1.146289893115681E-3</v>
      </c>
      <c r="F1267" s="10">
        <f t="shared" si="59"/>
        <v>-1.2624861265260775E-2</v>
      </c>
      <c r="G1267" s="10">
        <f t="shared" si="60"/>
        <v>2.022831964750647E-2</v>
      </c>
    </row>
    <row r="1268" spans="1:7" x14ac:dyDescent="0.35">
      <c r="A1268" s="2">
        <v>45672</v>
      </c>
      <c r="B1268" s="3">
        <v>5949.91</v>
      </c>
      <c r="C1268" s="3">
        <v>71.069999999999993</v>
      </c>
      <c r="D1268" s="3">
        <v>51.7</v>
      </c>
      <c r="E1268" s="10">
        <f t="shared" si="58"/>
        <v>1.8312792769356365E-2</v>
      </c>
      <c r="F1268" s="10">
        <f t="shared" si="59"/>
        <v>-1.4050864128145079E-3</v>
      </c>
      <c r="G1268" s="10">
        <f t="shared" si="60"/>
        <v>1.4919513152728802E-2</v>
      </c>
    </row>
    <row r="1269" spans="1:7" x14ac:dyDescent="0.35">
      <c r="A1269" s="2">
        <v>45673</v>
      </c>
      <c r="B1269" s="3">
        <v>5937.34</v>
      </c>
      <c r="C1269" s="3">
        <v>71.11</v>
      </c>
      <c r="D1269" s="3">
        <v>51.84</v>
      </c>
      <c r="E1269" s="10">
        <f t="shared" si="58"/>
        <v>-2.1126369978705073E-3</v>
      </c>
      <c r="F1269" s="10">
        <f t="shared" si="59"/>
        <v>5.6282538342488047E-4</v>
      </c>
      <c r="G1269" s="10">
        <f t="shared" si="60"/>
        <v>2.7079303675048463E-3</v>
      </c>
    </row>
    <row r="1270" spans="1:7" x14ac:dyDescent="0.35">
      <c r="A1270" s="2">
        <v>45674</v>
      </c>
      <c r="B1270" s="3">
        <v>5996.66</v>
      </c>
      <c r="C1270" s="3">
        <v>70.84</v>
      </c>
      <c r="D1270" s="3">
        <v>50.97</v>
      </c>
      <c r="E1270" s="10">
        <f t="shared" si="58"/>
        <v>9.9910060734267718E-3</v>
      </c>
      <c r="F1270" s="10">
        <f t="shared" si="59"/>
        <v>-3.7969343270988051E-3</v>
      </c>
      <c r="G1270" s="10">
        <f t="shared" si="60"/>
        <v>-1.6782407407407492E-2</v>
      </c>
    </row>
    <row r="1271" spans="1:7" x14ac:dyDescent="0.35">
      <c r="A1271" s="2">
        <v>45678</v>
      </c>
      <c r="B1271" s="3">
        <v>6049.24</v>
      </c>
      <c r="C1271" s="3">
        <v>73.17</v>
      </c>
      <c r="D1271" s="3">
        <v>53.89</v>
      </c>
      <c r="E1271" s="10">
        <f t="shared" si="58"/>
        <v>8.7682143059636414E-3</v>
      </c>
      <c r="F1271" s="10">
        <f t="shared" si="59"/>
        <v>3.289102202145678E-2</v>
      </c>
      <c r="G1271" s="10">
        <f t="shared" si="60"/>
        <v>5.7288601137924305E-2</v>
      </c>
    </row>
    <row r="1272" spans="1:7" x14ac:dyDescent="0.35">
      <c r="A1272" s="2">
        <v>45679</v>
      </c>
      <c r="B1272" s="3">
        <v>6086.37</v>
      </c>
      <c r="C1272" s="3">
        <v>74.040000000000006</v>
      </c>
      <c r="D1272" s="3">
        <v>52.76</v>
      </c>
      <c r="E1272" s="10">
        <f t="shared" si="58"/>
        <v>6.1379611323075477E-3</v>
      </c>
      <c r="F1272" s="10">
        <f t="shared" si="59"/>
        <v>1.1890118901189075E-2</v>
      </c>
      <c r="G1272" s="10">
        <f t="shared" si="60"/>
        <v>-2.096863982185939E-2</v>
      </c>
    </row>
    <row r="1273" spans="1:7" x14ac:dyDescent="0.35">
      <c r="A1273" s="2">
        <v>45680</v>
      </c>
      <c r="B1273" s="3">
        <v>6118.71</v>
      </c>
      <c r="C1273" s="3">
        <v>74.290000000000006</v>
      </c>
      <c r="D1273" s="3">
        <v>54.22</v>
      </c>
      <c r="E1273" s="10">
        <f t="shared" si="58"/>
        <v>5.3135119948343832E-3</v>
      </c>
      <c r="F1273" s="10">
        <f t="shared" si="59"/>
        <v>3.3765532144786601E-3</v>
      </c>
      <c r="G1273" s="10">
        <f t="shared" si="60"/>
        <v>2.7672479150871891E-2</v>
      </c>
    </row>
    <row r="1274" spans="1:7" x14ac:dyDescent="0.35">
      <c r="A1274" s="2">
        <v>45681</v>
      </c>
      <c r="B1274" s="3">
        <v>6101.24</v>
      </c>
      <c r="C1274" s="3">
        <v>73.569999999999993</v>
      </c>
      <c r="D1274" s="3">
        <v>53.91</v>
      </c>
      <c r="E1274" s="10">
        <f t="shared" si="58"/>
        <v>-2.8551769899211195E-3</v>
      </c>
      <c r="F1274" s="10">
        <f t="shared" si="59"/>
        <v>-9.6917485529682736E-3</v>
      </c>
      <c r="G1274" s="10">
        <f t="shared" si="60"/>
        <v>-5.7174474363703848E-3</v>
      </c>
    </row>
    <row r="1275" spans="1:7" x14ac:dyDescent="0.35">
      <c r="A1275" s="2">
        <v>45684</v>
      </c>
      <c r="B1275" s="3">
        <v>6012.28</v>
      </c>
      <c r="C1275" s="3">
        <v>75.58</v>
      </c>
      <c r="D1275" s="3">
        <v>54.92</v>
      </c>
      <c r="E1275" s="10">
        <f t="shared" si="58"/>
        <v>-1.4580642623466712E-2</v>
      </c>
      <c r="F1275" s="10">
        <f t="shared" si="59"/>
        <v>2.7320918852793329E-2</v>
      </c>
      <c r="G1275" s="10">
        <f t="shared" si="60"/>
        <v>1.8734928584678262E-2</v>
      </c>
    </row>
    <row r="1276" spans="1:7" x14ac:dyDescent="0.35">
      <c r="A1276" s="2">
        <v>45685</v>
      </c>
      <c r="B1276" s="3">
        <v>6067.7</v>
      </c>
      <c r="C1276" s="3">
        <v>74.39</v>
      </c>
      <c r="D1276" s="3">
        <v>50.04</v>
      </c>
      <c r="E1276" s="10">
        <f t="shared" si="58"/>
        <v>9.2178009008229943E-3</v>
      </c>
      <c r="F1276" s="10">
        <f t="shared" si="59"/>
        <v>-1.5744906059804151E-2</v>
      </c>
      <c r="G1276" s="10">
        <f t="shared" si="60"/>
        <v>-8.8856518572469095E-2</v>
      </c>
    </row>
    <row r="1277" spans="1:7" x14ac:dyDescent="0.35">
      <c r="A1277" s="2">
        <v>45686</v>
      </c>
      <c r="B1277" s="3">
        <v>6039.31</v>
      </c>
      <c r="C1277" s="3">
        <v>76.58</v>
      </c>
      <c r="D1277" s="3">
        <v>49.78</v>
      </c>
      <c r="E1277" s="10">
        <f t="shared" si="58"/>
        <v>-4.6788733787101241E-3</v>
      </c>
      <c r="F1277" s="10">
        <f t="shared" si="59"/>
        <v>2.9439440785051722E-2</v>
      </c>
      <c r="G1277" s="10">
        <f t="shared" si="60"/>
        <v>-5.1958433253396887E-3</v>
      </c>
    </row>
    <row r="1278" spans="1:7" x14ac:dyDescent="0.35">
      <c r="A1278" s="2">
        <v>45687</v>
      </c>
      <c r="B1278" s="3">
        <v>6071.17</v>
      </c>
      <c r="C1278" s="3">
        <v>78.33</v>
      </c>
      <c r="D1278" s="3">
        <v>49.5</v>
      </c>
      <c r="E1278" s="10">
        <f t="shared" si="58"/>
        <v>5.2754370946349284E-3</v>
      </c>
      <c r="F1278" s="10">
        <f t="shared" si="59"/>
        <v>2.2851919561243144E-2</v>
      </c>
      <c r="G1278" s="10">
        <f t="shared" si="60"/>
        <v>-5.6247488951386322E-3</v>
      </c>
    </row>
    <row r="1279" spans="1:7" x14ac:dyDescent="0.35">
      <c r="A1279" s="2">
        <v>45688</v>
      </c>
      <c r="B1279" s="3">
        <v>6040.53</v>
      </c>
      <c r="C1279" s="3">
        <v>76.900000000000006</v>
      </c>
      <c r="D1279" s="3">
        <v>49.46</v>
      </c>
      <c r="E1279" s="10">
        <f t="shared" si="58"/>
        <v>-5.0468031697350471E-3</v>
      </c>
      <c r="F1279" s="10">
        <f t="shared" si="59"/>
        <v>-1.8256096004085186E-2</v>
      </c>
      <c r="G1279" s="10">
        <f t="shared" si="60"/>
        <v>-8.0808080808079084E-4</v>
      </c>
    </row>
    <row r="1280" spans="1:7" x14ac:dyDescent="0.35">
      <c r="A1280" s="2">
        <v>45691</v>
      </c>
      <c r="B1280" s="3">
        <v>5994.57</v>
      </c>
      <c r="C1280" s="3">
        <v>76.59</v>
      </c>
      <c r="D1280" s="3">
        <v>47.9</v>
      </c>
      <c r="E1280" s="10">
        <f t="shared" si="58"/>
        <v>-7.6086038807853017E-3</v>
      </c>
      <c r="F1280" s="10">
        <f t="shared" si="59"/>
        <v>-4.0312093628088715E-3</v>
      </c>
      <c r="G1280" s="10">
        <f t="shared" si="60"/>
        <v>-3.1540638900121355E-2</v>
      </c>
    </row>
    <row r="1281" spans="1:7" x14ac:dyDescent="0.35">
      <c r="A1281" s="2">
        <v>45692</v>
      </c>
      <c r="B1281" s="3">
        <v>6037.88</v>
      </c>
      <c r="C1281" s="3">
        <v>76.72</v>
      </c>
      <c r="D1281" s="3">
        <v>48.57</v>
      </c>
      <c r="E1281" s="10">
        <f t="shared" si="58"/>
        <v>7.2248718423507281E-3</v>
      </c>
      <c r="F1281" s="10">
        <f t="shared" si="59"/>
        <v>1.6973495234364204E-3</v>
      </c>
      <c r="G1281" s="10">
        <f t="shared" si="60"/>
        <v>1.3987473903966633E-2</v>
      </c>
    </row>
    <row r="1282" spans="1:7" x14ac:dyDescent="0.35">
      <c r="A1282" s="2">
        <v>45693</v>
      </c>
      <c r="B1282" s="3">
        <v>6061.48</v>
      </c>
      <c r="C1282" s="3">
        <v>74.569999999999993</v>
      </c>
      <c r="D1282" s="3">
        <v>47.81</v>
      </c>
      <c r="E1282" s="10">
        <f t="shared" si="58"/>
        <v>3.9086566808216551E-3</v>
      </c>
      <c r="F1282" s="10">
        <f t="shared" si="59"/>
        <v>-2.8023983315954192E-2</v>
      </c>
      <c r="G1282" s="10">
        <f t="shared" si="60"/>
        <v>-1.5647519044677743E-2</v>
      </c>
    </row>
    <row r="1283" spans="1:7" x14ac:dyDescent="0.35">
      <c r="A1283" s="2">
        <v>45694</v>
      </c>
      <c r="B1283" s="3">
        <v>6083.57</v>
      </c>
      <c r="C1283" s="3">
        <v>71.739999999999995</v>
      </c>
      <c r="D1283" s="3">
        <v>47.93</v>
      </c>
      <c r="E1283" s="10">
        <f t="shared" si="58"/>
        <v>3.6443244884087956E-3</v>
      </c>
      <c r="F1283" s="10">
        <f t="shared" si="59"/>
        <v>-3.7950918599973162E-2</v>
      </c>
      <c r="G1283" s="10">
        <f t="shared" si="60"/>
        <v>2.5099351600083126E-3</v>
      </c>
    </row>
    <row r="1284" spans="1:7" x14ac:dyDescent="0.35">
      <c r="A1284" s="2">
        <v>45695</v>
      </c>
      <c r="B1284" s="3">
        <v>6025.99</v>
      </c>
      <c r="C1284" s="3">
        <v>68.680000000000007</v>
      </c>
      <c r="D1284" s="3">
        <v>47.39</v>
      </c>
      <c r="E1284" s="10">
        <f t="shared" ref="E1284:E1322" si="61">(B1284-B1283)/B1283</f>
        <v>-9.464837258386101E-3</v>
      </c>
      <c r="F1284" s="10">
        <f t="shared" ref="F1284:F1322" si="62">(C1284-C1283)/C1283</f>
        <v>-4.2654028436018794E-2</v>
      </c>
      <c r="G1284" s="10">
        <f t="shared" ref="G1284:G1322" si="63">(D1284-D1283)/D1283</f>
        <v>-1.1266430210723955E-2</v>
      </c>
    </row>
    <row r="1285" spans="1:7" x14ac:dyDescent="0.35">
      <c r="A1285" s="2">
        <v>45698</v>
      </c>
      <c r="B1285" s="3">
        <v>6066.44</v>
      </c>
      <c r="C1285" s="3">
        <v>70.94</v>
      </c>
      <c r="D1285" s="3">
        <v>46.57</v>
      </c>
      <c r="E1285" s="10">
        <f t="shared" si="61"/>
        <v>6.7125899644705387E-3</v>
      </c>
      <c r="F1285" s="10">
        <f t="shared" si="62"/>
        <v>3.2906231799650416E-2</v>
      </c>
      <c r="G1285" s="10">
        <f t="shared" si="63"/>
        <v>-1.730322852922558E-2</v>
      </c>
    </row>
    <row r="1286" spans="1:7" x14ac:dyDescent="0.35">
      <c r="A1286" s="2">
        <v>45699</v>
      </c>
      <c r="B1286" s="3">
        <v>6068.5</v>
      </c>
      <c r="C1286" s="3">
        <v>71.34</v>
      </c>
      <c r="D1286" s="3">
        <v>46.7</v>
      </c>
      <c r="E1286" s="10">
        <f t="shared" si="61"/>
        <v>3.3957312690810433E-4</v>
      </c>
      <c r="F1286" s="10">
        <f t="shared" si="62"/>
        <v>5.6385678037779207E-3</v>
      </c>
      <c r="G1286" s="10">
        <f t="shared" si="63"/>
        <v>2.7914966716771003E-3</v>
      </c>
    </row>
    <row r="1287" spans="1:7" x14ac:dyDescent="0.35">
      <c r="A1287" s="2">
        <v>45700</v>
      </c>
      <c r="B1287" s="3">
        <v>6051.97</v>
      </c>
      <c r="C1287" s="3">
        <v>72.260000000000005</v>
      </c>
      <c r="D1287" s="3">
        <v>47.69</v>
      </c>
      <c r="E1287" s="10">
        <f t="shared" si="61"/>
        <v>-2.7239021174919249E-3</v>
      </c>
      <c r="F1287" s="10">
        <f t="shared" si="62"/>
        <v>1.289599102887583E-2</v>
      </c>
      <c r="G1287" s="10">
        <f t="shared" si="63"/>
        <v>2.1199143468950639E-2</v>
      </c>
    </row>
    <row r="1288" spans="1:7" x14ac:dyDescent="0.35">
      <c r="A1288" s="2">
        <v>45701</v>
      </c>
      <c r="B1288" s="3">
        <v>6115.07</v>
      </c>
      <c r="C1288" s="3">
        <v>73.209999999999994</v>
      </c>
      <c r="D1288" s="3">
        <v>47.89</v>
      </c>
      <c r="E1288" s="10">
        <f t="shared" si="61"/>
        <v>1.0426357037460438E-2</v>
      </c>
      <c r="F1288" s="10">
        <f t="shared" si="62"/>
        <v>1.3146969277608478E-2</v>
      </c>
      <c r="G1288" s="10">
        <f t="shared" si="63"/>
        <v>4.1937513105473447E-3</v>
      </c>
    </row>
    <row r="1289" spans="1:7" x14ac:dyDescent="0.35">
      <c r="A1289" s="2">
        <v>45702</v>
      </c>
      <c r="B1289" s="3">
        <v>6114.63</v>
      </c>
      <c r="C1289" s="3">
        <v>73.040000000000006</v>
      </c>
      <c r="D1289" s="3">
        <v>48.37</v>
      </c>
      <c r="E1289" s="10">
        <f t="shared" si="61"/>
        <v>-7.1953387287406335E-5</v>
      </c>
      <c r="F1289" s="10">
        <f t="shared" si="62"/>
        <v>-2.3220871465645062E-3</v>
      </c>
      <c r="G1289" s="10">
        <f t="shared" si="63"/>
        <v>1.0022969304656439E-2</v>
      </c>
    </row>
    <row r="1290" spans="1:7" x14ac:dyDescent="0.35">
      <c r="A1290" s="2">
        <v>45706</v>
      </c>
      <c r="B1290" s="3">
        <v>6129.58</v>
      </c>
      <c r="C1290" s="3">
        <v>77.59</v>
      </c>
      <c r="D1290" s="3">
        <v>48.13</v>
      </c>
      <c r="E1290" s="10">
        <f t="shared" si="61"/>
        <v>2.4449557863680743E-3</v>
      </c>
      <c r="F1290" s="10">
        <f t="shared" si="62"/>
        <v>6.2294633077765567E-2</v>
      </c>
      <c r="G1290" s="10">
        <f t="shared" si="63"/>
        <v>-4.9617531527805436E-3</v>
      </c>
    </row>
    <row r="1291" spans="1:7" x14ac:dyDescent="0.35">
      <c r="A1291" s="2">
        <v>45707</v>
      </c>
      <c r="B1291" s="3">
        <v>6144.15</v>
      </c>
      <c r="C1291" s="3">
        <v>76.78</v>
      </c>
      <c r="D1291" s="3">
        <v>47.8</v>
      </c>
      <c r="E1291" s="10">
        <f t="shared" si="61"/>
        <v>2.3769980977489009E-3</v>
      </c>
      <c r="F1291" s="10">
        <f t="shared" si="62"/>
        <v>-1.0439489624951698E-2</v>
      </c>
      <c r="G1291" s="10">
        <f t="shared" si="63"/>
        <v>-6.8564305007273087E-3</v>
      </c>
    </row>
    <row r="1292" spans="1:7" x14ac:dyDescent="0.35">
      <c r="A1292" s="2">
        <v>45708</v>
      </c>
      <c r="B1292" s="3">
        <v>6117.52</v>
      </c>
      <c r="C1292" s="3">
        <v>77.23</v>
      </c>
      <c r="D1292" s="3">
        <v>47.89</v>
      </c>
      <c r="E1292" s="10">
        <f t="shared" si="61"/>
        <v>-4.3342040803038993E-3</v>
      </c>
      <c r="F1292" s="10">
        <f t="shared" si="62"/>
        <v>5.8609012763740928E-3</v>
      </c>
      <c r="G1292" s="10">
        <f t="shared" si="63"/>
        <v>1.8828451882845904E-3</v>
      </c>
    </row>
    <row r="1293" spans="1:7" x14ac:dyDescent="0.35">
      <c r="A1293" s="2">
        <v>45709</v>
      </c>
      <c r="B1293" s="3">
        <v>6013.13</v>
      </c>
      <c r="C1293" s="3">
        <v>76.5</v>
      </c>
      <c r="D1293" s="3">
        <v>46.29</v>
      </c>
      <c r="E1293" s="10">
        <f t="shared" si="61"/>
        <v>-1.7064104408322379E-2</v>
      </c>
      <c r="F1293" s="10">
        <f t="shared" si="62"/>
        <v>-9.4522853813285498E-3</v>
      </c>
      <c r="G1293" s="10">
        <f t="shared" si="63"/>
        <v>-3.3409897682188376E-2</v>
      </c>
    </row>
    <row r="1294" spans="1:7" x14ac:dyDescent="0.35">
      <c r="A1294" s="2">
        <v>45712</v>
      </c>
      <c r="B1294" s="3">
        <v>5983.25</v>
      </c>
      <c r="C1294" s="3">
        <v>80.28</v>
      </c>
      <c r="D1294" s="3">
        <v>46.57</v>
      </c>
      <c r="E1294" s="10">
        <f t="shared" si="61"/>
        <v>-4.9691258961639126E-3</v>
      </c>
      <c r="F1294" s="10">
        <f t="shared" si="62"/>
        <v>4.941176470588237E-2</v>
      </c>
      <c r="G1294" s="10">
        <f t="shared" si="63"/>
        <v>6.0488226398790479E-3</v>
      </c>
    </row>
    <row r="1295" spans="1:7" x14ac:dyDescent="0.35">
      <c r="A1295" s="2">
        <v>45713</v>
      </c>
      <c r="B1295" s="3">
        <v>5955.25</v>
      </c>
      <c r="C1295" s="3">
        <v>81.72</v>
      </c>
      <c r="D1295" s="3">
        <v>46.71</v>
      </c>
      <c r="E1295" s="10">
        <f t="shared" si="61"/>
        <v>-4.6797309154723602E-3</v>
      </c>
      <c r="F1295" s="10">
        <f t="shared" si="62"/>
        <v>1.7937219730941676E-2</v>
      </c>
      <c r="G1295" s="10">
        <f t="shared" si="63"/>
        <v>3.0062271848829841E-3</v>
      </c>
    </row>
    <row r="1296" spans="1:7" x14ac:dyDescent="0.35">
      <c r="A1296" s="2">
        <v>45714</v>
      </c>
      <c r="B1296" s="3">
        <v>5956.06</v>
      </c>
      <c r="C1296" s="3">
        <v>81.17</v>
      </c>
      <c r="D1296" s="3">
        <v>48.46</v>
      </c>
      <c r="E1296" s="10">
        <f t="shared" si="61"/>
        <v>1.3601444103948618E-4</v>
      </c>
      <c r="F1296" s="10">
        <f t="shared" si="62"/>
        <v>-6.7302985805188101E-3</v>
      </c>
      <c r="G1296" s="10">
        <f t="shared" si="63"/>
        <v>3.7465210875615503E-2</v>
      </c>
    </row>
    <row r="1297" spans="1:7" x14ac:dyDescent="0.35">
      <c r="A1297" s="2">
        <v>45715</v>
      </c>
      <c r="B1297" s="3">
        <v>5861.57</v>
      </c>
      <c r="C1297" s="3">
        <v>80.02</v>
      </c>
      <c r="D1297" s="3">
        <v>47.63</v>
      </c>
      <c r="E1297" s="10">
        <f t="shared" si="61"/>
        <v>-1.5864514460902122E-2</v>
      </c>
      <c r="F1297" s="10">
        <f t="shared" si="62"/>
        <v>-1.4167795983737904E-2</v>
      </c>
      <c r="G1297" s="10">
        <f t="shared" si="63"/>
        <v>-1.7127527858027205E-2</v>
      </c>
    </row>
    <row r="1298" spans="1:7" x14ac:dyDescent="0.35">
      <c r="A1298" s="2">
        <v>45716</v>
      </c>
      <c r="B1298" s="3">
        <v>5954.5</v>
      </c>
      <c r="C1298" s="3">
        <v>79.430000000000007</v>
      </c>
      <c r="D1298" s="3">
        <v>49.13</v>
      </c>
      <c r="E1298" s="10">
        <f t="shared" si="61"/>
        <v>1.5854114170776822E-2</v>
      </c>
      <c r="F1298" s="10">
        <f t="shared" si="62"/>
        <v>-7.3731567108221594E-3</v>
      </c>
      <c r="G1298" s="10">
        <f t="shared" si="63"/>
        <v>3.1492756665966827E-2</v>
      </c>
    </row>
    <row r="1299" spans="1:7" x14ac:dyDescent="0.35">
      <c r="A1299" s="2">
        <v>45719</v>
      </c>
      <c r="B1299" s="3">
        <v>5849.72</v>
      </c>
      <c r="C1299" s="3">
        <v>78.41</v>
      </c>
      <c r="D1299" s="3">
        <v>47.38</v>
      </c>
      <c r="E1299" s="10">
        <f t="shared" si="61"/>
        <v>-1.7596775547904904E-2</v>
      </c>
      <c r="F1299" s="10">
        <f t="shared" si="62"/>
        <v>-1.2841495656553067E-2</v>
      </c>
      <c r="G1299" s="10">
        <f t="shared" si="63"/>
        <v>-3.5619784245878278E-2</v>
      </c>
    </row>
    <row r="1300" spans="1:7" x14ac:dyDescent="0.35">
      <c r="A1300" s="2">
        <v>45720</v>
      </c>
      <c r="B1300" s="3">
        <v>5778.15</v>
      </c>
      <c r="C1300" s="3">
        <v>77.319999999999993</v>
      </c>
      <c r="D1300" s="3">
        <v>45.22</v>
      </c>
      <c r="E1300" s="10">
        <f t="shared" si="61"/>
        <v>-1.2234773630190952E-2</v>
      </c>
      <c r="F1300" s="10">
        <f t="shared" si="62"/>
        <v>-1.3901288101007568E-2</v>
      </c>
      <c r="G1300" s="10">
        <f t="shared" si="63"/>
        <v>-4.5588856057408263E-2</v>
      </c>
    </row>
    <row r="1301" spans="1:7" x14ac:dyDescent="0.35">
      <c r="A1301" s="2">
        <v>45721</v>
      </c>
      <c r="B1301" s="3">
        <v>5842.63</v>
      </c>
      <c r="C1301" s="3">
        <v>77.81</v>
      </c>
      <c r="D1301" s="3">
        <v>48.48</v>
      </c>
      <c r="E1301" s="10">
        <f t="shared" si="61"/>
        <v>1.1159281084776351E-2</v>
      </c>
      <c r="F1301" s="10">
        <f t="shared" si="62"/>
        <v>6.3372995344026014E-3</v>
      </c>
      <c r="G1301" s="10">
        <f t="shared" si="63"/>
        <v>7.2091994692613848E-2</v>
      </c>
    </row>
    <row r="1302" spans="1:7" x14ac:dyDescent="0.35">
      <c r="A1302" s="2">
        <v>45722</v>
      </c>
      <c r="B1302" s="3">
        <v>5738.52</v>
      </c>
      <c r="C1302" s="3">
        <v>77.709999999999994</v>
      </c>
      <c r="D1302" s="3">
        <v>47.2</v>
      </c>
      <c r="E1302" s="10">
        <f t="shared" si="61"/>
        <v>-1.7819030128555062E-2</v>
      </c>
      <c r="F1302" s="10">
        <f t="shared" si="62"/>
        <v>-1.2851818532323418E-3</v>
      </c>
      <c r="G1302" s="10">
        <f t="shared" si="63"/>
        <v>-2.6402640264026282E-2</v>
      </c>
    </row>
    <row r="1303" spans="1:7" x14ac:dyDescent="0.35">
      <c r="A1303" s="2">
        <v>45723</v>
      </c>
      <c r="B1303" s="3">
        <v>5770.2</v>
      </c>
      <c r="C1303" s="3">
        <v>78.59</v>
      </c>
      <c r="D1303" s="3">
        <v>47.44</v>
      </c>
      <c r="E1303" s="10">
        <f t="shared" si="61"/>
        <v>5.5205871897282535E-3</v>
      </c>
      <c r="F1303" s="10">
        <f t="shared" si="62"/>
        <v>1.1324153905546388E-2</v>
      </c>
      <c r="G1303" s="10">
        <f t="shared" si="63"/>
        <v>5.0847457627117556E-3</v>
      </c>
    </row>
    <row r="1304" spans="1:7" x14ac:dyDescent="0.35">
      <c r="A1304" s="2">
        <v>45726</v>
      </c>
      <c r="B1304" s="3">
        <v>5614.56</v>
      </c>
      <c r="C1304" s="3">
        <v>76.400000000000006</v>
      </c>
      <c r="D1304" s="3">
        <v>48.08</v>
      </c>
      <c r="E1304" s="10">
        <f t="shared" si="61"/>
        <v>-2.6973068524487786E-2</v>
      </c>
      <c r="F1304" s="10">
        <f t="shared" si="62"/>
        <v>-2.7866140730372791E-2</v>
      </c>
      <c r="G1304" s="10">
        <f t="shared" si="63"/>
        <v>1.3490725126475561E-2</v>
      </c>
    </row>
    <row r="1305" spans="1:7" x14ac:dyDescent="0.35">
      <c r="A1305" s="2">
        <v>45727</v>
      </c>
      <c r="B1305" s="3">
        <v>5572.07</v>
      </c>
      <c r="C1305" s="3">
        <v>74.17</v>
      </c>
      <c r="D1305" s="3">
        <v>48.28</v>
      </c>
      <c r="E1305" s="10">
        <f t="shared" si="61"/>
        <v>-7.5678236584880536E-3</v>
      </c>
      <c r="F1305" s="10">
        <f t="shared" si="62"/>
        <v>-2.918848167539272E-2</v>
      </c>
      <c r="G1305" s="10">
        <f t="shared" si="63"/>
        <v>4.1597337770383292E-3</v>
      </c>
    </row>
    <row r="1306" spans="1:7" x14ac:dyDescent="0.35">
      <c r="A1306" s="2">
        <v>45728</v>
      </c>
      <c r="B1306" s="3">
        <v>5599.3</v>
      </c>
      <c r="C1306" s="3">
        <v>73.58</v>
      </c>
      <c r="D1306" s="3">
        <v>47.9</v>
      </c>
      <c r="E1306" s="10">
        <f t="shared" si="61"/>
        <v>4.8868732804865115E-3</v>
      </c>
      <c r="F1306" s="10">
        <f t="shared" si="62"/>
        <v>-7.954698665228575E-3</v>
      </c>
      <c r="G1306" s="10">
        <f t="shared" si="63"/>
        <v>-7.8707539353770201E-3</v>
      </c>
    </row>
    <row r="1307" spans="1:7" x14ac:dyDescent="0.35">
      <c r="A1307" s="2">
        <v>45729</v>
      </c>
      <c r="B1307" s="3">
        <v>5521.52</v>
      </c>
      <c r="C1307" s="3">
        <v>72.64</v>
      </c>
      <c r="D1307" s="3">
        <v>47.11</v>
      </c>
      <c r="E1307" s="10">
        <f t="shared" si="61"/>
        <v>-1.3891022092047175E-2</v>
      </c>
      <c r="F1307" s="10">
        <f t="shared" si="62"/>
        <v>-1.2775210655069282E-2</v>
      </c>
      <c r="G1307" s="10">
        <f t="shared" si="63"/>
        <v>-1.6492693110647164E-2</v>
      </c>
    </row>
    <row r="1308" spans="1:7" x14ac:dyDescent="0.35">
      <c r="A1308" s="2">
        <v>45730</v>
      </c>
      <c r="B1308" s="3">
        <v>5638.94</v>
      </c>
      <c r="C1308" s="3">
        <v>71.66</v>
      </c>
      <c r="D1308" s="3">
        <v>48.34</v>
      </c>
      <c r="E1308" s="10">
        <f t="shared" si="61"/>
        <v>2.1265883307494883E-2</v>
      </c>
      <c r="F1308" s="10">
        <f t="shared" si="62"/>
        <v>-1.349118942731283E-2</v>
      </c>
      <c r="G1308" s="10">
        <f t="shared" si="63"/>
        <v>2.6109106346847887E-2</v>
      </c>
    </row>
    <row r="1309" spans="1:7" x14ac:dyDescent="0.35">
      <c r="A1309" s="2">
        <v>45733</v>
      </c>
      <c r="B1309" s="3">
        <v>5675.12</v>
      </c>
      <c r="C1309" s="3">
        <v>73.7</v>
      </c>
      <c r="D1309" s="3">
        <v>49</v>
      </c>
      <c r="E1309" s="10">
        <f t="shared" si="61"/>
        <v>6.4160994796894971E-3</v>
      </c>
      <c r="F1309" s="10">
        <f t="shared" si="62"/>
        <v>2.8467764443204108E-2</v>
      </c>
      <c r="G1309" s="10">
        <f t="shared" si="63"/>
        <v>1.3653289201489378E-2</v>
      </c>
    </row>
    <row r="1310" spans="1:7" x14ac:dyDescent="0.35">
      <c r="A1310" s="2">
        <v>45734</v>
      </c>
      <c r="B1310" s="3">
        <v>5614.66</v>
      </c>
      <c r="C1310" s="3">
        <v>73.31</v>
      </c>
      <c r="D1310" s="3">
        <v>48.67</v>
      </c>
      <c r="E1310" s="10">
        <f t="shared" si="61"/>
        <v>-1.0653519220738952E-2</v>
      </c>
      <c r="F1310" s="10">
        <f t="shared" si="62"/>
        <v>-5.2917232021709708E-3</v>
      </c>
      <c r="G1310" s="10">
        <f t="shared" si="63"/>
        <v>-6.7346938775509858E-3</v>
      </c>
    </row>
    <row r="1311" spans="1:7" x14ac:dyDescent="0.35">
      <c r="A1311" s="2">
        <v>45735</v>
      </c>
      <c r="B1311" s="3">
        <v>5675.29</v>
      </c>
      <c r="C1311" s="3">
        <v>72.989999999999995</v>
      </c>
      <c r="D1311" s="3">
        <v>49.79</v>
      </c>
      <c r="E1311" s="10">
        <f t="shared" si="61"/>
        <v>1.0798516740105386E-2</v>
      </c>
      <c r="F1311" s="10">
        <f t="shared" si="62"/>
        <v>-4.3650252353022419E-3</v>
      </c>
      <c r="G1311" s="10">
        <f t="shared" si="63"/>
        <v>2.3012122457365881E-2</v>
      </c>
    </row>
    <row r="1312" spans="1:7" x14ac:dyDescent="0.35">
      <c r="A1312" s="2">
        <v>45736</v>
      </c>
      <c r="B1312" s="3">
        <v>5662.89</v>
      </c>
      <c r="C1312" s="3">
        <v>71.86</v>
      </c>
      <c r="D1312" s="3">
        <v>49.44</v>
      </c>
      <c r="E1312" s="10">
        <f t="shared" si="61"/>
        <v>-2.1849103746239638E-3</v>
      </c>
      <c r="F1312" s="10">
        <f t="shared" si="62"/>
        <v>-1.5481572818194213E-2</v>
      </c>
      <c r="G1312" s="10">
        <f t="shared" si="63"/>
        <v>-7.029524000803403E-3</v>
      </c>
    </row>
    <row r="1313" spans="1:7" x14ac:dyDescent="0.35">
      <c r="A1313" s="2">
        <v>45737</v>
      </c>
      <c r="B1313" s="3">
        <v>5667.56</v>
      </c>
      <c r="C1313" s="3">
        <v>67.94</v>
      </c>
      <c r="D1313" s="3">
        <v>49.8</v>
      </c>
      <c r="E1313" s="10">
        <f t="shared" si="61"/>
        <v>8.2466726353506298E-4</v>
      </c>
      <c r="F1313" s="10">
        <f t="shared" si="62"/>
        <v>-5.4550514890064038E-2</v>
      </c>
      <c r="G1313" s="10">
        <f t="shared" si="63"/>
        <v>7.2815533980582414E-3</v>
      </c>
    </row>
    <row r="1314" spans="1:7" x14ac:dyDescent="0.35">
      <c r="A1314" s="2">
        <v>45740</v>
      </c>
      <c r="B1314" s="3">
        <v>5767.57</v>
      </c>
      <c r="C1314" s="3">
        <v>67.39</v>
      </c>
      <c r="D1314" s="3">
        <v>51.46</v>
      </c>
      <c r="E1314" s="10">
        <f t="shared" si="61"/>
        <v>1.7646041682840466E-2</v>
      </c>
      <c r="F1314" s="10">
        <f t="shared" si="62"/>
        <v>-8.0953782749484428E-3</v>
      </c>
      <c r="G1314" s="10">
        <f t="shared" si="63"/>
        <v>3.3333333333333409E-2</v>
      </c>
    </row>
    <row r="1315" spans="1:7" x14ac:dyDescent="0.35">
      <c r="A1315" s="2">
        <v>45741</v>
      </c>
      <c r="B1315" s="3">
        <v>5776.65</v>
      </c>
      <c r="C1315" s="3">
        <v>66.540000000000006</v>
      </c>
      <c r="D1315" s="3">
        <v>52.59</v>
      </c>
      <c r="E1315" s="10">
        <f t="shared" si="61"/>
        <v>1.5743198608772721E-3</v>
      </c>
      <c r="F1315" s="10">
        <f t="shared" si="62"/>
        <v>-1.2613147351238972E-2</v>
      </c>
      <c r="G1315" s="10">
        <f t="shared" si="63"/>
        <v>2.1958802953750536E-2</v>
      </c>
    </row>
    <row r="1316" spans="1:7" x14ac:dyDescent="0.35">
      <c r="A1316" s="2">
        <v>45742</v>
      </c>
      <c r="B1316" s="3">
        <v>5712.2</v>
      </c>
      <c r="C1316" s="3">
        <v>65.739999999999995</v>
      </c>
      <c r="D1316" s="3">
        <v>50.95</v>
      </c>
      <c r="E1316" s="10">
        <f t="shared" si="61"/>
        <v>-1.1156985450044545E-2</v>
      </c>
      <c r="F1316" s="10">
        <f t="shared" si="62"/>
        <v>-1.2022843402464853E-2</v>
      </c>
      <c r="G1316" s="10">
        <f t="shared" si="63"/>
        <v>-3.118463586233125E-2</v>
      </c>
    </row>
    <row r="1317" spans="1:7" x14ac:dyDescent="0.35">
      <c r="A1317" s="2">
        <v>45743</v>
      </c>
      <c r="B1317" s="3">
        <v>5693.31</v>
      </c>
      <c r="C1317" s="3">
        <v>65.8</v>
      </c>
      <c r="D1317" s="3">
        <v>47.2</v>
      </c>
      <c r="E1317" s="10">
        <f t="shared" si="61"/>
        <v>-3.3069570393192498E-3</v>
      </c>
      <c r="F1317" s="10">
        <f t="shared" si="62"/>
        <v>9.1268634012781069E-4</v>
      </c>
      <c r="G1317" s="10">
        <f t="shared" si="63"/>
        <v>-7.3601570166830221E-2</v>
      </c>
    </row>
    <row r="1318" spans="1:7" x14ac:dyDescent="0.35">
      <c r="A1318" s="2">
        <v>45744</v>
      </c>
      <c r="B1318" s="3">
        <v>5580.94</v>
      </c>
      <c r="C1318" s="3">
        <v>63.29</v>
      </c>
      <c r="D1318" s="3">
        <v>46.68</v>
      </c>
      <c r="E1318" s="10">
        <f t="shared" si="61"/>
        <v>-1.973720032810453E-2</v>
      </c>
      <c r="F1318" s="10">
        <f t="shared" si="62"/>
        <v>-3.8145896656534929E-2</v>
      </c>
      <c r="G1318" s="10">
        <f t="shared" si="63"/>
        <v>-1.1016949152542439E-2</v>
      </c>
    </row>
    <row r="1319" spans="1:7" x14ac:dyDescent="0.35">
      <c r="A1319" s="2">
        <v>45747</v>
      </c>
      <c r="B1319" s="3">
        <v>5611.85</v>
      </c>
      <c r="C1319" s="3">
        <v>63.48</v>
      </c>
      <c r="D1319" s="3">
        <v>47.03</v>
      </c>
      <c r="E1319" s="10">
        <f t="shared" si="61"/>
        <v>5.5384935154294381E-3</v>
      </c>
      <c r="F1319" s="10">
        <f t="shared" si="62"/>
        <v>3.0020540369726295E-3</v>
      </c>
      <c r="G1319" s="10">
        <f t="shared" si="63"/>
        <v>7.4978577549271938E-3</v>
      </c>
    </row>
    <row r="1320" spans="1:7" x14ac:dyDescent="0.35">
      <c r="A1320" s="2">
        <v>45748</v>
      </c>
      <c r="B1320" s="3">
        <v>5633.07</v>
      </c>
      <c r="C1320" s="3">
        <v>64.760000000000005</v>
      </c>
      <c r="D1320" s="3">
        <v>47.26</v>
      </c>
      <c r="E1320" s="10">
        <f t="shared" si="61"/>
        <v>3.781284246727789E-3</v>
      </c>
      <c r="F1320" s="10">
        <f t="shared" si="62"/>
        <v>2.0163831127914436E-2</v>
      </c>
      <c r="G1320" s="10">
        <f t="shared" si="63"/>
        <v>4.8904954284498588E-3</v>
      </c>
    </row>
    <row r="1321" spans="1:7" x14ac:dyDescent="0.35">
      <c r="A1321" s="2">
        <v>45749</v>
      </c>
      <c r="B1321" s="3">
        <v>5670.97</v>
      </c>
      <c r="C1321" s="3">
        <v>64.959999999999994</v>
      </c>
      <c r="D1321" s="3">
        <v>47.98</v>
      </c>
      <c r="E1321" s="10">
        <f t="shared" si="61"/>
        <v>6.728125160880399E-3</v>
      </c>
      <c r="F1321" s="10">
        <f t="shared" si="62"/>
        <v>3.0883261272388607E-3</v>
      </c>
      <c r="G1321" s="10">
        <f t="shared" si="63"/>
        <v>1.5234870926787958E-2</v>
      </c>
    </row>
    <row r="1322" spans="1:7" x14ac:dyDescent="0.35">
      <c r="A1322" s="2">
        <v>45750</v>
      </c>
      <c r="B1322" s="3">
        <v>5396.52</v>
      </c>
      <c r="C1322" s="3">
        <v>55.58</v>
      </c>
      <c r="D1322" s="3">
        <v>45.9</v>
      </c>
      <c r="E1322" s="10">
        <f t="shared" si="61"/>
        <v>-4.8395600752604899E-2</v>
      </c>
      <c r="F1322" s="10">
        <f t="shared" si="62"/>
        <v>-0.14439655172413787</v>
      </c>
      <c r="G1322" s="10">
        <f t="shared" si="63"/>
        <v>-4.3351396415172959E-2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0BE-C2DA-4FDF-972B-6DE8366648D9}">
  <dimension ref="A1:L1321"/>
  <sheetViews>
    <sheetView tabSelected="1" topLeftCell="C5" zoomScale="133" workbookViewId="0">
      <selection activeCell="H17" sqref="H17"/>
    </sheetView>
  </sheetViews>
  <sheetFormatPr defaultRowHeight="14.5" x14ac:dyDescent="0.35"/>
  <cols>
    <col min="1" max="1" width="13.7265625" customWidth="1"/>
    <col min="2" max="2" width="13.08984375" customWidth="1"/>
    <col min="4" max="4" width="12" customWidth="1"/>
    <col min="5" max="5" width="11.90625" customWidth="1"/>
  </cols>
  <sheetData>
    <row r="1" spans="1:12" x14ac:dyDescent="0.35">
      <c r="A1" t="s">
        <v>2</v>
      </c>
      <c r="B1" t="s">
        <v>3</v>
      </c>
    </row>
    <row r="2" spans="1:12" x14ac:dyDescent="0.35">
      <c r="A2" s="22">
        <v>-2.7397260273972711E-3</v>
      </c>
      <c r="B2" s="22">
        <v>-2.8357410379882347E-2</v>
      </c>
      <c r="D2" t="s">
        <v>121</v>
      </c>
    </row>
    <row r="3" spans="1:12" x14ac:dyDescent="0.35">
      <c r="A3" s="22">
        <v>-8.8304552590270219E-4</v>
      </c>
      <c r="B3" s="22">
        <v>-1.3215859030836918E-2</v>
      </c>
    </row>
    <row r="4" spans="1:12" x14ac:dyDescent="0.35">
      <c r="A4" s="22">
        <v>-4.9101443582438538E-4</v>
      </c>
      <c r="B4" s="22">
        <v>-1.9252232142857276E-2</v>
      </c>
      <c r="E4" t="s">
        <v>128</v>
      </c>
      <c r="G4" t="s">
        <v>129</v>
      </c>
    </row>
    <row r="5" spans="1:12" x14ac:dyDescent="0.35">
      <c r="A5" s="22">
        <v>-2.2597759874238943E-3</v>
      </c>
      <c r="B5" s="22">
        <v>-1.422475106685633E-2</v>
      </c>
      <c r="E5" t="s">
        <v>2</v>
      </c>
      <c r="F5" t="s">
        <v>3</v>
      </c>
      <c r="G5" t="s">
        <v>2</v>
      </c>
      <c r="H5" t="s">
        <v>3</v>
      </c>
    </row>
    <row r="6" spans="1:12" x14ac:dyDescent="0.35">
      <c r="A6" s="22">
        <v>-6.8931560807477285E-4</v>
      </c>
      <c r="B6" s="22">
        <v>1.2409812409812402E-2</v>
      </c>
      <c r="D6" t="s">
        <v>122</v>
      </c>
      <c r="E6" s="20">
        <f>AVERAGE(A2:A1321)</f>
        <v>-2.1206943893270692E-4</v>
      </c>
      <c r="F6" s="20">
        <f>AVERAGE(B2:B1321)</f>
        <v>5.2522970224769879E-4</v>
      </c>
      <c r="G6" s="21">
        <f>((1+E6)^252)-1</f>
        <v>-5.2043976073842479E-2</v>
      </c>
      <c r="H6" s="21">
        <f>((1+F6)^252)-1</f>
        <v>0.14147711429442111</v>
      </c>
      <c r="J6" s="23">
        <f>E6*252</f>
        <v>-5.3441498611042144E-2</v>
      </c>
    </row>
    <row r="7" spans="1:12" x14ac:dyDescent="0.35">
      <c r="A7" s="22">
        <v>-5.7154119038233964E-3</v>
      </c>
      <c r="B7" s="22">
        <v>-1.2257696693272513E-2</v>
      </c>
      <c r="D7" t="s">
        <v>123</v>
      </c>
      <c r="E7">
        <f>_xlfn.VAR.S(A2:A1321)</f>
        <v>4.9335243940379521E-4</v>
      </c>
      <c r="F7">
        <f>_xlfn.VAR.S(B2:B1321)</f>
        <v>7.3873758290210012E-4</v>
      </c>
      <c r="G7">
        <f>E7*252</f>
        <v>0.1243248147297564</v>
      </c>
      <c r="H7">
        <f>F7*252</f>
        <v>0.18616187089132924</v>
      </c>
    </row>
    <row r="8" spans="1:12" x14ac:dyDescent="0.35">
      <c r="A8" s="22">
        <v>1.2487611496531128E-2</v>
      </c>
      <c r="B8" s="22">
        <v>9.5238095238094744E-3</v>
      </c>
      <c r="D8" t="s">
        <v>124</v>
      </c>
      <c r="E8" s="10">
        <f>SQRT(E7)</f>
        <v>2.2211538429469383E-2</v>
      </c>
      <c r="F8" s="10">
        <f>SQRT(F7)</f>
        <v>2.7179727425088358E-2</v>
      </c>
      <c r="G8" s="10">
        <f>SQRT(G7)</f>
        <v>0.35259724152318095</v>
      </c>
      <c r="H8" s="10">
        <f>SQRT(H7)</f>
        <v>0.43146479681583438</v>
      </c>
    </row>
    <row r="9" spans="1:12" x14ac:dyDescent="0.35">
      <c r="A9" s="22">
        <v>7.4393108848865028E-3</v>
      </c>
      <c r="B9" s="22">
        <v>4.8599199542596261E-3</v>
      </c>
      <c r="G9" s="19"/>
    </row>
    <row r="10" spans="1:12" x14ac:dyDescent="0.35">
      <c r="A10" s="22">
        <v>-1.2631169840652493E-3</v>
      </c>
      <c r="B10" s="22">
        <v>0</v>
      </c>
      <c r="D10" t="s">
        <v>125</v>
      </c>
      <c r="G10" s="19"/>
    </row>
    <row r="11" spans="1:12" x14ac:dyDescent="0.35">
      <c r="A11" s="22">
        <v>5.6425722346531591E-3</v>
      </c>
      <c r="B11" s="22">
        <v>1.1379800853485025E-2</v>
      </c>
      <c r="D11" t="s">
        <v>126</v>
      </c>
      <c r="E11">
        <v>-0.15</v>
      </c>
    </row>
    <row r="12" spans="1:12" x14ac:dyDescent="0.35">
      <c r="A12" s="22">
        <v>1.1221824513882137E-2</v>
      </c>
      <c r="B12" s="22">
        <v>1.4064697609002606E-3</v>
      </c>
      <c r="D12" t="s">
        <v>131</v>
      </c>
      <c r="E12" s="18">
        <v>0.5</v>
      </c>
      <c r="F12" s="18">
        <f>1-E12</f>
        <v>0.5</v>
      </c>
    </row>
    <row r="13" spans="1:12" x14ac:dyDescent="0.35">
      <c r="A13" s="22">
        <v>4.7833157945084817E-4</v>
      </c>
      <c r="B13" s="22">
        <v>-1.7134831460674141E-2</v>
      </c>
    </row>
    <row r="14" spans="1:12" x14ac:dyDescent="0.35">
      <c r="A14" s="22">
        <v>-8.6058519793462819E-4</v>
      </c>
      <c r="B14" s="22">
        <v>-2.2863675335811772E-3</v>
      </c>
      <c r="D14" t="s">
        <v>130</v>
      </c>
      <c r="E14">
        <f>(E12^2)*G7+(F12^2)*H7+2*E11*G8*E12*H8*F12</f>
        <v>6.6211674117399685E-2</v>
      </c>
      <c r="G14" t="s">
        <v>133</v>
      </c>
      <c r="H14" t="s">
        <v>134</v>
      </c>
      <c r="I14" t="s">
        <v>135</v>
      </c>
      <c r="J14" t="s">
        <v>136</v>
      </c>
      <c r="L14" t="s">
        <v>137</v>
      </c>
    </row>
    <row r="15" spans="1:12" x14ac:dyDescent="0.35">
      <c r="A15" s="22">
        <v>-1.4068331897789253E-2</v>
      </c>
      <c r="B15" s="22">
        <v>-8.5935262102532326E-4</v>
      </c>
      <c r="D15" t="s">
        <v>127</v>
      </c>
      <c r="E15" s="10">
        <f>SQRT(E14)</f>
        <v>0.2573162919781794</v>
      </c>
      <c r="L15" t="s">
        <v>138</v>
      </c>
    </row>
    <row r="16" spans="1:12" x14ac:dyDescent="0.35">
      <c r="A16" s="22">
        <v>-9.6097845078625017E-3</v>
      </c>
      <c r="B16" s="22">
        <v>-1.6341743119266061E-2</v>
      </c>
      <c r="L16" t="s">
        <v>139</v>
      </c>
    </row>
    <row r="17" spans="1:5" x14ac:dyDescent="0.35">
      <c r="A17" s="22">
        <v>-1.7543859649122868E-2</v>
      </c>
      <c r="B17" s="22">
        <v>-2.6231419411250529E-2</v>
      </c>
      <c r="D17" t="s">
        <v>132</v>
      </c>
      <c r="E17" s="19">
        <f>E12*G6+F12*H6</f>
        <v>4.4716569110289317E-2</v>
      </c>
    </row>
    <row r="18" spans="1:5" x14ac:dyDescent="0.35">
      <c r="A18" s="22">
        <v>1.6959297685554839E-3</v>
      </c>
      <c r="B18" s="22">
        <v>6.8841664172404667E-3</v>
      </c>
    </row>
    <row r="19" spans="1:5" x14ac:dyDescent="0.35">
      <c r="A19" s="22">
        <v>-5.6767254257543394E-3</v>
      </c>
      <c r="B19" s="22">
        <v>-1.1890606420927215E-3</v>
      </c>
    </row>
    <row r="20" spans="1:5" x14ac:dyDescent="0.35">
      <c r="A20" s="22">
        <v>-1.6526442307692363E-2</v>
      </c>
      <c r="B20" s="22">
        <v>-8.0357142857143786E-3</v>
      </c>
    </row>
    <row r="21" spans="1:5" x14ac:dyDescent="0.35">
      <c r="A21" s="22">
        <v>-1.9248395967002757E-2</v>
      </c>
      <c r="B21" s="22">
        <v>1.8001800180018684E-3</v>
      </c>
    </row>
    <row r="22" spans="1:5" x14ac:dyDescent="0.35">
      <c r="A22" s="22">
        <v>3.0841121495327091E-2</v>
      </c>
      <c r="B22" s="22">
        <v>9.883198562443794E-3</v>
      </c>
    </row>
    <row r="23" spans="1:5" x14ac:dyDescent="0.35">
      <c r="A23" s="22">
        <v>2.1255162687619619E-2</v>
      </c>
      <c r="B23" s="22">
        <v>1.9276393831553933E-2</v>
      </c>
    </row>
    <row r="24" spans="1:5" x14ac:dyDescent="0.35">
      <c r="A24" s="22">
        <v>-8.2856579206943108E-3</v>
      </c>
      <c r="B24" s="22">
        <v>1.9202793133546808E-2</v>
      </c>
    </row>
    <row r="25" spans="1:5" x14ac:dyDescent="0.35">
      <c r="A25" s="22">
        <v>-2.6854983091307958E-3</v>
      </c>
      <c r="B25" s="22">
        <v>-1.9982871824150809E-2</v>
      </c>
    </row>
    <row r="26" spans="1:5" x14ac:dyDescent="0.35">
      <c r="A26" s="22">
        <v>-8.2776503440709914E-3</v>
      </c>
      <c r="B26" s="22">
        <v>-2.0390329158170573E-2</v>
      </c>
    </row>
    <row r="27" spans="1:5" x14ac:dyDescent="0.35">
      <c r="A27" s="22">
        <v>5.8326629123089131E-3</v>
      </c>
      <c r="B27" s="22">
        <v>1.8435920309247619E-2</v>
      </c>
    </row>
    <row r="28" spans="1:5" x14ac:dyDescent="0.35">
      <c r="A28" s="22">
        <v>0</v>
      </c>
      <c r="B28" s="22">
        <v>2.2189781021897753E-2</v>
      </c>
    </row>
    <row r="29" spans="1:5" x14ac:dyDescent="0.35">
      <c r="A29" s="22">
        <v>2.979404119176169E-2</v>
      </c>
      <c r="B29" s="22">
        <v>1.3710368466152643E-2</v>
      </c>
    </row>
    <row r="30" spans="1:5" x14ac:dyDescent="0.35">
      <c r="A30" s="22">
        <v>3.5922330097087822E-3</v>
      </c>
      <c r="B30" s="22">
        <v>-5.6353902507749456E-3</v>
      </c>
    </row>
    <row r="31" spans="1:5" x14ac:dyDescent="0.35">
      <c r="A31" s="22">
        <v>1.6445777304827484E-3</v>
      </c>
      <c r="B31" s="22">
        <v>-1.5018418815528511E-2</v>
      </c>
    </row>
    <row r="32" spans="1:5" x14ac:dyDescent="0.35">
      <c r="A32" s="22">
        <v>-1.4873478848754165E-2</v>
      </c>
      <c r="B32" s="22">
        <v>-1.0069044879171502E-2</v>
      </c>
    </row>
    <row r="33" spans="1:2" x14ac:dyDescent="0.35">
      <c r="A33" s="22">
        <v>4.509803921568566E-3</v>
      </c>
      <c r="B33" s="22">
        <v>1.4821272885789164E-2</v>
      </c>
    </row>
    <row r="34" spans="1:2" x14ac:dyDescent="0.35">
      <c r="A34" s="22">
        <v>6.8319344134303527E-4</v>
      </c>
      <c r="B34" s="22">
        <v>1.0595647193585264E-2</v>
      </c>
    </row>
    <row r="35" spans="1:2" x14ac:dyDescent="0.35">
      <c r="A35" s="22">
        <v>-2.2237393933482893E-2</v>
      </c>
      <c r="B35" s="22">
        <v>-1.813544913573252E-2</v>
      </c>
    </row>
    <row r="36" spans="1:2" x14ac:dyDescent="0.35">
      <c r="A36" s="22">
        <v>-4.3291770573566118E-2</v>
      </c>
      <c r="B36" s="22">
        <v>-4.5021645021644886E-2</v>
      </c>
    </row>
    <row r="37" spans="1:2" x14ac:dyDescent="0.35">
      <c r="A37" s="22">
        <v>-3.1383588781148899E-2</v>
      </c>
      <c r="B37" s="22">
        <v>-4.0495618011483929E-2</v>
      </c>
    </row>
    <row r="38" spans="1:2" x14ac:dyDescent="0.35">
      <c r="A38" s="22">
        <v>-9.687836383207811E-3</v>
      </c>
      <c r="B38" s="22">
        <v>7.874015748031496E-3</v>
      </c>
    </row>
    <row r="39" spans="1:2" x14ac:dyDescent="0.35">
      <c r="A39" s="22">
        <v>-3.7500000000000033E-2</v>
      </c>
      <c r="B39" s="22">
        <v>-4.0312499999999973E-2</v>
      </c>
    </row>
    <row r="40" spans="1:2" x14ac:dyDescent="0.35">
      <c r="A40" s="22">
        <v>9.3732354601919633E-3</v>
      </c>
      <c r="B40" s="22">
        <v>-6.8381634646695159E-3</v>
      </c>
    </row>
    <row r="41" spans="1:2" x14ac:dyDescent="0.35">
      <c r="A41" s="22">
        <v>3.692101141194911E-2</v>
      </c>
      <c r="B41" s="22">
        <v>3.0163934426229565E-2</v>
      </c>
    </row>
    <row r="42" spans="1:2" x14ac:dyDescent="0.35">
      <c r="A42" s="22">
        <v>-1.8882175226586102E-2</v>
      </c>
      <c r="B42" s="22">
        <v>-2.8644175684277597E-2</v>
      </c>
    </row>
    <row r="43" spans="1:2" x14ac:dyDescent="0.35">
      <c r="A43" s="22">
        <v>3.1452765863851304E-2</v>
      </c>
      <c r="B43" s="22">
        <v>3.3093053735255624E-2</v>
      </c>
    </row>
    <row r="44" spans="1:2" x14ac:dyDescent="0.35">
      <c r="A44" s="22">
        <v>-3.4225397163876826E-2</v>
      </c>
      <c r="B44" s="22">
        <v>-4.5353631462099579E-2</v>
      </c>
    </row>
    <row r="45" spans="1:2" x14ac:dyDescent="0.35">
      <c r="A45" s="22">
        <v>-2.4508721572090959E-2</v>
      </c>
      <c r="B45" s="22">
        <v>-4.6843853820598011E-2</v>
      </c>
    </row>
    <row r="46" spans="1:2" x14ac:dyDescent="0.35">
      <c r="A46" s="22">
        <v>-4.80986871887732E-2</v>
      </c>
      <c r="B46" s="22">
        <v>-0.13942140118508189</v>
      </c>
    </row>
    <row r="47" spans="1:2" x14ac:dyDescent="0.35">
      <c r="A47" s="22">
        <v>4.9815717512780855E-2</v>
      </c>
      <c r="B47" s="22">
        <v>9.8420413122721734E-2</v>
      </c>
    </row>
    <row r="48" spans="1:2" x14ac:dyDescent="0.35">
      <c r="A48" s="22">
        <v>-4.8697621744054329E-2</v>
      </c>
      <c r="B48" s="22">
        <v>-4.1297935103244872E-2</v>
      </c>
    </row>
    <row r="49" spans="1:2" x14ac:dyDescent="0.35">
      <c r="A49" s="22">
        <v>-0.11666666666666663</v>
      </c>
      <c r="B49" s="22">
        <v>-0.11384615384615387</v>
      </c>
    </row>
    <row r="50" spans="1:2" x14ac:dyDescent="0.35">
      <c r="A50" s="22">
        <v>1.8598382749326084E-2</v>
      </c>
      <c r="B50" s="22">
        <v>7.2482638888888964E-2</v>
      </c>
    </row>
    <row r="51" spans="1:2" x14ac:dyDescent="0.35">
      <c r="A51" s="22">
        <v>-0.1163006086266207</v>
      </c>
      <c r="B51" s="22">
        <v>-0.15014164305949013</v>
      </c>
    </row>
    <row r="52" spans="1:2" x14ac:dyDescent="0.35">
      <c r="A52" s="22">
        <v>4.5665518790238016E-2</v>
      </c>
      <c r="B52" s="22">
        <v>-3.2380952380952364E-2</v>
      </c>
    </row>
    <row r="53" spans="1:2" x14ac:dyDescent="0.35">
      <c r="A53" s="22">
        <v>-2.5773195876288617E-2</v>
      </c>
      <c r="B53" s="22">
        <v>-0.17322834645669288</v>
      </c>
    </row>
    <row r="54" spans="1:2" x14ac:dyDescent="0.35">
      <c r="A54" s="22">
        <v>3.380364491475598E-2</v>
      </c>
      <c r="B54" s="22">
        <v>5.4166666666666675E-2</v>
      </c>
    </row>
    <row r="55" spans="1:2" x14ac:dyDescent="0.35">
      <c r="A55" s="22">
        <v>-4.1086152971282347E-2</v>
      </c>
      <c r="B55" s="22">
        <v>2.4280067758328611E-2</v>
      </c>
    </row>
    <row r="56" spans="1:2" x14ac:dyDescent="0.35">
      <c r="A56" s="22">
        <v>-6.8939955522609425E-2</v>
      </c>
      <c r="B56" s="22">
        <v>-2.9768467475192895E-2</v>
      </c>
    </row>
    <row r="57" spans="1:2" x14ac:dyDescent="0.35">
      <c r="A57" s="22">
        <v>0.15175159235668792</v>
      </c>
      <c r="B57" s="22">
        <v>0.19943181818181804</v>
      </c>
    </row>
    <row r="58" spans="1:2" x14ac:dyDescent="0.35">
      <c r="A58" s="22">
        <v>9.2354486381861015E-2</v>
      </c>
      <c r="B58" s="22">
        <v>1.8000947418285125E-2</v>
      </c>
    </row>
    <row r="59" spans="1:2" x14ac:dyDescent="0.35">
      <c r="A59" s="22">
        <v>6.6953550183520963E-2</v>
      </c>
      <c r="B59" s="22">
        <v>4.9790600279199647E-2</v>
      </c>
    </row>
    <row r="60" spans="1:2" x14ac:dyDescent="0.35">
      <c r="A60" s="22">
        <v>-1.2692763938315459E-2</v>
      </c>
      <c r="B60" s="22">
        <v>-5.2304964539007084E-2</v>
      </c>
    </row>
    <row r="61" spans="1:2" x14ac:dyDescent="0.35">
      <c r="A61" s="22">
        <v>2.5832031719331867E-2</v>
      </c>
      <c r="B61" s="22">
        <v>-2.8063610851262267E-3</v>
      </c>
    </row>
    <row r="62" spans="1:2" x14ac:dyDescent="0.35">
      <c r="A62" s="22">
        <v>-3.0920590302178506E-2</v>
      </c>
      <c r="B62" s="22">
        <v>-2.5328330206378948E-2</v>
      </c>
    </row>
    <row r="63" spans="1:2" x14ac:dyDescent="0.35">
      <c r="A63" s="22">
        <v>-4.2422044960115916E-2</v>
      </c>
      <c r="B63" s="22">
        <v>-7.3147256977863312E-2</v>
      </c>
    </row>
    <row r="64" spans="1:2" x14ac:dyDescent="0.35">
      <c r="A64" s="22">
        <v>1.1485548403382513E-2</v>
      </c>
      <c r="B64" s="22">
        <v>-5.5555555555555566E-2</v>
      </c>
    </row>
    <row r="65" spans="1:2" x14ac:dyDescent="0.35">
      <c r="A65" s="22">
        <v>-1.5972048914399815E-2</v>
      </c>
      <c r="B65" s="22">
        <v>-8.2462891698736728E-3</v>
      </c>
    </row>
    <row r="66" spans="1:2" x14ac:dyDescent="0.35">
      <c r="A66" s="22">
        <v>7.3167638853664674E-2</v>
      </c>
      <c r="B66" s="22">
        <v>8.3702882483370378E-2</v>
      </c>
    </row>
    <row r="67" spans="1:2" x14ac:dyDescent="0.35">
      <c r="A67" s="22">
        <v>-5.5535861987474761E-3</v>
      </c>
      <c r="B67" s="22">
        <v>8.9514066496163683E-2</v>
      </c>
    </row>
    <row r="68" spans="1:2" x14ac:dyDescent="0.35">
      <c r="A68" s="22">
        <v>1.3545627376425862E-2</v>
      </c>
      <c r="B68" s="22">
        <v>8.5915492957746392E-2</v>
      </c>
    </row>
    <row r="69" spans="1:2" x14ac:dyDescent="0.35">
      <c r="A69" s="22">
        <v>1.7467760844079826E-2</v>
      </c>
      <c r="B69" s="22">
        <v>4.020752269779506E-2</v>
      </c>
    </row>
    <row r="70" spans="1:2" x14ac:dyDescent="0.35">
      <c r="A70" s="22">
        <v>-2.684641087682927E-2</v>
      </c>
      <c r="B70" s="22">
        <v>-4.3640897755610857E-2</v>
      </c>
    </row>
    <row r="71" spans="1:2" x14ac:dyDescent="0.35">
      <c r="A71" s="22">
        <v>3.5638171915699804E-2</v>
      </c>
      <c r="B71" s="22">
        <v>-1.3037809647979634E-3</v>
      </c>
    </row>
    <row r="72" spans="1:2" x14ac:dyDescent="0.35">
      <c r="A72" s="22">
        <v>-2.7780953469760977E-2</v>
      </c>
      <c r="B72" s="22">
        <v>-5.7441253263707581E-2</v>
      </c>
    </row>
    <row r="73" spans="1:2" x14ac:dyDescent="0.35">
      <c r="A73" s="22">
        <v>1.4816556914393118E-2</v>
      </c>
      <c r="B73" s="22">
        <v>-3.6472760849492109E-2</v>
      </c>
    </row>
    <row r="74" spans="1:2" x14ac:dyDescent="0.35">
      <c r="A74" s="22">
        <v>4.1830822711471607E-2</v>
      </c>
      <c r="B74" s="22">
        <v>7.7144226161954932E-2</v>
      </c>
    </row>
    <row r="75" spans="1:2" x14ac:dyDescent="0.35">
      <c r="A75" s="22">
        <v>-2.2355689022355588E-2</v>
      </c>
      <c r="B75" s="22">
        <v>-4.4483985765125184E-3</v>
      </c>
    </row>
    <row r="76" spans="1:2" x14ac:dyDescent="0.35">
      <c r="A76" s="22">
        <v>-3.0716723549488085E-2</v>
      </c>
      <c r="B76" s="22">
        <v>-5.0938337801608606E-2</v>
      </c>
    </row>
    <row r="77" spans="1:2" x14ac:dyDescent="0.35">
      <c r="A77" s="22">
        <v>4.1901408450704142E-2</v>
      </c>
      <c r="B77" s="22">
        <v>2.824858757062254E-3</v>
      </c>
    </row>
    <row r="78" spans="1:2" x14ac:dyDescent="0.35">
      <c r="A78" s="22">
        <v>-1.5996395178551333E-2</v>
      </c>
      <c r="B78" s="22">
        <v>1.0328638497652528E-2</v>
      </c>
    </row>
    <row r="79" spans="1:2" x14ac:dyDescent="0.35">
      <c r="A79" s="22">
        <v>1.167716084716669E-2</v>
      </c>
      <c r="B79" s="22">
        <v>1.9981412639405192E-2</v>
      </c>
    </row>
    <row r="80" spans="1:2" x14ac:dyDescent="0.35">
      <c r="A80" s="22">
        <v>1.1316057485572026E-2</v>
      </c>
      <c r="B80" s="22">
        <v>2.2779043280182234E-2</v>
      </c>
    </row>
    <row r="81" spans="1:2" x14ac:dyDescent="0.35">
      <c r="A81" s="22">
        <v>-6.3779791876469438E-3</v>
      </c>
      <c r="B81" s="22">
        <v>-1.202672605790644E-2</v>
      </c>
    </row>
    <row r="82" spans="1:2" x14ac:dyDescent="0.35">
      <c r="A82" s="22">
        <v>-8.2207207207207651E-3</v>
      </c>
      <c r="B82" s="22">
        <v>7.2137060414788165E-2</v>
      </c>
    </row>
    <row r="83" spans="1:2" x14ac:dyDescent="0.35">
      <c r="A83" s="22">
        <v>-1.0105597819915822E-2</v>
      </c>
      <c r="B83" s="22">
        <v>-6.2657695542472747E-2</v>
      </c>
    </row>
    <row r="84" spans="1:2" x14ac:dyDescent="0.35">
      <c r="A84" s="22">
        <v>-1.8811654049093834E-2</v>
      </c>
      <c r="B84" s="22">
        <v>-6.2359802602063731E-2</v>
      </c>
    </row>
    <row r="85" spans="1:2" x14ac:dyDescent="0.35">
      <c r="A85" s="22">
        <v>2.4549918166938711E-3</v>
      </c>
      <c r="B85" s="22">
        <v>-7.177033492822899E-3</v>
      </c>
    </row>
    <row r="86" spans="1:2" x14ac:dyDescent="0.35">
      <c r="A86" s="22">
        <v>1.6909620991253677E-2</v>
      </c>
      <c r="B86" s="22">
        <v>2.4578313253012123E-2</v>
      </c>
    </row>
    <row r="87" spans="1:2" x14ac:dyDescent="0.35">
      <c r="A87" s="22">
        <v>1.4220183486238472E-2</v>
      </c>
      <c r="B87" s="22">
        <v>2.9633113828786403E-2</v>
      </c>
    </row>
    <row r="88" spans="1:2" x14ac:dyDescent="0.35">
      <c r="A88" s="22">
        <v>1.3568521031208113E-3</v>
      </c>
      <c r="B88" s="22">
        <v>2.512562814070355E-2</v>
      </c>
    </row>
    <row r="89" spans="1:2" x14ac:dyDescent="0.35">
      <c r="A89" s="22">
        <v>2.1454381210478674E-2</v>
      </c>
      <c r="B89" s="22">
        <v>6.6399286987522205E-2</v>
      </c>
    </row>
    <row r="90" spans="1:2" x14ac:dyDescent="0.35">
      <c r="A90" s="22">
        <v>5.195666592969413E-3</v>
      </c>
      <c r="B90" s="22">
        <v>-4.7221061429168369E-2</v>
      </c>
    </row>
    <row r="91" spans="1:2" x14ac:dyDescent="0.35">
      <c r="A91" s="22">
        <v>-2.9363246453315756E-2</v>
      </c>
      <c r="B91" s="22">
        <v>-1.0526315789473771E-2</v>
      </c>
    </row>
    <row r="92" spans="1:2" x14ac:dyDescent="0.35">
      <c r="A92" s="22">
        <v>-2.5379560389757635E-2</v>
      </c>
      <c r="B92" s="22">
        <v>-4.8758865248226861E-2</v>
      </c>
    </row>
    <row r="93" spans="1:2" x14ac:dyDescent="0.35">
      <c r="A93" s="22">
        <v>6.1613578237619294E-3</v>
      </c>
      <c r="B93" s="22">
        <v>3.9608574091332609E-2</v>
      </c>
    </row>
    <row r="94" spans="1:2" x14ac:dyDescent="0.35">
      <c r="A94" s="22">
        <v>5.0837666088965651E-3</v>
      </c>
      <c r="B94" s="22">
        <v>1.4343343792021528E-2</v>
      </c>
    </row>
    <row r="95" spans="1:2" x14ac:dyDescent="0.35">
      <c r="A95" s="22">
        <v>4.6557075525922656E-2</v>
      </c>
      <c r="B95" s="22">
        <v>9.6332302253645599E-2</v>
      </c>
    </row>
    <row r="96" spans="1:2" x14ac:dyDescent="0.35">
      <c r="A96" s="22">
        <v>5.1625659050966478E-3</v>
      </c>
      <c r="B96" s="22">
        <v>-4.8367593712211792E-3</v>
      </c>
    </row>
    <row r="97" spans="1:2" x14ac:dyDescent="0.35">
      <c r="A97" s="22">
        <v>1.5735985138236232E-2</v>
      </c>
      <c r="B97" s="22">
        <v>3.1996759821790163E-2</v>
      </c>
    </row>
    <row r="98" spans="1:2" x14ac:dyDescent="0.35">
      <c r="A98" s="22">
        <v>1.4093598708983348E-2</v>
      </c>
      <c r="B98" s="22">
        <v>1.2558869701726856E-2</v>
      </c>
    </row>
    <row r="99" spans="1:2" x14ac:dyDescent="0.35">
      <c r="A99" s="22">
        <v>-5.4105665181413652E-3</v>
      </c>
      <c r="B99" s="22">
        <v>6.9767441860465003E-3</v>
      </c>
    </row>
    <row r="100" spans="1:2" x14ac:dyDescent="0.35">
      <c r="A100" s="22">
        <v>3.0613333333333381E-2</v>
      </c>
      <c r="B100" s="22">
        <v>5.4657428791377909E-2</v>
      </c>
    </row>
    <row r="101" spans="1:2" x14ac:dyDescent="0.35">
      <c r="A101" s="22">
        <v>3.3636928172221067E-2</v>
      </c>
      <c r="B101" s="22">
        <v>1.4233576642335788E-2</v>
      </c>
    </row>
    <row r="102" spans="1:2" x14ac:dyDescent="0.35">
      <c r="A102" s="22">
        <v>-1.4118353860018132E-2</v>
      </c>
      <c r="B102" s="22">
        <v>-3.9942425332853526E-2</v>
      </c>
    </row>
    <row r="103" spans="1:2" x14ac:dyDescent="0.35">
      <c r="A103" s="22">
        <v>1.2187690432663473E-3</v>
      </c>
      <c r="B103" s="22">
        <v>-2.9985007496251902E-2</v>
      </c>
    </row>
    <row r="104" spans="1:2" x14ac:dyDescent="0.35">
      <c r="A104" s="22">
        <v>9.738283627510733E-3</v>
      </c>
      <c r="B104" s="22">
        <v>4.0958268933539502E-2</v>
      </c>
    </row>
    <row r="105" spans="1:2" x14ac:dyDescent="0.35">
      <c r="A105" s="22">
        <v>1.2055455093429661E-2</v>
      </c>
      <c r="B105" s="22">
        <v>1.7446176688938338E-2</v>
      </c>
    </row>
    <row r="106" spans="1:2" x14ac:dyDescent="0.35">
      <c r="A106" s="22">
        <v>3.3452451856263693E-2</v>
      </c>
      <c r="B106" s="22">
        <v>6.0561838744983588E-2</v>
      </c>
    </row>
    <row r="107" spans="1:2" x14ac:dyDescent="0.35">
      <c r="A107" s="22">
        <v>-2.7182787436365367E-2</v>
      </c>
      <c r="B107" s="22">
        <v>3.0959752321981374E-3</v>
      </c>
    </row>
    <row r="108" spans="1:2" x14ac:dyDescent="0.35">
      <c r="A108" s="22">
        <v>1.4119273301737683E-2</v>
      </c>
      <c r="B108" s="22">
        <v>4.9725651577503402E-2</v>
      </c>
    </row>
    <row r="109" spans="1:2" x14ac:dyDescent="0.35">
      <c r="A109" s="22">
        <v>1.538311751533456E-2</v>
      </c>
      <c r="B109" s="22">
        <v>2.2868343678536518E-3</v>
      </c>
    </row>
    <row r="110" spans="1:2" x14ac:dyDescent="0.35">
      <c r="A110" s="22">
        <v>-1.5917154089558065E-2</v>
      </c>
      <c r="B110" s="22">
        <v>-2.6727509778357247E-2</v>
      </c>
    </row>
    <row r="111" spans="1:2" x14ac:dyDescent="0.35">
      <c r="A111" s="22">
        <v>-4.9693072201109903E-3</v>
      </c>
      <c r="B111" s="22">
        <v>-3.7173476222371049E-2</v>
      </c>
    </row>
    <row r="112" spans="1:2" x14ac:dyDescent="0.35">
      <c r="A112" s="22">
        <v>-6.8057187622405035E-2</v>
      </c>
      <c r="B112" s="22">
        <v>-7.8260869565217397E-2</v>
      </c>
    </row>
    <row r="113" spans="1:2" x14ac:dyDescent="0.35">
      <c r="A113" s="22">
        <v>1.3239466218346171E-2</v>
      </c>
      <c r="B113" s="22">
        <v>5.5094339622641542E-2</v>
      </c>
    </row>
    <row r="114" spans="1:2" x14ac:dyDescent="0.35">
      <c r="A114" s="22">
        <v>1.4622005599917002E-2</v>
      </c>
      <c r="B114" s="22">
        <v>-6.7954220314735796E-3</v>
      </c>
    </row>
    <row r="115" spans="1:2" x14ac:dyDescent="0.35">
      <c r="A115" s="22">
        <v>1.2264922322158655E-2</v>
      </c>
      <c r="B115" s="22">
        <v>3.6010082823196123E-4</v>
      </c>
    </row>
    <row r="116" spans="1:2" x14ac:dyDescent="0.35">
      <c r="A116" s="22">
        <v>1.716478190629922E-3</v>
      </c>
      <c r="B116" s="22">
        <v>-2.2318214542836608E-2</v>
      </c>
    </row>
    <row r="117" spans="1:2" x14ac:dyDescent="0.35">
      <c r="A117" s="22">
        <v>-7.6605180929340891E-3</v>
      </c>
      <c r="B117" s="22">
        <v>-2.5773195876288763E-3</v>
      </c>
    </row>
    <row r="118" spans="1:2" x14ac:dyDescent="0.35">
      <c r="A118" s="22">
        <v>-2.7120365667851719E-2</v>
      </c>
      <c r="B118" s="22">
        <v>-1.8456995201181249E-2</v>
      </c>
    </row>
    <row r="119" spans="1:2" x14ac:dyDescent="0.35">
      <c r="A119" s="22">
        <v>3.8943411985800834E-2</v>
      </c>
      <c r="B119" s="22">
        <v>-8.2737871380217706E-3</v>
      </c>
    </row>
    <row r="120" spans="1:2" x14ac:dyDescent="0.35">
      <c r="A120" s="22">
        <v>2.4218671490302445E-2</v>
      </c>
      <c r="B120" s="22">
        <v>-4.5506257110353053E-3</v>
      </c>
    </row>
    <row r="121" spans="1:2" x14ac:dyDescent="0.35">
      <c r="A121" s="22">
        <v>-1.8053375196232371E-2</v>
      </c>
      <c r="B121" s="22">
        <v>-3.695238095238091E-2</v>
      </c>
    </row>
    <row r="122" spans="1:2" x14ac:dyDescent="0.35">
      <c r="A122" s="22">
        <v>1.3189448441247077E-2</v>
      </c>
      <c r="B122" s="22">
        <v>-1.9778481012658507E-3</v>
      </c>
    </row>
    <row r="123" spans="1:2" x14ac:dyDescent="0.35">
      <c r="A123" s="22">
        <v>-7.6232741617357033E-2</v>
      </c>
      <c r="B123" s="22">
        <v>-3.051922314704715E-2</v>
      </c>
    </row>
    <row r="124" spans="1:2" x14ac:dyDescent="0.35">
      <c r="A124" s="22">
        <v>2.3486708658054904E-2</v>
      </c>
      <c r="B124" s="22">
        <v>3.4341782502044144E-2</v>
      </c>
    </row>
    <row r="125" spans="1:2" x14ac:dyDescent="0.35">
      <c r="A125" s="22">
        <v>2.2739125899655706E-2</v>
      </c>
      <c r="B125" s="22">
        <v>0</v>
      </c>
    </row>
    <row r="126" spans="1:2" x14ac:dyDescent="0.35">
      <c r="A126" s="22">
        <v>-6.62927078021409E-3</v>
      </c>
      <c r="B126" s="22">
        <v>-1.3438735177865606E-2</v>
      </c>
    </row>
    <row r="127" spans="1:2" x14ac:dyDescent="0.35">
      <c r="A127" s="22">
        <v>1.0574948665297752E-2</v>
      </c>
      <c r="B127" s="22">
        <v>1.1217948717948621E-2</v>
      </c>
    </row>
    <row r="128" spans="1:2" x14ac:dyDescent="0.35">
      <c r="A128" s="22">
        <v>1.5442446408615218E-2</v>
      </c>
      <c r="B128" s="22">
        <v>1.9413629160063471E-2</v>
      </c>
    </row>
    <row r="129" spans="1:2" x14ac:dyDescent="0.35">
      <c r="A129" s="22">
        <v>-2.8814407203601896E-2</v>
      </c>
      <c r="B129" s="22">
        <v>-2.3319082782743934E-2</v>
      </c>
    </row>
    <row r="130" spans="1:2" x14ac:dyDescent="0.35">
      <c r="A130" s="22">
        <v>1.8234263933244156E-2</v>
      </c>
      <c r="B130" s="22">
        <v>-7.5606844409071916E-3</v>
      </c>
    </row>
    <row r="131" spans="1:2" x14ac:dyDescent="0.35">
      <c r="A131" s="22">
        <v>-1.8717118575475603E-2</v>
      </c>
      <c r="B131" s="22">
        <v>-6.0946271050521229E-2</v>
      </c>
    </row>
    <row r="132" spans="1:2" x14ac:dyDescent="0.35">
      <c r="A132" s="22">
        <v>1.0310341272296113E-2</v>
      </c>
      <c r="B132" s="22">
        <v>4.1417591801878685E-2</v>
      </c>
    </row>
    <row r="133" spans="1:2" x14ac:dyDescent="0.35">
      <c r="A133" s="22">
        <v>-1.5613838146749682E-2</v>
      </c>
      <c r="B133" s="22">
        <v>1.9270192701926973E-2</v>
      </c>
    </row>
    <row r="134" spans="1:2" x14ac:dyDescent="0.35">
      <c r="A134" s="22">
        <v>3.1100974497202095E-3</v>
      </c>
      <c r="B134" s="22">
        <v>3.1375703942075672E-2</v>
      </c>
    </row>
    <row r="135" spans="1:2" x14ac:dyDescent="0.35">
      <c r="A135" s="22">
        <v>1.839603141794131E-2</v>
      </c>
      <c r="B135" s="22">
        <v>4.8361934477379034E-2</v>
      </c>
    </row>
    <row r="136" spans="1:2" x14ac:dyDescent="0.35">
      <c r="A136" s="22">
        <v>-1.2989648873553897E-2</v>
      </c>
      <c r="B136" s="22">
        <v>-1.1160714285713387E-3</v>
      </c>
    </row>
    <row r="137" spans="1:2" x14ac:dyDescent="0.35">
      <c r="A137" s="22">
        <v>-1.0076084721365453E-2</v>
      </c>
      <c r="B137" s="22">
        <v>-1.4897579143389277E-2</v>
      </c>
    </row>
    <row r="138" spans="1:2" x14ac:dyDescent="0.35">
      <c r="A138" s="22">
        <v>-6.5434150394681704E-3</v>
      </c>
      <c r="B138" s="22">
        <v>-1.6635160680529216E-2</v>
      </c>
    </row>
    <row r="139" spans="1:2" x14ac:dyDescent="0.35">
      <c r="A139" s="22">
        <v>2.833246210141133E-2</v>
      </c>
      <c r="B139" s="22">
        <v>5.382545174932603E-3</v>
      </c>
    </row>
    <row r="140" spans="1:2" x14ac:dyDescent="0.35">
      <c r="A140" s="22">
        <v>5.5917039446929358E-3</v>
      </c>
      <c r="B140" s="22">
        <v>5.7361376673040971E-3</v>
      </c>
    </row>
    <row r="141" spans="1:2" x14ac:dyDescent="0.35">
      <c r="A141" s="22">
        <v>-6.1672227277322763E-3</v>
      </c>
      <c r="B141" s="22">
        <v>1.749049429657798E-2</v>
      </c>
    </row>
    <row r="142" spans="1:2" x14ac:dyDescent="0.35">
      <c r="A142" s="22">
        <v>1.322482197355134E-3</v>
      </c>
      <c r="B142" s="22">
        <v>-1.9058295964125619E-2</v>
      </c>
    </row>
    <row r="143" spans="1:2" x14ac:dyDescent="0.35">
      <c r="A143" s="22">
        <v>-1.2394595143757117E-2</v>
      </c>
      <c r="B143" s="22">
        <v>-2.0952380952380979E-2</v>
      </c>
    </row>
    <row r="144" spans="1:2" x14ac:dyDescent="0.35">
      <c r="A144" s="22">
        <v>-9.6697870589445307E-3</v>
      </c>
      <c r="B144" s="22">
        <v>2.4513618677042763E-2</v>
      </c>
    </row>
    <row r="145" spans="1:2" x14ac:dyDescent="0.35">
      <c r="A145" s="22">
        <v>7.2712163706243156E-3</v>
      </c>
      <c r="B145" s="22">
        <v>-1.6710976072920537E-2</v>
      </c>
    </row>
    <row r="146" spans="1:2" x14ac:dyDescent="0.35">
      <c r="A146" s="22">
        <v>-1.5468701660307897E-3</v>
      </c>
      <c r="B146" s="22">
        <v>-2.6651216685979192E-2</v>
      </c>
    </row>
    <row r="147" spans="1:2" x14ac:dyDescent="0.35">
      <c r="A147" s="22">
        <v>8.1594711836398097E-3</v>
      </c>
      <c r="B147" s="22">
        <v>-1.2301587301587251E-2</v>
      </c>
    </row>
    <row r="148" spans="1:2" x14ac:dyDescent="0.35">
      <c r="A148" s="22">
        <v>7.3762934125601769E-3</v>
      </c>
      <c r="B148" s="22">
        <v>3.0132583366813979E-2</v>
      </c>
    </row>
    <row r="149" spans="1:2" x14ac:dyDescent="0.35">
      <c r="A149" s="22">
        <v>-1.0169836265636124E-2</v>
      </c>
      <c r="B149" s="22">
        <v>6.2402496099844048E-3</v>
      </c>
    </row>
    <row r="150" spans="1:2" x14ac:dyDescent="0.35">
      <c r="A150" s="22">
        <v>3.7090311312031228E-2</v>
      </c>
      <c r="B150" s="22">
        <v>2.0542635658914635E-2</v>
      </c>
    </row>
    <row r="151" spans="1:2" x14ac:dyDescent="0.35">
      <c r="A151" s="22">
        <v>-4.8543689320387842E-3</v>
      </c>
      <c r="B151" s="22">
        <v>1.1014052411697787E-2</v>
      </c>
    </row>
    <row r="152" spans="1:2" x14ac:dyDescent="0.35">
      <c r="A152" s="22">
        <v>1.4036834245893444E-2</v>
      </c>
      <c r="B152" s="22">
        <v>3.7565740045078086E-3</v>
      </c>
    </row>
    <row r="153" spans="1:2" x14ac:dyDescent="0.35">
      <c r="A153" s="22">
        <v>3.4851757313960313E-2</v>
      </c>
      <c r="B153" s="22">
        <v>4.715568862275455E-2</v>
      </c>
    </row>
    <row r="154" spans="1:2" x14ac:dyDescent="0.35">
      <c r="A154" s="22">
        <v>-2.7511621288302062E-3</v>
      </c>
      <c r="B154" s="22">
        <v>1.9299499642601827E-2</v>
      </c>
    </row>
    <row r="155" spans="1:2" x14ac:dyDescent="0.35">
      <c r="A155" s="22">
        <v>9.5129375951288344E-4</v>
      </c>
      <c r="B155" s="22">
        <v>-1.7180925666199102E-2</v>
      </c>
    </row>
    <row r="156" spans="1:2" x14ac:dyDescent="0.35">
      <c r="A156" s="22">
        <v>1.2355065576886497E-2</v>
      </c>
      <c r="B156" s="22">
        <v>-1.7124509454156275E-2</v>
      </c>
    </row>
    <row r="157" spans="1:2" x14ac:dyDescent="0.35">
      <c r="A157" s="22">
        <v>-8.4491175366118289E-4</v>
      </c>
      <c r="B157" s="22">
        <v>1.1252268602540787E-2</v>
      </c>
    </row>
    <row r="158" spans="1:2" x14ac:dyDescent="0.35">
      <c r="A158" s="22">
        <v>-7.2348022174199963E-3</v>
      </c>
      <c r="B158" s="22">
        <v>7.7171572146446599E-2</v>
      </c>
    </row>
    <row r="159" spans="1:2" x14ac:dyDescent="0.35">
      <c r="A159" s="22">
        <v>1.2398258565209184E-2</v>
      </c>
      <c r="B159" s="22">
        <v>-5.6647784071976572E-3</v>
      </c>
    </row>
    <row r="160" spans="1:2" x14ac:dyDescent="0.35">
      <c r="A160" s="22">
        <v>1.3274749929886901E-2</v>
      </c>
      <c r="B160" s="22">
        <v>-2.0777479892761429E-2</v>
      </c>
    </row>
    <row r="161" spans="1:2" x14ac:dyDescent="0.35">
      <c r="A161" s="22">
        <v>-3.5058584740289274E-3</v>
      </c>
      <c r="B161" s="22">
        <v>-1.3347022587269013E-2</v>
      </c>
    </row>
    <row r="162" spans="1:2" x14ac:dyDescent="0.35">
      <c r="A162" s="22">
        <v>1.6109619479677758E-2</v>
      </c>
      <c r="B162" s="22">
        <v>-9.3652445369406725E-3</v>
      </c>
    </row>
    <row r="163" spans="1:2" x14ac:dyDescent="0.35">
      <c r="A163" s="22">
        <v>1.8952164009111601E-2</v>
      </c>
      <c r="B163" s="22">
        <v>6.1274509803921573E-2</v>
      </c>
    </row>
    <row r="164" spans="1:2" x14ac:dyDescent="0.35">
      <c r="A164" s="22">
        <v>-2.8614861843869552E-3</v>
      </c>
      <c r="B164" s="22">
        <v>-2.0455295282085038E-2</v>
      </c>
    </row>
    <row r="165" spans="1:2" x14ac:dyDescent="0.35">
      <c r="A165" s="22">
        <v>1.7935611155946569E-4</v>
      </c>
      <c r="B165" s="22">
        <v>-7.0730885820141746E-3</v>
      </c>
    </row>
    <row r="166" spans="1:2" x14ac:dyDescent="0.35">
      <c r="A166" s="22">
        <v>-6.1866762306105778E-3</v>
      </c>
      <c r="B166" s="22">
        <v>7.1234735413840183E-3</v>
      </c>
    </row>
    <row r="167" spans="1:2" x14ac:dyDescent="0.35">
      <c r="A167" s="22">
        <v>1.3081919884518249E-2</v>
      </c>
      <c r="B167" s="22">
        <v>1.1114853486022171E-2</v>
      </c>
    </row>
    <row r="168" spans="1:2" x14ac:dyDescent="0.35">
      <c r="A168" s="22">
        <v>-3.5622050048980825E-3</v>
      </c>
      <c r="B168" s="22">
        <v>-1.2991339107261845E-2</v>
      </c>
    </row>
    <row r="169" spans="1:2" x14ac:dyDescent="0.35">
      <c r="A169" s="22">
        <v>2.6365180087586048E-2</v>
      </c>
      <c r="B169" s="22">
        <v>5.3999325008437446E-3</v>
      </c>
    </row>
    <row r="170" spans="1:2" x14ac:dyDescent="0.35">
      <c r="A170" s="22">
        <v>1.7067223963775632E-2</v>
      </c>
      <c r="B170" s="22">
        <v>3.9274924471299155E-2</v>
      </c>
    </row>
    <row r="171" spans="1:2" x14ac:dyDescent="0.35">
      <c r="A171" s="22">
        <v>-3.3818493150684956E-2</v>
      </c>
      <c r="B171" s="22">
        <v>-4.7803617571059442E-2</v>
      </c>
    </row>
    <row r="172" spans="1:2" x14ac:dyDescent="0.35">
      <c r="A172" s="22">
        <v>-3.987594151528477E-3</v>
      </c>
      <c r="B172" s="22">
        <v>1.7639077340569864E-2</v>
      </c>
    </row>
    <row r="173" spans="1:2" x14ac:dyDescent="0.35">
      <c r="A173" s="22">
        <v>2.8469750889679106E-3</v>
      </c>
      <c r="B173" s="22">
        <v>7.9333333333333422E-2</v>
      </c>
    </row>
    <row r="174" spans="1:2" x14ac:dyDescent="0.35">
      <c r="A174" s="22">
        <v>1.9339957416607583E-2</v>
      </c>
      <c r="B174" s="22">
        <v>-1.3279802347127957E-2</v>
      </c>
    </row>
    <row r="175" spans="1:2" x14ac:dyDescent="0.35">
      <c r="A175" s="22">
        <v>-9.573542210617879E-4</v>
      </c>
      <c r="B175" s="22">
        <v>-5.5712050078247186E-2</v>
      </c>
    </row>
    <row r="176" spans="1:2" x14ac:dyDescent="0.35">
      <c r="A176" s="22">
        <v>2.7964108371809335E-2</v>
      </c>
      <c r="B176" s="22">
        <v>9.6121975472323214E-3</v>
      </c>
    </row>
    <row r="177" spans="1:2" x14ac:dyDescent="0.35">
      <c r="A177" s="22">
        <v>1.0847457627118653E-2</v>
      </c>
      <c r="B177" s="22">
        <v>2.3637557452396547E-2</v>
      </c>
    </row>
    <row r="178" spans="1:2" x14ac:dyDescent="0.35">
      <c r="A178" s="22">
        <v>-8.3836351442028137E-5</v>
      </c>
      <c r="B178" s="22">
        <v>1.2828736369467563E-2</v>
      </c>
    </row>
    <row r="179" spans="1:2" x14ac:dyDescent="0.35">
      <c r="A179" s="22">
        <v>-5.7013498784270365E-3</v>
      </c>
      <c r="B179" s="22">
        <v>6.649778340722003E-3</v>
      </c>
    </row>
    <row r="180" spans="1:2" x14ac:dyDescent="0.35">
      <c r="A180" s="22">
        <v>-1.8804283666413728E-2</v>
      </c>
      <c r="B180" s="22">
        <v>4.0893362692671457E-3</v>
      </c>
    </row>
    <row r="181" spans="1:2" x14ac:dyDescent="0.35">
      <c r="A181" s="22">
        <v>-1.4609831557236188E-2</v>
      </c>
      <c r="B181" s="22">
        <v>-1.3157894736842158E-2</v>
      </c>
    </row>
    <row r="182" spans="1:2" x14ac:dyDescent="0.35">
      <c r="A182" s="22">
        <v>-1.1250654107796895E-2</v>
      </c>
      <c r="B182" s="22">
        <v>-4.7619047619047616E-2</v>
      </c>
    </row>
    <row r="183" spans="1:2" x14ac:dyDescent="0.35">
      <c r="A183" s="22">
        <v>3.087236482314545E-2</v>
      </c>
      <c r="B183" s="22">
        <v>-1.8666666666666623E-2</v>
      </c>
    </row>
    <row r="184" spans="1:2" x14ac:dyDescent="0.35">
      <c r="A184" s="22">
        <v>8.7618721656541415E-2</v>
      </c>
      <c r="B184" s="22">
        <v>-3.3967391304348307E-3</v>
      </c>
    </row>
    <row r="185" spans="1:2" x14ac:dyDescent="0.35">
      <c r="A185" s="22">
        <v>-1.8566595861851935E-2</v>
      </c>
      <c r="B185" s="22">
        <v>-7.8391274710293262E-3</v>
      </c>
    </row>
    <row r="186" spans="1:2" x14ac:dyDescent="0.35">
      <c r="A186" s="22">
        <v>-4.1683366733466613E-3</v>
      </c>
      <c r="B186" s="22">
        <v>-3.7787701820679986E-3</v>
      </c>
    </row>
    <row r="187" spans="1:2" x14ac:dyDescent="0.35">
      <c r="A187" s="22">
        <v>7.2446269017136921E-4</v>
      </c>
      <c r="B187" s="22">
        <v>1.5172413793103492E-2</v>
      </c>
    </row>
    <row r="188" spans="1:2" x14ac:dyDescent="0.35">
      <c r="A188" s="22">
        <v>1.6328828828828839E-2</v>
      </c>
      <c r="B188" s="22">
        <v>-2.3777173913043573E-2</v>
      </c>
    </row>
    <row r="189" spans="1:2" x14ac:dyDescent="0.35">
      <c r="A189" s="22">
        <v>-6.4107637514838785E-3</v>
      </c>
      <c r="B189" s="22">
        <v>2.9575504523312507E-2</v>
      </c>
    </row>
    <row r="190" spans="1:2" x14ac:dyDescent="0.35">
      <c r="A190" s="22">
        <v>8.7621475227018814E-3</v>
      </c>
      <c r="B190" s="22">
        <v>2.6698208854342653E-2</v>
      </c>
    </row>
    <row r="191" spans="1:2" x14ac:dyDescent="0.35">
      <c r="A191" s="22">
        <v>0</v>
      </c>
      <c r="B191" s="22">
        <v>2.6333113890718188E-3</v>
      </c>
    </row>
    <row r="192" spans="1:2" x14ac:dyDescent="0.35">
      <c r="A192" s="22">
        <v>1.0028427037270972E-2</v>
      </c>
      <c r="B192" s="22">
        <v>1.6414970453053183E-2</v>
      </c>
    </row>
    <row r="193" spans="1:2" x14ac:dyDescent="0.35">
      <c r="A193" s="22">
        <v>-2.0326792275818227E-3</v>
      </c>
      <c r="B193" s="22">
        <v>-1.8087855297157694E-2</v>
      </c>
    </row>
    <row r="194" spans="1:2" x14ac:dyDescent="0.35">
      <c r="A194" s="22">
        <v>1.8879749314531895E-2</v>
      </c>
      <c r="B194" s="22">
        <v>4.0131578947368504E-2</v>
      </c>
    </row>
    <row r="195" spans="1:2" x14ac:dyDescent="0.35">
      <c r="A195" s="22">
        <v>-2.6910656620021092E-3</v>
      </c>
      <c r="B195" s="22">
        <v>1.8659076533839337E-2</v>
      </c>
    </row>
    <row r="196" spans="1:2" x14ac:dyDescent="0.35">
      <c r="A196" s="22">
        <v>9.7910723922595162E-3</v>
      </c>
      <c r="B196" s="22">
        <v>-1.5523129462901044E-3</v>
      </c>
    </row>
    <row r="197" spans="1:2" x14ac:dyDescent="0.35">
      <c r="A197" s="22">
        <v>-1.160482516414706E-2</v>
      </c>
      <c r="B197" s="22">
        <v>1.5547263681593368E-3</v>
      </c>
    </row>
    <row r="198" spans="1:2" x14ac:dyDescent="0.35">
      <c r="A198" s="22">
        <v>-2.0083423451260568E-3</v>
      </c>
      <c r="B198" s="22">
        <v>-1.0555728034771806E-2</v>
      </c>
    </row>
    <row r="199" spans="1:2" x14ac:dyDescent="0.35">
      <c r="A199" s="22">
        <v>-1.1919504643962789E-2</v>
      </c>
      <c r="B199" s="22">
        <v>-6.2754941951678467E-3</v>
      </c>
    </row>
    <row r="200" spans="1:2" x14ac:dyDescent="0.35">
      <c r="A200" s="22">
        <v>1.0496631677894434E-2</v>
      </c>
      <c r="B200" s="22">
        <v>2.90495737290812E-2</v>
      </c>
    </row>
    <row r="201" spans="1:2" x14ac:dyDescent="0.35">
      <c r="A201" s="22">
        <v>-7.7519379844961239E-3</v>
      </c>
      <c r="B201" s="22">
        <v>2.6388462718625324E-2</v>
      </c>
    </row>
    <row r="202" spans="1:2" x14ac:dyDescent="0.35">
      <c r="A202" s="22">
        <v>-4.4531249999999467E-3</v>
      </c>
      <c r="B202" s="22">
        <v>-2.9895366218236595E-3</v>
      </c>
    </row>
    <row r="203" spans="1:2" x14ac:dyDescent="0.35">
      <c r="A203" s="22">
        <v>8.3182923958251762E-3</v>
      </c>
      <c r="B203" s="22">
        <v>6.7466266866566718E-2</v>
      </c>
    </row>
    <row r="204" spans="1:2" x14ac:dyDescent="0.35">
      <c r="A204" s="22">
        <v>7.3157444159078341E-3</v>
      </c>
      <c r="B204" s="22">
        <v>4.7752808988764522E-3</v>
      </c>
    </row>
    <row r="205" spans="1:2" x14ac:dyDescent="0.35">
      <c r="A205" s="22">
        <v>4.5584485822452551E-3</v>
      </c>
      <c r="B205" s="22">
        <v>4.5848476376851924E-2</v>
      </c>
    </row>
    <row r="206" spans="1:2" x14ac:dyDescent="0.35">
      <c r="A206" s="22">
        <v>-2.3073373327181306E-4</v>
      </c>
      <c r="B206" s="22">
        <v>-1.5503875968992204E-2</v>
      </c>
    </row>
    <row r="207" spans="1:2" x14ac:dyDescent="0.35">
      <c r="A207" s="22">
        <v>-1.2462497115162738E-2</v>
      </c>
      <c r="B207" s="22">
        <v>-2.7423296225902744E-2</v>
      </c>
    </row>
    <row r="208" spans="1:2" x14ac:dyDescent="0.35">
      <c r="A208" s="22">
        <v>-2.9601931915557347E-3</v>
      </c>
      <c r="B208" s="22">
        <v>-2.596314907872696E-2</v>
      </c>
    </row>
    <row r="209" spans="1:2" x14ac:dyDescent="0.35">
      <c r="A209" s="22">
        <v>-4.6175482459567131E-2</v>
      </c>
      <c r="B209" s="22">
        <v>-2.2929206076239529E-2</v>
      </c>
    </row>
    <row r="210" spans="1:2" x14ac:dyDescent="0.35">
      <c r="A210" s="22">
        <v>6.3892529488859861E-3</v>
      </c>
      <c r="B210" s="22">
        <v>2.346729246113221E-2</v>
      </c>
    </row>
    <row r="211" spans="1:2" x14ac:dyDescent="0.35">
      <c r="A211" s="22">
        <v>-2.2627380758587019E-2</v>
      </c>
      <c r="B211" s="22">
        <v>-1.0318142734307808E-2</v>
      </c>
    </row>
    <row r="212" spans="1:2" x14ac:dyDescent="0.35">
      <c r="A212" s="22">
        <v>1.9237175216522337E-2</v>
      </c>
      <c r="B212" s="22">
        <v>5.7920648711254038E-4</v>
      </c>
    </row>
    <row r="213" spans="1:2" x14ac:dyDescent="0.35">
      <c r="A213" s="22">
        <v>1.7975324781436416E-2</v>
      </c>
      <c r="B213" s="22">
        <v>2.3154848046309823E-2</v>
      </c>
    </row>
    <row r="214" spans="1:2" x14ac:dyDescent="0.35">
      <c r="A214" s="22">
        <v>2.2072397463680872E-2</v>
      </c>
      <c r="B214" s="22">
        <v>-3.1117397454030957E-3</v>
      </c>
    </row>
    <row r="215" spans="1:2" x14ac:dyDescent="0.35">
      <c r="A215" s="22">
        <v>1.8533061096277566E-2</v>
      </c>
      <c r="B215" s="22">
        <v>5.3916004540295076E-2</v>
      </c>
    </row>
    <row r="216" spans="1:2" x14ac:dyDescent="0.35">
      <c r="A216" s="22">
        <v>-6.1680801850422743E-3</v>
      </c>
      <c r="B216" s="22">
        <v>8.8852988691437342E-3</v>
      </c>
    </row>
    <row r="217" spans="1:2" x14ac:dyDescent="0.35">
      <c r="A217" s="22">
        <v>3.8789759503477845E-4</v>
      </c>
      <c r="B217" s="22">
        <v>3.9765145449693146E-2</v>
      </c>
    </row>
    <row r="218" spans="1:2" x14ac:dyDescent="0.35">
      <c r="A218" s="22">
        <v>-9.6161302830554095E-3</v>
      </c>
      <c r="B218" s="22">
        <v>5.4414784394250446E-2</v>
      </c>
    </row>
    <row r="219" spans="1:2" x14ac:dyDescent="0.35">
      <c r="A219" s="22">
        <v>-3.9151201941897392E-4</v>
      </c>
      <c r="B219" s="22">
        <v>-1.265822784810117E-2</v>
      </c>
    </row>
    <row r="220" spans="1:2" x14ac:dyDescent="0.35">
      <c r="A220" s="22">
        <v>-7.9899733667554134E-3</v>
      </c>
      <c r="B220" s="22">
        <v>-3.0571992110453697E-2</v>
      </c>
    </row>
    <row r="221" spans="1:2" x14ac:dyDescent="0.35">
      <c r="A221" s="22">
        <v>1.2950094756790908E-2</v>
      </c>
      <c r="B221" s="22">
        <v>4.7558494404882946E-2</v>
      </c>
    </row>
    <row r="222" spans="1:2" x14ac:dyDescent="0.35">
      <c r="A222" s="22">
        <v>1.4265668849392052E-2</v>
      </c>
      <c r="B222" s="22">
        <v>2.2821073075989438E-2</v>
      </c>
    </row>
    <row r="223" spans="1:2" x14ac:dyDescent="0.35">
      <c r="A223" s="22">
        <v>1.6140189070786213E-2</v>
      </c>
      <c r="B223" s="22">
        <v>-3.5604082601472984E-3</v>
      </c>
    </row>
    <row r="224" spans="1:2" x14ac:dyDescent="0.35">
      <c r="A224" s="22">
        <v>-4.3869601391726227E-3</v>
      </c>
      <c r="B224" s="22">
        <v>1.7627441638875703E-2</v>
      </c>
    </row>
    <row r="225" spans="1:2" x14ac:dyDescent="0.35">
      <c r="A225" s="22">
        <v>2.12717465623339E-3</v>
      </c>
      <c r="B225" s="22">
        <v>2.3408239700374867E-3</v>
      </c>
    </row>
    <row r="226" spans="1:2" x14ac:dyDescent="0.35">
      <c r="A226" s="22">
        <v>8.1115912364490422E-3</v>
      </c>
      <c r="B226" s="22">
        <v>5.137786081270408E-3</v>
      </c>
    </row>
    <row r="227" spans="1:2" x14ac:dyDescent="0.35">
      <c r="A227" s="22">
        <v>8.6479169799970352E-3</v>
      </c>
      <c r="B227" s="22">
        <v>4.0195167286245448E-2</v>
      </c>
    </row>
    <row r="228" spans="1:2" x14ac:dyDescent="0.35">
      <c r="A228" s="22">
        <v>4.2496085886825708E-3</v>
      </c>
      <c r="B228" s="22">
        <v>3.7748492293946785E-2</v>
      </c>
    </row>
    <row r="229" spans="1:2" x14ac:dyDescent="0.35">
      <c r="A229" s="22">
        <v>6.2360801781737455E-3</v>
      </c>
      <c r="B229" s="22">
        <v>-2.1523891519586742E-2</v>
      </c>
    </row>
    <row r="230" spans="1:2" x14ac:dyDescent="0.35">
      <c r="A230" s="22">
        <v>-9.5174856131030848E-3</v>
      </c>
      <c r="B230" s="22">
        <v>-8.7989441267047643E-3</v>
      </c>
    </row>
    <row r="231" spans="1:2" x14ac:dyDescent="0.35">
      <c r="A231" s="22">
        <v>3.3519553072624852E-3</v>
      </c>
      <c r="B231" s="22">
        <v>-2.7075011096315996E-2</v>
      </c>
    </row>
    <row r="232" spans="1:2" x14ac:dyDescent="0.35">
      <c r="A232" s="22">
        <v>5.4936896807721543E-3</v>
      </c>
      <c r="B232" s="22">
        <v>1.9160583941605754E-2</v>
      </c>
    </row>
    <row r="233" spans="1:2" x14ac:dyDescent="0.35">
      <c r="A233" s="22">
        <v>1.0336680448908356E-3</v>
      </c>
      <c r="B233" s="22">
        <v>-2.2381378692927804E-3</v>
      </c>
    </row>
    <row r="234" spans="1:2" x14ac:dyDescent="0.35">
      <c r="A234" s="22">
        <v>1.0178492403009259E-2</v>
      </c>
      <c r="B234" s="22">
        <v>-1.0991475998205359E-2</v>
      </c>
    </row>
    <row r="235" spans="1:2" x14ac:dyDescent="0.35">
      <c r="A235" s="22">
        <v>1.6793224299064672E-3</v>
      </c>
      <c r="B235" s="22">
        <v>7.0310728056247485E-3</v>
      </c>
    </row>
    <row r="236" spans="1:2" x14ac:dyDescent="0.35">
      <c r="A236" s="22">
        <v>1.1371091187404347E-2</v>
      </c>
      <c r="B236" s="22">
        <v>-2.0270270270269439E-3</v>
      </c>
    </row>
    <row r="237" spans="1:2" x14ac:dyDescent="0.35">
      <c r="A237" s="22">
        <v>2.6666666666666995E-3</v>
      </c>
      <c r="B237" s="22">
        <v>-1.1509817197021103E-2</v>
      </c>
    </row>
    <row r="238" spans="1:2" x14ac:dyDescent="0.35">
      <c r="A238" s="22">
        <v>-2.3720529039678875E-3</v>
      </c>
      <c r="B238" s="22">
        <v>1.4383561643835675E-2</v>
      </c>
    </row>
    <row r="239" spans="1:2" x14ac:dyDescent="0.35">
      <c r="A239" s="22">
        <v>-8.7182073636427673E-3</v>
      </c>
      <c r="B239" s="22">
        <v>-3.5111411208642862E-2</v>
      </c>
    </row>
    <row r="240" spans="1:2" x14ac:dyDescent="0.35">
      <c r="A240" s="22">
        <v>-1.2356447158018309E-3</v>
      </c>
      <c r="B240" s="22">
        <v>-2.2160018661068249E-2</v>
      </c>
    </row>
    <row r="241" spans="1:2" x14ac:dyDescent="0.35">
      <c r="A241" s="22">
        <v>-8.2235645149552113E-3</v>
      </c>
      <c r="B241" s="22">
        <v>-7.1564885496184219E-3</v>
      </c>
    </row>
    <row r="242" spans="1:2" x14ac:dyDescent="0.35">
      <c r="A242" s="22">
        <v>2.282066334018187E-2</v>
      </c>
      <c r="B242" s="22">
        <v>9.610764055742227E-4</v>
      </c>
    </row>
    <row r="243" spans="1:2" x14ac:dyDescent="0.35">
      <c r="A243" s="22">
        <v>-7.5328215797401754E-3</v>
      </c>
      <c r="B243" s="22">
        <v>-5.7609217474794746E-3</v>
      </c>
    </row>
    <row r="244" spans="1:2" x14ac:dyDescent="0.35">
      <c r="A244" s="22">
        <v>1.561370536359691E-2</v>
      </c>
      <c r="B244" s="22">
        <v>1.4727184934814085E-2</v>
      </c>
    </row>
    <row r="245" spans="1:2" x14ac:dyDescent="0.35">
      <c r="A245" s="22">
        <v>-2.2918149466192164E-2</v>
      </c>
      <c r="B245" s="22">
        <v>-2.4268379728765242E-2</v>
      </c>
    </row>
    <row r="246" spans="1:2" x14ac:dyDescent="0.35">
      <c r="A246" s="22">
        <v>4.9096736596736662E-2</v>
      </c>
      <c r="B246" s="22">
        <v>4.8768593026091893E-3</v>
      </c>
    </row>
    <row r="247" spans="1:2" x14ac:dyDescent="0.35">
      <c r="A247" s="22">
        <v>-1.0901263713373292E-2</v>
      </c>
      <c r="B247" s="22">
        <v>-7.5224460082504796E-3</v>
      </c>
    </row>
    <row r="248" spans="1:2" x14ac:dyDescent="0.35">
      <c r="A248" s="22">
        <v>-4.8438048438048283E-3</v>
      </c>
      <c r="B248" s="22">
        <v>3.7897310513447538E-2</v>
      </c>
    </row>
    <row r="249" spans="1:2" x14ac:dyDescent="0.35">
      <c r="A249" s="22">
        <v>-1.1286681715575381E-3</v>
      </c>
      <c r="B249" s="22">
        <v>-2.0494699646643216E-2</v>
      </c>
    </row>
    <row r="250" spans="1:2" x14ac:dyDescent="0.35">
      <c r="A250" s="22">
        <v>5.8615819209040434E-3</v>
      </c>
      <c r="B250" s="22">
        <v>1.9240019240018831E-3</v>
      </c>
    </row>
    <row r="251" spans="1:2" x14ac:dyDescent="0.35">
      <c r="A251" s="22">
        <v>-6.0380537808047011E-3</v>
      </c>
      <c r="B251" s="22">
        <v>-2.1603456553047603E-3</v>
      </c>
    </row>
    <row r="252" spans="1:2" x14ac:dyDescent="0.35">
      <c r="A252" s="22">
        <v>7.0636434272934432E-5</v>
      </c>
      <c r="B252" s="22">
        <v>6.4950685590570876E-3</v>
      </c>
    </row>
    <row r="253" spans="1:2" x14ac:dyDescent="0.35">
      <c r="A253" s="22">
        <v>-7.7694589631313485E-4</v>
      </c>
      <c r="B253" s="22">
        <v>-4.7801147227534138E-3</v>
      </c>
    </row>
    <row r="254" spans="1:2" x14ac:dyDescent="0.35">
      <c r="A254" s="22">
        <v>-9.6840319502368311E-3</v>
      </c>
      <c r="B254" s="22">
        <v>-2.7137367915465959E-2</v>
      </c>
    </row>
    <row r="255" spans="1:2" x14ac:dyDescent="0.35">
      <c r="A255" s="22">
        <v>8.0656673804425094E-3</v>
      </c>
      <c r="B255" s="22">
        <v>2.8388052332757312E-2</v>
      </c>
    </row>
    <row r="256" spans="1:2" x14ac:dyDescent="0.35">
      <c r="A256" s="22">
        <v>7.9303264178999123E-3</v>
      </c>
      <c r="B256" s="22">
        <v>3.1685069611137789E-2</v>
      </c>
    </row>
    <row r="257" spans="1:2" x14ac:dyDescent="0.35">
      <c r="A257" s="22">
        <v>1.8264840182648363E-2</v>
      </c>
      <c r="B257" s="22">
        <v>7.9106561191252551E-3</v>
      </c>
    </row>
    <row r="258" spans="1:2" x14ac:dyDescent="0.35">
      <c r="A258" s="22">
        <v>9.6585029320455738E-3</v>
      </c>
      <c r="B258" s="22">
        <v>-6.0018467220682827E-3</v>
      </c>
    </row>
    <row r="259" spans="1:2" x14ac:dyDescent="0.35">
      <c r="A259" s="22">
        <v>4.783054321831343E-3</v>
      </c>
      <c r="B259" s="22">
        <v>4.5285647933116478E-2</v>
      </c>
    </row>
    <row r="260" spans="1:2" x14ac:dyDescent="0.35">
      <c r="A260" s="22">
        <v>-1.3600816048962936E-2</v>
      </c>
      <c r="B260" s="22">
        <v>6.2430570984225782E-2</v>
      </c>
    </row>
    <row r="261" spans="1:2" x14ac:dyDescent="0.35">
      <c r="A261" s="22">
        <v>-1.3857290589452046E-2</v>
      </c>
      <c r="B261" s="22">
        <v>1.9029694688414818E-2</v>
      </c>
    </row>
    <row r="262" spans="1:2" x14ac:dyDescent="0.35">
      <c r="A262" s="22">
        <v>-1.2164429530201208E-2</v>
      </c>
      <c r="B262" s="22">
        <v>5.7459470552021434E-2</v>
      </c>
    </row>
    <row r="263" spans="1:2" x14ac:dyDescent="0.35">
      <c r="A263" s="22">
        <v>-4.1047416843596066E-3</v>
      </c>
      <c r="B263" s="22">
        <v>-3.02736270133903E-2</v>
      </c>
    </row>
    <row r="264" spans="1:2" x14ac:dyDescent="0.35">
      <c r="A264" s="22">
        <v>-1.0304150085275644E-2</v>
      </c>
      <c r="B264" s="22">
        <v>9.7458475085051122E-2</v>
      </c>
    </row>
    <row r="265" spans="1:2" x14ac:dyDescent="0.35">
      <c r="A265" s="22">
        <v>2.5346449343002807E-2</v>
      </c>
      <c r="B265" s="22">
        <v>1.8599562363238439E-2</v>
      </c>
    </row>
    <row r="266" spans="1:2" x14ac:dyDescent="0.35">
      <c r="A266" s="22">
        <v>-8.3333333333333176E-3</v>
      </c>
      <c r="B266" s="22">
        <v>-1.3963480128893683E-2</v>
      </c>
    </row>
    <row r="267" spans="1:2" x14ac:dyDescent="0.35">
      <c r="A267" s="22">
        <v>-1.5959324906433297E-2</v>
      </c>
      <c r="B267" s="22">
        <v>5.8097312999273835E-3</v>
      </c>
    </row>
    <row r="268" spans="1:2" x14ac:dyDescent="0.35">
      <c r="A268" s="22">
        <v>-1.2917115177610211E-2</v>
      </c>
      <c r="B268" s="22">
        <v>-3.6281588447653397E-2</v>
      </c>
    </row>
    <row r="269" spans="1:2" x14ac:dyDescent="0.35">
      <c r="A269" s="22">
        <v>-1.7811704834605719E-2</v>
      </c>
      <c r="B269" s="22">
        <v>-2.52856340138603E-2</v>
      </c>
    </row>
    <row r="270" spans="1:2" x14ac:dyDescent="0.35">
      <c r="A270" s="22">
        <v>-3.0199851961509875E-2</v>
      </c>
      <c r="B270" s="22">
        <v>-5.1883166794773172E-2</v>
      </c>
    </row>
    <row r="271" spans="1:2" x14ac:dyDescent="0.35">
      <c r="A271" s="22">
        <v>2.8239963364371762E-2</v>
      </c>
      <c r="B271" s="22">
        <v>3.4454803404945188E-2</v>
      </c>
    </row>
    <row r="272" spans="1:2" x14ac:dyDescent="0.35">
      <c r="A272" s="22">
        <v>-8.3877672209025783E-3</v>
      </c>
      <c r="B272" s="22">
        <v>-7.0532915360501458E-3</v>
      </c>
    </row>
    <row r="273" spans="1:2" x14ac:dyDescent="0.35">
      <c r="A273" s="22">
        <v>1.586945130623553E-2</v>
      </c>
      <c r="B273" s="22">
        <v>1.6377269139700047E-2</v>
      </c>
    </row>
    <row r="274" spans="1:2" x14ac:dyDescent="0.35">
      <c r="A274" s="22">
        <v>2.8590376538206435E-2</v>
      </c>
      <c r="B274" s="22">
        <v>2.3490584352552919E-2</v>
      </c>
    </row>
    <row r="275" spans="1:2" x14ac:dyDescent="0.35">
      <c r="A275" s="22">
        <v>-6.8772834730282109E-3</v>
      </c>
      <c r="B275" s="22">
        <v>2.9021244309559963E-2</v>
      </c>
    </row>
    <row r="276" spans="1:2" x14ac:dyDescent="0.35">
      <c r="A276" s="22">
        <v>1.4426891726177596E-2</v>
      </c>
      <c r="B276" s="22">
        <v>-2.2119815668202292E-3</v>
      </c>
    </row>
    <row r="277" spans="1:2" x14ac:dyDescent="0.35">
      <c r="A277" s="22">
        <v>3.1856645097063346E-2</v>
      </c>
      <c r="B277" s="22">
        <v>5.1727323111027896E-3</v>
      </c>
    </row>
    <row r="278" spans="1:2" x14ac:dyDescent="0.35">
      <c r="A278" s="22">
        <v>-1.1715250499621094E-2</v>
      </c>
      <c r="B278" s="22">
        <v>4.5396066899467125E-2</v>
      </c>
    </row>
    <row r="279" spans="1:2" x14ac:dyDescent="0.35">
      <c r="A279" s="22">
        <v>-1.1296283383306635E-2</v>
      </c>
      <c r="B279" s="22">
        <v>-1.4416315049226447E-2</v>
      </c>
    </row>
    <row r="280" spans="1:2" x14ac:dyDescent="0.35">
      <c r="A280" s="22">
        <v>4.7252979758799349E-3</v>
      </c>
      <c r="B280" s="22">
        <v>-2.1048876204067066E-2</v>
      </c>
    </row>
    <row r="281" spans="1:2" x14ac:dyDescent="0.35">
      <c r="A281" s="22">
        <v>7.5810753895829289E-3</v>
      </c>
      <c r="B281" s="22">
        <v>-2.514577259475223E-2</v>
      </c>
    </row>
    <row r="282" spans="1:2" x14ac:dyDescent="0.35">
      <c r="A282" s="22">
        <v>-9.8927128326597984E-3</v>
      </c>
      <c r="B282" s="22">
        <v>1.8691588785046994E-3</v>
      </c>
    </row>
    <row r="283" spans="1:2" x14ac:dyDescent="0.35">
      <c r="A283" s="22">
        <v>-2.8848860118209723E-3</v>
      </c>
      <c r="B283" s="22">
        <v>-2.6119402985074732E-3</v>
      </c>
    </row>
    <row r="284" spans="1:2" x14ac:dyDescent="0.35">
      <c r="A284" s="22">
        <v>1.6089196245854216E-2</v>
      </c>
      <c r="B284" s="22">
        <v>-1.0662177328844001E-2</v>
      </c>
    </row>
    <row r="285" spans="1:2" x14ac:dyDescent="0.35">
      <c r="A285" s="22">
        <v>7.6394194041252469E-3</v>
      </c>
      <c r="B285" s="22">
        <v>-1.3802231045566344E-2</v>
      </c>
    </row>
    <row r="286" spans="1:2" x14ac:dyDescent="0.35">
      <c r="A286" s="22">
        <v>-2.1159280446619293E-2</v>
      </c>
      <c r="B286" s="22">
        <v>7.8604294478528316E-3</v>
      </c>
    </row>
    <row r="287" spans="1:2" x14ac:dyDescent="0.35">
      <c r="A287" s="22">
        <v>-3.7670750598507413E-2</v>
      </c>
      <c r="B287" s="22">
        <v>-1.1223131063344178E-2</v>
      </c>
    </row>
    <row r="288" spans="1:2" x14ac:dyDescent="0.35">
      <c r="A288" s="22">
        <v>-3.9511231433379092E-3</v>
      </c>
      <c r="B288" s="22">
        <v>-1.6737206617929924E-2</v>
      </c>
    </row>
    <row r="289" spans="1:2" x14ac:dyDescent="0.35">
      <c r="A289" s="22">
        <v>-3.5260412840666258E-3</v>
      </c>
      <c r="B289" s="22">
        <v>3.5022500489141052E-2</v>
      </c>
    </row>
    <row r="290" spans="1:2" x14ac:dyDescent="0.35">
      <c r="A290" s="22">
        <v>-8.1091043125701174E-4</v>
      </c>
      <c r="B290" s="22">
        <v>-4.3478260869565168E-2</v>
      </c>
    </row>
    <row r="291" spans="1:2" x14ac:dyDescent="0.35">
      <c r="A291" s="22">
        <v>-5.6072008263242656E-3</v>
      </c>
      <c r="B291" s="22">
        <v>1.4426877470355669E-2</v>
      </c>
    </row>
    <row r="292" spans="1:2" x14ac:dyDescent="0.35">
      <c r="A292" s="22">
        <v>2.1293960528268322E-2</v>
      </c>
      <c r="B292" s="22">
        <v>2.3572959283070346E-2</v>
      </c>
    </row>
    <row r="293" spans="1:2" x14ac:dyDescent="0.35">
      <c r="A293" s="22">
        <v>-4.5768252815110459E-3</v>
      </c>
      <c r="B293" s="22">
        <v>2.988199467072707E-2</v>
      </c>
    </row>
    <row r="294" spans="1:2" x14ac:dyDescent="0.35">
      <c r="A294" s="22">
        <v>-2.0143044810976639E-2</v>
      </c>
      <c r="B294" s="22">
        <v>-2.6612456107928253E-2</v>
      </c>
    </row>
    <row r="295" spans="1:2" x14ac:dyDescent="0.35">
      <c r="A295" s="22">
        <v>-1.6535081185758967E-2</v>
      </c>
      <c r="B295" s="22">
        <v>-1.5948357698879881E-2</v>
      </c>
    </row>
    <row r="296" spans="1:2" x14ac:dyDescent="0.35">
      <c r="A296" s="22">
        <v>9.9212359890942323E-3</v>
      </c>
      <c r="B296" s="22">
        <v>3.7044182905653131E-2</v>
      </c>
    </row>
    <row r="297" spans="1:2" x14ac:dyDescent="0.35">
      <c r="A297" s="22">
        <v>9.0738657667792134E-3</v>
      </c>
      <c r="B297" s="22">
        <v>2.2883720930232498E-2</v>
      </c>
    </row>
    <row r="298" spans="1:2" x14ac:dyDescent="0.35">
      <c r="A298" s="22">
        <v>1.0329964328180636E-2</v>
      </c>
      <c r="B298" s="22">
        <v>-6.0021826118588275E-3</v>
      </c>
    </row>
    <row r="299" spans="1:2" x14ac:dyDescent="0.35">
      <c r="A299" s="22">
        <v>1.2063258550937955E-2</v>
      </c>
      <c r="B299" s="22">
        <v>3.9890210430009142E-2</v>
      </c>
    </row>
    <row r="300" spans="1:2" x14ac:dyDescent="0.35">
      <c r="A300" s="22">
        <v>2.6164692201468089E-2</v>
      </c>
      <c r="B300" s="22">
        <v>-8.7981699806440258E-3</v>
      </c>
    </row>
    <row r="301" spans="1:2" x14ac:dyDescent="0.35">
      <c r="A301" s="22">
        <v>-5.2411643884128414E-3</v>
      </c>
      <c r="B301" s="22">
        <v>5.2014912124977809E-2</v>
      </c>
    </row>
    <row r="302" spans="1:2" x14ac:dyDescent="0.35">
      <c r="A302" s="22">
        <v>3.1968672125311563E-2</v>
      </c>
      <c r="B302" s="22">
        <v>-2.227472156598043E-2</v>
      </c>
    </row>
    <row r="303" spans="1:2" x14ac:dyDescent="0.35">
      <c r="A303" s="22">
        <v>-2.0008279287980686E-3</v>
      </c>
      <c r="B303" s="22">
        <v>-1.4152571625819819E-2</v>
      </c>
    </row>
    <row r="304" spans="1:2" x14ac:dyDescent="0.35">
      <c r="A304" s="22">
        <v>1.1752506049083132E-3</v>
      </c>
      <c r="B304" s="22">
        <v>5.1295518207282911E-2</v>
      </c>
    </row>
    <row r="305" spans="1:2" x14ac:dyDescent="0.35">
      <c r="A305" s="22">
        <v>-1.1393453942825616E-2</v>
      </c>
      <c r="B305" s="22">
        <v>-1.2989175686927461E-2</v>
      </c>
    </row>
    <row r="306" spans="1:2" x14ac:dyDescent="0.35">
      <c r="A306" s="22">
        <v>-3.9673115876230909E-2</v>
      </c>
      <c r="B306" s="22">
        <v>9.2795680782857617E-3</v>
      </c>
    </row>
    <row r="307" spans="1:2" x14ac:dyDescent="0.35">
      <c r="A307" s="22">
        <v>5.6731398647174415E-3</v>
      </c>
      <c r="B307" s="22">
        <v>-2.8752925442995635E-2</v>
      </c>
    </row>
    <row r="308" spans="1:2" x14ac:dyDescent="0.35">
      <c r="A308" s="22">
        <v>-8.3170608230274511E-3</v>
      </c>
      <c r="B308" s="22">
        <v>-3.3390705679862388E-2</v>
      </c>
    </row>
    <row r="309" spans="1:2" x14ac:dyDescent="0.35">
      <c r="A309" s="22">
        <v>-2.8879813302217092E-2</v>
      </c>
      <c r="B309" s="22">
        <v>-6.2321937321936317E-3</v>
      </c>
    </row>
    <row r="310" spans="1:2" x14ac:dyDescent="0.35">
      <c r="A310" s="22">
        <v>-3.3944127365575325E-2</v>
      </c>
      <c r="B310" s="22">
        <v>1.4155169324493802E-2</v>
      </c>
    </row>
    <row r="311" spans="1:2" x14ac:dyDescent="0.35">
      <c r="A311" s="22">
        <v>3.3815298507462864E-2</v>
      </c>
      <c r="B311" s="22">
        <v>-1.4134275618374256E-3</v>
      </c>
    </row>
    <row r="312" spans="1:2" x14ac:dyDescent="0.35">
      <c r="A312" s="22">
        <v>3.7596811790360173E-3</v>
      </c>
      <c r="B312" s="22">
        <v>-1.0261854210898891E-2</v>
      </c>
    </row>
    <row r="313" spans="1:2" x14ac:dyDescent="0.35">
      <c r="A313" s="22">
        <v>-4.045246834969065E-3</v>
      </c>
      <c r="B313" s="22">
        <v>4.5942080800858071E-2</v>
      </c>
    </row>
    <row r="314" spans="1:2" x14ac:dyDescent="0.35">
      <c r="A314" s="22">
        <v>-4.512974802557524E-4</v>
      </c>
      <c r="B314" s="22">
        <v>-1.7945650316185221E-2</v>
      </c>
    </row>
    <row r="315" spans="1:2" x14ac:dyDescent="0.35">
      <c r="A315" s="22">
        <v>-2.7090074497703761E-3</v>
      </c>
      <c r="B315" s="22">
        <v>5.9171597633135451E-3</v>
      </c>
    </row>
    <row r="316" spans="1:2" x14ac:dyDescent="0.35">
      <c r="A316" s="22">
        <v>1.9542745038859152E-2</v>
      </c>
      <c r="B316" s="22">
        <v>5.6055363321799348E-2</v>
      </c>
    </row>
    <row r="317" spans="1:2" x14ac:dyDescent="0.35">
      <c r="A317" s="22">
        <v>1.5097690941385376E-2</v>
      </c>
      <c r="B317" s="22">
        <v>1.4744429882044538E-2</v>
      </c>
    </row>
    <row r="318" spans="1:2" x14ac:dyDescent="0.35">
      <c r="A318" s="22">
        <v>-4.5202682997958921E-3</v>
      </c>
      <c r="B318" s="22">
        <v>-1.7920568291895374E-2</v>
      </c>
    </row>
    <row r="319" spans="1:2" x14ac:dyDescent="0.35">
      <c r="A319" s="22">
        <v>-2.094624285923528E-2</v>
      </c>
      <c r="B319" s="22">
        <v>-1.21650501397336E-2</v>
      </c>
    </row>
    <row r="320" spans="1:2" x14ac:dyDescent="0.35">
      <c r="A320" s="22">
        <v>1.3240574506283525E-2</v>
      </c>
      <c r="B320" s="22">
        <v>1.1649192877349504E-3</v>
      </c>
    </row>
    <row r="321" spans="1:2" x14ac:dyDescent="0.35">
      <c r="A321" s="22">
        <v>8.785529715762257E-3</v>
      </c>
      <c r="B321" s="22">
        <v>-8.3111702127659573E-3</v>
      </c>
    </row>
    <row r="322" spans="1:2" x14ac:dyDescent="0.35">
      <c r="A322" s="22">
        <v>-2.268735362997654E-2</v>
      </c>
      <c r="B322" s="22">
        <v>-1.961112973516585E-2</v>
      </c>
    </row>
    <row r="323" spans="1:2" x14ac:dyDescent="0.35">
      <c r="A323" s="22">
        <v>-9.5851430283061343E-3</v>
      </c>
      <c r="B323" s="22">
        <v>-1.709693964781179E-4</v>
      </c>
    </row>
    <row r="324" spans="1:2" x14ac:dyDescent="0.35">
      <c r="A324" s="22">
        <v>1.0660819597761958E-2</v>
      </c>
      <c r="B324" s="22">
        <v>2.2229822161423146E-3</v>
      </c>
    </row>
    <row r="325" spans="1:2" x14ac:dyDescent="0.35">
      <c r="A325" s="22">
        <v>4.7879105259221576E-3</v>
      </c>
      <c r="B325" s="22">
        <v>1.7061934823409217E-3</v>
      </c>
    </row>
    <row r="326" spans="1:2" x14ac:dyDescent="0.35">
      <c r="A326" s="22">
        <v>-1.2955103864194841E-2</v>
      </c>
      <c r="B326" s="22">
        <v>-1.4137284959972718E-2</v>
      </c>
    </row>
    <row r="327" spans="1:2" x14ac:dyDescent="0.35">
      <c r="A327" s="22">
        <v>-4.118578863996375E-2</v>
      </c>
      <c r="B327" s="22">
        <v>-3.6454733932273657E-2</v>
      </c>
    </row>
    <row r="328" spans="1:2" x14ac:dyDescent="0.35">
      <c r="A328" s="22">
        <v>2.1949492565494503E-2</v>
      </c>
      <c r="B328" s="22">
        <v>3.0840953917876973E-2</v>
      </c>
    </row>
    <row r="329" spans="1:2" x14ac:dyDescent="0.35">
      <c r="A329" s="22">
        <v>-5.5427251732101529E-3</v>
      </c>
      <c r="B329" s="22">
        <v>-1.4437293442337891E-2</v>
      </c>
    </row>
    <row r="330" spans="1:2" x14ac:dyDescent="0.35">
      <c r="A330" s="22">
        <v>7.8185477628115105E-3</v>
      </c>
      <c r="B330" s="22">
        <v>1.535474761736683E-2</v>
      </c>
    </row>
    <row r="331" spans="1:2" x14ac:dyDescent="0.35">
      <c r="A331" s="22">
        <v>1.0830324909747266E-2</v>
      </c>
      <c r="B331" s="22">
        <v>1.181992004171736E-2</v>
      </c>
    </row>
    <row r="332" spans="1:2" x14ac:dyDescent="0.35">
      <c r="A332" s="22">
        <v>3.8753799392098735E-3</v>
      </c>
      <c r="B332" s="22">
        <v>1.3056175914791239E-2</v>
      </c>
    </row>
    <row r="333" spans="1:2" x14ac:dyDescent="0.35">
      <c r="A333" s="22">
        <v>-1.0597229581409474E-2</v>
      </c>
      <c r="B333" s="22">
        <v>-7.1222655587587199E-3</v>
      </c>
    </row>
    <row r="334" spans="1:2" x14ac:dyDescent="0.35">
      <c r="A334" s="22">
        <v>1.9508836355290205E-2</v>
      </c>
      <c r="B334" s="22">
        <v>-3.3817250213492689E-2</v>
      </c>
    </row>
    <row r="335" spans="1:2" x14ac:dyDescent="0.35">
      <c r="A335" s="22">
        <v>-4.8026414527989371E-3</v>
      </c>
      <c r="B335" s="22">
        <v>1.1490189146190535E-2</v>
      </c>
    </row>
    <row r="336" spans="1:2" x14ac:dyDescent="0.35">
      <c r="A336" s="22">
        <v>3.0915397375961134E-3</v>
      </c>
      <c r="B336" s="22">
        <v>-1.223348479552609E-3</v>
      </c>
    </row>
    <row r="337" spans="1:2" x14ac:dyDescent="0.35">
      <c r="A337" s="22">
        <v>-1.1125310080432908E-2</v>
      </c>
      <c r="B337" s="22">
        <v>-3.1671041119859931E-2</v>
      </c>
    </row>
    <row r="338" spans="1:2" x14ac:dyDescent="0.35">
      <c r="A338" s="22">
        <v>5.0171037628277959E-3</v>
      </c>
      <c r="B338" s="22">
        <v>4.0477050957715845E-2</v>
      </c>
    </row>
    <row r="339" spans="1:2" x14ac:dyDescent="0.35">
      <c r="A339" s="22">
        <v>9.6815672036911059E-3</v>
      </c>
      <c r="B339" s="22">
        <v>1.9798541160125055E-2</v>
      </c>
    </row>
    <row r="340" spans="1:2" x14ac:dyDescent="0.35">
      <c r="A340" s="22">
        <v>3.2361974679751236E-2</v>
      </c>
      <c r="B340" s="22">
        <v>4.5980926430518243E-3</v>
      </c>
    </row>
    <row r="341" spans="1:2" x14ac:dyDescent="0.35">
      <c r="A341" s="22">
        <v>-1.0231478122052075E-2</v>
      </c>
      <c r="B341" s="22">
        <v>-2.6784200711985173E-2</v>
      </c>
    </row>
    <row r="342" spans="1:2" x14ac:dyDescent="0.35">
      <c r="A342" s="22">
        <v>5.2785923753665602E-3</v>
      </c>
      <c r="B342" s="22">
        <v>-2.9263194565406721E-2</v>
      </c>
    </row>
    <row r="343" spans="1:2" x14ac:dyDescent="0.35">
      <c r="A343" s="22">
        <v>-2.7202450408401531E-2</v>
      </c>
      <c r="B343" s="22">
        <v>-3.5349004127041075E-2</v>
      </c>
    </row>
    <row r="344" spans="1:2" x14ac:dyDescent="0.35">
      <c r="A344" s="22">
        <v>1.6492990479048451E-3</v>
      </c>
      <c r="B344" s="22">
        <v>1.5625000000000062E-2</v>
      </c>
    </row>
    <row r="345" spans="1:2" x14ac:dyDescent="0.35">
      <c r="A345" s="22">
        <v>1.7363969762742258E-2</v>
      </c>
      <c r="B345" s="22">
        <v>2.5641025641025616E-2</v>
      </c>
    </row>
    <row r="346" spans="1:2" x14ac:dyDescent="0.35">
      <c r="A346" s="22">
        <v>3.5312293092031911E-3</v>
      </c>
      <c r="B346" s="22">
        <v>7.1428571428569911E-4</v>
      </c>
    </row>
    <row r="347" spans="1:2" x14ac:dyDescent="0.35">
      <c r="A347" s="22">
        <v>-6.23121472032838E-3</v>
      </c>
      <c r="B347" s="22">
        <v>-2.6766595289078976E-3</v>
      </c>
    </row>
    <row r="348" spans="1:2" x14ac:dyDescent="0.35">
      <c r="A348" s="22">
        <v>-1.917969902626139E-2</v>
      </c>
      <c r="B348" s="22">
        <v>-6.4412238325281699E-3</v>
      </c>
    </row>
    <row r="349" spans="1:2" x14ac:dyDescent="0.35">
      <c r="A349" s="22">
        <v>2.3315282791817257E-3</v>
      </c>
      <c r="B349" s="22">
        <v>-3.6016567621111338E-4</v>
      </c>
    </row>
    <row r="350" spans="1:2" x14ac:dyDescent="0.35">
      <c r="A350" s="22">
        <v>-4.5771741577250212E-3</v>
      </c>
      <c r="B350" s="22">
        <v>2.1797874256890667E-2</v>
      </c>
    </row>
    <row r="351" spans="1:2" x14ac:dyDescent="0.35">
      <c r="A351" s="22">
        <v>1.0553294135383732E-2</v>
      </c>
      <c r="B351" s="22">
        <v>-2.1156558533144826E-3</v>
      </c>
    </row>
    <row r="352" spans="1:2" x14ac:dyDescent="0.35">
      <c r="A352" s="22">
        <v>1.9394301059226533E-3</v>
      </c>
      <c r="B352" s="22">
        <v>2.8268551236748513E-3</v>
      </c>
    </row>
    <row r="353" spans="1:2" x14ac:dyDescent="0.35">
      <c r="A353" s="22">
        <v>1.9133412745681904E-2</v>
      </c>
      <c r="B353" s="22">
        <v>2.3255813953488379E-2</v>
      </c>
    </row>
    <row r="354" spans="1:2" x14ac:dyDescent="0.35">
      <c r="A354" s="22">
        <v>-2.41069471838691E-3</v>
      </c>
      <c r="B354" s="22">
        <v>2.9097796143250771E-2</v>
      </c>
    </row>
    <row r="355" spans="1:2" x14ac:dyDescent="0.35">
      <c r="A355" s="22">
        <v>-7.3227885178671879E-4</v>
      </c>
      <c r="B355" s="22">
        <v>-7.6961686464781798E-3</v>
      </c>
    </row>
    <row r="356" spans="1:2" x14ac:dyDescent="0.35">
      <c r="A356" s="22">
        <v>-1.4289901802726197E-2</v>
      </c>
      <c r="B356" s="22">
        <v>5.7325914685549869E-3</v>
      </c>
    </row>
    <row r="357" spans="1:2" x14ac:dyDescent="0.35">
      <c r="A357" s="22">
        <v>-2.5276931083191095E-3</v>
      </c>
      <c r="B357" s="22">
        <v>0</v>
      </c>
    </row>
    <row r="358" spans="1:2" x14ac:dyDescent="0.35">
      <c r="A358" s="22">
        <v>0</v>
      </c>
      <c r="B358" s="22">
        <v>6.3872590108969021E-2</v>
      </c>
    </row>
    <row r="359" spans="1:2" x14ac:dyDescent="0.35">
      <c r="A359" s="22">
        <v>-3.2048893195198514E-3</v>
      </c>
      <c r="B359" s="22">
        <v>-1.41821619918064E-3</v>
      </c>
    </row>
    <row r="360" spans="1:2" x14ac:dyDescent="0.35">
      <c r="A360" s="22">
        <v>1.570210856886343E-3</v>
      </c>
      <c r="B360" s="22">
        <v>-2.2092472778917557E-3</v>
      </c>
    </row>
    <row r="361" spans="1:2" x14ac:dyDescent="0.35">
      <c r="A361" s="22">
        <v>-4.4792833146696104E-3</v>
      </c>
      <c r="B361" s="22">
        <v>1.0912541515103668E-2</v>
      </c>
    </row>
    <row r="362" spans="1:2" x14ac:dyDescent="0.35">
      <c r="A362" s="22">
        <v>-1.1323584551930941E-2</v>
      </c>
      <c r="B362" s="22">
        <v>-1.7991239048810993E-2</v>
      </c>
    </row>
    <row r="363" spans="1:2" x14ac:dyDescent="0.35">
      <c r="A363" s="22">
        <v>-6.5230582524272874E-3</v>
      </c>
      <c r="B363" s="22">
        <v>-2.2781583559025008E-2</v>
      </c>
    </row>
    <row r="364" spans="1:2" x14ac:dyDescent="0.35">
      <c r="A364" s="22">
        <v>7.3293632615667129E-3</v>
      </c>
      <c r="B364" s="22">
        <v>2.4453863710466022E-3</v>
      </c>
    </row>
    <row r="365" spans="1:2" x14ac:dyDescent="0.35">
      <c r="A365" s="22">
        <v>-4.3959375473698959E-3</v>
      </c>
      <c r="B365" s="22">
        <v>-1.1383964872337012E-2</v>
      </c>
    </row>
    <row r="366" spans="1:2" x14ac:dyDescent="0.35">
      <c r="A366" s="22">
        <v>-8.1455542021926126E-3</v>
      </c>
      <c r="B366" s="22">
        <v>3.2900148050671373E-4</v>
      </c>
    </row>
    <row r="367" spans="1:2" x14ac:dyDescent="0.35">
      <c r="A367" s="22">
        <v>8.4427047355908858E-4</v>
      </c>
      <c r="B367" s="22">
        <v>1.5622430521295768E-2</v>
      </c>
    </row>
    <row r="368" spans="1:2" x14ac:dyDescent="0.35">
      <c r="A368" s="22">
        <v>-1.1349693251533882E-2</v>
      </c>
      <c r="B368" s="22">
        <v>-2.72020725388601E-2</v>
      </c>
    </row>
    <row r="369" spans="1:2" x14ac:dyDescent="0.35">
      <c r="A369" s="22">
        <v>-3.955941669252179E-3</v>
      </c>
      <c r="B369" s="22">
        <v>-2.1970705725699074E-2</v>
      </c>
    </row>
    <row r="370" spans="1:2" x14ac:dyDescent="0.35">
      <c r="A370" s="22">
        <v>1.3005217662175968E-2</v>
      </c>
      <c r="B370" s="22">
        <v>9.1899251191286443E-3</v>
      </c>
    </row>
    <row r="371" spans="1:2" x14ac:dyDescent="0.35">
      <c r="A371" s="22">
        <v>1.8450184501844841E-2</v>
      </c>
      <c r="B371" s="22">
        <v>-1.0118043844855847E-3</v>
      </c>
    </row>
    <row r="372" spans="1:2" x14ac:dyDescent="0.35">
      <c r="A372" s="22">
        <v>4.6799516908212907E-3</v>
      </c>
      <c r="B372" s="22">
        <v>1.4854827819041112E-2</v>
      </c>
    </row>
    <row r="373" spans="1:2" x14ac:dyDescent="0.35">
      <c r="A373" s="22">
        <v>3.7565740045078888E-3</v>
      </c>
      <c r="B373" s="22">
        <v>-1.3306719893545957E-3</v>
      </c>
    </row>
    <row r="374" spans="1:2" x14ac:dyDescent="0.35">
      <c r="A374" s="22">
        <v>0.15531437125748504</v>
      </c>
      <c r="B374" s="22">
        <v>4.3304463690872425E-3</v>
      </c>
    </row>
    <row r="375" spans="1:2" x14ac:dyDescent="0.35">
      <c r="A375" s="22">
        <v>-1.2892776158082157E-2</v>
      </c>
      <c r="B375" s="22">
        <v>-2.7529021558872251E-2</v>
      </c>
    </row>
    <row r="376" spans="1:2" x14ac:dyDescent="0.35">
      <c r="A376" s="22">
        <v>2.3562614859543023E-2</v>
      </c>
      <c r="B376" s="22">
        <v>3.2401091405183787E-3</v>
      </c>
    </row>
    <row r="377" spans="1:2" x14ac:dyDescent="0.35">
      <c r="A377" s="22">
        <v>-9.3619749919844793E-3</v>
      </c>
      <c r="B377" s="22">
        <v>5.7793642699303658E-3</v>
      </c>
    </row>
    <row r="378" spans="1:2" x14ac:dyDescent="0.35">
      <c r="A378" s="22">
        <v>2.271991714674083E-2</v>
      </c>
      <c r="B378" s="22">
        <v>-1.0140273787392644E-3</v>
      </c>
    </row>
    <row r="379" spans="1:2" x14ac:dyDescent="0.35">
      <c r="A379" s="22">
        <v>1.1012658227848159E-2</v>
      </c>
      <c r="B379" s="22">
        <v>-2.5376416849940547E-3</v>
      </c>
    </row>
    <row r="380" spans="1:2" x14ac:dyDescent="0.35">
      <c r="A380" s="22">
        <v>2.3162639288844657E-3</v>
      </c>
      <c r="B380" s="22">
        <v>-2.5440976933514246E-2</v>
      </c>
    </row>
    <row r="381" spans="1:2" x14ac:dyDescent="0.35">
      <c r="A381" s="22">
        <v>3.1228530385349411E-4</v>
      </c>
      <c r="B381" s="22">
        <v>-1.5140967629655368E-2</v>
      </c>
    </row>
    <row r="382" spans="1:2" x14ac:dyDescent="0.35">
      <c r="A382" s="22">
        <v>2.9345654345654276E-3</v>
      </c>
      <c r="B382" s="22">
        <v>-9.3656122989927738E-3</v>
      </c>
    </row>
    <row r="383" spans="1:2" x14ac:dyDescent="0.35">
      <c r="A383" s="22">
        <v>2.3034302434165759E-3</v>
      </c>
      <c r="B383" s="22">
        <v>4.8162682839814404E-2</v>
      </c>
    </row>
    <row r="384" spans="1:2" x14ac:dyDescent="0.35">
      <c r="A384" s="22">
        <v>5.0931677018633114E-3</v>
      </c>
      <c r="B384" s="22">
        <v>3.5738597685500487E-3</v>
      </c>
    </row>
    <row r="385" spans="1:2" x14ac:dyDescent="0.35">
      <c r="A385" s="22">
        <v>-1.4213323445803347E-3</v>
      </c>
      <c r="B385" s="22">
        <v>-4.0698660335764282E-3</v>
      </c>
    </row>
    <row r="386" spans="1:2" x14ac:dyDescent="0.35">
      <c r="A386" s="22">
        <v>-3.0942508818622048E-4</v>
      </c>
      <c r="B386" s="22">
        <v>-1.2429763323684607E-2</v>
      </c>
    </row>
    <row r="387" spans="1:2" x14ac:dyDescent="0.35">
      <c r="A387" s="22">
        <v>9.2856258511827216E-4</v>
      </c>
      <c r="B387" s="22">
        <v>-1.8103448275862018E-2</v>
      </c>
    </row>
    <row r="388" spans="1:2" x14ac:dyDescent="0.35">
      <c r="A388" s="22">
        <v>-1.1379800853485085E-2</v>
      </c>
      <c r="B388" s="22">
        <v>-2.6163301141352097E-2</v>
      </c>
    </row>
    <row r="389" spans="1:2" x14ac:dyDescent="0.35">
      <c r="A389" s="22">
        <v>-1.2386612449171034E-2</v>
      </c>
      <c r="B389" s="22">
        <v>-2.307969707897586E-2</v>
      </c>
    </row>
    <row r="390" spans="1:2" x14ac:dyDescent="0.35">
      <c r="A390" s="22">
        <v>1.1845189079622502E-2</v>
      </c>
      <c r="B390" s="22">
        <v>3.6360280546327034E-2</v>
      </c>
    </row>
    <row r="391" spans="1:2" x14ac:dyDescent="0.35">
      <c r="A391" s="22">
        <v>8.3886315262301451E-3</v>
      </c>
      <c r="B391" s="22">
        <v>1.6028495102404249E-2</v>
      </c>
    </row>
    <row r="392" spans="1:2" x14ac:dyDescent="0.35">
      <c r="A392" s="22">
        <v>1.6141047926496115E-2</v>
      </c>
      <c r="B392" s="22">
        <v>-2.4715162138474963E-2</v>
      </c>
    </row>
    <row r="393" spans="1:2" x14ac:dyDescent="0.35">
      <c r="A393" s="22">
        <v>1.6373411534701898E-2</v>
      </c>
      <c r="B393" s="22">
        <v>-1.2580877066858426E-2</v>
      </c>
    </row>
    <row r="394" spans="1:2" x14ac:dyDescent="0.35">
      <c r="A394" s="22">
        <v>-7.6340466458283849E-3</v>
      </c>
      <c r="B394" s="22">
        <v>1.5107389879869046E-2</v>
      </c>
    </row>
    <row r="395" spans="1:2" x14ac:dyDescent="0.35">
      <c r="A395" s="22">
        <v>-3.1497970803804603E-3</v>
      </c>
      <c r="B395" s="22">
        <v>-1.3806706114398477E-2</v>
      </c>
    </row>
    <row r="396" spans="1:2" x14ac:dyDescent="0.35">
      <c r="A396" s="22">
        <v>5.4080330558425888E-3</v>
      </c>
      <c r="B396" s="22">
        <v>8.9090909090909446E-3</v>
      </c>
    </row>
    <row r="397" spans="1:2" x14ac:dyDescent="0.35">
      <c r="A397" s="22">
        <v>9.2469479028163964E-3</v>
      </c>
      <c r="B397" s="22">
        <v>3.2258064516129017E-2</v>
      </c>
    </row>
    <row r="398" spans="1:2" x14ac:dyDescent="0.35">
      <c r="A398" s="22">
        <v>3.1139589196956812E-3</v>
      </c>
      <c r="B398" s="22">
        <v>-7.6815642458100157E-3</v>
      </c>
    </row>
    <row r="399" spans="1:2" x14ac:dyDescent="0.35">
      <c r="A399" s="22">
        <v>7.4025431317533827E-3</v>
      </c>
      <c r="B399" s="22">
        <v>3.342716396903549E-3</v>
      </c>
    </row>
    <row r="400" spans="1:2" x14ac:dyDescent="0.35">
      <c r="A400" s="22">
        <v>1.4696296296296235E-2</v>
      </c>
      <c r="B400" s="22">
        <v>1.4904436261616718E-2</v>
      </c>
    </row>
    <row r="401" spans="1:2" x14ac:dyDescent="0.35">
      <c r="A401" s="22">
        <v>3.9712667172808903E-3</v>
      </c>
      <c r="B401" s="22">
        <v>-8.9149965445749893E-2</v>
      </c>
    </row>
    <row r="402" spans="1:2" x14ac:dyDescent="0.35">
      <c r="A402" s="22">
        <v>1.128497469606188E-2</v>
      </c>
      <c r="B402" s="22">
        <v>3.2625189681335334E-2</v>
      </c>
    </row>
    <row r="403" spans="1:2" x14ac:dyDescent="0.35">
      <c r="A403" s="22">
        <v>-6.0396893874028355E-3</v>
      </c>
      <c r="B403" s="22">
        <v>1.1204996326230702E-2</v>
      </c>
    </row>
    <row r="404" spans="1:2" x14ac:dyDescent="0.35">
      <c r="A404" s="22">
        <v>-5.9606481481481541E-3</v>
      </c>
      <c r="B404" s="22">
        <v>-1.998183469573105E-2</v>
      </c>
    </row>
    <row r="405" spans="1:2" x14ac:dyDescent="0.35">
      <c r="A405" s="22">
        <v>2.9108691855388017E-3</v>
      </c>
      <c r="B405" s="22">
        <v>5.7460611677478245E-3</v>
      </c>
    </row>
    <row r="406" spans="1:2" x14ac:dyDescent="0.35">
      <c r="A406" s="22">
        <v>-5.8048412375921515E-3</v>
      </c>
      <c r="B406" s="22">
        <v>1.8429782528575593E-4</v>
      </c>
    </row>
    <row r="407" spans="1:2" x14ac:dyDescent="0.35">
      <c r="A407" s="22">
        <v>-3.6784025223332972E-3</v>
      </c>
      <c r="B407" s="22">
        <v>6.4492353049565932E-3</v>
      </c>
    </row>
    <row r="408" spans="1:2" x14ac:dyDescent="0.35">
      <c r="A408" s="22">
        <v>6.1533052039381827E-3</v>
      </c>
      <c r="B408" s="22">
        <v>-1.7759062614426929E-2</v>
      </c>
    </row>
    <row r="409" spans="1:2" x14ac:dyDescent="0.35">
      <c r="A409" s="22">
        <v>3.9023822004776976E-3</v>
      </c>
      <c r="B409" s="22">
        <v>-1.3047530288909519E-2</v>
      </c>
    </row>
    <row r="410" spans="1:2" x14ac:dyDescent="0.35">
      <c r="A410" s="22">
        <v>-9.8630772801114926E-3</v>
      </c>
      <c r="B410" s="22">
        <v>-4.6836638338054841E-2</v>
      </c>
    </row>
    <row r="411" spans="1:2" x14ac:dyDescent="0.35">
      <c r="A411" s="22">
        <v>-1.0840267197937386E-2</v>
      </c>
      <c r="B411" s="22">
        <v>7.3310877749158815E-3</v>
      </c>
    </row>
    <row r="412" spans="1:2" x14ac:dyDescent="0.35">
      <c r="A412" s="22">
        <v>-1.9074699366151287E-2</v>
      </c>
      <c r="B412" s="22">
        <v>-3.4618410700236135E-2</v>
      </c>
    </row>
    <row r="413" spans="1:2" x14ac:dyDescent="0.35">
      <c r="A413" s="22">
        <v>1.3285826438794545E-2</v>
      </c>
      <c r="B413" s="22">
        <v>-5.704971475142648E-3</v>
      </c>
    </row>
    <row r="414" spans="1:2" x14ac:dyDescent="0.35">
      <c r="A414" s="22">
        <v>1.1502473329757476E-2</v>
      </c>
      <c r="B414" s="22">
        <v>-1.2704918032786833E-2</v>
      </c>
    </row>
    <row r="415" spans="1:2" x14ac:dyDescent="0.35">
      <c r="A415" s="22">
        <v>1.5319349516850749E-3</v>
      </c>
      <c r="B415" s="22">
        <v>2.8850145288501466E-2</v>
      </c>
    </row>
    <row r="416" spans="1:2" x14ac:dyDescent="0.35">
      <c r="A416" s="22">
        <v>-8.2362630897744654E-4</v>
      </c>
      <c r="B416" s="22">
        <v>2.6225539640912358E-3</v>
      </c>
    </row>
    <row r="417" spans="1:2" x14ac:dyDescent="0.35">
      <c r="A417" s="22">
        <v>-1.7192651907677908E-2</v>
      </c>
      <c r="B417" s="22">
        <v>-2.1730382293762684E-2</v>
      </c>
    </row>
    <row r="418" spans="1:2" x14ac:dyDescent="0.35">
      <c r="A418" s="22">
        <v>3.9539899352984964E-3</v>
      </c>
      <c r="B418" s="22">
        <v>2.4269847799259558E-2</v>
      </c>
    </row>
    <row r="419" spans="1:2" x14ac:dyDescent="0.35">
      <c r="A419" s="22">
        <v>2.6852846401717902E-3</v>
      </c>
      <c r="B419" s="22">
        <v>-1.2650602409638464E-2</v>
      </c>
    </row>
    <row r="420" spans="1:2" x14ac:dyDescent="0.35">
      <c r="A420" s="22">
        <v>-1.9579836933880806E-2</v>
      </c>
      <c r="B420" s="22">
        <v>-3.254016676835544E-3</v>
      </c>
    </row>
    <row r="421" spans="1:2" x14ac:dyDescent="0.35">
      <c r="A421" s="22">
        <v>-1.092630812188945E-3</v>
      </c>
      <c r="B421" s="22">
        <v>2.0403999183840325E-3</v>
      </c>
    </row>
    <row r="422" spans="1:2" x14ac:dyDescent="0.35">
      <c r="A422" s="22">
        <v>-5.4083616917842414E-3</v>
      </c>
      <c r="B422" s="22">
        <v>-3.2579922622683077E-3</v>
      </c>
    </row>
    <row r="423" spans="1:2" x14ac:dyDescent="0.35">
      <c r="A423" s="22">
        <v>-2.3217449746440735E-3</v>
      </c>
      <c r="B423" s="22">
        <v>-2.6557711950970899E-3</v>
      </c>
    </row>
    <row r="424" spans="1:2" x14ac:dyDescent="0.35">
      <c r="A424" s="22">
        <v>-3.9806479270010761E-3</v>
      </c>
      <c r="B424" s="22">
        <v>-2.0483408439164567E-3</v>
      </c>
    </row>
    <row r="425" spans="1:2" x14ac:dyDescent="0.35">
      <c r="A425" s="22">
        <v>-1.1866699458927561E-2</v>
      </c>
      <c r="B425" s="22">
        <v>5.1313628899835794E-3</v>
      </c>
    </row>
    <row r="426" spans="1:2" x14ac:dyDescent="0.35">
      <c r="A426" s="22">
        <v>1.636488084126685E-2</v>
      </c>
      <c r="B426" s="22">
        <v>-1.1231366142536189E-2</v>
      </c>
    </row>
    <row r="427" spans="1:2" x14ac:dyDescent="0.35">
      <c r="A427" s="22">
        <v>1.5305497734786335E-3</v>
      </c>
      <c r="B427" s="22">
        <v>2.2098306484923589E-2</v>
      </c>
    </row>
    <row r="428" spans="1:2" x14ac:dyDescent="0.35">
      <c r="A428" s="22">
        <v>-2.4879271349104427E-2</v>
      </c>
      <c r="B428" s="22">
        <v>2.6874115983026838E-2</v>
      </c>
    </row>
    <row r="429" spans="1:2" x14ac:dyDescent="0.35">
      <c r="A429" s="22">
        <v>-4.7642928786360283E-3</v>
      </c>
      <c r="B429" s="22">
        <v>-1.5741833923651771E-3</v>
      </c>
    </row>
    <row r="430" spans="1:2" x14ac:dyDescent="0.35">
      <c r="A430" s="22">
        <v>-5.3539934492315092E-3</v>
      </c>
      <c r="B430" s="22">
        <v>2.1284982262514747E-2</v>
      </c>
    </row>
    <row r="431" spans="1:2" x14ac:dyDescent="0.35">
      <c r="A431" s="22">
        <v>-1.9631435627889449E-3</v>
      </c>
      <c r="B431" s="22">
        <v>-5.7892705519104045E-3</v>
      </c>
    </row>
    <row r="432" spans="1:2" x14ac:dyDescent="0.35">
      <c r="A432" s="22">
        <v>-7.4873096446700944E-3</v>
      </c>
      <c r="B432" s="22">
        <v>-3.6878881987578577E-3</v>
      </c>
    </row>
    <row r="433" spans="1:2" x14ac:dyDescent="0.35">
      <c r="A433" s="22">
        <v>-1.387290627796949E-2</v>
      </c>
      <c r="B433" s="22">
        <v>-3.8184297681667659E-2</v>
      </c>
    </row>
    <row r="434" spans="1:2" x14ac:dyDescent="0.35">
      <c r="A434" s="22">
        <v>4.9918962722853176E-3</v>
      </c>
      <c r="B434" s="22">
        <v>0</v>
      </c>
    </row>
    <row r="435" spans="1:2" x14ac:dyDescent="0.35">
      <c r="A435" s="22">
        <v>1.5610888917558944E-2</v>
      </c>
      <c r="B435" s="22">
        <v>2.8559854162446906E-2</v>
      </c>
    </row>
    <row r="436" spans="1:2" x14ac:dyDescent="0.35">
      <c r="A436" s="22">
        <v>1.3592479674796843E-2</v>
      </c>
      <c r="B436" s="22">
        <v>2.2449783379283193E-2</v>
      </c>
    </row>
    <row r="437" spans="1:2" x14ac:dyDescent="0.35">
      <c r="A437" s="22">
        <v>-6.2601829803233547E-2</v>
      </c>
      <c r="B437" s="22">
        <v>5.9707241910630805E-3</v>
      </c>
    </row>
    <row r="438" spans="1:2" x14ac:dyDescent="0.35">
      <c r="A438" s="22">
        <v>-1.0361655190855079E-2</v>
      </c>
      <c r="B438" s="22">
        <v>1.9337545471951084E-2</v>
      </c>
    </row>
    <row r="439" spans="1:2" x14ac:dyDescent="0.35">
      <c r="A439" s="22">
        <v>-1.8508511213185495E-2</v>
      </c>
      <c r="B439" s="22">
        <v>-7.3253193087903937E-3</v>
      </c>
    </row>
    <row r="440" spans="1:2" x14ac:dyDescent="0.35">
      <c r="A440" s="22">
        <v>4.9552649690295858E-3</v>
      </c>
      <c r="B440" s="22">
        <v>1.5137180700094284E-3</v>
      </c>
    </row>
    <row r="441" spans="1:2" x14ac:dyDescent="0.35">
      <c r="A441" s="22">
        <v>-5.4102177783866626E-3</v>
      </c>
      <c r="B441" s="22">
        <v>-4.1564330247496478E-3</v>
      </c>
    </row>
    <row r="442" spans="1:2" x14ac:dyDescent="0.35">
      <c r="A442" s="22">
        <v>1.2600702334228553E-2</v>
      </c>
      <c r="B442" s="22">
        <v>7.9681274900398735E-3</v>
      </c>
    </row>
    <row r="443" spans="1:2" x14ac:dyDescent="0.35">
      <c r="A443" s="22">
        <v>5.4399564803470752E-4</v>
      </c>
      <c r="B443" s="22">
        <v>1.5998494259363717E-2</v>
      </c>
    </row>
    <row r="444" spans="1:2" x14ac:dyDescent="0.35">
      <c r="A444" s="22">
        <v>1.5767296452358446E-2</v>
      </c>
      <c r="B444" s="22">
        <v>6.6691367173028265E-3</v>
      </c>
    </row>
    <row r="445" spans="1:2" x14ac:dyDescent="0.35">
      <c r="A445" s="22">
        <v>-4.4158972300280784E-3</v>
      </c>
      <c r="B445" s="22">
        <v>-7.5450864924549808E-3</v>
      </c>
    </row>
    <row r="446" spans="1:2" x14ac:dyDescent="0.35">
      <c r="A446" s="22">
        <v>2.0497311827956874E-2</v>
      </c>
      <c r="B446" s="22">
        <v>4.654181346189501E-2</v>
      </c>
    </row>
    <row r="447" spans="1:2" x14ac:dyDescent="0.35">
      <c r="A447" s="22">
        <v>4.1488310833058643E-3</v>
      </c>
      <c r="B447" s="22">
        <v>3.7739192062367165E-2</v>
      </c>
    </row>
    <row r="448" spans="1:2" x14ac:dyDescent="0.35">
      <c r="A448" s="22">
        <v>-1.4428121720881353E-2</v>
      </c>
      <c r="B448" s="22">
        <v>-8.1953218371179255E-3</v>
      </c>
    </row>
    <row r="449" spans="1:2" x14ac:dyDescent="0.35">
      <c r="A449" s="22">
        <v>2.0428533404311906E-2</v>
      </c>
      <c r="B449" s="22">
        <v>1.4976760199690091E-2</v>
      </c>
    </row>
    <row r="450" spans="1:2" x14ac:dyDescent="0.35">
      <c r="A450" s="22">
        <v>1.9237039452233564E-2</v>
      </c>
      <c r="B450" s="22">
        <v>-2.0183175033921263E-2</v>
      </c>
    </row>
    <row r="451" spans="1:2" x14ac:dyDescent="0.35">
      <c r="A451" s="22">
        <v>5.3742802303261353E-3</v>
      </c>
      <c r="B451" s="22">
        <v>-1.3848018002424337E-3</v>
      </c>
    </row>
    <row r="452" spans="1:2" x14ac:dyDescent="0.35">
      <c r="A452" s="22">
        <v>5.5364642993509265E-3</v>
      </c>
      <c r="B452" s="22">
        <v>5.3735482752643839E-3</v>
      </c>
    </row>
    <row r="453" spans="1:2" x14ac:dyDescent="0.35">
      <c r="A453" s="22">
        <v>8.9867729890514263E-3</v>
      </c>
      <c r="B453" s="22">
        <v>-1.913793103448275E-2</v>
      </c>
    </row>
    <row r="454" spans="1:2" x14ac:dyDescent="0.35">
      <c r="A454" s="22">
        <v>-1.0098475820109224E-2</v>
      </c>
      <c r="B454" s="22">
        <v>-7.0311126735804442E-4</v>
      </c>
    </row>
    <row r="455" spans="1:2" x14ac:dyDescent="0.35">
      <c r="A455" s="22">
        <v>3.9918894943606351E-3</v>
      </c>
      <c r="B455" s="22">
        <v>1.4423922603342134E-2</v>
      </c>
    </row>
    <row r="456" spans="1:2" x14ac:dyDescent="0.35">
      <c r="A456" s="22">
        <v>2.3540549069107089E-2</v>
      </c>
      <c r="B456" s="22">
        <v>1.2831628229582016E-2</v>
      </c>
    </row>
    <row r="457" spans="1:2" x14ac:dyDescent="0.35">
      <c r="A457" s="22">
        <v>8.0157849303242254E-3</v>
      </c>
      <c r="B457" s="22">
        <v>-1.0957027906180337E-2</v>
      </c>
    </row>
    <row r="458" spans="1:2" x14ac:dyDescent="0.35">
      <c r="A458" s="22">
        <v>4.5265475899193119E-3</v>
      </c>
      <c r="B458" s="22">
        <v>-1.7310022503038108E-4</v>
      </c>
    </row>
    <row r="459" spans="1:2" x14ac:dyDescent="0.35">
      <c r="A459" s="22">
        <v>-2.6184386798197954E-3</v>
      </c>
      <c r="B459" s="22">
        <v>-6.7520775623268799E-3</v>
      </c>
    </row>
    <row r="460" spans="1:2" x14ac:dyDescent="0.35">
      <c r="A460" s="22">
        <v>-8.7917455278099868E-3</v>
      </c>
      <c r="B460" s="22">
        <v>-5.4209517169252215E-2</v>
      </c>
    </row>
    <row r="461" spans="1:2" x14ac:dyDescent="0.35">
      <c r="A461" s="22">
        <v>1.2996612257468516E-2</v>
      </c>
      <c r="B461" s="22">
        <v>-3.6859565057124997E-4</v>
      </c>
    </row>
    <row r="462" spans="1:2" x14ac:dyDescent="0.35">
      <c r="A462" s="22">
        <v>1.7207831691596644E-2</v>
      </c>
      <c r="B462" s="22">
        <v>3.5029498525073325E-3</v>
      </c>
    </row>
    <row r="463" spans="1:2" x14ac:dyDescent="0.35">
      <c r="A463" s="22">
        <v>-5.738537868372166E-3</v>
      </c>
      <c r="B463" s="22">
        <v>1.9474554473635903E-2</v>
      </c>
    </row>
    <row r="464" spans="1:2" x14ac:dyDescent="0.35">
      <c r="A464" s="22">
        <v>9.0182167979318221E-3</v>
      </c>
      <c r="B464" s="22">
        <v>1.802126509280977E-3</v>
      </c>
    </row>
    <row r="465" spans="1:2" x14ac:dyDescent="0.35">
      <c r="A465" s="22">
        <v>2.7825776082940994E-2</v>
      </c>
      <c r="B465" s="22">
        <v>7.3754272351141672E-3</v>
      </c>
    </row>
    <row r="466" spans="1:2" x14ac:dyDescent="0.35">
      <c r="A466" s="22">
        <v>1.7043478260869552E-2</v>
      </c>
      <c r="B466" s="22">
        <v>4.7142857142857153E-2</v>
      </c>
    </row>
    <row r="467" spans="1:2" x14ac:dyDescent="0.35">
      <c r="A467" s="22">
        <v>1.1798905608755092E-2</v>
      </c>
      <c r="B467" s="22">
        <v>-2.0463847203273781E-3</v>
      </c>
    </row>
    <row r="468" spans="1:2" x14ac:dyDescent="0.35">
      <c r="A468" s="22">
        <v>-3.1885527575911198E-2</v>
      </c>
      <c r="B468" s="22">
        <v>1.8455228981544742E-2</v>
      </c>
    </row>
    <row r="469" spans="1:2" x14ac:dyDescent="0.35">
      <c r="A469" s="22">
        <v>1.1463485597905143E-2</v>
      </c>
      <c r="B469" s="22">
        <v>-1.6442953020134293E-2</v>
      </c>
    </row>
    <row r="470" spans="1:2" x14ac:dyDescent="0.35">
      <c r="A470" s="22">
        <v>-3.1987113105511465E-2</v>
      </c>
      <c r="B470" s="22">
        <v>1.1088365745479455E-2</v>
      </c>
    </row>
    <row r="471" spans="1:2" x14ac:dyDescent="0.35">
      <c r="A471" s="22">
        <v>-7.6667062878877455E-3</v>
      </c>
      <c r="B471" s="22">
        <v>4.3023451999325071E-2</v>
      </c>
    </row>
    <row r="472" spans="1:2" x14ac:dyDescent="0.35">
      <c r="A472" s="22">
        <v>1.2696891657183953E-2</v>
      </c>
      <c r="B472" s="22">
        <v>2.5558071821416988E-2</v>
      </c>
    </row>
    <row r="473" spans="1:2" x14ac:dyDescent="0.35">
      <c r="A473" s="22">
        <v>-1.4193624696907511E-3</v>
      </c>
      <c r="B473" s="22">
        <v>-6.7823343848580396E-3</v>
      </c>
    </row>
    <row r="474" spans="1:2" x14ac:dyDescent="0.35">
      <c r="A474" s="22">
        <v>1.7648800710690069E-2</v>
      </c>
      <c r="B474" s="22">
        <v>-5.7170080990947983E-3</v>
      </c>
    </row>
    <row r="475" spans="1:2" x14ac:dyDescent="0.35">
      <c r="A475" s="22">
        <v>-5.2377349706106847E-4</v>
      </c>
      <c r="B475" s="22">
        <v>3.1943778949049671E-2</v>
      </c>
    </row>
    <row r="476" spans="1:2" x14ac:dyDescent="0.35">
      <c r="A476" s="22">
        <v>-2.2708745778503249E-3</v>
      </c>
      <c r="B476" s="22">
        <v>-3.5288655006964882E-2</v>
      </c>
    </row>
    <row r="477" spans="1:2" x14ac:dyDescent="0.35">
      <c r="A477" s="22">
        <v>2.0601108841552387E-2</v>
      </c>
      <c r="B477" s="22">
        <v>-8.503128509545984E-3</v>
      </c>
    </row>
    <row r="478" spans="1:2" x14ac:dyDescent="0.35">
      <c r="A478" s="22">
        <v>-3.6596523330282844E-3</v>
      </c>
      <c r="B478" s="22">
        <v>3.6569579288025976E-2</v>
      </c>
    </row>
    <row r="479" spans="1:2" x14ac:dyDescent="0.35">
      <c r="A479" s="22">
        <v>-1.1994949494949513E-2</v>
      </c>
      <c r="B479" s="22">
        <v>-1.5766468935373167E-2</v>
      </c>
    </row>
    <row r="480" spans="1:2" x14ac:dyDescent="0.35">
      <c r="A480" s="22">
        <v>-6.9706651176302376E-4</v>
      </c>
      <c r="B480" s="22">
        <v>-1.3639968279143528E-2</v>
      </c>
    </row>
    <row r="481" spans="1:2" x14ac:dyDescent="0.35">
      <c r="A481" s="22">
        <v>-2.3309887810265599E-2</v>
      </c>
      <c r="B481" s="22">
        <v>-3.2481106287184369E-2</v>
      </c>
    </row>
    <row r="482" spans="1:2" x14ac:dyDescent="0.35">
      <c r="A482" s="22">
        <v>1.1010593976907476E-2</v>
      </c>
      <c r="B482" s="22">
        <v>-5.1520691374439464E-3</v>
      </c>
    </row>
    <row r="483" spans="1:2" x14ac:dyDescent="0.35">
      <c r="A483" s="22">
        <v>-3.7087184317418933E-3</v>
      </c>
      <c r="B483" s="22">
        <v>-3.3244236551954597E-2</v>
      </c>
    </row>
    <row r="484" spans="1:2" x14ac:dyDescent="0.35">
      <c r="A484" s="22">
        <v>-1.5008272276057789E-2</v>
      </c>
      <c r="B484" s="22">
        <v>3.2832210126145646E-3</v>
      </c>
    </row>
    <row r="485" spans="1:2" x14ac:dyDescent="0.35">
      <c r="A485" s="22">
        <v>1.9796040791841701E-2</v>
      </c>
      <c r="B485" s="22">
        <v>5.0981743024457474E-2</v>
      </c>
    </row>
    <row r="486" spans="1:2" x14ac:dyDescent="0.35">
      <c r="A486" s="22">
        <v>1.4117647058824064E-3</v>
      </c>
      <c r="B486" s="22">
        <v>-2.1468371025893187E-2</v>
      </c>
    </row>
    <row r="487" spans="1:2" x14ac:dyDescent="0.35">
      <c r="A487" s="22">
        <v>-7.8125000000000729E-3</v>
      </c>
      <c r="B487" s="22">
        <v>2.177189750460602E-3</v>
      </c>
    </row>
    <row r="488" spans="1:2" x14ac:dyDescent="0.35">
      <c r="A488" s="22">
        <v>1.4090343970161599E-2</v>
      </c>
      <c r="B488" s="22">
        <v>2.8241978609625629E-2</v>
      </c>
    </row>
    <row r="489" spans="1:2" x14ac:dyDescent="0.35">
      <c r="A489" s="22">
        <v>-6.0715745227391676E-3</v>
      </c>
      <c r="B489" s="22">
        <v>-1.2189176011701608E-2</v>
      </c>
    </row>
    <row r="490" spans="1:2" x14ac:dyDescent="0.35">
      <c r="A490" s="22">
        <v>-1.2628487518355392E-2</v>
      </c>
      <c r="B490" s="22">
        <v>-1.9085225403093185E-2</v>
      </c>
    </row>
    <row r="491" spans="1:2" x14ac:dyDescent="0.35">
      <c r="A491" s="22">
        <v>5.7108863771565023E-3</v>
      </c>
      <c r="B491" s="22">
        <v>6.0214693056021527E-2</v>
      </c>
    </row>
    <row r="492" spans="1:2" x14ac:dyDescent="0.35">
      <c r="A492" s="22">
        <v>-1.3131432627469531E-2</v>
      </c>
      <c r="B492" s="22">
        <v>-6.4546748932130971E-2</v>
      </c>
    </row>
    <row r="493" spans="1:2" x14ac:dyDescent="0.35">
      <c r="A493" s="22">
        <v>-8.6310237353152582E-3</v>
      </c>
      <c r="B493" s="22">
        <v>-1.2345679012345746E-2</v>
      </c>
    </row>
    <row r="494" spans="1:2" x14ac:dyDescent="0.35">
      <c r="A494" s="22">
        <v>-9.0689238210399023E-3</v>
      </c>
      <c r="B494" s="22">
        <v>3.5958904109589188E-3</v>
      </c>
    </row>
    <row r="495" spans="1:2" x14ac:dyDescent="0.35">
      <c r="A495" s="22">
        <v>-7.1995118974985161E-3</v>
      </c>
      <c r="B495" s="22">
        <v>-3.7536256611499551E-3</v>
      </c>
    </row>
    <row r="496" spans="1:2" x14ac:dyDescent="0.35">
      <c r="A496" s="22">
        <v>-8.3579154375613644E-3</v>
      </c>
      <c r="B496" s="22">
        <v>-5.5317691385511285E-2</v>
      </c>
    </row>
    <row r="497" spans="1:2" x14ac:dyDescent="0.35">
      <c r="A497" s="22">
        <v>-2.7144273673773076E-2</v>
      </c>
      <c r="B497" s="22">
        <v>-2.0304568527918735E-2</v>
      </c>
    </row>
    <row r="498" spans="1:2" x14ac:dyDescent="0.35">
      <c r="A498" s="22">
        <v>6.1472799082685735E-2</v>
      </c>
      <c r="B498" s="22">
        <v>1.3878608438193931E-2</v>
      </c>
    </row>
    <row r="499" spans="1:2" x14ac:dyDescent="0.35">
      <c r="A499" s="22">
        <v>-7.1415711456520297E-3</v>
      </c>
      <c r="B499" s="22">
        <v>2.3544442416499348E-2</v>
      </c>
    </row>
    <row r="500" spans="1:2" x14ac:dyDescent="0.35">
      <c r="A500" s="22">
        <v>1.3902321083171529E-3</v>
      </c>
      <c r="B500" s="22">
        <v>1.4800285306704677E-2</v>
      </c>
    </row>
    <row r="501" spans="1:2" x14ac:dyDescent="0.35">
      <c r="A501" s="22">
        <v>1.1528943079616256E-2</v>
      </c>
      <c r="B501" s="22">
        <v>9.1372342294852079E-3</v>
      </c>
    </row>
    <row r="502" spans="1:2" x14ac:dyDescent="0.35">
      <c r="A502" s="22">
        <v>-6.9220670724431613E-3</v>
      </c>
      <c r="B502" s="22">
        <v>-5.5720006965000917E-3</v>
      </c>
    </row>
    <row r="503" spans="1:2" x14ac:dyDescent="0.35">
      <c r="A503" s="22">
        <v>1.4180987862035897E-2</v>
      </c>
      <c r="B503" s="22">
        <v>2.1012081947119148E-3</v>
      </c>
    </row>
    <row r="504" spans="1:2" x14ac:dyDescent="0.35">
      <c r="A504" s="22">
        <v>-7.6430856736579688E-3</v>
      </c>
      <c r="B504" s="22">
        <v>1.57260178228203E-2</v>
      </c>
    </row>
    <row r="505" spans="1:2" x14ac:dyDescent="0.35">
      <c r="A505" s="22">
        <v>-4.8958146755031439E-3</v>
      </c>
      <c r="B505" s="22">
        <v>8.6014106313435403E-3</v>
      </c>
    </row>
    <row r="506" spans="1:2" x14ac:dyDescent="0.35">
      <c r="A506" s="22">
        <v>-1.1999760004799905E-2</v>
      </c>
      <c r="B506" s="22">
        <v>4.3322531127409157E-2</v>
      </c>
    </row>
    <row r="507" spans="1:2" x14ac:dyDescent="0.35">
      <c r="A507" s="22">
        <v>1.0445132689621661E-2</v>
      </c>
      <c r="B507" s="22">
        <v>7.4709825077652336E-2</v>
      </c>
    </row>
    <row r="508" spans="1:2" x14ac:dyDescent="0.35">
      <c r="A508" s="22">
        <v>-2.4881302962918364E-2</v>
      </c>
      <c r="B508" s="22">
        <v>-4.5634317006388703E-2</v>
      </c>
    </row>
    <row r="509" spans="1:2" x14ac:dyDescent="0.35">
      <c r="A509" s="22">
        <v>-7.4576271186441168E-3</v>
      </c>
      <c r="B509" s="22">
        <v>2.072043353522401E-3</v>
      </c>
    </row>
    <row r="510" spans="1:2" x14ac:dyDescent="0.35">
      <c r="A510" s="22">
        <v>-2.5273224043715806E-2</v>
      </c>
      <c r="B510" s="22">
        <v>-9.5435024654047136E-3</v>
      </c>
    </row>
    <row r="511" spans="1:2" x14ac:dyDescent="0.35">
      <c r="A511" s="22">
        <v>-4.1600305790915469E-2</v>
      </c>
      <c r="B511" s="22">
        <v>-1.927091697446608E-2</v>
      </c>
    </row>
    <row r="512" spans="1:2" x14ac:dyDescent="0.35">
      <c r="A512" s="22">
        <v>-9.3060356288212145E-4</v>
      </c>
      <c r="B512" s="22">
        <v>6.3861142950712392E-3</v>
      </c>
    </row>
    <row r="513" spans="1:2" x14ac:dyDescent="0.35">
      <c r="A513" s="22">
        <v>1.2707917498336637E-2</v>
      </c>
      <c r="B513" s="22">
        <v>-6.9964204360559662E-3</v>
      </c>
    </row>
    <row r="514" spans="1:2" x14ac:dyDescent="0.35">
      <c r="A514" s="22">
        <v>-1.7213060902700247E-2</v>
      </c>
      <c r="B514" s="22">
        <v>1.2125184335572702E-2</v>
      </c>
    </row>
    <row r="515" spans="1:2" x14ac:dyDescent="0.35">
      <c r="A515" s="22">
        <v>-9.4257637542616256E-3</v>
      </c>
      <c r="B515" s="22">
        <v>-1.084668933139067E-2</v>
      </c>
    </row>
    <row r="516" spans="1:2" x14ac:dyDescent="0.35">
      <c r="A516" s="22">
        <v>-8.3007153462006898E-3</v>
      </c>
      <c r="B516" s="22">
        <v>-3.7806873977086777E-2</v>
      </c>
    </row>
    <row r="517" spans="1:2" x14ac:dyDescent="0.35">
      <c r="A517" s="22">
        <v>-1.2521265736644948E-2</v>
      </c>
      <c r="B517" s="22">
        <v>-4.337472359244765E-2</v>
      </c>
    </row>
    <row r="518" spans="1:2" x14ac:dyDescent="0.35">
      <c r="A518" s="22">
        <v>-1.6401350699469529E-2</v>
      </c>
      <c r="B518" s="22">
        <v>-2.8271692745377015E-2</v>
      </c>
    </row>
    <row r="519" spans="1:2" x14ac:dyDescent="0.35">
      <c r="A519" s="22">
        <v>1.5413718209206116E-3</v>
      </c>
      <c r="B519" s="22">
        <v>-2.5068618481244236E-2</v>
      </c>
    </row>
    <row r="520" spans="1:2" x14ac:dyDescent="0.35">
      <c r="A520" s="22">
        <v>2.1336131514515647E-2</v>
      </c>
      <c r="B520" s="22">
        <v>-1.2012012012012022E-2</v>
      </c>
    </row>
    <row r="521" spans="1:2" x14ac:dyDescent="0.35">
      <c r="A521" s="22">
        <v>-3.5616438356165085E-3</v>
      </c>
      <c r="B521" s="22">
        <v>-1.4057750759878458E-2</v>
      </c>
    </row>
    <row r="522" spans="1:2" x14ac:dyDescent="0.35">
      <c r="A522" s="22">
        <v>-1.024195765740982E-2</v>
      </c>
      <c r="B522" s="22">
        <v>8.6705202312139275E-3</v>
      </c>
    </row>
    <row r="523" spans="1:2" x14ac:dyDescent="0.35">
      <c r="A523" s="22">
        <v>4.5142023751647839E-3</v>
      </c>
      <c r="B523" s="22">
        <v>-1.7191977077363869E-2</v>
      </c>
    </row>
    <row r="524" spans="1:2" x14ac:dyDescent="0.35">
      <c r="A524" s="22">
        <v>8.7804203539823718E-3</v>
      </c>
      <c r="B524" s="22">
        <v>-2.3517978620019451E-2</v>
      </c>
    </row>
    <row r="525" spans="1:2" x14ac:dyDescent="0.35">
      <c r="A525" s="22">
        <v>1.4803646083201951E-2</v>
      </c>
      <c r="B525" s="22">
        <v>4.9562101910827924E-2</v>
      </c>
    </row>
    <row r="526" spans="1:2" x14ac:dyDescent="0.35">
      <c r="A526" s="22">
        <v>1.0130343756331848E-3</v>
      </c>
      <c r="B526" s="22">
        <v>2.5412478664896709E-2</v>
      </c>
    </row>
    <row r="527" spans="1:2" x14ac:dyDescent="0.35">
      <c r="A527" s="22">
        <v>3.3058966401295986E-3</v>
      </c>
      <c r="B527" s="22">
        <v>-1.0541890142407995E-2</v>
      </c>
    </row>
    <row r="528" spans="1:2" x14ac:dyDescent="0.35">
      <c r="A528" s="22">
        <v>-2.2863290969000104E-2</v>
      </c>
      <c r="B528" s="22">
        <v>-7.2897196261682345E-3</v>
      </c>
    </row>
    <row r="529" spans="1:2" x14ac:dyDescent="0.35">
      <c r="A529" s="22">
        <v>5.505471061866636E-4</v>
      </c>
      <c r="B529" s="22">
        <v>-3.4268499340990403E-2</v>
      </c>
    </row>
    <row r="530" spans="1:2" x14ac:dyDescent="0.35">
      <c r="A530" s="22">
        <v>-1.7195130339087972E-3</v>
      </c>
      <c r="B530" s="22">
        <v>-1.1308247221680607E-2</v>
      </c>
    </row>
    <row r="531" spans="1:2" x14ac:dyDescent="0.35">
      <c r="A531" s="22">
        <v>-1.1092738046024427E-2</v>
      </c>
      <c r="B531" s="22">
        <v>-2.4649970420035496E-2</v>
      </c>
    </row>
    <row r="532" spans="1:2" x14ac:dyDescent="0.35">
      <c r="A532" s="22">
        <v>1.9020413850762835E-2</v>
      </c>
      <c r="B532" s="22">
        <v>2.5475131419328709E-2</v>
      </c>
    </row>
    <row r="533" spans="1:2" x14ac:dyDescent="0.35">
      <c r="A533" s="22">
        <v>-9.8454806508956501E-3</v>
      </c>
      <c r="B533" s="22">
        <v>-7.4921135646686806E-3</v>
      </c>
    </row>
    <row r="534" spans="1:2" x14ac:dyDescent="0.35">
      <c r="A534" s="22">
        <v>-3.2039773511945771E-2</v>
      </c>
      <c r="B534" s="22">
        <v>-2.9996027016289332E-2</v>
      </c>
    </row>
    <row r="535" spans="1:2" x14ac:dyDescent="0.35">
      <c r="A535" s="22">
        <v>1.0058496219146786E-2</v>
      </c>
      <c r="B535" s="22">
        <v>-8.8060618472250614E-3</v>
      </c>
    </row>
    <row r="536" spans="1:2" x14ac:dyDescent="0.35">
      <c r="A536" s="22">
        <v>2.8179956211596927E-2</v>
      </c>
      <c r="B536" s="22">
        <v>2.6239669421487668E-2</v>
      </c>
    </row>
    <row r="537" spans="1:2" x14ac:dyDescent="0.35">
      <c r="A537" s="22">
        <v>6.2508586344277818E-3</v>
      </c>
      <c r="B537" s="22">
        <v>1.5300986510972378E-2</v>
      </c>
    </row>
    <row r="538" spans="1:2" x14ac:dyDescent="0.35">
      <c r="A538" s="22">
        <v>-2.5189432725783313E-2</v>
      </c>
      <c r="B538" s="22">
        <v>-3.1925441205631559E-2</v>
      </c>
    </row>
    <row r="539" spans="1:2" x14ac:dyDescent="0.35">
      <c r="A539" s="22">
        <v>1.0504201680670677E-3</v>
      </c>
      <c r="B539" s="22">
        <v>-4.5063498566161172E-3</v>
      </c>
    </row>
    <row r="540" spans="1:2" x14ac:dyDescent="0.35">
      <c r="A540" s="22">
        <v>-3.3298356068555378E-2</v>
      </c>
      <c r="B540" s="22">
        <v>-3.7654320987654283E-2</v>
      </c>
    </row>
    <row r="541" spans="1:2" x14ac:dyDescent="0.35">
      <c r="A541" s="22">
        <v>-9.8415225414283606E-3</v>
      </c>
      <c r="B541" s="22">
        <v>-8.3386786401539563E-3</v>
      </c>
    </row>
    <row r="542" spans="1:2" x14ac:dyDescent="0.35">
      <c r="A542" s="22">
        <v>2.484835196959548E-3</v>
      </c>
      <c r="B542" s="22">
        <v>-6.4683053040105938E-4</v>
      </c>
    </row>
    <row r="543" spans="1:2" x14ac:dyDescent="0.35">
      <c r="A543" s="22">
        <v>1.1883064810089845E-2</v>
      </c>
      <c r="B543" s="22">
        <v>2.330097087378637E-2</v>
      </c>
    </row>
    <row r="544" spans="1:2" x14ac:dyDescent="0.35">
      <c r="A544" s="22">
        <v>-1.6210374639769452E-2</v>
      </c>
      <c r="B544" s="22">
        <v>-1.4969428631667739E-2</v>
      </c>
    </row>
    <row r="545" spans="1:2" x14ac:dyDescent="0.35">
      <c r="A545" s="22">
        <v>-3.1709996338337695E-2</v>
      </c>
      <c r="B545" s="22">
        <v>-4.7089041095890322E-2</v>
      </c>
    </row>
    <row r="546" spans="1:2" x14ac:dyDescent="0.35">
      <c r="A546" s="22">
        <v>2.6168507033731719E-2</v>
      </c>
      <c r="B546" s="22">
        <v>4.0431266846361121E-2</v>
      </c>
    </row>
    <row r="547" spans="1:2" x14ac:dyDescent="0.35">
      <c r="A547" s="22">
        <v>-1.260318396226421E-2</v>
      </c>
      <c r="B547" s="22">
        <v>-3.0656303972366183E-2</v>
      </c>
    </row>
    <row r="548" spans="1:2" x14ac:dyDescent="0.35">
      <c r="A548" s="22">
        <v>-2.0825557960737418E-2</v>
      </c>
      <c r="B548" s="22">
        <v>-5.5679287305122498E-2</v>
      </c>
    </row>
    <row r="549" spans="1:2" x14ac:dyDescent="0.35">
      <c r="A549" s="22">
        <v>-5.1379783503582931E-2</v>
      </c>
      <c r="B549" s="22">
        <v>-6.0613207547169819E-2</v>
      </c>
    </row>
    <row r="550" spans="1:2" x14ac:dyDescent="0.35">
      <c r="A550" s="22">
        <v>-2.5956284153005497E-2</v>
      </c>
      <c r="B550" s="22">
        <v>9.2894802912378751E-3</v>
      </c>
    </row>
    <row r="551" spans="1:2" x14ac:dyDescent="0.35">
      <c r="A551" s="22">
        <v>4.7355828727002801E-2</v>
      </c>
      <c r="B551" s="22">
        <v>5.1741293532338264E-2</v>
      </c>
    </row>
    <row r="552" spans="1:2" x14ac:dyDescent="0.35">
      <c r="A552" s="22">
        <v>-7.2469476171721286E-3</v>
      </c>
      <c r="B552" s="22">
        <v>-1.0170293282876058E-2</v>
      </c>
    </row>
    <row r="553" spans="1:2" x14ac:dyDescent="0.35">
      <c r="A553" s="22">
        <v>-2.6977703721336236E-2</v>
      </c>
      <c r="B553" s="22">
        <v>-8.1242532855436891E-3</v>
      </c>
    </row>
    <row r="554" spans="1:2" x14ac:dyDescent="0.35">
      <c r="A554" s="22">
        <v>-4.1262333849792075E-2</v>
      </c>
      <c r="B554" s="22">
        <v>-1.6381594796434588E-2</v>
      </c>
    </row>
    <row r="555" spans="1:2" x14ac:dyDescent="0.35">
      <c r="A555" s="22">
        <v>1.5565195202857979E-2</v>
      </c>
      <c r="B555" s="22">
        <v>3.1839333823169343E-2</v>
      </c>
    </row>
    <row r="556" spans="1:2" x14ac:dyDescent="0.35">
      <c r="A556" s="22">
        <v>4.8492462311557717E-2</v>
      </c>
      <c r="B556" s="22">
        <v>4.0826014716354116E-2</v>
      </c>
    </row>
    <row r="557" spans="1:2" x14ac:dyDescent="0.35">
      <c r="A557" s="22">
        <v>1.7733045770428939E-2</v>
      </c>
      <c r="B557" s="22">
        <v>-4.3329532497150477E-3</v>
      </c>
    </row>
    <row r="558" spans="1:2" x14ac:dyDescent="0.35">
      <c r="A558" s="22">
        <v>3.006043481673348E-2</v>
      </c>
      <c r="B558" s="22">
        <v>2.6568941823179197E-2</v>
      </c>
    </row>
    <row r="559" spans="1:2" x14ac:dyDescent="0.35">
      <c r="A559" s="22">
        <v>-8.0006095702530571E-3</v>
      </c>
      <c r="B559" s="22">
        <v>-2.6996876394466775E-2</v>
      </c>
    </row>
    <row r="560" spans="1:2" x14ac:dyDescent="0.35">
      <c r="A560" s="22">
        <v>2.2275136339196602E-2</v>
      </c>
      <c r="B560" s="22">
        <v>2.1783994496675139E-2</v>
      </c>
    </row>
    <row r="561" spans="1:2" x14ac:dyDescent="0.35">
      <c r="A561" s="22">
        <v>-6.7623412728231582E-4</v>
      </c>
      <c r="B561" s="22">
        <v>-1.7504488330341138E-2</v>
      </c>
    </row>
    <row r="562" spans="1:2" x14ac:dyDescent="0.35">
      <c r="A562" s="22">
        <v>-6.9172932330826128E-3</v>
      </c>
      <c r="B562" s="22">
        <v>1.3019643672910012E-2</v>
      </c>
    </row>
    <row r="563" spans="1:2" x14ac:dyDescent="0.35">
      <c r="A563" s="22">
        <v>1.2265293761356572E-2</v>
      </c>
      <c r="B563" s="22">
        <v>-1.578354002254798E-2</v>
      </c>
    </row>
    <row r="564" spans="1:2" x14ac:dyDescent="0.35">
      <c r="A564" s="22">
        <v>8.3021690351534304E-3</v>
      </c>
      <c r="B564" s="22">
        <v>1.3058419243986262E-2</v>
      </c>
    </row>
    <row r="565" spans="1:2" x14ac:dyDescent="0.35">
      <c r="A565" s="22">
        <v>3.2119278985238364E-2</v>
      </c>
      <c r="B565" s="22">
        <v>4.6132971506105819E-2</v>
      </c>
    </row>
    <row r="566" spans="1:2" x14ac:dyDescent="0.35">
      <c r="A566" s="22">
        <v>-4.3122035360068593E-3</v>
      </c>
      <c r="B566" s="22">
        <v>-2.2481625594466044E-2</v>
      </c>
    </row>
    <row r="567" spans="1:2" x14ac:dyDescent="0.35">
      <c r="A567" s="22">
        <v>-2.8728165150858884E-2</v>
      </c>
      <c r="B567" s="22">
        <v>-3.2728881026094579E-2</v>
      </c>
    </row>
    <row r="568" spans="1:2" x14ac:dyDescent="0.35">
      <c r="A568" s="22">
        <v>-7.7288941736027945E-3</v>
      </c>
      <c r="B568" s="22">
        <v>-1.7832647462277116E-2</v>
      </c>
    </row>
    <row r="569" spans="1:2" x14ac:dyDescent="0.35">
      <c r="A569" s="22">
        <v>6.1414020371479416E-3</v>
      </c>
      <c r="B569" s="22">
        <v>5.121042830540011E-3</v>
      </c>
    </row>
    <row r="570" spans="1:2" x14ac:dyDescent="0.35">
      <c r="A570" s="22">
        <v>-1.5185350602947685E-2</v>
      </c>
      <c r="B570" s="22">
        <v>-4.0759610930986519E-2</v>
      </c>
    </row>
    <row r="571" spans="1:2" x14ac:dyDescent="0.35">
      <c r="A571" s="22">
        <v>-2.9780801209372619E-2</v>
      </c>
      <c r="B571" s="22">
        <v>-4.6354418155480484E-2</v>
      </c>
    </row>
    <row r="572" spans="1:2" x14ac:dyDescent="0.35">
      <c r="A572" s="22">
        <v>7.9464007478963986E-3</v>
      </c>
      <c r="B572" s="22">
        <v>-1.9746835443038003E-2</v>
      </c>
    </row>
    <row r="573" spans="1:2" x14ac:dyDescent="0.35">
      <c r="A573" s="22">
        <v>-9.5068789611994879E-3</v>
      </c>
      <c r="B573" s="22">
        <v>1.6270661157024861E-2</v>
      </c>
    </row>
    <row r="574" spans="1:2" x14ac:dyDescent="0.35">
      <c r="A574" s="22">
        <v>-2.4736636753804147E-2</v>
      </c>
      <c r="B574" s="22">
        <v>2.4904701397712753E-2</v>
      </c>
    </row>
    <row r="575" spans="1:2" x14ac:dyDescent="0.35">
      <c r="A575" s="22">
        <v>4.8007681228998459E-4</v>
      </c>
      <c r="B575" s="22">
        <v>-7.1906769154475372E-3</v>
      </c>
    </row>
    <row r="576" spans="1:2" x14ac:dyDescent="0.35">
      <c r="A576" s="22">
        <v>1.9593730006397862E-2</v>
      </c>
      <c r="B576" s="22">
        <v>4.4955044955044881E-3</v>
      </c>
    </row>
    <row r="577" spans="1:2" x14ac:dyDescent="0.35">
      <c r="A577" s="22">
        <v>4.6827202133500771E-2</v>
      </c>
      <c r="B577" s="22">
        <v>-2.2376926902037868E-3</v>
      </c>
    </row>
    <row r="578" spans="1:2" x14ac:dyDescent="0.35">
      <c r="A578" s="22">
        <v>-1.371197362505629E-2</v>
      </c>
      <c r="B578" s="22">
        <v>1.2459506603538499E-2</v>
      </c>
    </row>
    <row r="579" spans="1:2" x14ac:dyDescent="0.35">
      <c r="A579" s="22">
        <v>4.1176023702803433E-2</v>
      </c>
      <c r="B579" s="22">
        <v>3.5687915333497307E-2</v>
      </c>
    </row>
    <row r="580" spans="1:2" x14ac:dyDescent="0.35">
      <c r="A580" s="22">
        <v>-8.6099963516965104E-3</v>
      </c>
      <c r="B580" s="22">
        <v>-8.5551330798478951E-3</v>
      </c>
    </row>
    <row r="581" spans="1:2" x14ac:dyDescent="0.35">
      <c r="A581" s="22">
        <v>-3.017590343710875E-3</v>
      </c>
      <c r="B581" s="22">
        <v>-2.4209012464045974E-2</v>
      </c>
    </row>
    <row r="582" spans="1:2" x14ac:dyDescent="0.35">
      <c r="A582" s="22">
        <v>-4.7172597076627895E-2</v>
      </c>
      <c r="B582" s="22">
        <v>-2.1370670596904874E-2</v>
      </c>
    </row>
    <row r="583" spans="1:2" x14ac:dyDescent="0.35">
      <c r="A583" s="22">
        <v>-8.7549391802897308E-3</v>
      </c>
      <c r="B583" s="22">
        <v>-5.0200803212859251E-4</v>
      </c>
    </row>
    <row r="584" spans="1:2" x14ac:dyDescent="0.35">
      <c r="A584" s="22">
        <v>-5.7995935594810082E-2</v>
      </c>
      <c r="B584" s="22">
        <v>-4.4701155198392795E-2</v>
      </c>
    </row>
    <row r="585" spans="1:2" x14ac:dyDescent="0.35">
      <c r="A585" s="22">
        <v>5.9741121805509364E-3</v>
      </c>
      <c r="B585" s="22">
        <v>1.6298633017875853E-2</v>
      </c>
    </row>
    <row r="586" spans="1:2" x14ac:dyDescent="0.35">
      <c r="A586" s="22">
        <v>4.7921478060046208E-2</v>
      </c>
      <c r="B586" s="22">
        <v>2.3279875840663067E-3</v>
      </c>
    </row>
    <row r="587" spans="1:2" x14ac:dyDescent="0.35">
      <c r="A587" s="22">
        <v>-1.849665486029118E-2</v>
      </c>
      <c r="B587" s="22">
        <v>-2.1677419354838797E-2</v>
      </c>
    </row>
    <row r="588" spans="1:2" x14ac:dyDescent="0.35">
      <c r="A588" s="22">
        <v>1.1066559743384085E-2</v>
      </c>
      <c r="B588" s="22">
        <v>1.4244262727512697E-2</v>
      </c>
    </row>
    <row r="589" spans="1:2" x14ac:dyDescent="0.35">
      <c r="A589" s="22">
        <v>-2.5539340101522832E-2</v>
      </c>
      <c r="B589" s="22">
        <v>3.8751625487646157E-2</v>
      </c>
    </row>
    <row r="590" spans="1:2" x14ac:dyDescent="0.35">
      <c r="A590" s="22">
        <v>2.6045905909164925E-2</v>
      </c>
      <c r="B590" s="22">
        <v>3.0796194291437259E-2</v>
      </c>
    </row>
    <row r="591" spans="1:2" x14ac:dyDescent="0.35">
      <c r="A591" s="22">
        <v>-5.8940187212438572E-2</v>
      </c>
      <c r="B591" s="22">
        <v>-2.9633228078698053E-2</v>
      </c>
    </row>
    <row r="592" spans="1:2" x14ac:dyDescent="0.35">
      <c r="A592" s="22">
        <v>-3.4898423670235192E-2</v>
      </c>
      <c r="B592" s="22">
        <v>-9.2615769712141305E-3</v>
      </c>
    </row>
    <row r="593" spans="1:2" x14ac:dyDescent="0.35">
      <c r="A593" s="22">
        <v>-2.8648790287361354E-2</v>
      </c>
      <c r="B593" s="22">
        <v>-3.3350176856998495E-2</v>
      </c>
    </row>
    <row r="594" spans="1:2" x14ac:dyDescent="0.35">
      <c r="A594" s="22">
        <v>-1.5466235050804774E-2</v>
      </c>
      <c r="B594" s="22">
        <v>1.1500261369576709E-2</v>
      </c>
    </row>
    <row r="595" spans="1:2" x14ac:dyDescent="0.35">
      <c r="A595" s="22">
        <v>-1.4339209060188084E-2</v>
      </c>
      <c r="B595" s="22">
        <v>-3.6950904392764848E-2</v>
      </c>
    </row>
    <row r="596" spans="1:2" x14ac:dyDescent="0.35">
      <c r="A596" s="22">
        <v>-1.853224610822463E-4</v>
      </c>
      <c r="B596" s="22">
        <v>-4.5881405956533422E-2</v>
      </c>
    </row>
    <row r="597" spans="1:2" x14ac:dyDescent="0.35">
      <c r="A597" s="22">
        <v>4.7358665430954579E-2</v>
      </c>
      <c r="B597" s="22">
        <v>7.4521934758155189E-2</v>
      </c>
    </row>
    <row r="598" spans="1:2" x14ac:dyDescent="0.35">
      <c r="A598" s="22">
        <v>-3.6279975223432507E-3</v>
      </c>
      <c r="B598" s="22">
        <v>-2.9049986914420293E-2</v>
      </c>
    </row>
    <row r="599" spans="1:2" x14ac:dyDescent="0.35">
      <c r="A599" s="22">
        <v>2.9307282415630652E-2</v>
      </c>
      <c r="B599" s="22">
        <v>2.6954177897574122E-2</v>
      </c>
    </row>
    <row r="600" spans="1:2" x14ac:dyDescent="0.35">
      <c r="A600" s="22">
        <v>-5.6341673856773085E-2</v>
      </c>
      <c r="B600" s="22">
        <v>-5.9580052493438403E-2</v>
      </c>
    </row>
    <row r="601" spans="1:2" x14ac:dyDescent="0.35">
      <c r="A601" s="22">
        <v>-2.6789796104964861E-2</v>
      </c>
      <c r="B601" s="22">
        <v>8.0937761652246486E-3</v>
      </c>
    </row>
    <row r="602" spans="1:2" x14ac:dyDescent="0.35">
      <c r="A602" s="22">
        <v>1.4656144306651657E-2</v>
      </c>
      <c r="B602" s="22">
        <v>-1.9933554817275718E-2</v>
      </c>
    </row>
    <row r="603" spans="1:2" x14ac:dyDescent="0.35">
      <c r="A603" s="22">
        <v>5.8333333333332911E-3</v>
      </c>
      <c r="B603" s="22">
        <v>1.6949152542372923E-2</v>
      </c>
    </row>
    <row r="604" spans="1:2" x14ac:dyDescent="0.35">
      <c r="A604" s="22">
        <v>-1.2335450612169651E-2</v>
      </c>
      <c r="B604" s="22">
        <v>-2.1944444444444419E-2</v>
      </c>
    </row>
    <row r="605" spans="1:2" x14ac:dyDescent="0.35">
      <c r="A605" s="22">
        <v>8.4816851523906844E-3</v>
      </c>
      <c r="B605" s="22">
        <v>2.1868787276341835E-2</v>
      </c>
    </row>
    <row r="606" spans="1:2" x14ac:dyDescent="0.35">
      <c r="A606" s="22">
        <v>4.3807763401109007E-2</v>
      </c>
      <c r="B606" s="22">
        <v>4.0022234574763893E-2</v>
      </c>
    </row>
    <row r="607" spans="1:2" x14ac:dyDescent="0.35">
      <c r="A607" s="22">
        <v>2.7005489640517064E-2</v>
      </c>
      <c r="B607" s="22">
        <v>3.0732228754676603E-2</v>
      </c>
    </row>
    <row r="608" spans="1:2" x14ac:dyDescent="0.35">
      <c r="A608" s="22">
        <v>2.4657298042934733E-2</v>
      </c>
      <c r="B608" s="22">
        <v>2.8519574799066483E-3</v>
      </c>
    </row>
    <row r="609" spans="1:2" x14ac:dyDescent="0.35">
      <c r="A609" s="22">
        <v>-1.4303744215396509E-3</v>
      </c>
      <c r="B609" s="22">
        <v>-1.0599793174767233E-2</v>
      </c>
    </row>
    <row r="610" spans="1:2" x14ac:dyDescent="0.35">
      <c r="A610" s="22">
        <v>3.9855072463768029E-2</v>
      </c>
      <c r="B610" s="22">
        <v>1.5678076822576281E-2</v>
      </c>
    </row>
    <row r="611" spans="1:2" x14ac:dyDescent="0.35">
      <c r="A611" s="22">
        <v>-1.9933554817275698E-2</v>
      </c>
      <c r="B611" s="22">
        <v>-3.2415744790326682E-2</v>
      </c>
    </row>
    <row r="612" spans="1:2" x14ac:dyDescent="0.35">
      <c r="A612" s="22">
        <v>-5.9528730880529053E-3</v>
      </c>
      <c r="B612" s="22">
        <v>5.8495081095453032E-3</v>
      </c>
    </row>
    <row r="613" spans="1:2" x14ac:dyDescent="0.35">
      <c r="A613" s="22">
        <v>1.1977043999001893E-2</v>
      </c>
      <c r="B613" s="22">
        <v>1.4274385408406006E-2</v>
      </c>
    </row>
    <row r="614" spans="1:2" x14ac:dyDescent="0.35">
      <c r="A614" s="22">
        <v>5.9998356209419249E-3</v>
      </c>
      <c r="B614" s="22">
        <v>-1.7722178785509506E-2</v>
      </c>
    </row>
    <row r="615" spans="1:2" x14ac:dyDescent="0.35">
      <c r="A615" s="22">
        <v>-3.1045751633987019E-2</v>
      </c>
      <c r="B615" s="22">
        <v>-2.7593526134253095E-2</v>
      </c>
    </row>
    <row r="616" spans="1:2" x14ac:dyDescent="0.35">
      <c r="A616" s="22">
        <v>-3.2630691399662654E-2</v>
      </c>
      <c r="B616" s="22">
        <v>-4.4747612551159638E-2</v>
      </c>
    </row>
    <row r="617" spans="1:2" x14ac:dyDescent="0.35">
      <c r="A617" s="22">
        <v>-3.7392138063279054E-2</v>
      </c>
      <c r="B617" s="22">
        <v>-7.7977720651242421E-2</v>
      </c>
    </row>
    <row r="618" spans="1:2" x14ac:dyDescent="0.35">
      <c r="A618" s="22">
        <v>2.5353132922854142E-3</v>
      </c>
      <c r="B618" s="22">
        <v>2.8500619578686544E-2</v>
      </c>
    </row>
    <row r="619" spans="1:2" x14ac:dyDescent="0.35">
      <c r="A619" s="22">
        <v>2.4566473988439298E-2</v>
      </c>
      <c r="B619" s="22">
        <v>2.9518072289156531E-2</v>
      </c>
    </row>
    <row r="620" spans="1:2" x14ac:dyDescent="0.35">
      <c r="A620" s="22">
        <v>-5.5712270803949165E-2</v>
      </c>
      <c r="B620" s="22">
        <v>-8.0748976009362136E-2</v>
      </c>
    </row>
    <row r="621" spans="1:2" x14ac:dyDescent="0.35">
      <c r="A621" s="22">
        <v>2.0537714712471886E-3</v>
      </c>
      <c r="B621" s="22">
        <v>1.4640356460852873E-2</v>
      </c>
    </row>
    <row r="622" spans="1:2" x14ac:dyDescent="0.35">
      <c r="A622" s="22">
        <v>1.248369666480346E-2</v>
      </c>
      <c r="B622" s="22">
        <v>2.383939774153079E-2</v>
      </c>
    </row>
    <row r="623" spans="1:2" x14ac:dyDescent="0.35">
      <c r="A623" s="22">
        <v>-3.4596981965403062E-2</v>
      </c>
      <c r="B623" s="22">
        <v>5.8210784313724789E-3</v>
      </c>
    </row>
    <row r="624" spans="1:2" x14ac:dyDescent="0.35">
      <c r="A624" s="22">
        <v>2.9355699580632846E-2</v>
      </c>
      <c r="B624" s="22">
        <v>4.8735912275359033E-3</v>
      </c>
    </row>
    <row r="625" spans="1:2" x14ac:dyDescent="0.35">
      <c r="A625" s="22">
        <v>4.5462962962962934E-2</v>
      </c>
      <c r="B625" s="22">
        <v>5.5471354956047235E-2</v>
      </c>
    </row>
    <row r="626" spans="1:2" x14ac:dyDescent="0.35">
      <c r="A626" s="22">
        <v>-2.1344433619697074E-2</v>
      </c>
      <c r="B626" s="22">
        <v>-5.456634118322738E-3</v>
      </c>
    </row>
    <row r="627" spans="1:2" x14ac:dyDescent="0.35">
      <c r="A627" s="22">
        <v>-6.9864253393665143E-2</v>
      </c>
      <c r="B627" s="22">
        <v>-1.8481085763788638E-2</v>
      </c>
    </row>
    <row r="628" spans="1:2" x14ac:dyDescent="0.35">
      <c r="A628" s="22">
        <v>4.5728741000194478E-3</v>
      </c>
      <c r="B628" s="22">
        <v>-1.5887025595763434E-2</v>
      </c>
    </row>
    <row r="629" spans="1:2" x14ac:dyDescent="0.35">
      <c r="A629" s="22">
        <v>-1.0169491525423702E-2</v>
      </c>
      <c r="B629" s="22">
        <v>-5.0523168908819166E-2</v>
      </c>
    </row>
    <row r="630" spans="1:2" x14ac:dyDescent="0.35">
      <c r="A630" s="22">
        <v>-9.9804305283756941E-3</v>
      </c>
      <c r="B630" s="22">
        <v>1.3539042821158569E-2</v>
      </c>
    </row>
    <row r="631" spans="1:2" x14ac:dyDescent="0.35">
      <c r="A631" s="22">
        <v>3.1033801146471498E-2</v>
      </c>
      <c r="B631" s="22">
        <v>5.5917986952469627E-3</v>
      </c>
    </row>
    <row r="632" spans="1:2" x14ac:dyDescent="0.35">
      <c r="A632" s="22">
        <v>-8.6273006134958983E-4</v>
      </c>
      <c r="B632" s="22">
        <v>-3.3982082174853198E-2</v>
      </c>
    </row>
    <row r="633" spans="1:2" x14ac:dyDescent="0.35">
      <c r="A633" s="22">
        <v>3.7417250311810334E-2</v>
      </c>
      <c r="B633" s="22">
        <v>4.4451551007355199E-2</v>
      </c>
    </row>
    <row r="634" spans="1:2" x14ac:dyDescent="0.35">
      <c r="A634" s="22">
        <v>-1.8496254508460987E-3</v>
      </c>
      <c r="B634" s="22">
        <v>-1.0716472749540549E-2</v>
      </c>
    </row>
    <row r="635" spans="1:2" x14ac:dyDescent="0.35">
      <c r="A635" s="22">
        <v>-2.6128045955712102E-2</v>
      </c>
      <c r="B635" s="22">
        <v>-4.4568245125348224E-2</v>
      </c>
    </row>
    <row r="636" spans="1:2" x14ac:dyDescent="0.35">
      <c r="A636" s="22">
        <v>-1.2843687565407614E-2</v>
      </c>
      <c r="B636" s="22">
        <v>2.1379980563654036E-2</v>
      </c>
    </row>
    <row r="637" spans="1:2" x14ac:dyDescent="0.35">
      <c r="A637" s="22">
        <v>1.3010794140323769E-2</v>
      </c>
      <c r="B637" s="22">
        <v>6.0260069774816915E-3</v>
      </c>
    </row>
    <row r="638" spans="1:2" x14ac:dyDescent="0.35">
      <c r="A638" s="22">
        <v>-1.7981162591570742E-2</v>
      </c>
      <c r="B638" s="22">
        <v>-4.0983606557376739E-3</v>
      </c>
    </row>
    <row r="639" spans="1:2" x14ac:dyDescent="0.35">
      <c r="A639" s="22">
        <v>1.4338306529742337E-2</v>
      </c>
      <c r="B639" s="22">
        <v>4.0519151630262665E-2</v>
      </c>
    </row>
    <row r="640" spans="1:2" x14ac:dyDescent="0.35">
      <c r="A640" s="22">
        <v>-7.2588347659981386E-3</v>
      </c>
      <c r="B640" s="22">
        <v>-7.6057195010648011E-3</v>
      </c>
    </row>
    <row r="641" spans="1:2" x14ac:dyDescent="0.35">
      <c r="A641" s="22">
        <v>5.0509909563209547E-2</v>
      </c>
      <c r="B641" s="22">
        <v>5.4567749846719846E-2</v>
      </c>
    </row>
    <row r="642" spans="1:2" x14ac:dyDescent="0.35">
      <c r="A642" s="22">
        <v>1.7584027841377432E-2</v>
      </c>
      <c r="B642" s="22">
        <v>1.0465116279069752E-2</v>
      </c>
    </row>
    <row r="643" spans="1:2" x14ac:dyDescent="0.35">
      <c r="A643" s="22">
        <v>4.5900459004590503E-3</v>
      </c>
      <c r="B643" s="22">
        <v>1.0644418872267105E-2</v>
      </c>
    </row>
    <row r="644" spans="1:2" x14ac:dyDescent="0.35">
      <c r="A644" s="22">
        <v>-2.2397419817237054E-2</v>
      </c>
      <c r="B644" s="22">
        <v>-1.3094221463136943E-2</v>
      </c>
    </row>
    <row r="645" spans="1:2" x14ac:dyDescent="0.35">
      <c r="A645" s="22">
        <v>1.4662756598240157E-3</v>
      </c>
      <c r="B645" s="22">
        <v>-4.3265070666281677E-3</v>
      </c>
    </row>
    <row r="646" spans="1:2" x14ac:dyDescent="0.35">
      <c r="A646" s="22">
        <v>-3.7335285505124438E-2</v>
      </c>
      <c r="B646" s="22">
        <v>-3.418308227114715E-2</v>
      </c>
    </row>
    <row r="647" spans="1:2" x14ac:dyDescent="0.35">
      <c r="A647" s="22">
        <v>2.5285171102661565E-2</v>
      </c>
      <c r="B647" s="22">
        <v>4.019196160767835E-2</v>
      </c>
    </row>
    <row r="648" spans="1:2" x14ac:dyDescent="0.35">
      <c r="A648" s="22">
        <v>4.0515483033562068E-2</v>
      </c>
      <c r="B648" s="22">
        <v>3.0565167243368E-2</v>
      </c>
    </row>
    <row r="649" spans="1:2" x14ac:dyDescent="0.35">
      <c r="A649" s="22">
        <v>2.3968635837120177E-2</v>
      </c>
      <c r="B649" s="22">
        <v>1.4549524342473308E-2</v>
      </c>
    </row>
    <row r="650" spans="1:2" x14ac:dyDescent="0.35">
      <c r="A650" s="22">
        <v>-5.395057431256566E-3</v>
      </c>
      <c r="B650" s="22">
        <v>1.4065085493657065E-2</v>
      </c>
    </row>
    <row r="651" spans="1:2" x14ac:dyDescent="0.35">
      <c r="A651" s="22">
        <v>-2.2134733158355215E-2</v>
      </c>
      <c r="B651" s="22">
        <v>-1.7405493608920328E-2</v>
      </c>
    </row>
    <row r="652" spans="1:2" x14ac:dyDescent="0.35">
      <c r="A652" s="22">
        <v>2.2456830992216206E-2</v>
      </c>
      <c r="B652" s="22">
        <v>3.2659839468585652E-2</v>
      </c>
    </row>
    <row r="653" spans="1:2" x14ac:dyDescent="0.35">
      <c r="A653" s="22">
        <v>1.7500875043752436E-3</v>
      </c>
      <c r="B653" s="22">
        <v>-2.8946663093004699E-2</v>
      </c>
    </row>
    <row r="654" spans="1:2" x14ac:dyDescent="0.35">
      <c r="A654" s="22">
        <v>-5.3284416491963613E-3</v>
      </c>
      <c r="B654" s="22">
        <v>-4.692243996687679E-3</v>
      </c>
    </row>
    <row r="655" spans="1:2" x14ac:dyDescent="0.35">
      <c r="A655" s="22">
        <v>1.1416527619214495E-3</v>
      </c>
      <c r="B655" s="22">
        <v>4.1597337770382693E-2</v>
      </c>
    </row>
    <row r="656" spans="1:2" x14ac:dyDescent="0.35">
      <c r="A656" s="22">
        <v>-3.4122807017543867E-2</v>
      </c>
      <c r="B656" s="22">
        <v>-2.5026624068157741E-2</v>
      </c>
    </row>
    <row r="657" spans="1:2" x14ac:dyDescent="0.35">
      <c r="A657" s="22">
        <v>2.751793660884571E-2</v>
      </c>
      <c r="B657" s="22">
        <v>3.6318951392681743E-2</v>
      </c>
    </row>
    <row r="658" spans="1:2" x14ac:dyDescent="0.35">
      <c r="A658" s="22">
        <v>8.4850627541098976E-3</v>
      </c>
      <c r="B658" s="22">
        <v>1.3438735177865559E-2</v>
      </c>
    </row>
    <row r="659" spans="1:2" x14ac:dyDescent="0.35">
      <c r="A659" s="22">
        <v>1.7265556529360203E-2</v>
      </c>
      <c r="B659" s="22">
        <v>2.6521060842433594E-2</v>
      </c>
    </row>
    <row r="660" spans="1:2" x14ac:dyDescent="0.35">
      <c r="A660" s="22">
        <v>2.1538726630481609E-3</v>
      </c>
      <c r="B660" s="22">
        <v>-2.0263424518743235E-3</v>
      </c>
    </row>
    <row r="661" spans="1:2" x14ac:dyDescent="0.35">
      <c r="A661" s="22">
        <v>1.4958734525447121E-2</v>
      </c>
      <c r="B661" s="22">
        <v>-1.040609137055829E-2</v>
      </c>
    </row>
    <row r="662" spans="1:2" x14ac:dyDescent="0.35">
      <c r="A662" s="22">
        <v>-8.6396747416567516E-3</v>
      </c>
      <c r="B662" s="22">
        <v>-1.5132085150038558E-2</v>
      </c>
    </row>
    <row r="663" spans="1:2" x14ac:dyDescent="0.35">
      <c r="A663" s="22">
        <v>-8.8004101161995984E-3</v>
      </c>
      <c r="B663" s="22">
        <v>8.3333333333333419E-3</v>
      </c>
    </row>
    <row r="664" spans="1:2" x14ac:dyDescent="0.35">
      <c r="A664" s="22">
        <v>-2.4566847685544423E-2</v>
      </c>
      <c r="B664" s="22">
        <v>2.5309917355372004E-2</v>
      </c>
    </row>
    <row r="665" spans="1:2" x14ac:dyDescent="0.35">
      <c r="A665" s="22">
        <v>-2.4920466595970248E-2</v>
      </c>
      <c r="B665" s="22">
        <v>-2.8967254408060594E-2</v>
      </c>
    </row>
    <row r="666" spans="1:2" x14ac:dyDescent="0.35">
      <c r="A666" s="22">
        <v>3.0813848105854941E-3</v>
      </c>
      <c r="B666" s="22">
        <v>2.5940337224397188E-4</v>
      </c>
    </row>
    <row r="667" spans="1:2" x14ac:dyDescent="0.35">
      <c r="A667" s="22">
        <v>6.5955908926634416E-3</v>
      </c>
      <c r="B667" s="22">
        <v>1.7894190871369235E-2</v>
      </c>
    </row>
    <row r="668" spans="1:2" x14ac:dyDescent="0.35">
      <c r="A668" s="22">
        <v>1.6246297459833071E-2</v>
      </c>
      <c r="B668" s="22">
        <v>2.9044585987261159E-2</v>
      </c>
    </row>
    <row r="669" spans="1:2" x14ac:dyDescent="0.35">
      <c r="A669" s="22">
        <v>-4.3631867161278905E-2</v>
      </c>
      <c r="B669" s="22">
        <v>-2.8719980193117198E-2</v>
      </c>
    </row>
    <row r="670" spans="1:2" x14ac:dyDescent="0.35">
      <c r="A670" s="22">
        <v>-3.6941263391208506E-3</v>
      </c>
      <c r="B670" s="22">
        <v>7.1373948508794589E-3</v>
      </c>
    </row>
    <row r="671" spans="1:2" x14ac:dyDescent="0.35">
      <c r="A671" s="22">
        <v>-1.8539117538001504E-4</v>
      </c>
      <c r="B671" s="22">
        <v>-9.6178182738546059E-3</v>
      </c>
    </row>
    <row r="672" spans="1:2" x14ac:dyDescent="0.35">
      <c r="A672" s="22">
        <v>-1.3072501390691606E-2</v>
      </c>
      <c r="B672" s="22">
        <v>-2.3511372348581694E-2</v>
      </c>
    </row>
    <row r="673" spans="1:2" x14ac:dyDescent="0.35">
      <c r="A673" s="22">
        <v>3.7576326914036677E-4</v>
      </c>
      <c r="B673" s="22">
        <v>9.1599057838262603E-3</v>
      </c>
    </row>
    <row r="674" spans="1:2" x14ac:dyDescent="0.35">
      <c r="A674" s="22">
        <v>-7.0429148276833506E-3</v>
      </c>
      <c r="B674" s="22">
        <v>-2.3340248962656486E-3</v>
      </c>
    </row>
    <row r="675" spans="1:2" x14ac:dyDescent="0.35">
      <c r="A675" s="22">
        <v>-5.5797238509550711E-3</v>
      </c>
      <c r="B675" s="22">
        <v>6.2386275019496234E-3</v>
      </c>
    </row>
    <row r="676" spans="1:2" x14ac:dyDescent="0.35">
      <c r="A676" s="22">
        <v>3.166904422253921E-2</v>
      </c>
      <c r="B676" s="22">
        <v>3.6166365280289291E-2</v>
      </c>
    </row>
    <row r="677" spans="1:2" x14ac:dyDescent="0.35">
      <c r="A677" s="22">
        <v>2.3045722713864306E-3</v>
      </c>
      <c r="B677" s="22">
        <v>9.7232610321615707E-3</v>
      </c>
    </row>
    <row r="678" spans="1:2" x14ac:dyDescent="0.35">
      <c r="A678" s="22">
        <v>2.0601489929182329E-2</v>
      </c>
      <c r="B678" s="22">
        <v>1.9506172839506151E-2</v>
      </c>
    </row>
    <row r="679" spans="1:2" x14ac:dyDescent="0.35">
      <c r="A679" s="22">
        <v>1.2706136793728003E-2</v>
      </c>
      <c r="B679" s="22">
        <v>1.8406393799951515E-2</v>
      </c>
    </row>
    <row r="680" spans="1:2" x14ac:dyDescent="0.35">
      <c r="A680" s="22">
        <v>-5.9263214095034676E-2</v>
      </c>
      <c r="B680" s="22">
        <v>-3.6147443519619411E-2</v>
      </c>
    </row>
    <row r="681" spans="1:2" x14ac:dyDescent="0.35">
      <c r="A681" s="22">
        <v>1.2107453651154003E-2</v>
      </c>
      <c r="B681" s="22">
        <v>2.2205773501109377E-3</v>
      </c>
    </row>
    <row r="682" spans="1:2" x14ac:dyDescent="0.35">
      <c r="A682" s="22">
        <v>-1.4018691588785047E-2</v>
      </c>
      <c r="B682" s="22">
        <v>9.8473658296403615E-4</v>
      </c>
    </row>
    <row r="683" spans="1:2" x14ac:dyDescent="0.35">
      <c r="A683" s="22">
        <v>-1.3080568720379104E-2</v>
      </c>
      <c r="B683" s="22">
        <v>-1.6969995081160792E-2</v>
      </c>
    </row>
    <row r="684" spans="1:2" x14ac:dyDescent="0.35">
      <c r="A684" s="22">
        <v>2.9677295428351798E-2</v>
      </c>
      <c r="B684" s="22">
        <v>3.5526644983737844E-2</v>
      </c>
    </row>
    <row r="685" spans="1:2" x14ac:dyDescent="0.35">
      <c r="A685" s="22">
        <v>-4.4678668034698187E-2</v>
      </c>
      <c r="B685" s="22">
        <v>-5.6293790770717521E-2</v>
      </c>
    </row>
    <row r="686" spans="1:2" x14ac:dyDescent="0.35">
      <c r="A686" s="22">
        <v>-2.5678578402655687E-2</v>
      </c>
      <c r="B686" s="22">
        <v>-3.5330261136712816E-2</v>
      </c>
    </row>
    <row r="687" spans="1:2" x14ac:dyDescent="0.35">
      <c r="A687" s="22">
        <v>-1.2426094799078155E-2</v>
      </c>
      <c r="B687" s="22">
        <v>-7.9617834394903712E-3</v>
      </c>
    </row>
    <row r="688" spans="1:2" x14ac:dyDescent="0.35">
      <c r="A688" s="22">
        <v>-1.5525114155251154E-2</v>
      </c>
      <c r="B688" s="22">
        <v>-5.0829320492241988E-2</v>
      </c>
    </row>
    <row r="689" spans="1:2" x14ac:dyDescent="0.35">
      <c r="A689" s="22">
        <v>-9.8948670377241171E-3</v>
      </c>
      <c r="B689" s="22">
        <v>-1.2401352874859013E-2</v>
      </c>
    </row>
    <row r="690" spans="1:2" x14ac:dyDescent="0.35">
      <c r="A690" s="22">
        <v>2.3943368727878823E-3</v>
      </c>
      <c r="B690" s="22">
        <v>-9.4178082191780331E-3</v>
      </c>
    </row>
    <row r="691" spans="1:2" x14ac:dyDescent="0.35">
      <c r="A691" s="22">
        <v>2.5028559559663481E-2</v>
      </c>
      <c r="B691" s="22">
        <v>1.555747623163351E-2</v>
      </c>
    </row>
    <row r="692" spans="1:2" x14ac:dyDescent="0.35">
      <c r="A692" s="22">
        <v>-3.4143870314083127E-2</v>
      </c>
      <c r="B692" s="22">
        <v>-5.6453900709219913E-2</v>
      </c>
    </row>
    <row r="693" spans="1:2" x14ac:dyDescent="0.35">
      <c r="A693" s="22">
        <v>-0.12808140144760299</v>
      </c>
      <c r="B693" s="22">
        <v>-3.517739025856869E-2</v>
      </c>
    </row>
    <row r="694" spans="1:2" x14ac:dyDescent="0.35">
      <c r="A694" s="22">
        <v>2.7430221366698759E-2</v>
      </c>
      <c r="B694" s="22">
        <v>2.4306637581800995E-2</v>
      </c>
    </row>
    <row r="695" spans="1:2" x14ac:dyDescent="0.35">
      <c r="A695" s="22">
        <v>3.7939110070257548E-2</v>
      </c>
      <c r="B695" s="22">
        <v>8.9139032552479458E-2</v>
      </c>
    </row>
    <row r="696" spans="1:2" x14ac:dyDescent="0.35">
      <c r="A696" s="22">
        <v>2.7752707581227366E-2</v>
      </c>
      <c r="B696" s="22">
        <v>-2.6815642458100385E-2</v>
      </c>
    </row>
    <row r="697" spans="1:2" x14ac:dyDescent="0.35">
      <c r="A697" s="22">
        <v>-1.0208562019758427E-2</v>
      </c>
      <c r="B697" s="22">
        <v>-6.0275545350172459E-3</v>
      </c>
    </row>
    <row r="698" spans="1:2" x14ac:dyDescent="0.35">
      <c r="A698" s="22">
        <v>-3.3381390706443442E-2</v>
      </c>
      <c r="B698" s="22">
        <v>-2.9165463470979064E-2</v>
      </c>
    </row>
    <row r="699" spans="1:2" x14ac:dyDescent="0.35">
      <c r="A699" s="22">
        <v>-5.3923818265259162E-3</v>
      </c>
      <c r="B699" s="22">
        <v>-3.9559785841760807E-2</v>
      </c>
    </row>
    <row r="700" spans="1:2" x14ac:dyDescent="0.35">
      <c r="A700" s="22">
        <v>1.4995962625446963E-2</v>
      </c>
      <c r="B700" s="22">
        <v>-6.193868070609964E-3</v>
      </c>
    </row>
    <row r="701" spans="1:2" x14ac:dyDescent="0.35">
      <c r="A701" s="22">
        <v>5.9097624730084126E-3</v>
      </c>
      <c r="B701" s="22">
        <v>3.4278591461514309E-3</v>
      </c>
    </row>
    <row r="702" spans="1:2" x14ac:dyDescent="0.35">
      <c r="A702" s="22">
        <v>1.1863066320189776E-2</v>
      </c>
      <c r="B702" s="22">
        <v>1.7391304347825935E-2</v>
      </c>
    </row>
    <row r="703" spans="1:2" x14ac:dyDescent="0.35">
      <c r="A703" s="22">
        <v>-2.2443054935239001E-2</v>
      </c>
      <c r="B703" s="22">
        <v>3.968253968254047E-3</v>
      </c>
    </row>
    <row r="704" spans="1:2" x14ac:dyDescent="0.35">
      <c r="A704" s="22">
        <v>2.7641347801256447E-2</v>
      </c>
      <c r="B704" s="22">
        <v>2.0674977196716317E-2</v>
      </c>
    </row>
    <row r="705" spans="1:2" x14ac:dyDescent="0.35">
      <c r="A705" s="22">
        <v>-3.2232966544402807E-3</v>
      </c>
      <c r="B705" s="22">
        <v>2.0256181114089954E-2</v>
      </c>
    </row>
    <row r="706" spans="1:2" x14ac:dyDescent="0.35">
      <c r="A706" s="22">
        <v>-1.2377341659232979E-2</v>
      </c>
      <c r="B706" s="22">
        <v>-1.8102189781021825E-2</v>
      </c>
    </row>
    <row r="707" spans="1:2" x14ac:dyDescent="0.35">
      <c r="A707" s="22">
        <v>-1.9645478152873378E-2</v>
      </c>
      <c r="B707" s="22">
        <v>-5.6497175141244369E-3</v>
      </c>
    </row>
    <row r="708" spans="1:2" x14ac:dyDescent="0.35">
      <c r="A708" s="22">
        <v>1.9232983991707954E-2</v>
      </c>
      <c r="B708" s="22">
        <v>4.6650717703349352E-2</v>
      </c>
    </row>
    <row r="709" spans="1:2" x14ac:dyDescent="0.35">
      <c r="A709" s="22">
        <v>-5.5367231638417504E-3</v>
      </c>
      <c r="B709" s="22">
        <v>2.0571428571428539E-2</v>
      </c>
    </row>
    <row r="710" spans="1:2" x14ac:dyDescent="0.35">
      <c r="A710" s="22">
        <v>4.2154300647653603E-2</v>
      </c>
      <c r="B710" s="22">
        <v>3.6114221724524054E-2</v>
      </c>
    </row>
    <row r="711" spans="1:2" x14ac:dyDescent="0.35">
      <c r="A711" s="22">
        <v>7.3048408198866299E-3</v>
      </c>
      <c r="B711" s="22">
        <v>2.2966765738989502E-2</v>
      </c>
    </row>
    <row r="712" spans="1:2" x14ac:dyDescent="0.35">
      <c r="A712" s="22">
        <v>-2.0023812100876656E-2</v>
      </c>
      <c r="B712" s="22">
        <v>7.9239302694135549E-3</v>
      </c>
    </row>
    <row r="713" spans="1:2" x14ac:dyDescent="0.35">
      <c r="A713" s="22">
        <v>3.6337530373315573E-2</v>
      </c>
      <c r="B713" s="22">
        <v>1.8081761006289436E-2</v>
      </c>
    </row>
    <row r="714" spans="1:2" x14ac:dyDescent="0.35">
      <c r="A714" s="22">
        <v>-1.2256208035809351E-2</v>
      </c>
      <c r="B714" s="22">
        <v>1.0296010296010259E-2</v>
      </c>
    </row>
    <row r="715" spans="1:2" x14ac:dyDescent="0.35">
      <c r="A715" s="22">
        <v>1.1760897712559226E-2</v>
      </c>
      <c r="B715" s="22">
        <v>2.547770700636979E-3</v>
      </c>
    </row>
    <row r="716" spans="1:2" x14ac:dyDescent="0.35">
      <c r="A716" s="22">
        <v>-3.7005438839714182E-2</v>
      </c>
      <c r="B716" s="22">
        <v>-2.1092757306226131E-2</v>
      </c>
    </row>
    <row r="717" spans="1:2" x14ac:dyDescent="0.35">
      <c r="A717" s="22">
        <v>1.1074197120709694E-3</v>
      </c>
      <c r="B717" s="22">
        <v>-2.5960539979244849E-4</v>
      </c>
    </row>
    <row r="718" spans="1:2" x14ac:dyDescent="0.35">
      <c r="A718" s="22">
        <v>5.962389380530974E-2</v>
      </c>
      <c r="B718" s="22">
        <v>1.2723967800571332E-2</v>
      </c>
    </row>
    <row r="719" spans="1:2" x14ac:dyDescent="0.35">
      <c r="A719" s="22">
        <v>-2.4532832237185598E-2</v>
      </c>
      <c r="B719" s="22">
        <v>1.0000000000000014E-2</v>
      </c>
    </row>
    <row r="720" spans="1:2" x14ac:dyDescent="0.35">
      <c r="A720" s="22">
        <v>3.3176369863013944E-3</v>
      </c>
      <c r="B720" s="22">
        <v>-8.6316323940087182E-3</v>
      </c>
    </row>
    <row r="721" spans="1:2" x14ac:dyDescent="0.35">
      <c r="A721" s="22">
        <v>-1.760000000000006E-2</v>
      </c>
      <c r="B721" s="22">
        <v>-2.5352112676056211E-2</v>
      </c>
    </row>
    <row r="722" spans="1:2" x14ac:dyDescent="0.35">
      <c r="A722" s="22">
        <v>8.0238870792616726E-2</v>
      </c>
      <c r="B722" s="22">
        <v>4.4140830267997887E-2</v>
      </c>
    </row>
    <row r="723" spans="1:2" x14ac:dyDescent="0.35">
      <c r="A723" s="22">
        <v>6.6338325459845304E-2</v>
      </c>
      <c r="B723" s="22">
        <v>3.4725717161549957E-2</v>
      </c>
    </row>
    <row r="724" spans="1:2" x14ac:dyDescent="0.35">
      <c r="A724" s="22">
        <v>-1.6024130455273851E-2</v>
      </c>
      <c r="B724" s="22">
        <v>-2.8939688715953253E-2</v>
      </c>
    </row>
    <row r="725" spans="1:2" x14ac:dyDescent="0.35">
      <c r="A725" s="22">
        <v>2.2224350991474212E-2</v>
      </c>
      <c r="B725" s="22">
        <v>7.7635862759830275E-3</v>
      </c>
    </row>
    <row r="726" spans="1:2" x14ac:dyDescent="0.35">
      <c r="A726" s="22">
        <v>-1.3869365570236996E-2</v>
      </c>
      <c r="B726" s="22">
        <v>-4.398608349900604E-2</v>
      </c>
    </row>
    <row r="727" spans="1:2" x14ac:dyDescent="0.35">
      <c r="A727" s="22">
        <v>1.2353891475814448E-3</v>
      </c>
      <c r="B727" s="22">
        <v>4.4190278138809902E-3</v>
      </c>
    </row>
    <row r="728" spans="1:2" x14ac:dyDescent="0.35">
      <c r="A728" s="22">
        <v>5.6947608200457736E-4</v>
      </c>
      <c r="B728" s="22">
        <v>2.9244306418219526E-2</v>
      </c>
    </row>
    <row r="729" spans="1:2" x14ac:dyDescent="0.35">
      <c r="A729" s="22">
        <v>-1.5082527034718301E-2</v>
      </c>
      <c r="B729" s="22">
        <v>-6.2861453356801607E-3</v>
      </c>
    </row>
    <row r="730" spans="1:2" x14ac:dyDescent="0.35">
      <c r="A730" s="22">
        <v>2.0610613502841189E-2</v>
      </c>
      <c r="B730" s="22">
        <v>1.1386639676113251E-2</v>
      </c>
    </row>
    <row r="731" spans="1:2" x14ac:dyDescent="0.35">
      <c r="A731" s="22">
        <v>6.4169104463528059E-3</v>
      </c>
      <c r="B731" s="22">
        <v>3.5026269702276851E-3</v>
      </c>
    </row>
    <row r="732" spans="1:2" x14ac:dyDescent="0.35">
      <c r="A732" s="22">
        <v>-6.4697609001407586E-3</v>
      </c>
      <c r="B732" s="22">
        <v>8.7260034904014325E-3</v>
      </c>
    </row>
    <row r="733" spans="1:2" x14ac:dyDescent="0.35">
      <c r="A733" s="22">
        <v>-9.4375235938089844E-3</v>
      </c>
      <c r="B733" s="22">
        <v>-2.6693030153237724E-2</v>
      </c>
    </row>
    <row r="734" spans="1:2" x14ac:dyDescent="0.35">
      <c r="A734" s="22">
        <v>1.2290396341463474E-2</v>
      </c>
      <c r="B734" s="22">
        <v>9.3956323006601679E-3</v>
      </c>
    </row>
    <row r="735" spans="1:2" x14ac:dyDescent="0.35">
      <c r="A735" s="22">
        <v>3.237647058823527E-2</v>
      </c>
      <c r="B735" s="22">
        <v>2.0377358490566096E-2</v>
      </c>
    </row>
    <row r="736" spans="1:2" x14ac:dyDescent="0.35">
      <c r="A736" s="22">
        <v>1.2945573890053803E-2</v>
      </c>
      <c r="B736" s="22">
        <v>-3.2051282051282679E-3</v>
      </c>
    </row>
    <row r="737" spans="1:2" x14ac:dyDescent="0.35">
      <c r="A737" s="22">
        <v>9.810098100981041E-3</v>
      </c>
      <c r="B737" s="22">
        <v>-1.3109077417759117E-2</v>
      </c>
    </row>
    <row r="738" spans="1:2" x14ac:dyDescent="0.35">
      <c r="A738" s="22">
        <v>-2.2994652406417095E-2</v>
      </c>
      <c r="B738" s="22">
        <v>-2.7819548872180438E-2</v>
      </c>
    </row>
    <row r="739" spans="1:2" x14ac:dyDescent="0.35">
      <c r="A739" s="22">
        <v>-1.5416894727239533E-2</v>
      </c>
      <c r="B739" s="22">
        <v>-1.9850476927042952E-2</v>
      </c>
    </row>
    <row r="740" spans="1:2" x14ac:dyDescent="0.35">
      <c r="A740" s="22">
        <v>3.706105809320777E-3</v>
      </c>
      <c r="B740" s="22">
        <v>-1.5781167806418271E-3</v>
      </c>
    </row>
    <row r="741" spans="1:2" x14ac:dyDescent="0.35">
      <c r="A741" s="22">
        <v>2.7970091387427315E-2</v>
      </c>
      <c r="B741" s="22">
        <v>6.3224446786091142E-3</v>
      </c>
    </row>
    <row r="742" spans="1:2" x14ac:dyDescent="0.35">
      <c r="A742" s="22">
        <v>-1.7420977011494233E-2</v>
      </c>
      <c r="B742" s="22">
        <v>2.0942408376962902E-3</v>
      </c>
    </row>
    <row r="743" spans="1:2" x14ac:dyDescent="0.35">
      <c r="A743" s="22">
        <v>2.4218607201608403E-2</v>
      </c>
      <c r="B743" s="22">
        <v>5.4858934169279214E-3</v>
      </c>
    </row>
    <row r="744" spans="1:2" x14ac:dyDescent="0.35">
      <c r="A744" s="22">
        <v>6.9599357544392008E-3</v>
      </c>
      <c r="B744" s="22">
        <v>7.2746167835801802E-3</v>
      </c>
    </row>
    <row r="745" spans="1:2" x14ac:dyDescent="0.35">
      <c r="A745" s="22">
        <v>-1.2405848471422167E-2</v>
      </c>
      <c r="B745" s="22">
        <v>-1.0575187000258026E-2</v>
      </c>
    </row>
    <row r="746" spans="1:2" x14ac:dyDescent="0.35">
      <c r="A746" s="22">
        <v>-2.6379542395693116E-2</v>
      </c>
      <c r="B746" s="22">
        <v>-1.929092805005219E-2</v>
      </c>
    </row>
    <row r="747" spans="1:2" x14ac:dyDescent="0.35">
      <c r="A747" s="22">
        <v>-2.3592295640954771E-2</v>
      </c>
      <c r="B747" s="22">
        <v>-3.9074960127591679E-2</v>
      </c>
    </row>
    <row r="748" spans="1:2" x14ac:dyDescent="0.35">
      <c r="A748" s="22">
        <v>-2.7371401604530492E-2</v>
      </c>
      <c r="B748" s="22">
        <v>-2.0193637621023428E-2</v>
      </c>
    </row>
    <row r="749" spans="1:2" x14ac:dyDescent="0.35">
      <c r="A749" s="22">
        <v>1.5526443474041397E-3</v>
      </c>
      <c r="B749" s="22">
        <v>-6.21118012422357E-3</v>
      </c>
    </row>
    <row r="750" spans="1:2" x14ac:dyDescent="0.35">
      <c r="A750" s="22">
        <v>0.12179052417401423</v>
      </c>
      <c r="B750" s="22">
        <v>1.9886363636363515E-2</v>
      </c>
    </row>
    <row r="751" spans="1:2" x14ac:dyDescent="0.35">
      <c r="A751" s="22">
        <v>8.0324753843495651E-3</v>
      </c>
      <c r="B751" s="22">
        <v>-6.6016713091921933E-2</v>
      </c>
    </row>
    <row r="752" spans="1:2" x14ac:dyDescent="0.35">
      <c r="A752" s="22">
        <v>-3.9413931968125589E-3</v>
      </c>
      <c r="B752" s="22">
        <v>8.947211452430574E-3</v>
      </c>
    </row>
    <row r="753" spans="1:2" x14ac:dyDescent="0.35">
      <c r="A753" s="22">
        <v>1.1268817204301096E-2</v>
      </c>
      <c r="B753" s="22">
        <v>-1.5075376884422053E-2</v>
      </c>
    </row>
    <row r="754" spans="1:2" x14ac:dyDescent="0.35">
      <c r="A754" s="22">
        <v>-2.1946240217761127E-2</v>
      </c>
      <c r="B754" s="22">
        <v>-2.370948379351738E-2</v>
      </c>
    </row>
    <row r="755" spans="1:2" x14ac:dyDescent="0.35">
      <c r="A755" s="22">
        <v>2.0612280396590625E-2</v>
      </c>
      <c r="B755" s="22">
        <v>3.5044574239163864E-2</v>
      </c>
    </row>
    <row r="756" spans="1:2" x14ac:dyDescent="0.35">
      <c r="A756" s="22">
        <v>-2.8973157221984596E-3</v>
      </c>
      <c r="B756" s="22">
        <v>-8.9100089100092471E-4</v>
      </c>
    </row>
    <row r="757" spans="1:2" x14ac:dyDescent="0.35">
      <c r="A757" s="22">
        <v>1.4870523886847233E-2</v>
      </c>
      <c r="B757" s="22">
        <v>5.3507728894173516E-3</v>
      </c>
    </row>
    <row r="758" spans="1:2" x14ac:dyDescent="0.35">
      <c r="A758" s="22">
        <v>2.0715789473684156E-2</v>
      </c>
      <c r="B758" s="22">
        <v>2.5724423418095724E-2</v>
      </c>
    </row>
    <row r="759" spans="1:2" x14ac:dyDescent="0.35">
      <c r="A759" s="22">
        <v>-4.8675851827406089E-3</v>
      </c>
      <c r="B759" s="22">
        <v>8.9362928797925133E-3</v>
      </c>
    </row>
    <row r="760" spans="1:2" x14ac:dyDescent="0.35">
      <c r="A760" s="22">
        <v>3.2415851434256314E-2</v>
      </c>
      <c r="B760" s="22">
        <v>2.5999999999999902E-2</v>
      </c>
    </row>
    <row r="761" spans="1:2" x14ac:dyDescent="0.35">
      <c r="A761" s="22">
        <v>2.5696619288524307E-3</v>
      </c>
      <c r="B761" s="22">
        <v>2.784739626846315E-4</v>
      </c>
    </row>
    <row r="762" spans="1:2" x14ac:dyDescent="0.35">
      <c r="A762" s="22">
        <v>7.9295154185022761E-3</v>
      </c>
      <c r="B762" s="22">
        <v>3.3129175946547816E-2</v>
      </c>
    </row>
    <row r="763" spans="1:2" x14ac:dyDescent="0.35">
      <c r="A763" s="22">
        <v>1.668785759694846E-2</v>
      </c>
      <c r="B763" s="22">
        <v>1.9132309350579382E-2</v>
      </c>
    </row>
    <row r="764" spans="1:2" x14ac:dyDescent="0.35">
      <c r="A764" s="22">
        <v>-3.9080819133966826E-4</v>
      </c>
      <c r="B764" s="22">
        <v>1.3484928609201427E-2</v>
      </c>
    </row>
    <row r="765" spans="1:2" x14ac:dyDescent="0.35">
      <c r="A765" s="22">
        <v>7.5064508562045018E-3</v>
      </c>
      <c r="B765" s="22">
        <v>-4.7482389773023749E-2</v>
      </c>
    </row>
    <row r="766" spans="1:2" x14ac:dyDescent="0.35">
      <c r="A766" s="22">
        <v>-5.5102832751261774E-3</v>
      </c>
      <c r="B766" s="22">
        <v>2.7389756231169932E-3</v>
      </c>
    </row>
    <row r="767" spans="1:2" x14ac:dyDescent="0.35">
      <c r="A767" s="22">
        <v>-1.3344779147806927E-2</v>
      </c>
      <c r="B767" s="22">
        <v>-4.6435400163890115E-3</v>
      </c>
    </row>
    <row r="768" spans="1:2" x14ac:dyDescent="0.35">
      <c r="A768" s="22">
        <v>-1.5028078778770906E-2</v>
      </c>
      <c r="B768" s="22">
        <v>-1.9484083424807928E-2</v>
      </c>
    </row>
    <row r="769" spans="1:2" x14ac:dyDescent="0.35">
      <c r="A769" s="22">
        <v>1.6783104472817823E-2</v>
      </c>
      <c r="B769" s="22">
        <v>-1.0635320458997915E-2</v>
      </c>
    </row>
    <row r="770" spans="1:2" x14ac:dyDescent="0.35">
      <c r="A770" s="22">
        <v>1.3189069657242043E-2</v>
      </c>
      <c r="B770" s="22">
        <v>3.0834512022630729E-2</v>
      </c>
    </row>
    <row r="771" spans="1:2" x14ac:dyDescent="0.35">
      <c r="A771" s="22">
        <v>-1.1380466131420951E-2</v>
      </c>
      <c r="B771" s="22">
        <v>-6.5861690450053486E-3</v>
      </c>
    </row>
    <row r="772" spans="1:2" x14ac:dyDescent="0.35">
      <c r="A772" s="22">
        <v>-7.8845698967161678E-5</v>
      </c>
      <c r="B772" s="22">
        <v>3.3149171270717521E-3</v>
      </c>
    </row>
    <row r="773" spans="1:2" x14ac:dyDescent="0.35">
      <c r="A773" s="22">
        <v>5.5984860432109129E-3</v>
      </c>
      <c r="B773" s="22">
        <v>4.4052863436122407E-3</v>
      </c>
    </row>
    <row r="774" spans="1:2" x14ac:dyDescent="0.35">
      <c r="A774" s="22">
        <v>0</v>
      </c>
      <c r="B774" s="22">
        <v>4.0296052631579114E-2</v>
      </c>
    </row>
    <row r="775" spans="1:2" x14ac:dyDescent="0.35">
      <c r="A775" s="22">
        <v>-9.0958990041558573E-3</v>
      </c>
      <c r="B775" s="22">
        <v>-4.3741765480896012E-2</v>
      </c>
    </row>
    <row r="776" spans="1:2" x14ac:dyDescent="0.35">
      <c r="A776" s="22">
        <v>7.5967397325314052E-3</v>
      </c>
      <c r="B776" s="22">
        <v>8.3494075502893395E-2</v>
      </c>
    </row>
    <row r="777" spans="1:2" x14ac:dyDescent="0.35">
      <c r="A777" s="22">
        <v>1.7042330951072032E-2</v>
      </c>
      <c r="B777" s="22">
        <v>-5.0864699898278546E-4</v>
      </c>
    </row>
    <row r="778" spans="1:2" x14ac:dyDescent="0.35">
      <c r="A778" s="22">
        <v>-3.39768339768338E-3</v>
      </c>
      <c r="B778" s="22">
        <v>5.5979643765903385E-2</v>
      </c>
    </row>
    <row r="779" spans="1:2" x14ac:dyDescent="0.35">
      <c r="A779" s="22">
        <v>-1.1235084456841802E-2</v>
      </c>
      <c r="B779" s="22">
        <v>-8.9156626506023476E-3</v>
      </c>
    </row>
    <row r="780" spans="1:2" x14ac:dyDescent="0.35">
      <c r="A780" s="22">
        <v>-1.4732387743907182E-2</v>
      </c>
      <c r="B780" s="22">
        <v>5.1057622173596119E-3</v>
      </c>
    </row>
    <row r="781" spans="1:2" x14ac:dyDescent="0.35">
      <c r="A781" s="22">
        <v>-3.1814205042551952E-3</v>
      </c>
      <c r="B781" s="22">
        <v>1.4513788098692588E-3</v>
      </c>
    </row>
    <row r="782" spans="1:2" x14ac:dyDescent="0.35">
      <c r="A782" s="22">
        <v>-1.9309024176174912E-2</v>
      </c>
      <c r="B782" s="22">
        <v>4.1062801932367559E-3</v>
      </c>
    </row>
    <row r="783" spans="1:2" x14ac:dyDescent="0.35">
      <c r="A783" s="22">
        <v>-5.9393051826538918E-3</v>
      </c>
      <c r="B783" s="22">
        <v>1.4433485686793908E-3</v>
      </c>
    </row>
    <row r="784" spans="1:2" x14ac:dyDescent="0.35">
      <c r="A784" s="22">
        <v>4.0923228024224221E-4</v>
      </c>
      <c r="B784" s="22">
        <v>-6.7259188085515521E-3</v>
      </c>
    </row>
    <row r="785" spans="1:2" x14ac:dyDescent="0.35">
      <c r="A785" s="22">
        <v>2.3889388857072744E-2</v>
      </c>
      <c r="B785" s="22">
        <v>1.6203143893591336E-2</v>
      </c>
    </row>
    <row r="786" spans="1:2" x14ac:dyDescent="0.35">
      <c r="A786" s="22">
        <v>8.3899320815021741E-3</v>
      </c>
      <c r="B786" s="22">
        <v>9.7572584483578435E-3</v>
      </c>
    </row>
    <row r="787" spans="1:2" x14ac:dyDescent="0.35">
      <c r="A787" s="22">
        <v>1.0142630744849454E-2</v>
      </c>
      <c r="B787" s="22">
        <v>1.2255479613481101E-2</v>
      </c>
    </row>
    <row r="788" spans="1:2" x14ac:dyDescent="0.35">
      <c r="A788" s="22">
        <v>-2.4317540006275562E-2</v>
      </c>
      <c r="B788" s="22">
        <v>3.4924330616996173E-3</v>
      </c>
    </row>
    <row r="789" spans="1:2" x14ac:dyDescent="0.35">
      <c r="A789" s="22">
        <v>3.6983437851745293E-3</v>
      </c>
      <c r="B789" s="22">
        <v>1.6241299303944381E-3</v>
      </c>
    </row>
    <row r="790" spans="1:2" x14ac:dyDescent="0.35">
      <c r="A790" s="22">
        <v>-2.9958346683755278E-2</v>
      </c>
      <c r="B790" s="22">
        <v>-4.7255038220986777E-2</v>
      </c>
    </row>
    <row r="791" spans="1:2" x14ac:dyDescent="0.35">
      <c r="A791" s="22">
        <v>-9.9091659785300462E-3</v>
      </c>
      <c r="B791" s="22">
        <v>-5.835156819839581E-3</v>
      </c>
    </row>
    <row r="792" spans="1:2" x14ac:dyDescent="0.35">
      <c r="A792" s="22">
        <v>5.004170141783825E-4</v>
      </c>
      <c r="B792" s="22">
        <v>-4.0107605771582309E-2</v>
      </c>
    </row>
    <row r="793" spans="1:2" x14ac:dyDescent="0.35">
      <c r="A793" s="22">
        <v>-1.6005335111703798E-2</v>
      </c>
      <c r="B793" s="22">
        <v>-1.783439490445867E-3</v>
      </c>
    </row>
    <row r="794" spans="1:2" x14ac:dyDescent="0.35">
      <c r="A794" s="22">
        <v>4.1511352084038873E-3</v>
      </c>
      <c r="B794" s="22">
        <v>3.3180193976519285E-3</v>
      </c>
    </row>
    <row r="795" spans="1:2" x14ac:dyDescent="0.35">
      <c r="A795" s="22">
        <v>2.1935375010546285E-3</v>
      </c>
      <c r="B795" s="22">
        <v>-1.4500127194098201E-2</v>
      </c>
    </row>
    <row r="796" spans="1:2" x14ac:dyDescent="0.35">
      <c r="A796" s="22">
        <v>-1.7678255745433786E-3</v>
      </c>
      <c r="B796" s="22">
        <v>-5.1626226122878489E-4</v>
      </c>
    </row>
    <row r="797" spans="1:2" x14ac:dyDescent="0.35">
      <c r="A797" s="22">
        <v>8.4331253162421987E-3</v>
      </c>
      <c r="B797" s="22">
        <v>2.0919421487603364E-2</v>
      </c>
    </row>
    <row r="798" spans="1:2" x14ac:dyDescent="0.35">
      <c r="A798" s="22">
        <v>1.1373139320956677E-2</v>
      </c>
      <c r="B798" s="22">
        <v>3.74399190488236E-2</v>
      </c>
    </row>
    <row r="799" spans="1:2" x14ac:dyDescent="0.35">
      <c r="A799" s="22">
        <v>-6.3667934512981316E-3</v>
      </c>
      <c r="B799" s="22">
        <v>-1.3655206047305418E-2</v>
      </c>
    </row>
    <row r="800" spans="1:2" x14ac:dyDescent="0.35">
      <c r="A800" s="22">
        <v>-4.8264957976200239E-3</v>
      </c>
      <c r="B800" s="22">
        <v>-1.7552533992583455E-2</v>
      </c>
    </row>
    <row r="801" spans="1:2" x14ac:dyDescent="0.35">
      <c r="A801" s="22">
        <v>2.2577138556735179E-3</v>
      </c>
      <c r="B801" s="22">
        <v>5.0327126321077047E-4</v>
      </c>
    </row>
    <row r="802" spans="1:2" x14ac:dyDescent="0.35">
      <c r="A802" s="22">
        <v>-1.660270315367925E-2</v>
      </c>
      <c r="B802" s="22">
        <v>-4.8792756539235357E-2</v>
      </c>
    </row>
    <row r="803" spans="1:2" x14ac:dyDescent="0.35">
      <c r="A803" s="22">
        <v>-3.2238907270722801E-3</v>
      </c>
      <c r="B803" s="22">
        <v>-3.4373347435219387E-2</v>
      </c>
    </row>
    <row r="804" spans="1:2" x14ac:dyDescent="0.35">
      <c r="A804" s="22">
        <v>-5.3621584815728611E-3</v>
      </c>
      <c r="B804" s="22">
        <v>-2.081051478641854E-2</v>
      </c>
    </row>
    <row r="805" spans="1:2" x14ac:dyDescent="0.35">
      <c r="A805" s="22">
        <v>1.8312510696559991E-2</v>
      </c>
      <c r="B805" s="22">
        <v>-4.4742729306486741E-3</v>
      </c>
    </row>
    <row r="806" spans="1:2" x14ac:dyDescent="0.35">
      <c r="A806" s="22">
        <v>-6.9747899159663725E-3</v>
      </c>
      <c r="B806" s="22">
        <v>-3.5674157303370875E-2</v>
      </c>
    </row>
    <row r="807" spans="1:2" x14ac:dyDescent="0.35">
      <c r="A807" s="22">
        <v>2.0986714056021021E-2</v>
      </c>
      <c r="B807" s="22">
        <v>8.1561316632683123E-3</v>
      </c>
    </row>
    <row r="808" spans="1:2" x14ac:dyDescent="0.35">
      <c r="A808" s="22">
        <v>-2.1549937836718202E-3</v>
      </c>
      <c r="B808" s="22">
        <v>-3.5538861600693354E-2</v>
      </c>
    </row>
    <row r="809" spans="1:2" x14ac:dyDescent="0.35">
      <c r="A809" s="22">
        <v>6.7281335659108085E-3</v>
      </c>
      <c r="B809" s="22">
        <v>7.1899340922706671E-3</v>
      </c>
    </row>
    <row r="810" spans="1:2" x14ac:dyDescent="0.35">
      <c r="A810" s="22">
        <v>3.6386138613861356E-2</v>
      </c>
      <c r="B810" s="22">
        <v>4.4021415823914459E-2</v>
      </c>
    </row>
    <row r="811" spans="1:2" x14ac:dyDescent="0.35">
      <c r="A811" s="22">
        <v>-4.8642623994904863E-2</v>
      </c>
      <c r="B811" s="22">
        <v>-2.9914529914530034E-2</v>
      </c>
    </row>
    <row r="812" spans="1:2" x14ac:dyDescent="0.35">
      <c r="A812" s="22">
        <v>1.2301255230125513E-2</v>
      </c>
      <c r="B812" s="22">
        <v>-9.10425844346535E-3</v>
      </c>
    </row>
    <row r="813" spans="1:2" x14ac:dyDescent="0.35">
      <c r="A813" s="22">
        <v>-2.1492932131933961E-3</v>
      </c>
      <c r="B813" s="22">
        <v>-8.8915234143453271E-4</v>
      </c>
    </row>
    <row r="814" spans="1:2" x14ac:dyDescent="0.35">
      <c r="A814" s="22">
        <v>-2.4024521580647763E-2</v>
      </c>
      <c r="B814" s="22">
        <v>2.1951943043607296E-2</v>
      </c>
    </row>
    <row r="815" spans="1:2" x14ac:dyDescent="0.35">
      <c r="A815" s="22">
        <v>5.0929462694170502E-4</v>
      </c>
      <c r="B815" s="22">
        <v>-6.6763425253992441E-3</v>
      </c>
    </row>
    <row r="816" spans="1:2" x14ac:dyDescent="0.35">
      <c r="A816" s="22">
        <v>2.2227878170866126E-2</v>
      </c>
      <c r="B816" s="22">
        <v>4.3249561659848161E-2</v>
      </c>
    </row>
    <row r="817" spans="1:2" x14ac:dyDescent="0.35">
      <c r="A817" s="22">
        <v>-3.2367831355299245E-3</v>
      </c>
      <c r="B817" s="22">
        <v>8.1232492997198626E-3</v>
      </c>
    </row>
    <row r="818" spans="1:2" x14ac:dyDescent="0.35">
      <c r="A818" s="22">
        <v>2.1149042464612876E-2</v>
      </c>
      <c r="B818" s="22">
        <v>1.9171992220061065E-2</v>
      </c>
    </row>
    <row r="819" spans="1:2" x14ac:dyDescent="0.35">
      <c r="A819" s="22">
        <v>-7.9093281148075577E-3</v>
      </c>
      <c r="B819" s="22">
        <v>-1.1177753544165664E-2</v>
      </c>
    </row>
    <row r="820" spans="1:2" x14ac:dyDescent="0.35">
      <c r="A820" s="22">
        <v>1.660228486890767E-2</v>
      </c>
      <c r="B820" s="22">
        <v>-1.4612627515853353E-2</v>
      </c>
    </row>
    <row r="821" spans="1:2" x14ac:dyDescent="0.35">
      <c r="A821" s="22">
        <v>-2.2556390977443545E-2</v>
      </c>
      <c r="B821" s="22">
        <v>-1.8186905428091732E-2</v>
      </c>
    </row>
    <row r="822" spans="1:2" x14ac:dyDescent="0.35">
      <c r="A822" s="22">
        <v>-5.6244830438379389E-3</v>
      </c>
      <c r="B822" s="22">
        <v>-1.4249073810202335E-2</v>
      </c>
    </row>
    <row r="823" spans="1:2" x14ac:dyDescent="0.35">
      <c r="A823" s="22">
        <v>1.4057561137913805E-2</v>
      </c>
      <c r="B823" s="22">
        <v>3.2957502168256526E-2</v>
      </c>
    </row>
    <row r="824" spans="1:2" x14ac:dyDescent="0.35">
      <c r="A824" s="22">
        <v>1.1401853826593394E-2</v>
      </c>
      <c r="B824" s="22">
        <v>-8.9560593338930961E-3</v>
      </c>
    </row>
    <row r="825" spans="1:2" x14ac:dyDescent="0.35">
      <c r="A825" s="22">
        <v>2.9197080291970758E-3</v>
      </c>
      <c r="B825" s="22">
        <v>-2.2310081897768969E-2</v>
      </c>
    </row>
    <row r="826" spans="1:2" x14ac:dyDescent="0.35">
      <c r="A826" s="22">
        <v>2.2400129387029035E-2</v>
      </c>
      <c r="B826" s="22">
        <v>-2.5996533795492869E-3</v>
      </c>
    </row>
    <row r="827" spans="1:2" x14ac:dyDescent="0.35">
      <c r="A827" s="22">
        <v>-3.7965672704263543E-3</v>
      </c>
      <c r="B827" s="22">
        <v>-1.1584129742252865E-3</v>
      </c>
    </row>
    <row r="828" spans="1:2" x14ac:dyDescent="0.35">
      <c r="A828" s="22">
        <v>1.9055180627232623E-3</v>
      </c>
      <c r="B828" s="22">
        <v>1.8846042331110424E-2</v>
      </c>
    </row>
    <row r="829" spans="1:2" x14ac:dyDescent="0.35">
      <c r="A829" s="22">
        <v>1.5849116411756892E-4</v>
      </c>
      <c r="B829" s="22">
        <v>5.4069436539555416E-3</v>
      </c>
    </row>
    <row r="830" spans="1:2" x14ac:dyDescent="0.35">
      <c r="A830" s="22">
        <v>-4.2785833135250148E-3</v>
      </c>
      <c r="B830" s="22">
        <v>-2.1228417775261819E-2</v>
      </c>
    </row>
    <row r="831" spans="1:2" x14ac:dyDescent="0.35">
      <c r="A831" s="22">
        <v>-9.7079653059600444E-3</v>
      </c>
      <c r="B831" s="22">
        <v>-3.007518796992479E-2</v>
      </c>
    </row>
    <row r="832" spans="1:2" x14ac:dyDescent="0.35">
      <c r="A832" s="22">
        <v>8.6781840096424121E-3</v>
      </c>
      <c r="B832" s="22">
        <v>2.9815146094209929E-4</v>
      </c>
    </row>
    <row r="833" spans="1:2" x14ac:dyDescent="0.35">
      <c r="A833" s="22">
        <v>1.2427308213176152E-2</v>
      </c>
      <c r="B833" s="22">
        <v>2.2056631892697527E-2</v>
      </c>
    </row>
    <row r="834" spans="1:2" x14ac:dyDescent="0.35">
      <c r="A834" s="22">
        <v>-1.912030844283584E-2</v>
      </c>
      <c r="B834" s="22">
        <v>-4.0244969378827725E-2</v>
      </c>
    </row>
    <row r="835" spans="1:2" x14ac:dyDescent="0.35">
      <c r="A835" s="22">
        <v>-6.5778918658751257E-3</v>
      </c>
      <c r="B835" s="22">
        <v>-2.0966271649954356E-2</v>
      </c>
    </row>
    <row r="836" spans="1:2" x14ac:dyDescent="0.35">
      <c r="A836" s="22">
        <v>1.5019379844961236E-2</v>
      </c>
      <c r="B836" s="22">
        <v>1.5518311607697084E-2</v>
      </c>
    </row>
    <row r="837" spans="1:2" x14ac:dyDescent="0.35">
      <c r="A837" s="22">
        <v>8.1145584725536672E-3</v>
      </c>
      <c r="B837" s="22">
        <v>9.7799511002445074E-3</v>
      </c>
    </row>
    <row r="838" spans="1:2" x14ac:dyDescent="0.35">
      <c r="A838" s="22">
        <v>9.4696969696969925E-3</v>
      </c>
      <c r="B838" s="22">
        <v>1.3317191283292909E-2</v>
      </c>
    </row>
    <row r="839" spans="1:2" x14ac:dyDescent="0.35">
      <c r="A839" s="22">
        <v>-5.1594746716697665E-3</v>
      </c>
      <c r="B839" s="22">
        <v>-1.1947431302269971E-2</v>
      </c>
    </row>
    <row r="840" spans="1:2" x14ac:dyDescent="0.35">
      <c r="A840" s="22">
        <v>-4.086122898004166E-3</v>
      </c>
      <c r="B840" s="22">
        <v>-1.813784764207985E-2</v>
      </c>
    </row>
    <row r="841" spans="1:2" x14ac:dyDescent="0.35">
      <c r="A841" s="22">
        <v>-2.422281836831303E-2</v>
      </c>
      <c r="B841" s="22">
        <v>-2.4322660098522034E-2</v>
      </c>
    </row>
    <row r="842" spans="1:2" x14ac:dyDescent="0.35">
      <c r="A842" s="22">
        <v>2.3611223417158579E-2</v>
      </c>
      <c r="B842" s="22">
        <v>4.9542442410855057E-2</v>
      </c>
    </row>
    <row r="843" spans="1:2" x14ac:dyDescent="0.35">
      <c r="A843" s="22">
        <v>2.2908602575242281E-3</v>
      </c>
      <c r="B843" s="22">
        <v>1.2026458208057684E-2</v>
      </c>
    </row>
    <row r="844" spans="1:2" x14ac:dyDescent="0.35">
      <c r="A844" s="22">
        <v>-1.4029003783102153E-2</v>
      </c>
      <c r="B844" s="22">
        <v>-1.1289364230540567E-2</v>
      </c>
    </row>
    <row r="845" spans="1:2" x14ac:dyDescent="0.35">
      <c r="A845" s="22">
        <v>-1.2709832134292481E-2</v>
      </c>
      <c r="B845" s="22">
        <v>-6.00961538461547E-3</v>
      </c>
    </row>
    <row r="846" spans="1:2" x14ac:dyDescent="0.35">
      <c r="A846" s="22">
        <v>-1.0444498421180521E-2</v>
      </c>
      <c r="B846" s="22">
        <v>1.2091898428052948E-3</v>
      </c>
    </row>
    <row r="847" spans="1:2" x14ac:dyDescent="0.35">
      <c r="A847" s="22">
        <v>-1.6445753559155663E-2</v>
      </c>
      <c r="B847" s="22">
        <v>-2.1739130434782577E-2</v>
      </c>
    </row>
    <row r="848" spans="1:2" x14ac:dyDescent="0.35">
      <c r="A848" s="22">
        <v>-3.1611346809749226E-3</v>
      </c>
      <c r="B848" s="22">
        <v>-9.2592592592596109E-4</v>
      </c>
    </row>
    <row r="849" spans="1:2" x14ac:dyDescent="0.35">
      <c r="A849" s="22">
        <v>-2.7956271384461273E-2</v>
      </c>
      <c r="B849" s="22">
        <v>-2.5641025641025592E-2</v>
      </c>
    </row>
    <row r="850" spans="1:2" x14ac:dyDescent="0.35">
      <c r="A850" s="22">
        <v>4.2925824175824171E-3</v>
      </c>
      <c r="B850" s="22">
        <v>2.8535193405199701E-2</v>
      </c>
    </row>
    <row r="851" spans="1:2" x14ac:dyDescent="0.35">
      <c r="A851" s="22">
        <v>1.6156607967173879E-2</v>
      </c>
      <c r="B851" s="22">
        <v>1.418002466091248E-2</v>
      </c>
    </row>
    <row r="852" spans="1:2" x14ac:dyDescent="0.35">
      <c r="A852" s="22">
        <v>-3.4575586775468993E-2</v>
      </c>
      <c r="B852" s="22">
        <v>-7.2948328267477816E-3</v>
      </c>
    </row>
    <row r="853" spans="1:2" x14ac:dyDescent="0.35">
      <c r="A853" s="22">
        <v>-3.9909376089229683E-2</v>
      </c>
      <c r="B853" s="22">
        <v>6.1236987140233581E-3</v>
      </c>
    </row>
    <row r="854" spans="1:2" x14ac:dyDescent="0.35">
      <c r="A854" s="22">
        <v>-1.2706480304955577E-2</v>
      </c>
      <c r="B854" s="22">
        <v>1.7041996348143709E-2</v>
      </c>
    </row>
    <row r="855" spans="1:2" x14ac:dyDescent="0.35">
      <c r="A855" s="22">
        <v>-4.5045045045044576E-3</v>
      </c>
      <c r="B855" s="22">
        <v>-3.4111310592459622E-2</v>
      </c>
    </row>
    <row r="856" spans="1:2" x14ac:dyDescent="0.35">
      <c r="A856" s="22">
        <v>-7.4799150429402739E-3</v>
      </c>
      <c r="B856" s="22">
        <v>4.0272614622055593E-3</v>
      </c>
    </row>
    <row r="857" spans="1:2" x14ac:dyDescent="0.35">
      <c r="A857" s="22">
        <v>2.7912169705992867E-4</v>
      </c>
      <c r="B857" s="22">
        <v>2.7152113545202181E-2</v>
      </c>
    </row>
    <row r="858" spans="1:2" x14ac:dyDescent="0.35">
      <c r="A858" s="22">
        <v>-9.2084457259790625E-3</v>
      </c>
      <c r="B858" s="22">
        <v>2.1027335536197142E-3</v>
      </c>
    </row>
    <row r="859" spans="1:2" x14ac:dyDescent="0.35">
      <c r="A859" s="22">
        <v>-1.1828764551257896E-2</v>
      </c>
      <c r="B859" s="22">
        <v>-2.8477218225419751E-2</v>
      </c>
    </row>
    <row r="860" spans="1:2" x14ac:dyDescent="0.35">
      <c r="A860" s="22">
        <v>-1.5485464563937009E-2</v>
      </c>
      <c r="B860" s="22">
        <v>1.8821351434742568E-2</v>
      </c>
    </row>
    <row r="861" spans="1:2" x14ac:dyDescent="0.35">
      <c r="A861" s="22">
        <v>4.0046318633600364E-2</v>
      </c>
      <c r="B861" s="22">
        <v>3.8158691701998725E-2</v>
      </c>
    </row>
    <row r="862" spans="1:2" x14ac:dyDescent="0.35">
      <c r="A862" s="22">
        <v>-2.39376507700872E-2</v>
      </c>
      <c r="B862" s="22">
        <v>-4.3757292882146605E-3</v>
      </c>
    </row>
    <row r="863" spans="1:2" x14ac:dyDescent="0.35">
      <c r="A863" s="22">
        <v>9.4106463878326514E-3</v>
      </c>
      <c r="B863" s="22">
        <v>3.2522707295634321E-2</v>
      </c>
    </row>
    <row r="864" spans="1:2" x14ac:dyDescent="0.35">
      <c r="A864" s="22">
        <v>8.4753743290329198E-3</v>
      </c>
      <c r="B864" s="22">
        <v>2.7809307604994234E-2</v>
      </c>
    </row>
    <row r="865" spans="1:2" x14ac:dyDescent="0.35">
      <c r="A865" s="22">
        <v>-8.3107666448781446E-3</v>
      </c>
      <c r="B865" s="22">
        <v>-1.0215350635008212E-2</v>
      </c>
    </row>
    <row r="866" spans="1:2" x14ac:dyDescent="0.35">
      <c r="A866" s="22">
        <v>-3.2015065913371318E-3</v>
      </c>
      <c r="B866" s="22">
        <v>1.0599721059971978E-2</v>
      </c>
    </row>
    <row r="867" spans="1:2" x14ac:dyDescent="0.35">
      <c r="A867" s="22">
        <v>9.1630455318344878E-3</v>
      </c>
      <c r="B867" s="22">
        <v>1.2144631520839218E-2</v>
      </c>
    </row>
    <row r="868" spans="1:2" x14ac:dyDescent="0.35">
      <c r="A868" s="22">
        <v>-4.6803332397264024E-4</v>
      </c>
      <c r="B868" s="22">
        <v>2.6724843196072996E-2</v>
      </c>
    </row>
    <row r="869" spans="1:2" x14ac:dyDescent="0.35">
      <c r="A869" s="22">
        <v>5.6939501779359414E-2</v>
      </c>
      <c r="B869" s="22">
        <v>-7.7025232403718233E-3</v>
      </c>
    </row>
    <row r="870" spans="1:2" x14ac:dyDescent="0.35">
      <c r="A870" s="22">
        <v>-3.9872408293461174E-3</v>
      </c>
      <c r="B870" s="22">
        <v>1.7933618843683129E-2</v>
      </c>
    </row>
    <row r="871" spans="1:2" x14ac:dyDescent="0.35">
      <c r="A871" s="22">
        <v>1.0497286718263561E-2</v>
      </c>
      <c r="B871" s="22">
        <v>-1.8406521167499417E-3</v>
      </c>
    </row>
    <row r="872" spans="1:2" x14ac:dyDescent="0.35">
      <c r="A872" s="22">
        <v>-3.5654547055198493E-2</v>
      </c>
      <c r="B872" s="22">
        <v>-1.6859852476290849E-2</v>
      </c>
    </row>
    <row r="873" spans="1:2" x14ac:dyDescent="0.35">
      <c r="A873" s="22">
        <v>4.0167975168887869E-3</v>
      </c>
      <c r="B873" s="22">
        <v>-8.306538049303383E-3</v>
      </c>
    </row>
    <row r="874" spans="1:2" x14ac:dyDescent="0.35">
      <c r="A874" s="22">
        <v>4.3644298963446968E-3</v>
      </c>
      <c r="B874" s="22">
        <v>-9.4569035395839357E-3</v>
      </c>
    </row>
    <row r="875" spans="1:2" x14ac:dyDescent="0.35">
      <c r="A875" s="22">
        <v>-8.5098678254571583E-3</v>
      </c>
      <c r="B875" s="22">
        <v>-1.3093289689034286E-2</v>
      </c>
    </row>
    <row r="876" spans="1:2" x14ac:dyDescent="0.35">
      <c r="A876" s="22">
        <v>2.0270270270270261E-2</v>
      </c>
      <c r="B876" s="22">
        <v>1.4372581536760728E-2</v>
      </c>
    </row>
    <row r="877" spans="1:2" x14ac:dyDescent="0.35">
      <c r="A877" s="22">
        <v>1.6735278324682339E-2</v>
      </c>
      <c r="B877" s="22">
        <v>2.1253405994550244E-2</v>
      </c>
    </row>
    <row r="878" spans="1:2" x14ac:dyDescent="0.35">
      <c r="A878" s="22">
        <v>-5.1051844027814302E-3</v>
      </c>
      <c r="B878" s="22">
        <v>1.8943436499466407E-2</v>
      </c>
    </row>
    <row r="879" spans="1:2" x14ac:dyDescent="0.35">
      <c r="A879" s="22">
        <v>3.0080509599221747E-3</v>
      </c>
      <c r="B879" s="22">
        <v>2.6184865147957885E-4</v>
      </c>
    </row>
    <row r="880" spans="1:2" x14ac:dyDescent="0.35">
      <c r="A880" s="22">
        <v>-2.6462026991267529E-2</v>
      </c>
      <c r="B880" s="22">
        <v>9.4240837696334921E-3</v>
      </c>
    </row>
    <row r="881" spans="1:2" x14ac:dyDescent="0.35">
      <c r="A881" s="22">
        <v>-1.1416145691764112E-2</v>
      </c>
      <c r="B881" s="22">
        <v>1.0373443983402453E-2</v>
      </c>
    </row>
    <row r="882" spans="1:2" x14ac:dyDescent="0.35">
      <c r="A882" s="22">
        <v>-1.8421776189166943E-2</v>
      </c>
      <c r="B882" s="22">
        <v>1.1806981519507209E-2</v>
      </c>
    </row>
    <row r="883" spans="1:2" x14ac:dyDescent="0.35">
      <c r="A883" s="22">
        <v>-1.8674136321195144E-2</v>
      </c>
      <c r="B883" s="22">
        <v>1.014713343480445E-3</v>
      </c>
    </row>
    <row r="884" spans="1:2" x14ac:dyDescent="0.35">
      <c r="A884" s="22">
        <v>-6.0894386298763143E-3</v>
      </c>
      <c r="B884" s="22">
        <v>3.8013177901672218E-3</v>
      </c>
    </row>
    <row r="885" spans="1:2" x14ac:dyDescent="0.35">
      <c r="A885" s="22">
        <v>1.2636415852958141E-2</v>
      </c>
      <c r="B885" s="22">
        <v>7.5738449886395194E-4</v>
      </c>
    </row>
    <row r="886" spans="1:2" x14ac:dyDescent="0.35">
      <c r="A886" s="22">
        <v>1.5220268481754579E-2</v>
      </c>
      <c r="B886" s="22">
        <v>8.3249243188697856E-3</v>
      </c>
    </row>
    <row r="887" spans="1:2" x14ac:dyDescent="0.35">
      <c r="A887" s="22">
        <v>3.4453859763479331E-3</v>
      </c>
      <c r="B887" s="22">
        <v>1.1008256192144052E-2</v>
      </c>
    </row>
    <row r="888" spans="1:2" x14ac:dyDescent="0.35">
      <c r="A888" s="22">
        <v>7.423904974016174E-4</v>
      </c>
      <c r="B888" s="22">
        <v>2.2271714922049842E-3</v>
      </c>
    </row>
    <row r="889" spans="1:2" x14ac:dyDescent="0.35">
      <c r="A889" s="22">
        <v>1.0200296735904991E-3</v>
      </c>
      <c r="B889" s="22">
        <v>-1.2345679012345678E-2</v>
      </c>
    </row>
    <row r="890" spans="1:2" x14ac:dyDescent="0.35">
      <c r="A890" s="22">
        <v>7.0402964335339593E-3</v>
      </c>
      <c r="B890" s="22">
        <v>-3.125E-2</v>
      </c>
    </row>
    <row r="891" spans="1:2" x14ac:dyDescent="0.35">
      <c r="A891" s="22">
        <v>9.2907736178824869E-3</v>
      </c>
      <c r="B891" s="22">
        <v>9.8064516129032914E-3</v>
      </c>
    </row>
    <row r="892" spans="1:2" x14ac:dyDescent="0.35">
      <c r="A892" s="22">
        <v>1.4582573824279675E-3</v>
      </c>
      <c r="B892" s="22">
        <v>2.5555839509326427E-3</v>
      </c>
    </row>
    <row r="893" spans="1:2" x14ac:dyDescent="0.35">
      <c r="A893" s="22">
        <v>-2.1386967601019245E-2</v>
      </c>
      <c r="B893" s="22">
        <v>7.6472087687996782E-4</v>
      </c>
    </row>
    <row r="894" spans="1:2" x14ac:dyDescent="0.35">
      <c r="A894" s="22">
        <v>1.4228587370966252E-2</v>
      </c>
      <c r="B894" s="22">
        <v>-1.8084564442180359E-2</v>
      </c>
    </row>
    <row r="895" spans="1:2" x14ac:dyDescent="0.35">
      <c r="A895" s="22">
        <v>-2.6590867412434097E-3</v>
      </c>
      <c r="B895" s="22">
        <v>1.9455252918287938E-2</v>
      </c>
    </row>
    <row r="896" spans="1:2" x14ac:dyDescent="0.35">
      <c r="A896" s="22">
        <v>-4.3210444056265415E-3</v>
      </c>
      <c r="B896" s="22">
        <v>-3.5114503816793777E-2</v>
      </c>
    </row>
    <row r="897" spans="1:2" x14ac:dyDescent="0.35">
      <c r="A897" s="22">
        <v>9.2336103416435829E-3</v>
      </c>
      <c r="B897" s="22">
        <v>9.7573839662446586E-3</v>
      </c>
    </row>
    <row r="898" spans="1:2" x14ac:dyDescent="0.35">
      <c r="A898" s="22">
        <v>-1.4913083257090535E-2</v>
      </c>
      <c r="B898" s="22">
        <v>1.7759206059023237E-2</v>
      </c>
    </row>
    <row r="899" spans="1:2" x14ac:dyDescent="0.35">
      <c r="A899" s="22">
        <v>8.823256245936684E-3</v>
      </c>
      <c r="B899" s="22">
        <v>-2.3607903515524806E-2</v>
      </c>
    </row>
    <row r="900" spans="1:2" x14ac:dyDescent="0.35">
      <c r="A900" s="22">
        <v>1.6295341557724139E-2</v>
      </c>
      <c r="B900" s="22">
        <v>8.4099868593955403E-3</v>
      </c>
    </row>
    <row r="901" spans="1:2" x14ac:dyDescent="0.35">
      <c r="A901" s="22">
        <v>-8.96820364163416E-3</v>
      </c>
      <c r="B901" s="22">
        <v>-6.5155069064373209E-3</v>
      </c>
    </row>
    <row r="902" spans="1:2" x14ac:dyDescent="0.35">
      <c r="A902" s="22">
        <v>-1.7276051188299821E-2</v>
      </c>
      <c r="B902" s="22">
        <v>-1.9150052465897086E-2</v>
      </c>
    </row>
    <row r="903" spans="1:2" x14ac:dyDescent="0.35">
      <c r="A903" s="22">
        <v>1.0510650172076974E-2</v>
      </c>
      <c r="B903" s="22">
        <v>-1.257020593741639E-2</v>
      </c>
    </row>
    <row r="904" spans="1:2" x14ac:dyDescent="0.35">
      <c r="A904" s="22">
        <v>1.5648011782032557E-3</v>
      </c>
      <c r="B904" s="22">
        <v>-9.4799566630552924E-3</v>
      </c>
    </row>
    <row r="905" spans="1:2" x14ac:dyDescent="0.35">
      <c r="A905" s="22">
        <v>1.5347854057531493E-2</v>
      </c>
      <c r="B905" s="22">
        <v>1.4219305441618899E-2</v>
      </c>
    </row>
    <row r="906" spans="1:2" x14ac:dyDescent="0.35">
      <c r="A906" s="22">
        <v>-7.1506154960174354E-3</v>
      </c>
      <c r="B906" s="22">
        <v>-6.7403612833647876E-3</v>
      </c>
    </row>
    <row r="907" spans="1:2" x14ac:dyDescent="0.35">
      <c r="A907" s="22">
        <v>0</v>
      </c>
      <c r="B907" s="22">
        <v>-1.5743756786102209E-2</v>
      </c>
    </row>
    <row r="908" spans="1:2" x14ac:dyDescent="0.35">
      <c r="A908" s="22">
        <v>-6.0169568784756737E-3</v>
      </c>
      <c r="B908" s="22">
        <v>-5.7915057915057959E-2</v>
      </c>
    </row>
    <row r="909" spans="1:2" x14ac:dyDescent="0.35">
      <c r="A909" s="22">
        <v>-8.6214803265156174E-3</v>
      </c>
      <c r="B909" s="22">
        <v>-7.9039812646368862E-3</v>
      </c>
    </row>
    <row r="910" spans="1:2" x14ac:dyDescent="0.35">
      <c r="A910" s="22">
        <v>-4.1631973355537311E-3</v>
      </c>
      <c r="B910" s="22">
        <v>5.3113012688108504E-3</v>
      </c>
    </row>
    <row r="911" spans="1:2" x14ac:dyDescent="0.35">
      <c r="A911" s="22">
        <v>-1.0126347082868853E-2</v>
      </c>
      <c r="B911" s="22">
        <v>-2.2600528324038836E-2</v>
      </c>
    </row>
    <row r="912" spans="1:2" x14ac:dyDescent="0.35">
      <c r="A912" s="22">
        <v>-1.8770530267476322E-4</v>
      </c>
      <c r="B912" s="22">
        <v>-1.4414414414414321E-2</v>
      </c>
    </row>
    <row r="913" spans="1:2" x14ac:dyDescent="0.35">
      <c r="A913" s="22">
        <v>-1.3892800150192472E-2</v>
      </c>
      <c r="B913" s="22">
        <v>3.046922608165796E-3</v>
      </c>
    </row>
    <row r="914" spans="1:2" x14ac:dyDescent="0.35">
      <c r="A914" s="22">
        <v>-2.2846263683959532E-3</v>
      </c>
      <c r="B914" s="22">
        <v>6.0753341433777558E-3</v>
      </c>
    </row>
    <row r="915" spans="1:2" x14ac:dyDescent="0.35">
      <c r="A915" s="22">
        <v>-1.8605094933689559E-2</v>
      </c>
      <c r="B915" s="22">
        <v>4.5289855072465487E-3</v>
      </c>
    </row>
    <row r="916" spans="1:2" x14ac:dyDescent="0.35">
      <c r="A916" s="22">
        <v>-1.3610733035193522E-2</v>
      </c>
      <c r="B916" s="22">
        <v>-1.0219416892095082E-2</v>
      </c>
    </row>
    <row r="917" spans="1:2" x14ac:dyDescent="0.35">
      <c r="A917" s="22">
        <v>-2.6710033510743091E-2</v>
      </c>
      <c r="B917" s="22">
        <v>1.9131491041603478E-2</v>
      </c>
    </row>
    <row r="918" spans="1:2" x14ac:dyDescent="0.35">
      <c r="A918" s="22">
        <v>-1.134177215189878E-2</v>
      </c>
      <c r="B918" s="22">
        <v>-2.0262216924910599E-2</v>
      </c>
    </row>
    <row r="919" spans="1:2" x14ac:dyDescent="0.35">
      <c r="A919" s="22">
        <v>1.2393731435009813E-2</v>
      </c>
      <c r="B919" s="22">
        <v>2.1289537712895464E-3</v>
      </c>
    </row>
    <row r="920" spans="1:2" x14ac:dyDescent="0.35">
      <c r="A920" s="22">
        <v>7.9927154997975723E-3</v>
      </c>
      <c r="B920" s="22">
        <v>5.1593323216993807E-3</v>
      </c>
    </row>
    <row r="921" spans="1:2" x14ac:dyDescent="0.35">
      <c r="A921" s="22">
        <v>2.1479474053999806E-2</v>
      </c>
      <c r="B921" s="22">
        <v>1.0265700483091892E-2</v>
      </c>
    </row>
    <row r="922" spans="1:2" x14ac:dyDescent="0.35">
      <c r="A922" s="22">
        <v>3.2426058759948738E-3</v>
      </c>
      <c r="B922" s="22">
        <v>-2.0920502092050294E-3</v>
      </c>
    </row>
    <row r="923" spans="1:2" x14ac:dyDescent="0.35">
      <c r="A923" s="22">
        <v>-3.8197845249755198E-3</v>
      </c>
      <c r="B923" s="22">
        <v>3.59389038634314E-3</v>
      </c>
    </row>
    <row r="924" spans="1:2" x14ac:dyDescent="0.35">
      <c r="A924" s="22">
        <v>6.3907187100580645E-3</v>
      </c>
      <c r="B924" s="22">
        <v>8.952551477171333E-4</v>
      </c>
    </row>
    <row r="925" spans="1:2" x14ac:dyDescent="0.35">
      <c r="A925" s="22">
        <v>-1.9929660023446719E-2</v>
      </c>
      <c r="B925" s="22">
        <v>-7.7519379844960649E-3</v>
      </c>
    </row>
    <row r="926" spans="1:2" x14ac:dyDescent="0.35">
      <c r="A926" s="22">
        <v>-1.3955342902709964E-3</v>
      </c>
      <c r="B926" s="22">
        <v>-1.382211538461541E-2</v>
      </c>
    </row>
    <row r="927" spans="1:2" x14ac:dyDescent="0.35">
      <c r="A927" s="22">
        <v>-2.2459572769015772E-2</v>
      </c>
      <c r="B927" s="22">
        <v>-7.6173065204143816E-3</v>
      </c>
    </row>
    <row r="928" spans="1:2" x14ac:dyDescent="0.35">
      <c r="A928" s="22">
        <v>-2.6549576227918423E-3</v>
      </c>
      <c r="B928" s="22">
        <v>1.1667178385016965E-2</v>
      </c>
    </row>
    <row r="929" spans="1:2" x14ac:dyDescent="0.35">
      <c r="A929" s="22">
        <v>-9.0099314016585993E-3</v>
      </c>
      <c r="B929" s="22">
        <v>-1.0015174506828692E-2</v>
      </c>
    </row>
    <row r="930" spans="1:2" x14ac:dyDescent="0.35">
      <c r="A930" s="22">
        <v>-5.0625064572787379E-3</v>
      </c>
      <c r="B930" s="22">
        <v>2.6057633353770739E-2</v>
      </c>
    </row>
    <row r="931" spans="1:2" x14ac:dyDescent="0.35">
      <c r="A931" s="22">
        <v>-1.7653167185877644E-3</v>
      </c>
      <c r="B931" s="22">
        <v>5.6767254257543394E-3</v>
      </c>
    </row>
    <row r="932" spans="1:2" x14ac:dyDescent="0.35">
      <c r="A932" s="22">
        <v>1.1026734630188311E-2</v>
      </c>
      <c r="B932" s="22">
        <v>0</v>
      </c>
    </row>
    <row r="933" spans="1:2" x14ac:dyDescent="0.35">
      <c r="A933" s="22">
        <v>-9.5688856878278893E-3</v>
      </c>
      <c r="B933" s="22">
        <v>8.6155674390970376E-3</v>
      </c>
    </row>
    <row r="934" spans="1:2" x14ac:dyDescent="0.35">
      <c r="A934" s="22">
        <v>-7.7913982962809058E-3</v>
      </c>
      <c r="B934" s="22">
        <v>-1.7967599410898361E-2</v>
      </c>
    </row>
    <row r="935" spans="1:2" x14ac:dyDescent="0.35">
      <c r="A935" s="22">
        <v>-9.3183959794785939E-3</v>
      </c>
      <c r="B935" s="22">
        <v>1.8596280743851151E-2</v>
      </c>
    </row>
    <row r="936" spans="1:2" x14ac:dyDescent="0.35">
      <c r="A936" s="22">
        <v>-6.1297822870428897E-3</v>
      </c>
      <c r="B936" s="22">
        <v>-2.2379269729092991E-2</v>
      </c>
    </row>
    <row r="937" spans="1:2" x14ac:dyDescent="0.35">
      <c r="A937" s="22">
        <v>-2.6052743513398584E-2</v>
      </c>
      <c r="B937" s="22">
        <v>-1.4759036144578372E-2</v>
      </c>
    </row>
    <row r="938" spans="1:2" x14ac:dyDescent="0.35">
      <c r="A938" s="22">
        <v>-8.0794846598974679E-3</v>
      </c>
      <c r="B938" s="22">
        <v>-3.9743197798839053E-3</v>
      </c>
    </row>
    <row r="939" spans="1:2" x14ac:dyDescent="0.35">
      <c r="A939" s="22">
        <v>-2.7517886626307101E-3</v>
      </c>
      <c r="B939" s="22">
        <v>1.4732965009208227E-2</v>
      </c>
    </row>
    <row r="940" spans="1:2" x14ac:dyDescent="0.35">
      <c r="A940" s="22">
        <v>-4.7461368653420825E-3</v>
      </c>
      <c r="B940" s="22">
        <v>-2.4198427102238483E-2</v>
      </c>
    </row>
    <row r="941" spans="1:2" x14ac:dyDescent="0.35">
      <c r="A941" s="22">
        <v>-8.317622269047354E-3</v>
      </c>
      <c r="B941" s="22">
        <v>2.7898326100435035E-3</v>
      </c>
    </row>
    <row r="942" spans="1:2" x14ac:dyDescent="0.35">
      <c r="A942" s="22">
        <v>2.3484679042719051E-3</v>
      </c>
      <c r="B942" s="22">
        <v>2.5038639876352246E-2</v>
      </c>
    </row>
    <row r="943" spans="1:2" x14ac:dyDescent="0.35">
      <c r="A943" s="22">
        <v>6.6830302354122614E-2</v>
      </c>
      <c r="B943" s="22">
        <v>-5.7297949336549379E-3</v>
      </c>
    </row>
    <row r="944" spans="1:2" x14ac:dyDescent="0.35">
      <c r="A944" s="22">
        <v>-1.1085546956703642E-2</v>
      </c>
      <c r="B944" s="22">
        <v>-1.5165301789505611E-2</v>
      </c>
    </row>
    <row r="945" spans="1:2" x14ac:dyDescent="0.35">
      <c r="A945" s="22">
        <v>5.6049069373942592E-3</v>
      </c>
      <c r="B945" s="22">
        <v>-3.3569448721897134E-2</v>
      </c>
    </row>
    <row r="946" spans="1:2" x14ac:dyDescent="0.35">
      <c r="A946" s="22">
        <v>8.4130823430434015E-3</v>
      </c>
      <c r="B946" s="22">
        <v>-1.083492670490758E-2</v>
      </c>
    </row>
    <row r="947" spans="1:2" x14ac:dyDescent="0.35">
      <c r="A947" s="22">
        <v>-1.0428616122639934E-3</v>
      </c>
      <c r="B947" s="22">
        <v>-2.3518041237113416E-2</v>
      </c>
    </row>
    <row r="948" spans="1:2" x14ac:dyDescent="0.35">
      <c r="A948" s="22">
        <v>1.3780144065142427E-2</v>
      </c>
      <c r="B948" s="22">
        <v>1.946552292972616E-2</v>
      </c>
    </row>
    <row r="949" spans="1:2" x14ac:dyDescent="0.35">
      <c r="A949" s="22">
        <v>-2.3684481515807228E-3</v>
      </c>
      <c r="B949" s="22">
        <v>2.9126213592232963E-3</v>
      </c>
    </row>
    <row r="950" spans="1:2" x14ac:dyDescent="0.35">
      <c r="A950" s="22">
        <v>7.6383154417837438E-3</v>
      </c>
      <c r="B950" s="22">
        <v>1.5811552113585092E-2</v>
      </c>
    </row>
    <row r="951" spans="1:2" x14ac:dyDescent="0.35">
      <c r="A951" s="22">
        <v>1.0551116574472455E-2</v>
      </c>
      <c r="B951" s="22">
        <v>-1.588310038119441E-2</v>
      </c>
    </row>
    <row r="952" spans="1:2" x14ac:dyDescent="0.35">
      <c r="A952" s="22">
        <v>6.0821084642675551E-3</v>
      </c>
      <c r="B952" s="22">
        <v>-2.1304067140090387E-2</v>
      </c>
    </row>
    <row r="953" spans="1:2" x14ac:dyDescent="0.35">
      <c r="A953" s="22">
        <v>6.6498740554155828E-3</v>
      </c>
      <c r="B953" s="22">
        <v>-2.1767810026385229E-2</v>
      </c>
    </row>
    <row r="954" spans="1:2" x14ac:dyDescent="0.35">
      <c r="A954" s="22">
        <v>2.1319187268541786E-2</v>
      </c>
      <c r="B954" s="22">
        <v>1.3486176668914315E-2</v>
      </c>
    </row>
    <row r="955" spans="1:2" x14ac:dyDescent="0.35">
      <c r="A955" s="22">
        <v>9.5060760486083765E-3</v>
      </c>
      <c r="B955" s="22">
        <v>8.9820359281436984E-3</v>
      </c>
    </row>
    <row r="956" spans="1:2" x14ac:dyDescent="0.35">
      <c r="A956" s="22">
        <v>7.3779244733520131E-3</v>
      </c>
      <c r="B956" s="22">
        <v>-2.8025057698648135E-2</v>
      </c>
    </row>
    <row r="957" spans="1:2" x14ac:dyDescent="0.35">
      <c r="A957" s="22">
        <v>-6.9384215091066676E-3</v>
      </c>
      <c r="B957" s="22">
        <v>-5.0881953867029216E-3</v>
      </c>
    </row>
    <row r="958" spans="1:2" x14ac:dyDescent="0.35">
      <c r="A958" s="22">
        <v>-3.6875303250848662E-3</v>
      </c>
      <c r="B958" s="22">
        <v>1.1251278554381244E-2</v>
      </c>
    </row>
    <row r="959" spans="1:2" x14ac:dyDescent="0.35">
      <c r="A959" s="22">
        <v>1.3635920911658768E-3</v>
      </c>
      <c r="B959" s="22">
        <v>-1.4834794335805842E-2</v>
      </c>
    </row>
    <row r="960" spans="1:2" x14ac:dyDescent="0.35">
      <c r="A960" s="22">
        <v>2.3052232273125226E-2</v>
      </c>
      <c r="B960" s="22">
        <v>-2.2587268993839841E-2</v>
      </c>
    </row>
    <row r="961" spans="1:2" x14ac:dyDescent="0.35">
      <c r="A961" s="22">
        <v>-1.5592317931165625E-2</v>
      </c>
      <c r="B961" s="22">
        <v>1.5756302521008504E-2</v>
      </c>
    </row>
    <row r="962" spans="1:2" x14ac:dyDescent="0.35">
      <c r="A962" s="22">
        <v>-3.3996523082866624E-2</v>
      </c>
      <c r="B962" s="22">
        <v>-1.5856601172009679E-2</v>
      </c>
    </row>
    <row r="963" spans="1:2" x14ac:dyDescent="0.35">
      <c r="A963" s="22">
        <v>-2.0395920815836754E-2</v>
      </c>
      <c r="B963" s="22">
        <v>-4.6584938704028085E-2</v>
      </c>
    </row>
    <row r="964" spans="1:2" x14ac:dyDescent="0.35">
      <c r="A964" s="22">
        <v>3.8987548479281417E-2</v>
      </c>
      <c r="B964" s="22">
        <v>5.1432770022042827E-3</v>
      </c>
    </row>
    <row r="965" spans="1:2" x14ac:dyDescent="0.35">
      <c r="A965" s="22">
        <v>9.5284872298624645E-3</v>
      </c>
      <c r="B965" s="22">
        <v>3.0701754385964907E-2</v>
      </c>
    </row>
    <row r="966" spans="1:2" x14ac:dyDescent="0.35">
      <c r="A966" s="22">
        <v>-1.8390580908825539E-2</v>
      </c>
      <c r="B966" s="22">
        <v>-7.0921985815602584E-3</v>
      </c>
    </row>
    <row r="967" spans="1:2" x14ac:dyDescent="0.35">
      <c r="A967" s="22">
        <v>4.1633624107850944E-2</v>
      </c>
      <c r="B967" s="22">
        <v>2.8571428571428598E-2</v>
      </c>
    </row>
    <row r="968" spans="1:2" x14ac:dyDescent="0.35">
      <c r="A968" s="22">
        <v>1.8842786448420291E-2</v>
      </c>
      <c r="B968" s="22">
        <v>3.3680555555555512E-2</v>
      </c>
    </row>
    <row r="969" spans="1:2" x14ac:dyDescent="0.35">
      <c r="A969" s="22">
        <v>1.7747057724640176E-3</v>
      </c>
      <c r="B969" s="22">
        <v>-2.2169969768223049E-2</v>
      </c>
    </row>
    <row r="970" spans="1:2" x14ac:dyDescent="0.35">
      <c r="A970" s="22">
        <v>1.9673659673659669E-2</v>
      </c>
      <c r="B970" s="22">
        <v>-2.4046719340432818E-2</v>
      </c>
    </row>
    <row r="971" spans="1:2" x14ac:dyDescent="0.35">
      <c r="A971" s="22">
        <v>2.7432333577177338E-4</v>
      </c>
      <c r="B971" s="22">
        <v>-2.991904259063715E-2</v>
      </c>
    </row>
    <row r="972" spans="1:2" x14ac:dyDescent="0.35">
      <c r="A972" s="22">
        <v>-2.1848432215010517E-2</v>
      </c>
      <c r="B972" s="22">
        <v>-3.3018867924528308E-2</v>
      </c>
    </row>
    <row r="973" spans="1:2" x14ac:dyDescent="0.35">
      <c r="A973" s="22">
        <v>-8.3177570093458005E-3</v>
      </c>
      <c r="B973" s="22">
        <v>7.5046904315198065E-3</v>
      </c>
    </row>
    <row r="974" spans="1:2" x14ac:dyDescent="0.35">
      <c r="A974" s="22">
        <v>-1.800018848364901E-2</v>
      </c>
      <c r="B974" s="22">
        <v>1.8621973929235439E-3</v>
      </c>
    </row>
    <row r="975" spans="1:2" x14ac:dyDescent="0.35">
      <c r="A975" s="22">
        <v>1.487523992322454E-2</v>
      </c>
      <c r="B975" s="22">
        <v>4.8327137546468432E-2</v>
      </c>
    </row>
    <row r="976" spans="1:2" x14ac:dyDescent="0.35">
      <c r="A976" s="22">
        <v>1.9574468085106319E-2</v>
      </c>
      <c r="B976" s="22">
        <v>-2.1276595744680396E-3</v>
      </c>
    </row>
    <row r="977" spans="1:2" x14ac:dyDescent="0.35">
      <c r="A977" s="22">
        <v>-1.9476905954367812E-3</v>
      </c>
      <c r="B977" s="22">
        <v>-2.3454157782515996E-2</v>
      </c>
    </row>
    <row r="978" spans="1:2" x14ac:dyDescent="0.35">
      <c r="A978" s="22">
        <v>-1.5333147477000332E-2</v>
      </c>
      <c r="B978" s="22">
        <v>2.0014556040756939E-2</v>
      </c>
    </row>
    <row r="979" spans="1:2" x14ac:dyDescent="0.35">
      <c r="A979" s="22">
        <v>3.3975084937712292E-3</v>
      </c>
      <c r="B979" s="22">
        <v>1.7481270067784459E-2</v>
      </c>
    </row>
    <row r="980" spans="1:2" x14ac:dyDescent="0.35">
      <c r="A980" s="22">
        <v>2.1632806621520316E-3</v>
      </c>
      <c r="B980" s="22">
        <v>-2.1739130434782643E-2</v>
      </c>
    </row>
    <row r="981" spans="1:2" x14ac:dyDescent="0.35">
      <c r="A981" s="22">
        <v>1.2857813233223882E-2</v>
      </c>
      <c r="B981" s="22">
        <v>7.1684587813621095E-3</v>
      </c>
    </row>
    <row r="982" spans="1:2" x14ac:dyDescent="0.35">
      <c r="A982" s="22">
        <v>-2.5945144551519747E-3</v>
      </c>
      <c r="B982" s="22">
        <v>2.8469750889679106E-3</v>
      </c>
    </row>
    <row r="983" spans="1:2" x14ac:dyDescent="0.35">
      <c r="A983" s="22">
        <v>2.9728725380898662E-3</v>
      </c>
      <c r="B983" s="22">
        <v>1.135557132718241E-2</v>
      </c>
    </row>
    <row r="984" spans="1:2" x14ac:dyDescent="0.35">
      <c r="A984" s="22">
        <v>7.3175250092627486E-3</v>
      </c>
      <c r="B984" s="22">
        <v>1.3684210526315809E-2</v>
      </c>
    </row>
    <row r="985" spans="1:2" x14ac:dyDescent="0.35">
      <c r="A985" s="22">
        <v>1.4896551724137973E-2</v>
      </c>
      <c r="B985" s="22">
        <v>9.3804084458290096E-2</v>
      </c>
    </row>
    <row r="986" spans="1:2" x14ac:dyDescent="0.35">
      <c r="A986" s="22">
        <v>-9.0604330887024116E-4</v>
      </c>
      <c r="B986" s="22">
        <v>0</v>
      </c>
    </row>
    <row r="987" spans="1:2" x14ac:dyDescent="0.35">
      <c r="A987" s="22">
        <v>2.9110365466582099E-2</v>
      </c>
      <c r="B987" s="22">
        <v>2.4050632911392342E-2</v>
      </c>
    </row>
    <row r="988" spans="1:2" x14ac:dyDescent="0.35">
      <c r="A988" s="22">
        <v>1.471624955939374E-2</v>
      </c>
      <c r="B988" s="22">
        <v>2.1940667490729322E-2</v>
      </c>
    </row>
    <row r="989" spans="1:2" x14ac:dyDescent="0.35">
      <c r="A989" s="22">
        <v>2.2579244463742155E-3</v>
      </c>
      <c r="B989" s="22">
        <v>-1.1793166011490793E-2</v>
      </c>
    </row>
    <row r="990" spans="1:2" x14ac:dyDescent="0.35">
      <c r="A990" s="22">
        <v>6.0653322935621075E-3</v>
      </c>
      <c r="B990" s="22">
        <v>7.0379436964503328E-3</v>
      </c>
    </row>
    <row r="991" spans="1:2" x14ac:dyDescent="0.35">
      <c r="A991" s="22">
        <v>-1.1196279390233375E-2</v>
      </c>
      <c r="B991" s="22">
        <v>1.8231540565177801E-2</v>
      </c>
    </row>
    <row r="992" spans="1:2" x14ac:dyDescent="0.35">
      <c r="A992" s="22">
        <v>9.5810469471299918E-3</v>
      </c>
      <c r="B992" s="22">
        <v>7.1620411817368548E-3</v>
      </c>
    </row>
    <row r="993" spans="1:2" x14ac:dyDescent="0.35">
      <c r="A993" s="22">
        <v>2.3293934949529832E-2</v>
      </c>
      <c r="B993" s="22">
        <v>-5.0370370370370872E-3</v>
      </c>
    </row>
    <row r="994" spans="1:2" x14ac:dyDescent="0.35">
      <c r="A994" s="22">
        <v>8.6839220976309001E-3</v>
      </c>
      <c r="B994" s="22">
        <v>-4.7647409172125255E-3</v>
      </c>
    </row>
    <row r="995" spans="1:2" x14ac:dyDescent="0.35">
      <c r="A995" s="22">
        <v>1.2788365095285867E-2</v>
      </c>
      <c r="B995" s="22">
        <v>1.7055655296229811E-2</v>
      </c>
    </row>
    <row r="996" spans="1:2" x14ac:dyDescent="0.35">
      <c r="A996" s="22">
        <v>-1.2379301807378532E-3</v>
      </c>
      <c r="B996" s="22">
        <v>6.6490144160047004E-2</v>
      </c>
    </row>
    <row r="997" spans="1:2" x14ac:dyDescent="0.35">
      <c r="A997" s="22">
        <v>4.3794414146422177E-3</v>
      </c>
      <c r="B997" s="22">
        <v>-1.4344827586206983E-2</v>
      </c>
    </row>
    <row r="998" spans="1:2" x14ac:dyDescent="0.35">
      <c r="A998" s="22">
        <v>-3.3730974907445217E-3</v>
      </c>
      <c r="B998" s="22">
        <v>-8.1164287713405871E-3</v>
      </c>
    </row>
    <row r="999" spans="1:2" x14ac:dyDescent="0.35">
      <c r="A999" s="22">
        <v>1.2382367508667657E-2</v>
      </c>
      <c r="B999" s="22">
        <v>1.2133182844243785E-2</v>
      </c>
    </row>
    <row r="1000" spans="1:2" x14ac:dyDescent="0.35">
      <c r="A1000" s="22">
        <v>-9.8662752772341305E-3</v>
      </c>
      <c r="B1000" s="22">
        <v>-1.1151379983272891E-2</v>
      </c>
    </row>
    <row r="1001" spans="1:2" x14ac:dyDescent="0.35">
      <c r="A1001" s="22">
        <v>9.058716956271055E-3</v>
      </c>
      <c r="B1001" s="22">
        <v>2.199041443473361E-2</v>
      </c>
    </row>
    <row r="1002" spans="1:2" x14ac:dyDescent="0.35">
      <c r="A1002" s="22">
        <v>-0.1182567534481351</v>
      </c>
      <c r="B1002" s="22">
        <v>-6.3448275862068105E-3</v>
      </c>
    </row>
    <row r="1003" spans="1:2" x14ac:dyDescent="0.35">
      <c r="A1003" s="22">
        <v>-1.8511662347288254E-4</v>
      </c>
      <c r="B1003" s="22">
        <v>3.0538589672404058E-3</v>
      </c>
    </row>
    <row r="1004" spans="1:2" x14ac:dyDescent="0.35">
      <c r="A1004" s="22">
        <v>-8.2392149601925625E-3</v>
      </c>
      <c r="B1004" s="22">
        <v>-1.3838915029062901E-3</v>
      </c>
    </row>
    <row r="1005" spans="1:2" x14ac:dyDescent="0.35">
      <c r="A1005" s="22">
        <v>1.5775226360496573E-2</v>
      </c>
      <c r="B1005" s="22">
        <v>3.3259423503327204E-3</v>
      </c>
    </row>
    <row r="1006" spans="1:2" x14ac:dyDescent="0.35">
      <c r="A1006" s="22">
        <v>-2.297371806653189E-3</v>
      </c>
      <c r="B1006" s="22">
        <v>-7.7348066298342849E-3</v>
      </c>
    </row>
    <row r="1007" spans="1:2" x14ac:dyDescent="0.35">
      <c r="A1007" s="22">
        <v>-1.8605507967210059E-2</v>
      </c>
      <c r="B1007" s="22">
        <v>3.6191536748328354E-3</v>
      </c>
    </row>
    <row r="1008" spans="1:2" x14ac:dyDescent="0.35">
      <c r="A1008" s="22">
        <v>-2.3557015485687387E-2</v>
      </c>
      <c r="B1008" s="22">
        <v>-2.1636615811372929E-2</v>
      </c>
    </row>
    <row r="1009" spans="1:2" x14ac:dyDescent="0.35">
      <c r="A1009" s="22">
        <v>-1.6724336793541031E-2</v>
      </c>
      <c r="B1009" s="22">
        <v>6.2375956903883995E-3</v>
      </c>
    </row>
    <row r="1010" spans="1:2" x14ac:dyDescent="0.35">
      <c r="A1010" s="22">
        <v>-2.1505376344085913E-3</v>
      </c>
      <c r="B1010" s="22">
        <v>1.4088475626937165E-2</v>
      </c>
    </row>
    <row r="1011" spans="1:2" x14ac:dyDescent="0.35">
      <c r="A1011" s="22">
        <v>1.5086206896551786E-2</v>
      </c>
      <c r="B1011" s="22">
        <v>1.9727702139483213E-2</v>
      </c>
    </row>
    <row r="1012" spans="1:2" x14ac:dyDescent="0.35">
      <c r="A1012" s="22">
        <v>-8.4925690021232358E-3</v>
      </c>
      <c r="B1012" s="22">
        <v>-4.3596730245232607E-3</v>
      </c>
    </row>
    <row r="1013" spans="1:2" x14ac:dyDescent="0.35">
      <c r="A1013" s="22">
        <v>1.0025306599182413E-2</v>
      </c>
      <c r="B1013" s="22">
        <v>-6.2944718117131059E-3</v>
      </c>
    </row>
    <row r="1014" spans="1:2" x14ac:dyDescent="0.35">
      <c r="A1014" s="22">
        <v>2.052616363110735E-2</v>
      </c>
      <c r="B1014" s="22">
        <v>-1.2393280088130069E-2</v>
      </c>
    </row>
    <row r="1015" spans="1:2" x14ac:dyDescent="0.35">
      <c r="A1015" s="22">
        <v>-7.932011331444791E-3</v>
      </c>
      <c r="B1015" s="22">
        <v>-1.6731734523145605E-2</v>
      </c>
    </row>
    <row r="1016" spans="1:2" x14ac:dyDescent="0.35">
      <c r="A1016" s="22">
        <v>-3.1791357319626914E-2</v>
      </c>
      <c r="B1016" s="22">
        <v>3.6868973340896927E-3</v>
      </c>
    </row>
    <row r="1017" spans="1:2" x14ac:dyDescent="0.35">
      <c r="A1017" s="22">
        <v>-8.8478175383405987E-3</v>
      </c>
      <c r="B1017" s="22">
        <v>-1.0737496467928865E-2</v>
      </c>
    </row>
    <row r="1018" spans="1:2" x14ac:dyDescent="0.35">
      <c r="A1018" s="22">
        <v>1.1902400317397794E-3</v>
      </c>
      <c r="B1018" s="22">
        <v>-1.2282205084261632E-2</v>
      </c>
    </row>
    <row r="1019" spans="1:2" x14ac:dyDescent="0.35">
      <c r="A1019" s="22">
        <v>8.3217753120666087E-3</v>
      </c>
      <c r="B1019" s="22">
        <v>2.6894158473105834E-2</v>
      </c>
    </row>
    <row r="1020" spans="1:2" x14ac:dyDescent="0.35">
      <c r="A1020" s="22">
        <v>-1.1986637846335222E-2</v>
      </c>
      <c r="B1020" s="22">
        <v>-5.3506054632497246E-3</v>
      </c>
    </row>
    <row r="1021" spans="1:2" x14ac:dyDescent="0.35">
      <c r="A1021" s="22">
        <v>1.3325377883850471E-2</v>
      </c>
      <c r="B1021" s="22">
        <v>-2.5481313703285225E-3</v>
      </c>
    </row>
    <row r="1022" spans="1:2" x14ac:dyDescent="0.35">
      <c r="A1022" s="22">
        <v>-1.11874386653582E-2</v>
      </c>
      <c r="B1022" s="22">
        <v>-1.5043996593811924E-2</v>
      </c>
    </row>
    <row r="1023" spans="1:2" x14ac:dyDescent="0.35">
      <c r="A1023" s="22">
        <v>9.9245732433415096E-5</v>
      </c>
      <c r="B1023" s="22">
        <v>1.3256484149855726E-2</v>
      </c>
    </row>
    <row r="1024" spans="1:2" x14ac:dyDescent="0.35">
      <c r="A1024" s="22">
        <v>1.9648704971717813E-2</v>
      </c>
      <c r="B1024" s="22">
        <v>5.688282138794974E-4</v>
      </c>
    </row>
    <row r="1025" spans="1:2" x14ac:dyDescent="0.35">
      <c r="A1025" s="22">
        <v>1.0997566909975625E-2</v>
      </c>
      <c r="B1025" s="22">
        <v>5.969300739056306E-3</v>
      </c>
    </row>
    <row r="1026" spans="1:2" x14ac:dyDescent="0.35">
      <c r="A1026" s="22">
        <v>2.8879476318830516E-3</v>
      </c>
      <c r="B1026" s="22">
        <v>7.7988132240745911E-2</v>
      </c>
    </row>
    <row r="1027" spans="1:2" x14ac:dyDescent="0.35">
      <c r="A1027" s="22">
        <v>-2.5436744096755667E-2</v>
      </c>
      <c r="B1027" s="22">
        <v>1.70380078636959E-2</v>
      </c>
    </row>
    <row r="1028" spans="1:2" x14ac:dyDescent="0.35">
      <c r="A1028" s="22">
        <v>2.2653402935093468E-3</v>
      </c>
      <c r="B1028" s="22">
        <v>1.8041237113402137E-3</v>
      </c>
    </row>
    <row r="1029" spans="1:2" x14ac:dyDescent="0.35">
      <c r="A1029" s="22">
        <v>-1.0318396226415205E-2</v>
      </c>
      <c r="B1029" s="22">
        <v>1.0290712631849538E-3</v>
      </c>
    </row>
    <row r="1030" spans="1:2" x14ac:dyDescent="0.35">
      <c r="A1030" s="22">
        <v>-1.0227385562506077E-2</v>
      </c>
      <c r="B1030" s="22">
        <v>-2.8784374196864495E-2</v>
      </c>
    </row>
    <row r="1031" spans="1:2" x14ac:dyDescent="0.35">
      <c r="A1031" s="22">
        <v>2.9394060995184514E-2</v>
      </c>
      <c r="B1031" s="22">
        <v>6.3508864779042605E-3</v>
      </c>
    </row>
    <row r="1032" spans="1:2" x14ac:dyDescent="0.35">
      <c r="A1032" s="22">
        <v>1.1499853815417667E-2</v>
      </c>
      <c r="B1032" s="22">
        <v>1.8143570865106436E-2</v>
      </c>
    </row>
    <row r="1033" spans="1:2" x14ac:dyDescent="0.35">
      <c r="A1033" s="22">
        <v>-1.9269679159851846E-4</v>
      </c>
      <c r="B1033" s="22">
        <v>-1.8078512396694289E-3</v>
      </c>
    </row>
    <row r="1034" spans="1:2" x14ac:dyDescent="0.35">
      <c r="A1034" s="22">
        <v>7.0347884745109767E-3</v>
      </c>
      <c r="B1034" s="22">
        <v>-2.32858990944363E-3</v>
      </c>
    </row>
    <row r="1035" spans="1:2" x14ac:dyDescent="0.35">
      <c r="A1035" s="22">
        <v>2.5645933014354132E-2</v>
      </c>
      <c r="B1035" s="22">
        <v>1.867219917012445E-2</v>
      </c>
    </row>
    <row r="1036" spans="1:2" x14ac:dyDescent="0.35">
      <c r="A1036" s="22">
        <v>-2.033961559992542E-2</v>
      </c>
      <c r="B1036" s="22">
        <v>-2.4694501018329908E-2</v>
      </c>
    </row>
    <row r="1037" spans="1:2" x14ac:dyDescent="0.35">
      <c r="A1037" s="22">
        <v>1.2666666666666651E-2</v>
      </c>
      <c r="B1037" s="22">
        <v>1.566170712607548E-3</v>
      </c>
    </row>
    <row r="1038" spans="1:2" x14ac:dyDescent="0.35">
      <c r="A1038" s="22">
        <v>-2.6333113890717685E-3</v>
      </c>
      <c r="B1038" s="22">
        <v>1.6158457127964675E-2</v>
      </c>
    </row>
    <row r="1039" spans="1:2" x14ac:dyDescent="0.35">
      <c r="A1039" s="22">
        <v>-2.3950966525223875E-2</v>
      </c>
      <c r="B1039" s="22">
        <v>-7.4378045652731244E-3</v>
      </c>
    </row>
    <row r="1040" spans="1:2" x14ac:dyDescent="0.35">
      <c r="A1040" s="22">
        <v>-2.0287894889383438E-3</v>
      </c>
      <c r="B1040" s="22">
        <v>8.0103359173125353E-3</v>
      </c>
    </row>
    <row r="1041" spans="1:2" x14ac:dyDescent="0.35">
      <c r="A1041" s="22">
        <v>1.9070667957405606E-2</v>
      </c>
      <c r="B1041" s="22">
        <v>1.2304537298128788E-2</v>
      </c>
    </row>
    <row r="1042" spans="1:2" x14ac:dyDescent="0.35">
      <c r="A1042" s="22">
        <v>-1.8048826826256078E-3</v>
      </c>
      <c r="B1042" s="22">
        <v>-3.7984299822739574E-3</v>
      </c>
    </row>
    <row r="1043" spans="1:2" x14ac:dyDescent="0.35">
      <c r="A1043" s="22">
        <v>5.2341073467833763E-3</v>
      </c>
      <c r="B1043" s="22">
        <v>7.3716319267920468E-3</v>
      </c>
    </row>
    <row r="1044" spans="1:2" x14ac:dyDescent="0.35">
      <c r="A1044" s="22">
        <v>-1.0319038152040038E-2</v>
      </c>
      <c r="B1044" s="22">
        <v>4.0373454453695827E-3</v>
      </c>
    </row>
    <row r="1045" spans="1:2" x14ac:dyDescent="0.35">
      <c r="A1045" s="22">
        <v>5.8350870480198911E-3</v>
      </c>
      <c r="B1045" s="22">
        <v>9.8014576526765668E-3</v>
      </c>
    </row>
    <row r="1046" spans="1:2" x14ac:dyDescent="0.35">
      <c r="A1046" s="22">
        <v>-7.6081787922017245E-3</v>
      </c>
      <c r="B1046" s="22">
        <v>1.1199601791936357E-2</v>
      </c>
    </row>
    <row r="1047" spans="1:2" x14ac:dyDescent="0.35">
      <c r="A1047" s="22">
        <v>-4.024916147580139E-3</v>
      </c>
      <c r="B1047" s="22">
        <v>8.6143243908440633E-3</v>
      </c>
    </row>
    <row r="1048" spans="1:2" x14ac:dyDescent="0.35">
      <c r="A1048" s="22">
        <v>-1.9724814779178403E-2</v>
      </c>
      <c r="B1048" s="22">
        <v>2.4402147388982715E-4</v>
      </c>
    </row>
    <row r="1049" spans="1:2" x14ac:dyDescent="0.35">
      <c r="A1049" s="22">
        <v>-2.2968197879858553E-2</v>
      </c>
      <c r="B1049" s="22">
        <v>-1.4637716516224023E-3</v>
      </c>
    </row>
    <row r="1050" spans="1:2" x14ac:dyDescent="0.35">
      <c r="A1050" s="22">
        <v>-1.2356841470765561E-2</v>
      </c>
      <c r="B1050" s="22">
        <v>-6.8409479599316186E-3</v>
      </c>
    </row>
    <row r="1051" spans="1:2" x14ac:dyDescent="0.35">
      <c r="A1051" s="22">
        <v>-6.9168955345336874E-3</v>
      </c>
      <c r="B1051" s="22">
        <v>-1.2300123001230012E-2</v>
      </c>
    </row>
    <row r="1052" spans="1:2" x14ac:dyDescent="0.35">
      <c r="A1052" s="22">
        <v>5.7359418211615516E-3</v>
      </c>
      <c r="B1052" s="22">
        <v>-1.9925280199252732E-2</v>
      </c>
    </row>
    <row r="1053" spans="1:2" x14ac:dyDescent="0.35">
      <c r="A1053" s="22">
        <v>9.8788063957633045E-3</v>
      </c>
      <c r="B1053" s="22">
        <v>3.8119440914866219E-3</v>
      </c>
    </row>
    <row r="1054" spans="1:2" x14ac:dyDescent="0.35">
      <c r="A1054" s="22">
        <v>1.936264622831789E-2</v>
      </c>
      <c r="B1054" s="22">
        <v>7.5949367088610478E-4</v>
      </c>
    </row>
    <row r="1055" spans="1:2" x14ac:dyDescent="0.35">
      <c r="A1055" s="22">
        <v>-8.9038385437276556E-3</v>
      </c>
      <c r="B1055" s="22">
        <v>-8.0951176321780987E-3</v>
      </c>
    </row>
    <row r="1056" spans="1:2" x14ac:dyDescent="0.35">
      <c r="A1056" s="22">
        <v>1.1778798163305975E-2</v>
      </c>
      <c r="B1056" s="22">
        <v>2.6778882938025942E-2</v>
      </c>
    </row>
    <row r="1057" spans="1:2" x14ac:dyDescent="0.35">
      <c r="A1057" s="22">
        <v>-1.0852407261246984E-2</v>
      </c>
      <c r="B1057" s="22">
        <v>-2.1857923497267649E-2</v>
      </c>
    </row>
    <row r="1058" spans="1:2" x14ac:dyDescent="0.35">
      <c r="A1058" s="22">
        <v>-6.1839218033114358E-3</v>
      </c>
      <c r="B1058" s="22">
        <v>3.3265617064499618E-2</v>
      </c>
    </row>
    <row r="1059" spans="1:2" x14ac:dyDescent="0.35">
      <c r="A1059" s="22">
        <v>-9.0325170614211723E-3</v>
      </c>
      <c r="B1059" s="22">
        <v>3.1948881789138012E-3</v>
      </c>
    </row>
    <row r="1060" spans="1:2" x14ac:dyDescent="0.35">
      <c r="A1060" s="22">
        <v>1.2355681588008902E-2</v>
      </c>
      <c r="B1060" s="22">
        <v>1.6903478686918123E-2</v>
      </c>
    </row>
    <row r="1061" spans="1:2" x14ac:dyDescent="0.35">
      <c r="A1061" s="22">
        <v>3.1012404961985023E-3</v>
      </c>
      <c r="B1061" s="22">
        <v>3.2281377981209433E-2</v>
      </c>
    </row>
    <row r="1062" spans="1:2" x14ac:dyDescent="0.35">
      <c r="A1062" s="22">
        <v>5.4851899870349777E-3</v>
      </c>
      <c r="B1062" s="22">
        <v>1.3302217036172702E-2</v>
      </c>
    </row>
    <row r="1063" spans="1:2" x14ac:dyDescent="0.35">
      <c r="A1063" s="22">
        <v>-6.9033921840904525E-2</v>
      </c>
      <c r="B1063" s="22">
        <v>-8.2911100875172599E-3</v>
      </c>
    </row>
    <row r="1064" spans="1:2" x14ac:dyDescent="0.35">
      <c r="A1064" s="22">
        <v>-1.171958235670141E-3</v>
      </c>
      <c r="B1064" s="22">
        <v>1.13794705062702E-2</v>
      </c>
    </row>
    <row r="1065" spans="1:2" x14ac:dyDescent="0.35">
      <c r="A1065" s="22">
        <v>-1.2480000000000019E-2</v>
      </c>
      <c r="B1065" s="22">
        <v>1.0332950631458161E-2</v>
      </c>
    </row>
    <row r="1066" spans="1:2" x14ac:dyDescent="0.35">
      <c r="A1066" s="22">
        <v>1.6742276949665125E-2</v>
      </c>
      <c r="B1066" s="22">
        <v>1.3409090909090987E-2</v>
      </c>
    </row>
    <row r="1067" spans="1:2" x14ac:dyDescent="0.35">
      <c r="A1067" s="22">
        <v>-1.5935408477636406E-3</v>
      </c>
      <c r="B1067" s="22">
        <v>1.7044180309486387E-2</v>
      </c>
    </row>
    <row r="1068" spans="1:2" x14ac:dyDescent="0.35">
      <c r="A1068" s="22">
        <v>-1.5109597786763159E-2</v>
      </c>
      <c r="B1068" s="22">
        <v>1.1025358324144908E-3</v>
      </c>
    </row>
    <row r="1069" spans="1:2" x14ac:dyDescent="0.35">
      <c r="A1069" s="22">
        <v>-1.7394122731201375E-2</v>
      </c>
      <c r="B1069" s="22">
        <v>-1.1233480176211411E-2</v>
      </c>
    </row>
    <row r="1070" spans="1:2" x14ac:dyDescent="0.35">
      <c r="A1070" s="22">
        <v>-6.8169323804288572E-3</v>
      </c>
      <c r="B1070" s="22">
        <v>6.2374693695700853E-3</v>
      </c>
    </row>
    <row r="1071" spans="1:2" x14ac:dyDescent="0.35">
      <c r="A1071" s="22">
        <v>-1.3948854201262096E-2</v>
      </c>
      <c r="B1071" s="22">
        <v>-3.2986495461589591E-2</v>
      </c>
    </row>
    <row r="1072" spans="1:2" x14ac:dyDescent="0.35">
      <c r="A1072" s="22">
        <v>-2.5822386886717166E-3</v>
      </c>
      <c r="B1072" s="22">
        <v>1.2591575091575026E-2</v>
      </c>
    </row>
    <row r="1073" spans="1:2" x14ac:dyDescent="0.35">
      <c r="A1073" s="22">
        <v>1.305718144979735E-2</v>
      </c>
      <c r="B1073" s="22">
        <v>2.4869997739092593E-3</v>
      </c>
    </row>
    <row r="1074" spans="1:2" x14ac:dyDescent="0.35">
      <c r="A1074" s="22">
        <v>1.1111111111111112E-2</v>
      </c>
      <c r="B1074" s="22">
        <v>8.7956698240864561E-3</v>
      </c>
    </row>
    <row r="1075" spans="1:2" x14ac:dyDescent="0.35">
      <c r="A1075" s="22">
        <v>-2.197802197802198E-2</v>
      </c>
      <c r="B1075" s="22">
        <v>-1.7661524703778207E-2</v>
      </c>
    </row>
    <row r="1076" spans="1:2" x14ac:dyDescent="0.35">
      <c r="A1076" s="22">
        <v>3.3707865168539325E-2</v>
      </c>
      <c r="B1076" s="22">
        <v>-2.2758306781974127E-3</v>
      </c>
    </row>
    <row r="1077" spans="1:2" x14ac:dyDescent="0.35">
      <c r="A1077" s="22">
        <v>0</v>
      </c>
      <c r="B1077" s="22">
        <v>-1.7335766423357778E-2</v>
      </c>
    </row>
    <row r="1078" spans="1:2" x14ac:dyDescent="0.35">
      <c r="A1078" s="22">
        <v>1.1956521739130373E-2</v>
      </c>
      <c r="B1078" s="22">
        <v>-9.0529247910863652E-3</v>
      </c>
    </row>
    <row r="1079" spans="1:2" x14ac:dyDescent="0.35">
      <c r="A1079" s="22">
        <v>3.1149301825994227E-3</v>
      </c>
      <c r="B1079" s="22">
        <v>-7.0274068868590158E-4</v>
      </c>
    </row>
    <row r="1080" spans="1:2" x14ac:dyDescent="0.35">
      <c r="A1080" s="22">
        <v>1.5526287611093295E-2</v>
      </c>
      <c r="B1080" s="22">
        <v>-4.6882325363337028E-3</v>
      </c>
    </row>
    <row r="1081" spans="1:2" x14ac:dyDescent="0.35">
      <c r="A1081" s="22">
        <v>9.489666807254233E-3</v>
      </c>
      <c r="B1081" s="22">
        <v>-4.710315591145343E-4</v>
      </c>
    </row>
    <row r="1082" spans="1:2" x14ac:dyDescent="0.35">
      <c r="A1082" s="22">
        <v>-1.263839565489862E-2</v>
      </c>
      <c r="B1082" s="22">
        <v>-1.6493873704052848E-3</v>
      </c>
    </row>
    <row r="1083" spans="1:2" x14ac:dyDescent="0.35">
      <c r="A1083" s="22">
        <v>-3.5967417750978887E-3</v>
      </c>
      <c r="B1083" s="22">
        <v>1.9825348123672492E-2</v>
      </c>
    </row>
    <row r="1084" spans="1:2" x14ac:dyDescent="0.35">
      <c r="A1084" s="22">
        <v>-1.8048625119439611E-3</v>
      </c>
      <c r="B1084" s="22">
        <v>4.3739875028928503E-2</v>
      </c>
    </row>
    <row r="1085" spans="1:2" x14ac:dyDescent="0.35">
      <c r="A1085" s="22">
        <v>6.5943416294405935E-3</v>
      </c>
      <c r="B1085" s="22">
        <v>-4.4345898004441523E-4</v>
      </c>
    </row>
    <row r="1086" spans="1:2" x14ac:dyDescent="0.35">
      <c r="A1086" s="22">
        <v>-7.3964497041420418E-3</v>
      </c>
      <c r="B1086" s="22">
        <v>1.1978704525288358E-2</v>
      </c>
    </row>
    <row r="1087" spans="1:2" x14ac:dyDescent="0.35">
      <c r="A1087" s="22">
        <v>1.9161166702151035E-3</v>
      </c>
      <c r="B1087" s="22">
        <v>4.8224462954845676E-3</v>
      </c>
    </row>
    <row r="1088" spans="1:2" x14ac:dyDescent="0.35">
      <c r="A1088" s="22">
        <v>-6.3748406289845165E-4</v>
      </c>
      <c r="B1088" s="22">
        <v>4.3630017452006044E-3</v>
      </c>
    </row>
    <row r="1089" spans="1:2" x14ac:dyDescent="0.35">
      <c r="A1089" s="22">
        <v>-1.9136721241760548E-2</v>
      </c>
      <c r="B1089" s="22">
        <v>-3.2797567332754081E-2</v>
      </c>
    </row>
    <row r="1090" spans="1:2" x14ac:dyDescent="0.35">
      <c r="A1090" s="22">
        <v>-2.0810752221981376E-2</v>
      </c>
      <c r="B1090" s="22">
        <v>-1.3474062429823103E-3</v>
      </c>
    </row>
    <row r="1091" spans="1:2" x14ac:dyDescent="0.35">
      <c r="A1091" s="22">
        <v>2.2913438122647699E-2</v>
      </c>
      <c r="B1091" s="22">
        <v>4.4974139869575639E-3</v>
      </c>
    </row>
    <row r="1092" spans="1:2" x14ac:dyDescent="0.35">
      <c r="A1092" s="22">
        <v>-2.8135483172815811E-3</v>
      </c>
      <c r="B1092" s="22">
        <v>4.2534139243339542E-3</v>
      </c>
    </row>
    <row r="1093" spans="1:2" x14ac:dyDescent="0.35">
      <c r="A1093" s="22">
        <v>1.3130765056972259E-2</v>
      </c>
      <c r="B1093" s="22">
        <v>4.4583147570219092E-3</v>
      </c>
    </row>
    <row r="1094" spans="1:2" x14ac:dyDescent="0.35">
      <c r="A1094" s="22">
        <v>4.4987146529563166E-3</v>
      </c>
      <c r="B1094" s="22">
        <v>4.8823790501553227E-3</v>
      </c>
    </row>
    <row r="1095" spans="1:2" x14ac:dyDescent="0.35">
      <c r="A1095" s="22">
        <v>-2.0260183407975873E-3</v>
      </c>
      <c r="B1095" s="22">
        <v>-5.079505300353445E-3</v>
      </c>
    </row>
    <row r="1096" spans="1:2" x14ac:dyDescent="0.35">
      <c r="A1096" s="22">
        <v>-2.1369804466289436E-3</v>
      </c>
      <c r="B1096" s="22">
        <v>6.8812430632630922E-3</v>
      </c>
    </row>
    <row r="1097" spans="1:2" x14ac:dyDescent="0.35">
      <c r="A1097" s="22">
        <v>-2.623407217046796E-2</v>
      </c>
      <c r="B1097" s="22">
        <v>-3.3068783068782755E-3</v>
      </c>
    </row>
    <row r="1098" spans="1:2" x14ac:dyDescent="0.35">
      <c r="A1098" s="22">
        <v>1.9573345062678701E-2</v>
      </c>
      <c r="B1098" s="22">
        <v>-8.8476000884758126E-4</v>
      </c>
    </row>
    <row r="1099" spans="1:2" x14ac:dyDescent="0.35">
      <c r="A1099" s="22">
        <v>7.5496117342544638E-4</v>
      </c>
      <c r="B1099" s="22">
        <v>-3.0994022581359434E-3</v>
      </c>
    </row>
    <row r="1100" spans="1:2" x14ac:dyDescent="0.35">
      <c r="A1100" s="22">
        <v>-1.2070266192477686E-2</v>
      </c>
      <c r="B1100" s="22">
        <v>1.0215411947590514E-2</v>
      </c>
    </row>
    <row r="1101" spans="1:2" x14ac:dyDescent="0.35">
      <c r="A1101" s="22">
        <v>1.0908694229300132E-3</v>
      </c>
      <c r="B1101" s="22">
        <v>8.3534842822597377E-3</v>
      </c>
    </row>
    <row r="1102" spans="1:2" x14ac:dyDescent="0.35">
      <c r="A1102" s="22">
        <v>4.4676909665469196E-3</v>
      </c>
      <c r="B1102" s="22">
        <v>-2.3980815347721699E-3</v>
      </c>
    </row>
    <row r="1103" spans="1:2" x14ac:dyDescent="0.35">
      <c r="A1103" s="22">
        <v>-4.4478194836191235E-3</v>
      </c>
      <c r="B1103" s="22">
        <v>-1.4204545454545425E-2</v>
      </c>
    </row>
    <row r="1104" spans="1:2" x14ac:dyDescent="0.35">
      <c r="A1104" s="22">
        <v>1.1441647597253975E-2</v>
      </c>
      <c r="B1104" s="22">
        <v>-4.2119264021280812E-3</v>
      </c>
    </row>
    <row r="1105" spans="1:2" x14ac:dyDescent="0.35">
      <c r="A1105" s="22">
        <v>-3.4475328592974918E-3</v>
      </c>
      <c r="B1105" s="22">
        <v>-2.1148708815672369E-2</v>
      </c>
    </row>
    <row r="1106" spans="1:2" x14ac:dyDescent="0.35">
      <c r="A1106" s="22">
        <v>-1.1891891891891831E-2</v>
      </c>
      <c r="B1106" s="22">
        <v>-5.4582670002274736E-3</v>
      </c>
    </row>
    <row r="1107" spans="1:2" x14ac:dyDescent="0.35">
      <c r="A1107" s="22">
        <v>3.8293216630196311E-3</v>
      </c>
      <c r="B1107" s="22">
        <v>8.6896867139264252E-3</v>
      </c>
    </row>
    <row r="1108" spans="1:2" x14ac:dyDescent="0.35">
      <c r="A1108" s="22">
        <v>2.7247956403269754E-3</v>
      </c>
      <c r="B1108" s="22">
        <v>-2.3124008161414557E-2</v>
      </c>
    </row>
    <row r="1109" spans="1:2" x14ac:dyDescent="0.35">
      <c r="A1109" s="22">
        <v>-3.5869565217391121E-3</v>
      </c>
      <c r="B1109" s="22">
        <v>-1.0443258296588601E-2</v>
      </c>
    </row>
    <row r="1110" spans="1:2" x14ac:dyDescent="0.35">
      <c r="A1110" s="22">
        <v>1.9417475728155352E-2</v>
      </c>
      <c r="B1110" s="22">
        <v>1.8058161350844183E-2</v>
      </c>
    </row>
    <row r="1111" spans="1:2" x14ac:dyDescent="0.35">
      <c r="A1111" s="22">
        <v>1.7121455323702454E-2</v>
      </c>
      <c r="B1111" s="22">
        <v>3.6397143515319176E-2</v>
      </c>
    </row>
    <row r="1112" spans="1:2" x14ac:dyDescent="0.35">
      <c r="A1112" s="22">
        <v>-6.8385060494475696E-3</v>
      </c>
      <c r="B1112" s="22">
        <v>1.6670371193598578E-2</v>
      </c>
    </row>
    <row r="1113" spans="1:2" x14ac:dyDescent="0.35">
      <c r="A1113" s="22">
        <v>3.6016949152541228E-3</v>
      </c>
      <c r="B1113" s="22">
        <v>-1.0494097070397987E-2</v>
      </c>
    </row>
    <row r="1114" spans="1:2" x14ac:dyDescent="0.35">
      <c r="A1114" s="22">
        <v>-4.4331855604813359E-3</v>
      </c>
      <c r="B1114" s="22">
        <v>7.954043305346872E-3</v>
      </c>
    </row>
    <row r="1115" spans="1:2" x14ac:dyDescent="0.35">
      <c r="A1115" s="22">
        <v>1.4843087362171393E-2</v>
      </c>
      <c r="B1115" s="22">
        <v>-2.1920210434015806E-4</v>
      </c>
    </row>
    <row r="1116" spans="1:2" x14ac:dyDescent="0.35">
      <c r="A1116" s="22">
        <v>8.6711241119932954E-3</v>
      </c>
      <c r="B1116" s="22">
        <v>2.4117518088138442E-3</v>
      </c>
    </row>
    <row r="1117" spans="1:2" x14ac:dyDescent="0.35">
      <c r="A1117" s="22">
        <v>-5.6965302951838132E-3</v>
      </c>
      <c r="B1117" s="22">
        <v>4.0463692038495223E-2</v>
      </c>
    </row>
    <row r="1118" spans="1:2" x14ac:dyDescent="0.35">
      <c r="A1118" s="22">
        <v>-1.3541666666666192E-3</v>
      </c>
      <c r="B1118" s="22">
        <v>1.3453857473197404E-2</v>
      </c>
    </row>
    <row r="1119" spans="1:2" x14ac:dyDescent="0.35">
      <c r="A1119" s="22">
        <v>-2.2843433816626658E-2</v>
      </c>
      <c r="B1119" s="22">
        <v>1.3482679941920733E-2</v>
      </c>
    </row>
    <row r="1120" spans="1:2" x14ac:dyDescent="0.35">
      <c r="A1120" s="22">
        <v>5.3373185311699402E-3</v>
      </c>
      <c r="B1120" s="22">
        <v>-2.4764633647155154E-2</v>
      </c>
    </row>
    <row r="1121" spans="1:2" x14ac:dyDescent="0.35">
      <c r="A1121" s="22">
        <v>-8.388192822255322E-3</v>
      </c>
      <c r="B1121" s="22">
        <v>-1.8467995802728131E-2</v>
      </c>
    </row>
    <row r="1122" spans="1:2" x14ac:dyDescent="0.35">
      <c r="A1122" s="22">
        <v>1.7239533140593205E-2</v>
      </c>
      <c r="B1122" s="22">
        <v>1.347017318794089E-2</v>
      </c>
    </row>
    <row r="1123" spans="1:2" x14ac:dyDescent="0.35">
      <c r="A1123" s="22">
        <v>-2.3157894736841986E-3</v>
      </c>
      <c r="B1123" s="22">
        <v>8.4388185654006641E-4</v>
      </c>
    </row>
    <row r="1124" spans="1:2" x14ac:dyDescent="0.35">
      <c r="A1124" s="22">
        <v>8.3350917915171133E-3</v>
      </c>
      <c r="B1124" s="22">
        <v>6.9561551433390684E-3</v>
      </c>
    </row>
    <row r="1125" spans="1:2" x14ac:dyDescent="0.35">
      <c r="A1125" s="22">
        <v>1.6846290676990831E-2</v>
      </c>
      <c r="B1125" s="22">
        <v>-1.0466820180030198E-3</v>
      </c>
    </row>
    <row r="1126" spans="1:2" x14ac:dyDescent="0.35">
      <c r="A1126" s="22">
        <v>-1.0290183165265605E-4</v>
      </c>
      <c r="B1126" s="22">
        <v>8.1726739312657296E-3</v>
      </c>
    </row>
    <row r="1127" spans="1:2" x14ac:dyDescent="0.35">
      <c r="A1127" s="22">
        <v>-2.4904806010085434E-2</v>
      </c>
      <c r="B1127" s="22">
        <v>-3.5335689045936453E-2</v>
      </c>
    </row>
    <row r="1128" spans="1:2" x14ac:dyDescent="0.35">
      <c r="A1128" s="22">
        <v>-7.2823218997361237E-3</v>
      </c>
      <c r="B1128" s="22">
        <v>-1.3790131437190122E-2</v>
      </c>
    </row>
    <row r="1129" spans="1:2" x14ac:dyDescent="0.35">
      <c r="A1129" s="22">
        <v>1.3820965341271045E-3</v>
      </c>
      <c r="B1129" s="22">
        <v>-4.1511907362902518E-3</v>
      </c>
    </row>
    <row r="1130" spans="1:2" x14ac:dyDescent="0.35">
      <c r="A1130" s="22">
        <v>-0.19980889691049999</v>
      </c>
      <c r="B1130" s="22">
        <v>1.9306713470820591E-2</v>
      </c>
    </row>
    <row r="1131" spans="1:2" x14ac:dyDescent="0.35">
      <c r="A1131" s="22">
        <v>1.9371102560700459E-2</v>
      </c>
      <c r="B1131" s="22">
        <v>4.7352561343090589E-3</v>
      </c>
    </row>
    <row r="1132" spans="1:2" x14ac:dyDescent="0.35">
      <c r="A1132" s="22">
        <v>-1.0282441754522869E-2</v>
      </c>
      <c r="B1132" s="22">
        <v>5.7840616966581644E-3</v>
      </c>
    </row>
    <row r="1133" spans="1:2" x14ac:dyDescent="0.35">
      <c r="A1133" s="22">
        <v>-1.0520778537611932E-2</v>
      </c>
      <c r="B1133" s="22">
        <v>-5.1118210862620226E-3</v>
      </c>
    </row>
    <row r="1134" spans="1:2" x14ac:dyDescent="0.35">
      <c r="A1134" s="22">
        <v>2.5252525252526842E-3</v>
      </c>
      <c r="B1134" s="22">
        <v>-4.0676514664953487E-3</v>
      </c>
    </row>
    <row r="1135" spans="1:2" x14ac:dyDescent="0.35">
      <c r="A1135" s="22">
        <v>-3.1552432719077414E-2</v>
      </c>
      <c r="B1135" s="22">
        <v>6.4488392089411071E-4</v>
      </c>
    </row>
    <row r="1136" spans="1:2" x14ac:dyDescent="0.35">
      <c r="A1136" s="22">
        <v>-8.0766598220397452E-3</v>
      </c>
      <c r="B1136" s="22">
        <v>-6.2298603651986927E-3</v>
      </c>
    </row>
    <row r="1137" spans="1:2" x14ac:dyDescent="0.35">
      <c r="A1137" s="22">
        <v>1.1040574109855439E-3</v>
      </c>
      <c r="B1137" s="22">
        <v>5.8365758754864491E-3</v>
      </c>
    </row>
    <row r="1138" spans="1:2" x14ac:dyDescent="0.35">
      <c r="A1138" s="22">
        <v>1.171767300799551E-2</v>
      </c>
      <c r="B1138" s="22">
        <v>3.0088115194498142E-2</v>
      </c>
    </row>
    <row r="1139" spans="1:2" x14ac:dyDescent="0.35">
      <c r="A1139" s="22">
        <v>4.087750374710606E-4</v>
      </c>
      <c r="B1139" s="22">
        <v>2.253286042144791E-2</v>
      </c>
    </row>
    <row r="1140" spans="1:2" x14ac:dyDescent="0.35">
      <c r="A1140" s="22">
        <v>-2.8738763279760274E-2</v>
      </c>
      <c r="B1140" s="22">
        <v>5.917159763313592E-3</v>
      </c>
    </row>
    <row r="1141" spans="1:2" x14ac:dyDescent="0.35">
      <c r="A1141" s="22">
        <v>2.1034917963819941E-2</v>
      </c>
      <c r="B1141" s="22">
        <v>9.5334685598378495E-3</v>
      </c>
    </row>
    <row r="1142" spans="1:2" x14ac:dyDescent="0.35">
      <c r="A1142" s="22">
        <v>3.5709380579589467E-3</v>
      </c>
      <c r="B1142" s="22">
        <v>2.6120152702430268E-3</v>
      </c>
    </row>
    <row r="1143" spans="1:2" x14ac:dyDescent="0.35">
      <c r="A1143" s="22">
        <v>-9.4429998631448998E-3</v>
      </c>
      <c r="B1143" s="22">
        <v>-5.0100200400801601E-3</v>
      </c>
    </row>
    <row r="1144" spans="1:2" x14ac:dyDescent="0.35">
      <c r="A1144" s="22">
        <v>4.4211108040896297E-3</v>
      </c>
      <c r="B1144" s="22">
        <v>-2.7190332326284018E-2</v>
      </c>
    </row>
    <row r="1145" spans="1:2" x14ac:dyDescent="0.35">
      <c r="A1145" s="22">
        <v>2.9711141678129251E-2</v>
      </c>
      <c r="B1145" s="22">
        <v>2.6086956521739237E-2</v>
      </c>
    </row>
    <row r="1146" spans="1:2" x14ac:dyDescent="0.35">
      <c r="A1146" s="22">
        <v>-1.9503072401816642E-2</v>
      </c>
      <c r="B1146" s="22">
        <v>-6.4164648910411612E-2</v>
      </c>
    </row>
    <row r="1147" spans="1:2" x14ac:dyDescent="0.35">
      <c r="A1147" s="22">
        <v>-3.1471389645776594E-2</v>
      </c>
      <c r="B1147" s="22">
        <v>2.3717119448037824E-3</v>
      </c>
    </row>
    <row r="1148" spans="1:2" x14ac:dyDescent="0.35">
      <c r="A1148" s="22">
        <v>4.5013363342241266E-3</v>
      </c>
      <c r="B1148" s="22">
        <v>-5.0763605076360491E-2</v>
      </c>
    </row>
    <row r="1149" spans="1:2" x14ac:dyDescent="0.35">
      <c r="A1149" s="22">
        <v>1.6104187088643127E-2</v>
      </c>
      <c r="B1149" s="22">
        <v>-2.2660321776580818E-4</v>
      </c>
    </row>
    <row r="1150" spans="1:2" x14ac:dyDescent="0.35">
      <c r="A1150" s="22">
        <v>1.3643880926130029E-2</v>
      </c>
      <c r="B1150" s="22">
        <v>6.799637352674782E-4</v>
      </c>
    </row>
    <row r="1151" spans="1:2" x14ac:dyDescent="0.35">
      <c r="A1151" s="22">
        <v>1.0469068660774929E-2</v>
      </c>
      <c r="B1151" s="22">
        <v>1.8120045300112865E-3</v>
      </c>
    </row>
    <row r="1152" spans="1:2" x14ac:dyDescent="0.35">
      <c r="A1152" s="22">
        <v>7.2658772874058973E-3</v>
      </c>
      <c r="B1152" s="22">
        <v>2.0348179968348048E-3</v>
      </c>
    </row>
    <row r="1153" spans="1:2" x14ac:dyDescent="0.35">
      <c r="A1153" s="22">
        <v>-1.3491851456051364E-2</v>
      </c>
      <c r="B1153" s="22">
        <v>-2.1435018050541581E-2</v>
      </c>
    </row>
    <row r="1154" spans="1:2" x14ac:dyDescent="0.35">
      <c r="A1154" s="22">
        <v>2.1665538253217444E-3</v>
      </c>
      <c r="B1154" s="22">
        <v>-5.0726308508185283E-2</v>
      </c>
    </row>
    <row r="1155" spans="1:2" x14ac:dyDescent="0.35">
      <c r="A1155" s="22">
        <v>-3.4995270909336622E-2</v>
      </c>
      <c r="B1155" s="22">
        <v>-2.9633228078698053E-2</v>
      </c>
    </row>
    <row r="1156" spans="1:2" x14ac:dyDescent="0.35">
      <c r="A1156" s="22">
        <v>1.5121814617754106E-2</v>
      </c>
      <c r="B1156" s="22">
        <v>1.6520650813516811E-2</v>
      </c>
    </row>
    <row r="1157" spans="1:2" x14ac:dyDescent="0.35">
      <c r="A1157" s="22">
        <v>1.6551724137931661E-3</v>
      </c>
      <c r="B1157" s="22">
        <v>9.8497906919475862E-4</v>
      </c>
    </row>
    <row r="1158" spans="1:2" x14ac:dyDescent="0.35">
      <c r="A1158" s="22">
        <v>2.1619388598182222E-2</v>
      </c>
      <c r="B1158" s="22">
        <v>5.116851168511681E-2</v>
      </c>
    </row>
    <row r="1159" spans="1:2" x14ac:dyDescent="0.35">
      <c r="A1159" s="22">
        <v>2.02183582693093E-3</v>
      </c>
      <c r="B1159" s="22">
        <v>1.755207114439504E-2</v>
      </c>
    </row>
    <row r="1160" spans="1:2" x14ac:dyDescent="0.35">
      <c r="A1160" s="22">
        <v>4.0355125100887427E-3</v>
      </c>
      <c r="B1160" s="22">
        <v>-1.1269549218031161E-2</v>
      </c>
    </row>
    <row r="1161" spans="1:2" x14ac:dyDescent="0.35">
      <c r="A1161" s="22">
        <v>5.171489817792068E-2</v>
      </c>
      <c r="B1161" s="22">
        <v>7.6762037683181733E-3</v>
      </c>
    </row>
    <row r="1162" spans="1:2" x14ac:dyDescent="0.35">
      <c r="A1162" s="22">
        <v>2.5477707006364356E-4</v>
      </c>
      <c r="B1162" s="22">
        <v>6.6943674976915777E-3</v>
      </c>
    </row>
    <row r="1163" spans="1:2" x14ac:dyDescent="0.35">
      <c r="A1163" s="22">
        <v>5.0687722873153387E-2</v>
      </c>
      <c r="B1163" s="22">
        <v>2.8663150653519834E-2</v>
      </c>
    </row>
    <row r="1164" spans="1:2" x14ac:dyDescent="0.35">
      <c r="A1164" s="22">
        <v>8.8484848484848971E-3</v>
      </c>
      <c r="B1164" s="22">
        <v>1.0254123941150264E-2</v>
      </c>
    </row>
    <row r="1165" spans="1:2" x14ac:dyDescent="0.35">
      <c r="A1165" s="22">
        <v>6.0074492370536053E-4</v>
      </c>
      <c r="B1165" s="22">
        <v>9.7087378640776205E-3</v>
      </c>
    </row>
    <row r="1166" spans="1:2" x14ac:dyDescent="0.35">
      <c r="A1166" s="22">
        <v>3.3621517771373816E-3</v>
      </c>
      <c r="B1166" s="22">
        <v>4.8076923076922828E-3</v>
      </c>
    </row>
    <row r="1167" spans="1:2" x14ac:dyDescent="0.35">
      <c r="A1167" s="22">
        <v>5.2656773575873346E-3</v>
      </c>
      <c r="B1167" s="22">
        <v>1.2614180078295029E-2</v>
      </c>
    </row>
    <row r="1168" spans="1:2" x14ac:dyDescent="0.35">
      <c r="A1168" s="22">
        <v>-7.0238095238095641E-3</v>
      </c>
      <c r="B1168" s="22">
        <v>-2.1477663230240855E-3</v>
      </c>
    </row>
    <row r="1169" spans="1:2" x14ac:dyDescent="0.35">
      <c r="A1169" s="22">
        <v>7.6729408943771804E-3</v>
      </c>
      <c r="B1169" s="22">
        <v>4.5415411106328012E-2</v>
      </c>
    </row>
    <row r="1170" spans="1:2" x14ac:dyDescent="0.35">
      <c r="A1170" s="22">
        <v>2.736466389054182E-3</v>
      </c>
      <c r="B1170" s="22">
        <v>3.7059913526868377E-3</v>
      </c>
    </row>
    <row r="1171" spans="1:2" x14ac:dyDescent="0.35">
      <c r="A1171" s="22">
        <v>1.1983863312767028E-2</v>
      </c>
      <c r="B1171" s="22">
        <v>1.0256410256410256E-2</v>
      </c>
    </row>
    <row r="1172" spans="1:2" x14ac:dyDescent="0.35">
      <c r="A1172" s="22">
        <v>-2.9311759878063077E-2</v>
      </c>
      <c r="B1172" s="22">
        <v>-4.0609137055838138E-3</v>
      </c>
    </row>
    <row r="1173" spans="1:2" x14ac:dyDescent="0.35">
      <c r="A1173" s="22">
        <v>5.6770141321415488E-3</v>
      </c>
      <c r="B1173" s="22">
        <v>8.5626911314985055E-3</v>
      </c>
    </row>
    <row r="1174" spans="1:2" x14ac:dyDescent="0.35">
      <c r="A1174" s="22">
        <v>7.2063415805894858E-4</v>
      </c>
      <c r="B1174" s="22">
        <v>6.2664240954114067E-3</v>
      </c>
    </row>
    <row r="1175" spans="1:2" x14ac:dyDescent="0.35">
      <c r="A1175" s="22">
        <v>-2.4003840614498322E-2</v>
      </c>
      <c r="B1175" s="22">
        <v>-2.7521092808356861E-2</v>
      </c>
    </row>
    <row r="1176" spans="1:2" x14ac:dyDescent="0.35">
      <c r="A1176" s="22">
        <v>-3.6891293654697146E-3</v>
      </c>
      <c r="B1176" s="22">
        <v>8.2627556290035644E-4</v>
      </c>
    </row>
    <row r="1177" spans="1:2" x14ac:dyDescent="0.35">
      <c r="A1177" s="22">
        <v>-2.345099975314709E-3</v>
      </c>
      <c r="B1177" s="22">
        <v>-6.1919504643963728E-3</v>
      </c>
    </row>
    <row r="1178" spans="1:2" x14ac:dyDescent="0.35">
      <c r="A1178" s="22">
        <v>-2.4743288383026456E-3</v>
      </c>
      <c r="B1178" s="22">
        <v>-2.0976116303219067E-2</v>
      </c>
    </row>
    <row r="1179" spans="1:2" x14ac:dyDescent="0.35">
      <c r="A1179" s="22">
        <v>-1.4138658067716739E-2</v>
      </c>
      <c r="B1179" s="22">
        <v>5.5154857870173529E-3</v>
      </c>
    </row>
    <row r="1180" spans="1:2" x14ac:dyDescent="0.35">
      <c r="A1180" s="22">
        <v>-1.7612278273996623E-2</v>
      </c>
      <c r="B1180" s="22">
        <v>-5.4430379746835407E-2</v>
      </c>
    </row>
    <row r="1181" spans="1:2" x14ac:dyDescent="0.35">
      <c r="A1181" s="22">
        <v>3.9697784607504449E-3</v>
      </c>
      <c r="B1181" s="22">
        <v>-3.346720214190062E-3</v>
      </c>
    </row>
    <row r="1182" spans="1:2" x14ac:dyDescent="0.35">
      <c r="A1182" s="22">
        <v>0</v>
      </c>
      <c r="B1182" s="22">
        <v>3.2460264159390996E-2</v>
      </c>
    </row>
    <row r="1183" spans="1:2" x14ac:dyDescent="0.35">
      <c r="A1183" s="22">
        <v>7.780612244897951E-3</v>
      </c>
      <c r="B1183" s="22">
        <v>3.9028620988725005E-3</v>
      </c>
    </row>
    <row r="1184" spans="1:2" x14ac:dyDescent="0.35">
      <c r="A1184" s="22">
        <v>9.9987343374255411E-3</v>
      </c>
      <c r="B1184" s="22">
        <v>1.2311015118790503E-2</v>
      </c>
    </row>
    <row r="1185" spans="1:2" x14ac:dyDescent="0.35">
      <c r="A1185" s="22">
        <v>1.0526315789473727E-2</v>
      </c>
      <c r="B1185" s="22">
        <v>1.3868145935566583E-2</v>
      </c>
    </row>
    <row r="1186" spans="1:2" x14ac:dyDescent="0.35">
      <c r="A1186" s="22">
        <v>3.2242063492064128E-3</v>
      </c>
      <c r="B1186" s="22">
        <v>2.3989898989898849E-2</v>
      </c>
    </row>
    <row r="1187" spans="1:2" x14ac:dyDescent="0.35">
      <c r="A1187" s="22">
        <v>9.8887515451172173E-4</v>
      </c>
      <c r="B1187" s="22">
        <v>-8.2203041512534216E-4</v>
      </c>
    </row>
    <row r="1188" spans="1:2" x14ac:dyDescent="0.35">
      <c r="A1188" s="22">
        <v>6.841195356878231E-2</v>
      </c>
      <c r="B1188" s="22">
        <v>5.347593582887806E-3</v>
      </c>
    </row>
    <row r="1189" spans="1:2" x14ac:dyDescent="0.35">
      <c r="A1189" s="22">
        <v>-3.6985668053628432E-3</v>
      </c>
      <c r="B1189" s="22">
        <v>-1.7184942716857679E-2</v>
      </c>
    </row>
    <row r="1190" spans="1:2" x14ac:dyDescent="0.35">
      <c r="A1190" s="22">
        <v>1.4617169373549777E-2</v>
      </c>
      <c r="B1190" s="22">
        <v>6.2447960033307941E-4</v>
      </c>
    </row>
    <row r="1191" spans="1:2" x14ac:dyDescent="0.35">
      <c r="A1191" s="22">
        <v>6.1742510862109112E-3</v>
      </c>
      <c r="B1191" s="22">
        <v>-4.8679009777408015E-2</v>
      </c>
    </row>
    <row r="1192" spans="1:2" x14ac:dyDescent="0.35">
      <c r="A1192" s="22">
        <v>1.5795454545454553E-2</v>
      </c>
      <c r="B1192" s="22">
        <v>1.749398644216169E-3</v>
      </c>
    </row>
    <row r="1193" spans="1:2" x14ac:dyDescent="0.35">
      <c r="A1193" s="22">
        <v>5.5934668307413757E-4</v>
      </c>
      <c r="B1193" s="22">
        <v>1.4625627592228652E-2</v>
      </c>
    </row>
    <row r="1194" spans="1:2" x14ac:dyDescent="0.35">
      <c r="A1194" s="22">
        <v>-1.1627906976744097E-2</v>
      </c>
      <c r="B1194" s="22">
        <v>-3.5283993115318275E-2</v>
      </c>
    </row>
    <row r="1195" spans="1:2" x14ac:dyDescent="0.35">
      <c r="A1195" s="22">
        <v>8.257918552036083E-3</v>
      </c>
      <c r="B1195" s="22">
        <v>8.9206066012486945E-4</v>
      </c>
    </row>
    <row r="1196" spans="1:2" x14ac:dyDescent="0.35">
      <c r="A1196" s="22">
        <v>-6.7653988556041753E-2</v>
      </c>
      <c r="B1196" s="22">
        <v>-1.3368983957219758E-3</v>
      </c>
    </row>
    <row r="1197" spans="1:2" x14ac:dyDescent="0.35">
      <c r="A1197" s="22">
        <v>-1.2033694344163659E-2</v>
      </c>
      <c r="B1197" s="22">
        <v>3.5698348951360239E-3</v>
      </c>
    </row>
    <row r="1198" spans="1:2" x14ac:dyDescent="0.35">
      <c r="A1198" s="22">
        <v>1.8270401948843567E-3</v>
      </c>
      <c r="B1198" s="22">
        <v>1.5562472209871118E-2</v>
      </c>
    </row>
    <row r="1199" spans="1:2" x14ac:dyDescent="0.35">
      <c r="A1199" s="22">
        <v>-1.7264437689969627E-2</v>
      </c>
      <c r="B1199" s="22">
        <v>6.5674255691768203E-3</v>
      </c>
    </row>
    <row r="1200" spans="1:2" x14ac:dyDescent="0.35">
      <c r="A1200" s="22">
        <v>-7.4229865149081124E-4</v>
      </c>
      <c r="B1200" s="22">
        <v>6.5245759025665806E-4</v>
      </c>
    </row>
    <row r="1201" spans="1:2" x14ac:dyDescent="0.35">
      <c r="A1201" s="22">
        <v>2.0799801906648593E-2</v>
      </c>
      <c r="B1201" s="22">
        <v>4.173005868289506E-2</v>
      </c>
    </row>
    <row r="1202" spans="1:2" x14ac:dyDescent="0.35">
      <c r="A1202" s="22">
        <v>-4.2449969678594116E-3</v>
      </c>
      <c r="B1202" s="22">
        <v>-5.0073023158773624E-3</v>
      </c>
    </row>
    <row r="1203" spans="1:2" x14ac:dyDescent="0.35">
      <c r="A1203" s="22">
        <v>6.0901339829490101E-4</v>
      </c>
      <c r="B1203" s="22">
        <v>3.7743761794925505E-3</v>
      </c>
    </row>
    <row r="1204" spans="1:2" x14ac:dyDescent="0.35">
      <c r="A1204" s="22">
        <v>-6.6950699939137106E-3</v>
      </c>
      <c r="B1204" s="22">
        <v>1.587633173177366E-2</v>
      </c>
    </row>
    <row r="1205" spans="1:2" x14ac:dyDescent="0.35">
      <c r="A1205" s="22">
        <v>6.3725490196079688E-3</v>
      </c>
      <c r="B1205" s="22">
        <v>-1.6039481801357211E-2</v>
      </c>
    </row>
    <row r="1206" spans="1:2" x14ac:dyDescent="0.35">
      <c r="A1206" s="22">
        <v>2.2162688748173322E-2</v>
      </c>
      <c r="B1206" s="22">
        <v>2.424242424242417E-2</v>
      </c>
    </row>
    <row r="1207" spans="1:2" x14ac:dyDescent="0.35">
      <c r="A1207" s="22">
        <v>-6.4331665475338582E-3</v>
      </c>
      <c r="B1207" s="22">
        <v>7.5494796980209054E-3</v>
      </c>
    </row>
    <row r="1208" spans="1:2" x14ac:dyDescent="0.35">
      <c r="A1208" s="22">
        <v>-5.7553956834532844E-3</v>
      </c>
      <c r="B1208" s="22">
        <v>-4.0502227622519812E-3</v>
      </c>
    </row>
    <row r="1209" spans="1:2" x14ac:dyDescent="0.35">
      <c r="A1209" s="22">
        <v>-1.7366136034732246E-2</v>
      </c>
      <c r="B1209" s="22">
        <v>-5.0833672224481494E-3</v>
      </c>
    </row>
    <row r="1210" spans="1:2" x14ac:dyDescent="0.35">
      <c r="A1210" s="22">
        <v>-7.363770250368467E-4</v>
      </c>
      <c r="B1210" s="22">
        <v>9.8099325567136672E-2</v>
      </c>
    </row>
    <row r="1211" spans="1:2" x14ac:dyDescent="0.35">
      <c r="A1211" s="22">
        <v>-1.6826332596413713E-2</v>
      </c>
      <c r="B1211" s="22">
        <v>-1.5075376884422021E-2</v>
      </c>
    </row>
    <row r="1212" spans="1:2" x14ac:dyDescent="0.35">
      <c r="A1212" s="22">
        <v>-1.2617114303560162E-2</v>
      </c>
      <c r="B1212" s="22">
        <v>-3.7792894935752613E-3</v>
      </c>
    </row>
    <row r="1213" spans="1:2" x14ac:dyDescent="0.35">
      <c r="A1213" s="22">
        <v>-2.4038461538463045E-3</v>
      </c>
      <c r="B1213" s="22">
        <v>-1.2329286798179033E-2</v>
      </c>
    </row>
    <row r="1214" spans="1:2" x14ac:dyDescent="0.35">
      <c r="A1214" s="22">
        <v>7.6093849080535541E-4</v>
      </c>
      <c r="B1214" s="22">
        <v>1.2675244862684782E-2</v>
      </c>
    </row>
    <row r="1215" spans="1:2" x14ac:dyDescent="0.35">
      <c r="A1215" s="22">
        <v>-6.4630591813457225E-3</v>
      </c>
      <c r="B1215" s="22">
        <v>-2.2567798217333544E-2</v>
      </c>
    </row>
    <row r="1216" spans="1:2" x14ac:dyDescent="0.35">
      <c r="A1216" s="22">
        <v>-2.4872448979591871E-2</v>
      </c>
      <c r="B1216" s="22">
        <v>8.3430345362824933E-3</v>
      </c>
    </row>
    <row r="1217" spans="1:2" x14ac:dyDescent="0.35">
      <c r="A1217" s="22">
        <v>8.8947024198821785E-3</v>
      </c>
      <c r="B1217" s="22">
        <v>-2.3282663074850891E-2</v>
      </c>
    </row>
    <row r="1218" spans="1:2" x14ac:dyDescent="0.35">
      <c r="A1218" s="22">
        <v>1.2057565149747269E-2</v>
      </c>
      <c r="B1218" s="22">
        <v>3.9401103230891025E-3</v>
      </c>
    </row>
    <row r="1219" spans="1:2" x14ac:dyDescent="0.35">
      <c r="A1219" s="22">
        <v>-1.1145272867025423E-2</v>
      </c>
      <c r="B1219" s="22">
        <v>1.6483516483516411E-2</v>
      </c>
    </row>
    <row r="1220" spans="1:2" x14ac:dyDescent="0.35">
      <c r="A1220" s="22">
        <v>1.0234486332426561E-2</v>
      </c>
      <c r="B1220" s="22">
        <v>3.6679536679536794E-2</v>
      </c>
    </row>
    <row r="1221" spans="1:2" x14ac:dyDescent="0.35">
      <c r="A1221" s="22">
        <v>-3.411131059245974E-2</v>
      </c>
      <c r="B1221" s="22">
        <v>2.5139664804469167E-2</v>
      </c>
    </row>
    <row r="1222" spans="1:2" x14ac:dyDescent="0.35">
      <c r="A1222" s="22">
        <v>7.9660116834839156E-3</v>
      </c>
      <c r="B1222" s="22">
        <v>6.1762034514078737E-3</v>
      </c>
    </row>
    <row r="1223" spans="1:2" x14ac:dyDescent="0.35">
      <c r="A1223" s="22">
        <v>-5.2687038988417088E-4</v>
      </c>
      <c r="B1223" s="22">
        <v>3.430222061743956E-3</v>
      </c>
    </row>
    <row r="1224" spans="1:2" x14ac:dyDescent="0.35">
      <c r="A1224" s="22">
        <v>9.4886663152345656E-3</v>
      </c>
      <c r="B1224" s="22">
        <v>3.7423533645196086E-2</v>
      </c>
    </row>
    <row r="1225" spans="1:2" x14ac:dyDescent="0.35">
      <c r="A1225" s="22">
        <v>7.8328981723240572E-4</v>
      </c>
      <c r="B1225" s="22">
        <v>-4.3357613596947623E-3</v>
      </c>
    </row>
    <row r="1226" spans="1:2" x14ac:dyDescent="0.35">
      <c r="A1226" s="22">
        <v>-1.8262457605009207E-3</v>
      </c>
      <c r="B1226" s="22">
        <v>5.2255704581084181E-3</v>
      </c>
    </row>
    <row r="1227" spans="1:2" x14ac:dyDescent="0.35">
      <c r="A1227" s="22">
        <v>-1.0977522216413869E-2</v>
      </c>
      <c r="B1227" s="22">
        <v>-1.5595217466644153E-3</v>
      </c>
    </row>
    <row r="1228" spans="1:2" x14ac:dyDescent="0.35">
      <c r="A1228" s="22">
        <v>1.2949260042283162E-2</v>
      </c>
      <c r="B1228" s="22">
        <v>-1.0065949323151654E-2</v>
      </c>
    </row>
    <row r="1229" spans="1:2" x14ac:dyDescent="0.35">
      <c r="A1229" s="22">
        <v>-2.3088964257761493E-2</v>
      </c>
      <c r="B1229" s="22">
        <v>-1.3849929873772777E-2</v>
      </c>
    </row>
    <row r="1230" spans="1:2" x14ac:dyDescent="0.35">
      <c r="A1230" s="22">
        <v>-1.3085859260248417E-2</v>
      </c>
      <c r="B1230" s="22">
        <v>-2.0266666666666676E-2</v>
      </c>
    </row>
    <row r="1231" spans="1:2" x14ac:dyDescent="0.35">
      <c r="A1231" s="22">
        <v>-7.4414828845893273E-3</v>
      </c>
      <c r="B1231" s="22">
        <v>-4.3549265106151694E-3</v>
      </c>
    </row>
    <row r="1232" spans="1:2" x14ac:dyDescent="0.35">
      <c r="A1232" s="22">
        <v>2.3718647764449222E-2</v>
      </c>
      <c r="B1232" s="22">
        <v>1.4762165117550616E-2</v>
      </c>
    </row>
    <row r="1233" spans="1:2" x14ac:dyDescent="0.35">
      <c r="A1233" s="22">
        <v>3.0625832223701886E-2</v>
      </c>
      <c r="B1233" s="22">
        <v>5.1185344827586229E-2</v>
      </c>
    </row>
    <row r="1234" spans="1:2" x14ac:dyDescent="0.35">
      <c r="A1234" s="22">
        <v>2.4031007751937974E-2</v>
      </c>
      <c r="B1234" s="22">
        <v>2.8532376559029585E-2</v>
      </c>
    </row>
    <row r="1235" spans="1:2" x14ac:dyDescent="0.35">
      <c r="A1235" s="22">
        <v>-2.0817562452687427E-2</v>
      </c>
      <c r="B1235" s="22">
        <v>-8.9867109634551551E-2</v>
      </c>
    </row>
    <row r="1236" spans="1:2" x14ac:dyDescent="0.35">
      <c r="A1236" s="22">
        <v>9.4060043808788033E-3</v>
      </c>
      <c r="B1236" s="22">
        <v>1.2958569081949277E-2</v>
      </c>
    </row>
    <row r="1237" spans="1:2" x14ac:dyDescent="0.35">
      <c r="A1237" s="22">
        <v>5.4888945621648279E-3</v>
      </c>
      <c r="B1237" s="22">
        <v>1.6216216216216831E-3</v>
      </c>
    </row>
    <row r="1238" spans="1:2" x14ac:dyDescent="0.35">
      <c r="A1238" s="22">
        <v>4.0624603275359579E-3</v>
      </c>
      <c r="B1238" s="22">
        <v>-9.8938658032020916E-3</v>
      </c>
    </row>
    <row r="1239" spans="1:2" x14ac:dyDescent="0.35">
      <c r="A1239" s="22">
        <v>-2.9080794032115814E-3</v>
      </c>
      <c r="B1239" s="22">
        <v>-2.5072674418604699E-2</v>
      </c>
    </row>
    <row r="1240" spans="1:2" x14ac:dyDescent="0.35">
      <c r="A1240" s="22">
        <v>-6.2135429875728489E-3</v>
      </c>
      <c r="B1240" s="22">
        <v>-5.5907566157286093E-3</v>
      </c>
    </row>
    <row r="1241" spans="1:2" x14ac:dyDescent="0.35">
      <c r="A1241" s="22">
        <v>2.6795967844837785E-3</v>
      </c>
      <c r="B1241" s="22">
        <v>5.6221889055474395E-4</v>
      </c>
    </row>
    <row r="1242" spans="1:2" x14ac:dyDescent="0.35">
      <c r="A1242" s="22">
        <v>3.9450241791804822E-3</v>
      </c>
      <c r="B1242" s="22">
        <v>3.7460198539044802E-4</v>
      </c>
    </row>
    <row r="1243" spans="1:2" x14ac:dyDescent="0.35">
      <c r="A1243" s="22">
        <v>-1.5844847255672454E-2</v>
      </c>
      <c r="B1243" s="22">
        <v>-1.3106159895150642E-2</v>
      </c>
    </row>
    <row r="1244" spans="1:2" x14ac:dyDescent="0.35">
      <c r="A1244" s="22">
        <v>-1.1591962905718775E-2</v>
      </c>
      <c r="B1244" s="22">
        <v>5.6915196357429593E-4</v>
      </c>
    </row>
    <row r="1245" spans="1:2" x14ac:dyDescent="0.35">
      <c r="A1245" s="22">
        <v>2.7495439145165487E-2</v>
      </c>
      <c r="B1245" s="22">
        <v>-1.3272658323852916E-2</v>
      </c>
    </row>
    <row r="1246" spans="1:2" x14ac:dyDescent="0.35">
      <c r="A1246" s="22">
        <v>-1.1287254280279019E-2</v>
      </c>
      <c r="B1246" s="22">
        <v>4.9961568024596082E-3</v>
      </c>
    </row>
    <row r="1247" spans="1:2" x14ac:dyDescent="0.35">
      <c r="A1247" s="22">
        <v>-9.107234479220034E-3</v>
      </c>
      <c r="B1247" s="22">
        <v>4.397705544933155E-3</v>
      </c>
    </row>
    <row r="1248" spans="1:2" x14ac:dyDescent="0.35">
      <c r="A1248" s="22">
        <v>-6.4724919093847458E-4</v>
      </c>
      <c r="B1248" s="22">
        <v>-5.5206548638872862E-3</v>
      </c>
    </row>
    <row r="1249" spans="1:2" x14ac:dyDescent="0.35">
      <c r="A1249" s="22">
        <v>1.0362694300518097E-2</v>
      </c>
      <c r="B1249" s="22">
        <v>-2.0865237366003129E-2</v>
      </c>
    </row>
    <row r="1250" spans="1:2" x14ac:dyDescent="0.35">
      <c r="A1250" s="22">
        <v>-1.410256410256403E-2</v>
      </c>
      <c r="B1250" s="22">
        <v>-2.2678396871945193E-2</v>
      </c>
    </row>
    <row r="1251" spans="1:2" x14ac:dyDescent="0.35">
      <c r="A1251" s="22">
        <v>2.6007802340700732E-3</v>
      </c>
      <c r="B1251" s="22">
        <v>7.0014002800560396E-3</v>
      </c>
    </row>
    <row r="1252" spans="1:2" x14ac:dyDescent="0.35">
      <c r="A1252" s="22">
        <v>-2.0752269779506691E-3</v>
      </c>
      <c r="B1252" s="22">
        <v>2.920143027413585E-2</v>
      </c>
    </row>
    <row r="1253" spans="1:2" x14ac:dyDescent="0.35">
      <c r="A1253" s="22">
        <v>-2.3394853132309933E-3</v>
      </c>
      <c r="B1253" s="22">
        <v>1.4475969889982628E-2</v>
      </c>
    </row>
    <row r="1254" spans="1:2" x14ac:dyDescent="0.35">
      <c r="A1254" s="22">
        <v>3.9082855653987931E-4</v>
      </c>
      <c r="B1254" s="22">
        <v>1.8074581430745734E-2</v>
      </c>
    </row>
    <row r="1255" spans="1:2" x14ac:dyDescent="0.35">
      <c r="A1255" s="22">
        <v>1.9533793462689344E-3</v>
      </c>
      <c r="B1255" s="22">
        <v>1.2521024107643464E-2</v>
      </c>
    </row>
    <row r="1256" spans="1:2" x14ac:dyDescent="0.35">
      <c r="A1256" s="22">
        <v>-6.758513127111984E-3</v>
      </c>
      <c r="B1256" s="22">
        <v>1.8456995201181509E-3</v>
      </c>
    </row>
    <row r="1257" spans="1:2" x14ac:dyDescent="0.35">
      <c r="A1257" s="22">
        <v>-2.3161476053389113E-2</v>
      </c>
      <c r="B1257" s="22">
        <v>-1.1422254974207895E-2</v>
      </c>
    </row>
    <row r="1258" spans="1:2" x14ac:dyDescent="0.35">
      <c r="A1258" s="22">
        <v>1.3663764233087688E-2</v>
      </c>
      <c r="B1258" s="22">
        <v>-7.2679836004471395E-3</v>
      </c>
    </row>
    <row r="1259" spans="1:2" x14ac:dyDescent="0.35">
      <c r="A1259" s="22">
        <v>-2.6430553720100437E-2</v>
      </c>
      <c r="B1259" s="22">
        <v>-3.5667354984043657E-2</v>
      </c>
    </row>
    <row r="1260" spans="1:2" x14ac:dyDescent="0.35">
      <c r="A1260" s="22">
        <v>-4.8866567123659489E-3</v>
      </c>
      <c r="B1260" s="22">
        <v>7.7866459022777048E-3</v>
      </c>
    </row>
    <row r="1261" spans="1:2" x14ac:dyDescent="0.35">
      <c r="A1261" s="22">
        <v>-1.7869322057018171E-2</v>
      </c>
      <c r="B1261" s="22">
        <v>3.3996523082866485E-2</v>
      </c>
    </row>
    <row r="1262" spans="1:2" x14ac:dyDescent="0.35">
      <c r="A1262" s="22">
        <v>1.2500000000000473E-3</v>
      </c>
      <c r="B1262" s="22">
        <v>-2.8955725761255449E-2</v>
      </c>
    </row>
    <row r="1263" spans="1:2" x14ac:dyDescent="0.35">
      <c r="A1263" s="22">
        <v>-1.1097239561658997E-2</v>
      </c>
      <c r="B1263" s="22">
        <v>-1.8853405155829107E-2</v>
      </c>
    </row>
    <row r="1264" spans="1:2" x14ac:dyDescent="0.35">
      <c r="A1264" s="22">
        <v>-1.2624491513536739E-3</v>
      </c>
      <c r="B1264" s="22">
        <v>-2.2549019607843109E-2</v>
      </c>
    </row>
    <row r="1265" spans="1:2" x14ac:dyDescent="0.35">
      <c r="A1265" s="22">
        <v>1.2359550561797689E-2</v>
      </c>
      <c r="B1265" s="22">
        <v>1.6048144433299556E-3</v>
      </c>
    </row>
    <row r="1266" spans="1:2" x14ac:dyDescent="0.35">
      <c r="A1266" s="22">
        <v>-1.2624861265260775E-2</v>
      </c>
      <c r="B1266" s="22">
        <v>2.022831964750647E-2</v>
      </c>
    </row>
    <row r="1267" spans="1:2" x14ac:dyDescent="0.35">
      <c r="A1267" s="22">
        <v>-1.4050864128145079E-3</v>
      </c>
      <c r="B1267" s="22">
        <v>1.4919513152728802E-2</v>
      </c>
    </row>
    <row r="1268" spans="1:2" x14ac:dyDescent="0.35">
      <c r="A1268" s="22">
        <v>5.6282538342488047E-4</v>
      </c>
      <c r="B1268" s="22">
        <v>2.7079303675048463E-3</v>
      </c>
    </row>
    <row r="1269" spans="1:2" x14ac:dyDescent="0.35">
      <c r="A1269" s="22">
        <v>-3.7969343270988051E-3</v>
      </c>
      <c r="B1269" s="22">
        <v>-1.6782407407407492E-2</v>
      </c>
    </row>
    <row r="1270" spans="1:2" x14ac:dyDescent="0.35">
      <c r="A1270" s="22">
        <v>3.289102202145678E-2</v>
      </c>
      <c r="B1270" s="22">
        <v>5.7288601137924305E-2</v>
      </c>
    </row>
    <row r="1271" spans="1:2" x14ac:dyDescent="0.35">
      <c r="A1271" s="22">
        <v>1.1890118901189075E-2</v>
      </c>
      <c r="B1271" s="22">
        <v>-2.096863982185939E-2</v>
      </c>
    </row>
    <row r="1272" spans="1:2" x14ac:dyDescent="0.35">
      <c r="A1272" s="22">
        <v>3.3765532144786601E-3</v>
      </c>
      <c r="B1272" s="22">
        <v>2.7672479150871891E-2</v>
      </c>
    </row>
    <row r="1273" spans="1:2" x14ac:dyDescent="0.35">
      <c r="A1273" s="22">
        <v>-9.6917485529682736E-3</v>
      </c>
      <c r="B1273" s="22">
        <v>-5.7174474363703848E-3</v>
      </c>
    </row>
    <row r="1274" spans="1:2" x14ac:dyDescent="0.35">
      <c r="A1274" s="22">
        <v>2.7320918852793329E-2</v>
      </c>
      <c r="B1274" s="22">
        <v>1.8734928584678262E-2</v>
      </c>
    </row>
    <row r="1275" spans="1:2" x14ac:dyDescent="0.35">
      <c r="A1275" s="22">
        <v>-1.5744906059804151E-2</v>
      </c>
      <c r="B1275" s="22">
        <v>-8.8856518572469095E-2</v>
      </c>
    </row>
    <row r="1276" spans="1:2" x14ac:dyDescent="0.35">
      <c r="A1276" s="22">
        <v>2.9439440785051722E-2</v>
      </c>
      <c r="B1276" s="22">
        <v>-5.1958433253396887E-3</v>
      </c>
    </row>
    <row r="1277" spans="1:2" x14ac:dyDescent="0.35">
      <c r="A1277" s="22">
        <v>2.2851919561243144E-2</v>
      </c>
      <c r="B1277" s="22">
        <v>-5.6247488951386322E-3</v>
      </c>
    </row>
    <row r="1278" spans="1:2" x14ac:dyDescent="0.35">
      <c r="A1278" s="22">
        <v>-1.8256096004085186E-2</v>
      </c>
      <c r="B1278" s="22">
        <v>-8.0808080808079084E-4</v>
      </c>
    </row>
    <row r="1279" spans="1:2" x14ac:dyDescent="0.35">
      <c r="A1279" s="22">
        <v>-4.0312093628088715E-3</v>
      </c>
      <c r="B1279" s="22">
        <v>-3.1540638900121355E-2</v>
      </c>
    </row>
    <row r="1280" spans="1:2" x14ac:dyDescent="0.35">
      <c r="A1280" s="22">
        <v>1.6973495234364204E-3</v>
      </c>
      <c r="B1280" s="22">
        <v>1.3987473903966633E-2</v>
      </c>
    </row>
    <row r="1281" spans="1:2" x14ac:dyDescent="0.35">
      <c r="A1281" s="22">
        <v>-2.8023983315954192E-2</v>
      </c>
      <c r="B1281" s="22">
        <v>-1.5647519044677743E-2</v>
      </c>
    </row>
    <row r="1282" spans="1:2" x14ac:dyDescent="0.35">
      <c r="A1282" s="22">
        <v>-3.7950918599973162E-2</v>
      </c>
      <c r="B1282" s="22">
        <v>2.5099351600083126E-3</v>
      </c>
    </row>
    <row r="1283" spans="1:2" x14ac:dyDescent="0.35">
      <c r="A1283" s="22">
        <v>-4.2654028436018794E-2</v>
      </c>
      <c r="B1283" s="22">
        <v>-1.1266430210723955E-2</v>
      </c>
    </row>
    <row r="1284" spans="1:2" x14ac:dyDescent="0.35">
      <c r="A1284" s="22">
        <v>3.2906231799650416E-2</v>
      </c>
      <c r="B1284" s="22">
        <v>-1.730322852922558E-2</v>
      </c>
    </row>
    <row r="1285" spans="1:2" x14ac:dyDescent="0.35">
      <c r="A1285" s="22">
        <v>5.6385678037779207E-3</v>
      </c>
      <c r="B1285" s="22">
        <v>2.7914966716771003E-3</v>
      </c>
    </row>
    <row r="1286" spans="1:2" x14ac:dyDescent="0.35">
      <c r="A1286" s="22">
        <v>1.289599102887583E-2</v>
      </c>
      <c r="B1286" s="22">
        <v>2.1199143468950639E-2</v>
      </c>
    </row>
    <row r="1287" spans="1:2" x14ac:dyDescent="0.35">
      <c r="A1287" s="22">
        <v>1.3146969277608478E-2</v>
      </c>
      <c r="B1287" s="22">
        <v>4.1937513105473447E-3</v>
      </c>
    </row>
    <row r="1288" spans="1:2" x14ac:dyDescent="0.35">
      <c r="A1288" s="22">
        <v>-2.3220871465645062E-3</v>
      </c>
      <c r="B1288" s="22">
        <v>1.0022969304656439E-2</v>
      </c>
    </row>
    <row r="1289" spans="1:2" x14ac:dyDescent="0.35">
      <c r="A1289" s="22">
        <v>6.2294633077765567E-2</v>
      </c>
      <c r="B1289" s="22">
        <v>-4.9617531527805436E-3</v>
      </c>
    </row>
    <row r="1290" spans="1:2" x14ac:dyDescent="0.35">
      <c r="A1290" s="22">
        <v>-1.0439489624951698E-2</v>
      </c>
      <c r="B1290" s="22">
        <v>-6.8564305007273087E-3</v>
      </c>
    </row>
    <row r="1291" spans="1:2" x14ac:dyDescent="0.35">
      <c r="A1291" s="22">
        <v>5.8609012763740928E-3</v>
      </c>
      <c r="B1291" s="22">
        <v>1.8828451882845904E-3</v>
      </c>
    </row>
    <row r="1292" spans="1:2" x14ac:dyDescent="0.35">
      <c r="A1292" s="22">
        <v>-9.4522853813285498E-3</v>
      </c>
      <c r="B1292" s="22">
        <v>-3.3409897682188376E-2</v>
      </c>
    </row>
    <row r="1293" spans="1:2" x14ac:dyDescent="0.35">
      <c r="A1293" s="22">
        <v>4.941176470588237E-2</v>
      </c>
      <c r="B1293" s="22">
        <v>6.0488226398790479E-3</v>
      </c>
    </row>
    <row r="1294" spans="1:2" x14ac:dyDescent="0.35">
      <c r="A1294" s="22">
        <v>1.7937219730941676E-2</v>
      </c>
      <c r="B1294" s="22">
        <v>3.0062271848829841E-3</v>
      </c>
    </row>
    <row r="1295" spans="1:2" x14ac:dyDescent="0.35">
      <c r="A1295" s="22">
        <v>-6.7302985805188101E-3</v>
      </c>
      <c r="B1295" s="22">
        <v>3.7465210875615503E-2</v>
      </c>
    </row>
    <row r="1296" spans="1:2" x14ac:dyDescent="0.35">
      <c r="A1296" s="22">
        <v>-1.4167795983737904E-2</v>
      </c>
      <c r="B1296" s="22">
        <v>-1.7127527858027205E-2</v>
      </c>
    </row>
    <row r="1297" spans="1:2" x14ac:dyDescent="0.35">
      <c r="A1297" s="22">
        <v>-7.3731567108221594E-3</v>
      </c>
      <c r="B1297" s="22">
        <v>3.1492756665966827E-2</v>
      </c>
    </row>
    <row r="1298" spans="1:2" x14ac:dyDescent="0.35">
      <c r="A1298" s="22">
        <v>-1.2841495656553067E-2</v>
      </c>
      <c r="B1298" s="22">
        <v>-3.5619784245878278E-2</v>
      </c>
    </row>
    <row r="1299" spans="1:2" x14ac:dyDescent="0.35">
      <c r="A1299" s="22">
        <v>-1.3901288101007568E-2</v>
      </c>
      <c r="B1299" s="22">
        <v>-4.5588856057408263E-2</v>
      </c>
    </row>
    <row r="1300" spans="1:2" x14ac:dyDescent="0.35">
      <c r="A1300" s="22">
        <v>6.3372995344026014E-3</v>
      </c>
      <c r="B1300" s="22">
        <v>7.2091994692613848E-2</v>
      </c>
    </row>
    <row r="1301" spans="1:2" x14ac:dyDescent="0.35">
      <c r="A1301" s="22">
        <v>-1.2851818532323418E-3</v>
      </c>
      <c r="B1301" s="22">
        <v>-2.6402640264026282E-2</v>
      </c>
    </row>
    <row r="1302" spans="1:2" x14ac:dyDescent="0.35">
      <c r="A1302" s="22">
        <v>1.1324153905546388E-2</v>
      </c>
      <c r="B1302" s="22">
        <v>5.0847457627117556E-3</v>
      </c>
    </row>
    <row r="1303" spans="1:2" x14ac:dyDescent="0.35">
      <c r="A1303" s="22">
        <v>-2.7866140730372791E-2</v>
      </c>
      <c r="B1303" s="22">
        <v>1.3490725126475561E-2</v>
      </c>
    </row>
    <row r="1304" spans="1:2" x14ac:dyDescent="0.35">
      <c r="A1304" s="22">
        <v>-2.918848167539272E-2</v>
      </c>
      <c r="B1304" s="22">
        <v>4.1597337770383292E-3</v>
      </c>
    </row>
    <row r="1305" spans="1:2" x14ac:dyDescent="0.35">
      <c r="A1305" s="22">
        <v>-7.954698665228575E-3</v>
      </c>
      <c r="B1305" s="22">
        <v>-7.8707539353770201E-3</v>
      </c>
    </row>
    <row r="1306" spans="1:2" x14ac:dyDescent="0.35">
      <c r="A1306" s="22">
        <v>-1.2775210655069282E-2</v>
      </c>
      <c r="B1306" s="22">
        <v>-1.6492693110647164E-2</v>
      </c>
    </row>
    <row r="1307" spans="1:2" x14ac:dyDescent="0.35">
      <c r="A1307" s="22">
        <v>-1.349118942731283E-2</v>
      </c>
      <c r="B1307" s="22">
        <v>2.6109106346847887E-2</v>
      </c>
    </row>
    <row r="1308" spans="1:2" x14ac:dyDescent="0.35">
      <c r="A1308" s="22">
        <v>2.8467764443204108E-2</v>
      </c>
      <c r="B1308" s="22">
        <v>1.3653289201489378E-2</v>
      </c>
    </row>
    <row r="1309" spans="1:2" x14ac:dyDescent="0.35">
      <c r="A1309" s="22">
        <v>-5.2917232021709708E-3</v>
      </c>
      <c r="B1309" s="22">
        <v>-6.7346938775509858E-3</v>
      </c>
    </row>
    <row r="1310" spans="1:2" x14ac:dyDescent="0.35">
      <c r="A1310" s="22">
        <v>-4.3650252353022419E-3</v>
      </c>
      <c r="B1310" s="22">
        <v>2.3012122457365881E-2</v>
      </c>
    </row>
    <row r="1311" spans="1:2" x14ac:dyDescent="0.35">
      <c r="A1311" s="22">
        <v>-1.5481572818194213E-2</v>
      </c>
      <c r="B1311" s="22">
        <v>-7.029524000803403E-3</v>
      </c>
    </row>
    <row r="1312" spans="1:2" x14ac:dyDescent="0.35">
      <c r="A1312" s="22">
        <v>-5.4550514890064038E-2</v>
      </c>
      <c r="B1312" s="22">
        <v>7.2815533980582414E-3</v>
      </c>
    </row>
    <row r="1313" spans="1:2" x14ac:dyDescent="0.35">
      <c r="A1313" s="22">
        <v>-8.0953782749484428E-3</v>
      </c>
      <c r="B1313" s="22">
        <v>3.3333333333333409E-2</v>
      </c>
    </row>
    <row r="1314" spans="1:2" x14ac:dyDescent="0.35">
      <c r="A1314" s="22">
        <v>-1.2613147351238972E-2</v>
      </c>
      <c r="B1314" s="22">
        <v>2.1958802953750536E-2</v>
      </c>
    </row>
    <row r="1315" spans="1:2" x14ac:dyDescent="0.35">
      <c r="A1315" s="22">
        <v>-1.2022843402464853E-2</v>
      </c>
      <c r="B1315" s="22">
        <v>-3.118463586233125E-2</v>
      </c>
    </row>
    <row r="1316" spans="1:2" x14ac:dyDescent="0.35">
      <c r="A1316" s="22">
        <v>9.1268634012781069E-4</v>
      </c>
      <c r="B1316" s="22">
        <v>-7.3601570166830221E-2</v>
      </c>
    </row>
    <row r="1317" spans="1:2" x14ac:dyDescent="0.35">
      <c r="A1317" s="22">
        <v>-3.8145896656534929E-2</v>
      </c>
      <c r="B1317" s="22">
        <v>-1.1016949152542439E-2</v>
      </c>
    </row>
    <row r="1318" spans="1:2" x14ac:dyDescent="0.35">
      <c r="A1318" s="22">
        <v>3.0020540369726295E-3</v>
      </c>
      <c r="B1318" s="22">
        <v>7.4978577549271938E-3</v>
      </c>
    </row>
    <row r="1319" spans="1:2" x14ac:dyDescent="0.35">
      <c r="A1319" s="22">
        <v>2.0163831127914436E-2</v>
      </c>
      <c r="B1319" s="22">
        <v>4.8904954284498588E-3</v>
      </c>
    </row>
    <row r="1320" spans="1:2" x14ac:dyDescent="0.35">
      <c r="A1320" s="22">
        <v>3.0883261272388607E-3</v>
      </c>
      <c r="B1320" s="22">
        <v>1.5234870926787958E-2</v>
      </c>
    </row>
    <row r="1321" spans="1:2" x14ac:dyDescent="0.35">
      <c r="A1321" s="22">
        <v>-0.14439655172413787</v>
      </c>
      <c r="B1321" s="22">
        <v>-4.3351396415172959E-2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C0BC-3ED4-44DD-BDEF-E60E9A0D90DC}">
  <dimension ref="A1:D522"/>
  <sheetViews>
    <sheetView zoomScale="145" zoomScaleNormal="145" workbookViewId="0">
      <selection activeCell="G6" sqref="G6"/>
    </sheetView>
  </sheetViews>
  <sheetFormatPr defaultRowHeight="14.5" x14ac:dyDescent="0.35"/>
  <cols>
    <col min="1" max="1" width="16" style="7" customWidth="1"/>
    <col min="2" max="2" width="9.1796875" style="7"/>
  </cols>
  <sheetData>
    <row r="1" spans="1:4" x14ac:dyDescent="0.35">
      <c r="A1" s="4" t="s">
        <v>0</v>
      </c>
      <c r="B1" s="4" t="s">
        <v>1</v>
      </c>
      <c r="C1" s="1" t="s">
        <v>2</v>
      </c>
      <c r="D1" s="1" t="s">
        <v>3</v>
      </c>
    </row>
    <row r="2" spans="1:4" x14ac:dyDescent="0.35">
      <c r="A2" s="5">
        <v>42104</v>
      </c>
      <c r="B2" s="6">
        <v>2102.06</v>
      </c>
      <c r="C2" s="3">
        <v>49.984999999999999</v>
      </c>
      <c r="D2" s="3">
        <v>36.57</v>
      </c>
    </row>
    <row r="3" spans="1:4" x14ac:dyDescent="0.35">
      <c r="A3" s="5">
        <v>42111</v>
      </c>
      <c r="B3" s="6">
        <v>2081.1799999999998</v>
      </c>
      <c r="C3" s="3">
        <v>49.274999999999999</v>
      </c>
      <c r="D3" s="3">
        <v>36.64</v>
      </c>
    </row>
    <row r="4" spans="1:4" x14ac:dyDescent="0.35">
      <c r="A4" s="5">
        <v>42118</v>
      </c>
      <c r="B4" s="6">
        <v>2117.69</v>
      </c>
      <c r="C4" s="3">
        <v>50.475000000000001</v>
      </c>
      <c r="D4" s="3">
        <v>35.590000000000003</v>
      </c>
    </row>
    <row r="5" spans="1:4" x14ac:dyDescent="0.35">
      <c r="A5" s="5">
        <v>42125</v>
      </c>
      <c r="B5" s="6">
        <v>2108.29</v>
      </c>
      <c r="C5" s="3">
        <v>50.39</v>
      </c>
      <c r="D5" s="3">
        <v>35.42</v>
      </c>
    </row>
    <row r="6" spans="1:4" x14ac:dyDescent="0.35">
      <c r="A6" s="5">
        <v>42132</v>
      </c>
      <c r="B6" s="6">
        <v>2116.1</v>
      </c>
      <c r="C6" s="3">
        <v>51.22</v>
      </c>
      <c r="D6" s="3">
        <v>35.32</v>
      </c>
    </row>
    <row r="7" spans="1:4" x14ac:dyDescent="0.35">
      <c r="A7" s="5">
        <v>42139</v>
      </c>
      <c r="B7" s="6">
        <v>2122.73</v>
      </c>
      <c r="C7" s="3">
        <v>52.49</v>
      </c>
      <c r="D7" s="3">
        <v>34.909999999999997</v>
      </c>
    </row>
    <row r="8" spans="1:4" x14ac:dyDescent="0.35">
      <c r="A8" s="5">
        <v>42146</v>
      </c>
      <c r="B8" s="6">
        <v>2126.06</v>
      </c>
      <c r="C8" s="3">
        <v>52.215000000000003</v>
      </c>
      <c r="D8" s="3">
        <v>35.700000000000003</v>
      </c>
    </row>
    <row r="9" spans="1:4" x14ac:dyDescent="0.35">
      <c r="A9" s="5">
        <v>42153</v>
      </c>
      <c r="B9" s="6">
        <v>2107.39</v>
      </c>
      <c r="C9" s="3">
        <v>50.835000000000001</v>
      </c>
      <c r="D9" s="3">
        <v>35.97</v>
      </c>
    </row>
    <row r="10" spans="1:4" x14ac:dyDescent="0.35">
      <c r="A10" s="5">
        <v>42160</v>
      </c>
      <c r="B10" s="6">
        <v>2092.83</v>
      </c>
      <c r="C10" s="3">
        <v>51.015000000000001</v>
      </c>
      <c r="D10" s="3">
        <v>35.119999999999997</v>
      </c>
    </row>
    <row r="11" spans="1:4" x14ac:dyDescent="0.35">
      <c r="A11" s="5">
        <v>42167</v>
      </c>
      <c r="B11" s="6">
        <v>2094.11</v>
      </c>
      <c r="C11" s="3">
        <v>51.89</v>
      </c>
      <c r="D11" s="3">
        <v>35.71</v>
      </c>
    </row>
    <row r="12" spans="1:4" x14ac:dyDescent="0.35">
      <c r="A12" s="5">
        <v>42174</v>
      </c>
      <c r="B12" s="6">
        <v>2109.9899999999998</v>
      </c>
      <c r="C12" s="3">
        <v>53.265000000000001</v>
      </c>
      <c r="D12" s="3">
        <v>36.11</v>
      </c>
    </row>
    <row r="13" spans="1:4" x14ac:dyDescent="0.35">
      <c r="A13" s="5">
        <v>42181</v>
      </c>
      <c r="B13" s="6">
        <v>2101.4899999999998</v>
      </c>
      <c r="C13" s="3">
        <v>54.854999999999997</v>
      </c>
      <c r="D13" s="3">
        <v>34.380000000000003</v>
      </c>
    </row>
    <row r="14" spans="1:4" x14ac:dyDescent="0.35">
      <c r="A14" s="5">
        <v>42188</v>
      </c>
      <c r="B14" s="6">
        <v>2076.7800000000002</v>
      </c>
      <c r="C14" s="3">
        <v>54.935000000000002</v>
      </c>
      <c r="D14" s="3">
        <v>33.229999999999997</v>
      </c>
    </row>
    <row r="15" spans="1:4" x14ac:dyDescent="0.35">
      <c r="A15" s="5">
        <v>42195</v>
      </c>
      <c r="B15" s="6">
        <v>2076.62</v>
      </c>
      <c r="C15" s="3">
        <v>55.26</v>
      </c>
      <c r="D15" s="3">
        <v>31.4</v>
      </c>
    </row>
    <row r="16" spans="1:4" x14ac:dyDescent="0.35">
      <c r="A16" s="5">
        <v>42202</v>
      </c>
      <c r="B16" s="6">
        <v>2126.64</v>
      </c>
      <c r="C16" s="3">
        <v>56.4</v>
      </c>
      <c r="D16" s="3">
        <v>30.65</v>
      </c>
    </row>
    <row r="17" spans="1:4" x14ac:dyDescent="0.35">
      <c r="A17" s="5">
        <v>42209</v>
      </c>
      <c r="B17" s="6">
        <v>2079.65</v>
      </c>
      <c r="C17" s="3">
        <v>56.494999999999997</v>
      </c>
      <c r="D17" s="3">
        <v>31.06</v>
      </c>
    </row>
    <row r="18" spans="1:4" x14ac:dyDescent="0.35">
      <c r="A18" s="5">
        <v>42216</v>
      </c>
      <c r="B18" s="6">
        <v>2103.84</v>
      </c>
      <c r="C18" s="3">
        <v>57.61</v>
      </c>
      <c r="D18" s="3">
        <v>31.51</v>
      </c>
    </row>
    <row r="19" spans="1:4" x14ac:dyDescent="0.35">
      <c r="A19" s="5">
        <v>42223</v>
      </c>
      <c r="B19" s="6">
        <v>2077.5700000000002</v>
      </c>
      <c r="C19" s="3">
        <v>57.255000000000003</v>
      </c>
      <c r="D19" s="3">
        <v>31.74</v>
      </c>
    </row>
    <row r="20" spans="1:4" x14ac:dyDescent="0.35">
      <c r="A20" s="5">
        <v>42230</v>
      </c>
      <c r="B20" s="6">
        <v>2091.54</v>
      </c>
      <c r="C20" s="3">
        <v>57.18</v>
      </c>
      <c r="D20" s="3">
        <v>31.49</v>
      </c>
    </row>
    <row r="21" spans="1:4" x14ac:dyDescent="0.35">
      <c r="A21" s="5">
        <v>42237</v>
      </c>
      <c r="B21" s="6">
        <v>1970.89</v>
      </c>
      <c r="C21" s="3">
        <v>53.435000000000002</v>
      </c>
      <c r="D21" s="3">
        <v>29.6</v>
      </c>
    </row>
    <row r="22" spans="1:4" x14ac:dyDescent="0.35">
      <c r="A22" s="5">
        <v>42244</v>
      </c>
      <c r="B22" s="6">
        <v>1988.87</v>
      </c>
      <c r="C22" s="3">
        <v>56.25</v>
      </c>
      <c r="D22" s="3">
        <v>29</v>
      </c>
    </row>
    <row r="23" spans="1:4" x14ac:dyDescent="0.35">
      <c r="A23" s="5">
        <v>42251</v>
      </c>
      <c r="B23" s="6">
        <v>1921.22</v>
      </c>
      <c r="C23" s="3">
        <v>54.844999999999999</v>
      </c>
      <c r="D23" s="3">
        <v>28.88</v>
      </c>
    </row>
    <row r="24" spans="1:4" x14ac:dyDescent="0.35">
      <c r="A24" s="5">
        <v>42258</v>
      </c>
      <c r="B24" s="6">
        <v>1961.05</v>
      </c>
      <c r="C24" s="3">
        <v>55.91</v>
      </c>
      <c r="D24" s="3">
        <v>30.15</v>
      </c>
    </row>
    <row r="25" spans="1:4" x14ac:dyDescent="0.35">
      <c r="A25" s="5">
        <v>42265</v>
      </c>
      <c r="B25" s="6">
        <v>1958.03</v>
      </c>
      <c r="C25" s="3">
        <v>57.524999999999999</v>
      </c>
      <c r="D25" s="3">
        <v>30.51</v>
      </c>
    </row>
    <row r="26" spans="1:4" x14ac:dyDescent="0.35">
      <c r="A26" s="5">
        <v>42272</v>
      </c>
      <c r="B26" s="6">
        <v>1931.34</v>
      </c>
      <c r="C26" s="3">
        <v>62.5</v>
      </c>
      <c r="D26" s="3">
        <v>29.41</v>
      </c>
    </row>
    <row r="27" spans="1:4" x14ac:dyDescent="0.35">
      <c r="A27" s="5">
        <v>42279</v>
      </c>
      <c r="B27" s="6">
        <v>1951.36</v>
      </c>
      <c r="C27" s="3">
        <v>62.604999999999997</v>
      </c>
      <c r="D27" s="3">
        <v>31.73</v>
      </c>
    </row>
    <row r="28" spans="1:4" x14ac:dyDescent="0.35">
      <c r="A28" s="5">
        <v>42286</v>
      </c>
      <c r="B28" s="6">
        <v>2014.89</v>
      </c>
      <c r="C28" s="3">
        <v>62.47</v>
      </c>
      <c r="D28" s="3">
        <v>32.950000000000003</v>
      </c>
    </row>
    <row r="29" spans="1:4" x14ac:dyDescent="0.35">
      <c r="A29" s="5">
        <v>42293</v>
      </c>
      <c r="B29" s="6">
        <v>2033.11</v>
      </c>
      <c r="C29" s="3">
        <v>65.234999999999999</v>
      </c>
      <c r="D29" s="3">
        <v>33.15</v>
      </c>
    </row>
    <row r="30" spans="1:4" x14ac:dyDescent="0.35">
      <c r="A30" s="5">
        <v>42300</v>
      </c>
      <c r="B30" s="6">
        <v>2075.15</v>
      </c>
      <c r="C30" s="3">
        <v>65.265000000000001</v>
      </c>
      <c r="D30" s="3">
        <v>35.950000000000003</v>
      </c>
    </row>
    <row r="31" spans="1:4" x14ac:dyDescent="0.35">
      <c r="A31" s="5">
        <v>42307</v>
      </c>
      <c r="B31" s="6">
        <v>2079.36</v>
      </c>
      <c r="C31" s="3">
        <v>65.515000000000001</v>
      </c>
      <c r="D31" s="3">
        <v>34.909999999999997</v>
      </c>
    </row>
    <row r="32" spans="1:4" x14ac:dyDescent="0.35">
      <c r="A32" s="5">
        <v>42314</v>
      </c>
      <c r="B32" s="6">
        <v>2099.1999999999998</v>
      </c>
      <c r="C32" s="3">
        <v>65.89</v>
      </c>
      <c r="D32" s="3">
        <v>35.75</v>
      </c>
    </row>
    <row r="33" spans="1:4" x14ac:dyDescent="0.35">
      <c r="A33" s="5">
        <v>42321</v>
      </c>
      <c r="B33" s="6">
        <v>2023.04</v>
      </c>
      <c r="C33" s="3">
        <v>60.93</v>
      </c>
      <c r="D33" s="3">
        <v>34.31</v>
      </c>
    </row>
    <row r="34" spans="1:4" x14ac:dyDescent="0.35">
      <c r="A34" s="5">
        <v>42328</v>
      </c>
      <c r="B34" s="6">
        <v>2089.17</v>
      </c>
      <c r="C34" s="3">
        <v>66.325000000000003</v>
      </c>
      <c r="D34" s="3">
        <v>36.340000000000003</v>
      </c>
    </row>
    <row r="35" spans="1:4" x14ac:dyDescent="0.35">
      <c r="A35" s="5">
        <v>42335</v>
      </c>
      <c r="B35" s="6">
        <v>2090.11</v>
      </c>
      <c r="C35" s="3">
        <v>67.165000000000006</v>
      </c>
      <c r="D35" s="3">
        <v>36.369999999999997</v>
      </c>
    </row>
    <row r="36" spans="1:4" x14ac:dyDescent="0.35">
      <c r="A36" s="5">
        <v>42342</v>
      </c>
      <c r="B36" s="6">
        <v>2091.69</v>
      </c>
      <c r="C36" s="3">
        <v>66.165000000000006</v>
      </c>
      <c r="D36" s="3">
        <v>36.25</v>
      </c>
    </row>
    <row r="37" spans="1:4" x14ac:dyDescent="0.35">
      <c r="A37" s="5">
        <v>42349</v>
      </c>
      <c r="B37" s="6">
        <v>2012.37</v>
      </c>
      <c r="C37" s="3">
        <v>63.145000000000003</v>
      </c>
      <c r="D37" s="3">
        <v>34.549999999999997</v>
      </c>
    </row>
    <row r="38" spans="1:4" x14ac:dyDescent="0.35">
      <c r="A38" s="5">
        <v>42356</v>
      </c>
      <c r="B38" s="6">
        <v>2005.55</v>
      </c>
      <c r="C38" s="3">
        <v>64.260000000000005</v>
      </c>
      <c r="D38" s="3">
        <v>33.67</v>
      </c>
    </row>
    <row r="39" spans="1:4" x14ac:dyDescent="0.35">
      <c r="A39" s="5">
        <v>42363</v>
      </c>
      <c r="B39" s="6">
        <v>2060.9899999999998</v>
      </c>
      <c r="C39" s="3">
        <v>63.18</v>
      </c>
      <c r="D39" s="3">
        <v>34.6</v>
      </c>
    </row>
    <row r="40" spans="1:4" x14ac:dyDescent="0.35">
      <c r="A40" s="5">
        <v>42370</v>
      </c>
      <c r="B40" s="6">
        <v>2043.94</v>
      </c>
      <c r="C40" s="3">
        <v>62.5</v>
      </c>
      <c r="D40" s="3">
        <v>34.01</v>
      </c>
    </row>
    <row r="41" spans="1:4" x14ac:dyDescent="0.35">
      <c r="A41" s="5">
        <v>42377</v>
      </c>
      <c r="B41" s="6">
        <v>1922.03</v>
      </c>
      <c r="C41" s="3">
        <v>58.87</v>
      </c>
      <c r="D41" s="3">
        <v>29.53</v>
      </c>
    </row>
    <row r="42" spans="1:4" x14ac:dyDescent="0.35">
      <c r="A42" s="5">
        <v>42384</v>
      </c>
      <c r="B42" s="6">
        <v>1880.33</v>
      </c>
      <c r="C42" s="3">
        <v>57.56</v>
      </c>
      <c r="D42" s="3">
        <v>29.57</v>
      </c>
    </row>
    <row r="43" spans="1:4" x14ac:dyDescent="0.35">
      <c r="A43" s="5">
        <v>42391</v>
      </c>
      <c r="B43" s="6">
        <v>1906.9</v>
      </c>
      <c r="C43" s="3">
        <v>60.88</v>
      </c>
      <c r="D43" s="3">
        <v>29.28</v>
      </c>
    </row>
    <row r="44" spans="1:4" x14ac:dyDescent="0.35">
      <c r="A44" s="5">
        <v>42398</v>
      </c>
      <c r="B44" s="6">
        <v>1940.24</v>
      </c>
      <c r="C44" s="3">
        <v>62.01</v>
      </c>
      <c r="D44" s="3">
        <v>29.64</v>
      </c>
    </row>
    <row r="45" spans="1:4" x14ac:dyDescent="0.35">
      <c r="A45" s="5">
        <v>42405</v>
      </c>
      <c r="B45" s="6">
        <v>1880.05</v>
      </c>
      <c r="C45" s="3">
        <v>57.17</v>
      </c>
      <c r="D45" s="3">
        <v>28.54</v>
      </c>
    </row>
    <row r="46" spans="1:4" x14ac:dyDescent="0.35">
      <c r="A46" s="5">
        <v>42412</v>
      </c>
      <c r="B46" s="6">
        <v>1864.78</v>
      </c>
      <c r="C46" s="3">
        <v>56.42</v>
      </c>
      <c r="D46" s="3">
        <v>27.71</v>
      </c>
    </row>
    <row r="47" spans="1:4" x14ac:dyDescent="0.35">
      <c r="A47" s="5">
        <v>42419</v>
      </c>
      <c r="B47" s="6">
        <v>1917.78</v>
      </c>
      <c r="C47" s="3">
        <v>59.31</v>
      </c>
      <c r="D47" s="3">
        <v>28.78</v>
      </c>
    </row>
    <row r="48" spans="1:4" x14ac:dyDescent="0.35">
      <c r="A48" s="5">
        <v>42426</v>
      </c>
      <c r="B48" s="6">
        <v>1948.05</v>
      </c>
      <c r="C48" s="3">
        <v>62.6</v>
      </c>
      <c r="D48" s="3">
        <v>29.63</v>
      </c>
    </row>
    <row r="49" spans="1:4" x14ac:dyDescent="0.35">
      <c r="A49" s="5">
        <v>42433</v>
      </c>
      <c r="B49" s="6">
        <v>1999.99</v>
      </c>
      <c r="C49" s="3">
        <v>61.26</v>
      </c>
      <c r="D49" s="3">
        <v>31.37</v>
      </c>
    </row>
    <row r="50" spans="1:4" x14ac:dyDescent="0.35">
      <c r="A50" s="5">
        <v>42440</v>
      </c>
      <c r="B50" s="6">
        <v>2022.19</v>
      </c>
      <c r="C50" s="3">
        <v>60.08</v>
      </c>
      <c r="D50" s="3">
        <v>31.26</v>
      </c>
    </row>
    <row r="51" spans="1:4" x14ac:dyDescent="0.35">
      <c r="A51" s="5">
        <v>42447</v>
      </c>
      <c r="B51" s="6">
        <v>2049.58</v>
      </c>
      <c r="C51" s="3">
        <v>62.99</v>
      </c>
      <c r="D51" s="3">
        <v>31.96</v>
      </c>
    </row>
    <row r="52" spans="1:4" x14ac:dyDescent="0.35">
      <c r="A52" s="5">
        <v>42454</v>
      </c>
      <c r="B52" s="6">
        <v>2035.94</v>
      </c>
      <c r="C52" s="3">
        <v>61.65</v>
      </c>
      <c r="D52" s="3">
        <v>30.96</v>
      </c>
    </row>
    <row r="53" spans="1:4" x14ac:dyDescent="0.35">
      <c r="A53" s="5">
        <v>42461</v>
      </c>
      <c r="B53" s="6">
        <v>2072.7800000000002</v>
      </c>
      <c r="C53" s="3">
        <v>61.59</v>
      </c>
      <c r="D53" s="3">
        <v>30.47</v>
      </c>
    </row>
    <row r="54" spans="1:4" x14ac:dyDescent="0.35">
      <c r="A54" s="5">
        <v>42468</v>
      </c>
      <c r="B54" s="6">
        <v>2047.6</v>
      </c>
      <c r="C54" s="3">
        <v>59.42</v>
      </c>
      <c r="D54" s="3">
        <v>29.37</v>
      </c>
    </row>
    <row r="55" spans="1:4" x14ac:dyDescent="0.35">
      <c r="A55" s="5">
        <v>42475</v>
      </c>
      <c r="B55" s="6">
        <v>2080.73</v>
      </c>
      <c r="C55" s="3">
        <v>59.5</v>
      </c>
      <c r="D55" s="3">
        <v>30.56</v>
      </c>
    </row>
    <row r="56" spans="1:4" x14ac:dyDescent="0.35">
      <c r="A56" s="5">
        <v>42482</v>
      </c>
      <c r="B56" s="6">
        <v>2091.58</v>
      </c>
      <c r="C56" s="3">
        <v>59.43</v>
      </c>
      <c r="D56" s="3">
        <v>32.18</v>
      </c>
    </row>
    <row r="57" spans="1:4" x14ac:dyDescent="0.35">
      <c r="A57" s="5">
        <v>42489</v>
      </c>
      <c r="B57" s="6">
        <v>2065.3000000000002</v>
      </c>
      <c r="C57" s="3">
        <v>58.94</v>
      </c>
      <c r="D57" s="3">
        <v>31.8</v>
      </c>
    </row>
    <row r="58" spans="1:4" x14ac:dyDescent="0.35">
      <c r="A58" s="5">
        <v>42496</v>
      </c>
      <c r="B58" s="6">
        <v>2057.14</v>
      </c>
      <c r="C58" s="3">
        <v>58.43</v>
      </c>
      <c r="D58" s="3">
        <v>30.96</v>
      </c>
    </row>
    <row r="59" spans="1:4" x14ac:dyDescent="0.35">
      <c r="A59" s="5">
        <v>42503</v>
      </c>
      <c r="B59" s="6">
        <v>2046.61</v>
      </c>
      <c r="C59" s="3">
        <v>57.31</v>
      </c>
      <c r="D59" s="3">
        <v>30.52</v>
      </c>
    </row>
    <row r="60" spans="1:4" x14ac:dyDescent="0.35">
      <c r="A60" s="5">
        <v>42510</v>
      </c>
      <c r="B60" s="6">
        <v>2052.3200000000002</v>
      </c>
      <c r="C60" s="3">
        <v>56.48</v>
      </c>
      <c r="D60" s="3">
        <v>30.57</v>
      </c>
    </row>
    <row r="61" spans="1:4" x14ac:dyDescent="0.35">
      <c r="A61" s="5">
        <v>42517</v>
      </c>
      <c r="B61" s="6">
        <v>2099.06</v>
      </c>
      <c r="C61" s="3">
        <v>56.19</v>
      </c>
      <c r="D61" s="3">
        <v>31.39</v>
      </c>
    </row>
    <row r="62" spans="1:4" x14ac:dyDescent="0.35">
      <c r="A62" s="5">
        <v>42524</v>
      </c>
      <c r="B62" s="6">
        <v>2099.13</v>
      </c>
      <c r="C62" s="3">
        <v>53.45</v>
      </c>
      <c r="D62" s="3">
        <v>29.6</v>
      </c>
    </row>
    <row r="63" spans="1:4" x14ac:dyDescent="0.35">
      <c r="A63" s="5">
        <v>42531</v>
      </c>
      <c r="B63" s="6">
        <v>2096.0700000000002</v>
      </c>
      <c r="C63" s="3">
        <v>55.11</v>
      </c>
      <c r="D63" s="3">
        <v>29.06</v>
      </c>
    </row>
    <row r="64" spans="1:4" x14ac:dyDescent="0.35">
      <c r="A64" s="5">
        <v>42538</v>
      </c>
      <c r="B64" s="6">
        <v>2071.2199999999998</v>
      </c>
      <c r="C64" s="3">
        <v>53.71</v>
      </c>
      <c r="D64" s="3">
        <v>29.23</v>
      </c>
    </row>
    <row r="65" spans="1:4" x14ac:dyDescent="0.35">
      <c r="A65" s="5">
        <v>42545</v>
      </c>
      <c r="B65" s="6">
        <v>2037.41</v>
      </c>
      <c r="C65" s="3">
        <v>52.59</v>
      </c>
      <c r="D65" s="3">
        <v>28.35</v>
      </c>
    </row>
    <row r="66" spans="1:4" x14ac:dyDescent="0.35">
      <c r="A66" s="5">
        <v>42552</v>
      </c>
      <c r="B66" s="6">
        <v>2102.9499999999998</v>
      </c>
      <c r="C66" s="3">
        <v>55.61</v>
      </c>
      <c r="D66" s="3">
        <v>28.89</v>
      </c>
    </row>
    <row r="67" spans="1:4" x14ac:dyDescent="0.35">
      <c r="A67" s="5">
        <v>42559</v>
      </c>
      <c r="B67" s="6">
        <v>2129.9</v>
      </c>
      <c r="C67" s="3">
        <v>56.72</v>
      </c>
      <c r="D67" s="3">
        <v>29.66</v>
      </c>
    </row>
    <row r="68" spans="1:4" x14ac:dyDescent="0.35">
      <c r="A68" s="5">
        <v>42566</v>
      </c>
      <c r="B68" s="6">
        <v>2161.7399999999998</v>
      </c>
      <c r="C68" s="3">
        <v>57.87</v>
      </c>
      <c r="D68" s="3">
        <v>30.77</v>
      </c>
    </row>
    <row r="69" spans="1:4" x14ac:dyDescent="0.35">
      <c r="A69" s="5">
        <v>42573</v>
      </c>
      <c r="B69" s="6">
        <v>2175.0300000000002</v>
      </c>
      <c r="C69" s="3">
        <v>56.73</v>
      </c>
      <c r="D69" s="3">
        <v>32.159999999999997</v>
      </c>
    </row>
    <row r="70" spans="1:4" x14ac:dyDescent="0.35">
      <c r="A70" s="5">
        <v>42580</v>
      </c>
      <c r="B70" s="6">
        <v>2173.6</v>
      </c>
      <c r="C70" s="3">
        <v>55.5</v>
      </c>
      <c r="D70" s="3">
        <v>31.54</v>
      </c>
    </row>
    <row r="71" spans="1:4" x14ac:dyDescent="0.35">
      <c r="A71" s="5">
        <v>42587</v>
      </c>
      <c r="B71" s="6">
        <v>2182.87</v>
      </c>
      <c r="C71" s="3">
        <v>55.85</v>
      </c>
      <c r="D71" s="3">
        <v>30.8</v>
      </c>
    </row>
    <row r="72" spans="1:4" x14ac:dyDescent="0.35">
      <c r="A72" s="5">
        <v>42594</v>
      </c>
      <c r="B72" s="6">
        <v>2184.0500000000002</v>
      </c>
      <c r="C72" s="3">
        <v>56.45</v>
      </c>
      <c r="D72" s="3">
        <v>31.57</v>
      </c>
    </row>
    <row r="73" spans="1:4" x14ac:dyDescent="0.35">
      <c r="A73" s="5">
        <v>42601</v>
      </c>
      <c r="B73" s="6">
        <v>2183.87</v>
      </c>
      <c r="C73" s="3">
        <v>58.9</v>
      </c>
      <c r="D73" s="3">
        <v>31.83</v>
      </c>
    </row>
    <row r="74" spans="1:4" x14ac:dyDescent="0.35">
      <c r="A74" s="5">
        <v>42608</v>
      </c>
      <c r="B74" s="6">
        <v>2169.04</v>
      </c>
      <c r="C74" s="3">
        <v>59</v>
      </c>
      <c r="D74" s="3">
        <v>31.53</v>
      </c>
    </row>
    <row r="75" spans="1:4" x14ac:dyDescent="0.35">
      <c r="A75" s="5">
        <v>42615</v>
      </c>
      <c r="B75" s="6">
        <v>2179.98</v>
      </c>
      <c r="C75" s="3">
        <v>58.02</v>
      </c>
      <c r="D75" s="3">
        <v>32.159999999999997</v>
      </c>
    </row>
    <row r="76" spans="1:4" x14ac:dyDescent="0.35">
      <c r="A76" s="5">
        <v>42622</v>
      </c>
      <c r="B76" s="6">
        <v>2127.81</v>
      </c>
      <c r="C76" s="3">
        <v>55.33</v>
      </c>
      <c r="D76" s="3">
        <v>30.48</v>
      </c>
    </row>
    <row r="77" spans="1:4" x14ac:dyDescent="0.35">
      <c r="A77" s="5">
        <v>42629</v>
      </c>
      <c r="B77" s="6">
        <v>2139.16</v>
      </c>
      <c r="C77" s="3">
        <v>55.18</v>
      </c>
      <c r="D77" s="3">
        <v>30.97</v>
      </c>
    </row>
    <row r="78" spans="1:4" x14ac:dyDescent="0.35">
      <c r="A78" s="5">
        <v>42636</v>
      </c>
      <c r="B78" s="6">
        <v>2164.69</v>
      </c>
      <c r="C78" s="3">
        <v>55.15</v>
      </c>
      <c r="D78" s="3">
        <v>32.119999999999997</v>
      </c>
    </row>
    <row r="79" spans="1:4" x14ac:dyDescent="0.35">
      <c r="A79" s="5">
        <v>42643</v>
      </c>
      <c r="B79" s="6">
        <v>2168.27</v>
      </c>
      <c r="C79" s="3">
        <v>52.65</v>
      </c>
      <c r="D79" s="3">
        <v>31.77</v>
      </c>
    </row>
    <row r="80" spans="1:4" x14ac:dyDescent="0.35">
      <c r="A80" s="5">
        <v>42650</v>
      </c>
      <c r="B80" s="6">
        <v>2153.7399999999998</v>
      </c>
      <c r="C80" s="3">
        <v>51.79</v>
      </c>
      <c r="D80" s="3">
        <v>32.340000000000003</v>
      </c>
    </row>
    <row r="81" spans="1:4" x14ac:dyDescent="0.35">
      <c r="A81" s="5">
        <v>42657</v>
      </c>
      <c r="B81" s="6">
        <v>2132.98</v>
      </c>
      <c r="C81" s="3">
        <v>51.62</v>
      </c>
      <c r="D81" s="3">
        <v>31.87</v>
      </c>
    </row>
    <row r="82" spans="1:4" x14ac:dyDescent="0.35">
      <c r="A82" s="5">
        <v>42664</v>
      </c>
      <c r="B82" s="6">
        <v>2141.16</v>
      </c>
      <c r="C82" s="3">
        <v>51.77</v>
      </c>
      <c r="D82" s="3">
        <v>32.04</v>
      </c>
    </row>
    <row r="83" spans="1:4" x14ac:dyDescent="0.35">
      <c r="A83" s="5">
        <v>42671</v>
      </c>
      <c r="B83" s="6">
        <v>2126.41</v>
      </c>
      <c r="C83" s="3">
        <v>52.02</v>
      </c>
      <c r="D83" s="3">
        <v>31.32</v>
      </c>
    </row>
    <row r="84" spans="1:4" x14ac:dyDescent="0.35">
      <c r="A84" s="5">
        <v>42678</v>
      </c>
      <c r="B84" s="6">
        <v>2085.1799999999998</v>
      </c>
      <c r="C84" s="3">
        <v>49.96</v>
      </c>
      <c r="D84" s="3">
        <v>31.16</v>
      </c>
    </row>
    <row r="85" spans="1:4" x14ac:dyDescent="0.35">
      <c r="A85" s="5">
        <v>42685</v>
      </c>
      <c r="B85" s="6">
        <v>2164.4499999999998</v>
      </c>
      <c r="C85" s="3">
        <v>50.77</v>
      </c>
      <c r="D85" s="3">
        <v>34.020000000000003</v>
      </c>
    </row>
    <row r="86" spans="1:4" x14ac:dyDescent="0.35">
      <c r="A86" s="5">
        <v>42692</v>
      </c>
      <c r="B86" s="6">
        <v>2181.9</v>
      </c>
      <c r="C86" s="3">
        <v>51.1</v>
      </c>
      <c r="D86" s="3">
        <v>33</v>
      </c>
    </row>
    <row r="87" spans="1:4" x14ac:dyDescent="0.35">
      <c r="A87" s="5">
        <v>42699</v>
      </c>
      <c r="B87" s="6">
        <v>2213.35</v>
      </c>
      <c r="C87" s="3">
        <v>51.52</v>
      </c>
      <c r="D87" s="3">
        <v>34.25</v>
      </c>
    </row>
    <row r="88" spans="1:4" x14ac:dyDescent="0.35">
      <c r="A88" s="5">
        <v>42706</v>
      </c>
      <c r="B88" s="6">
        <v>2191.9499999999998</v>
      </c>
      <c r="C88" s="3">
        <v>50.46</v>
      </c>
      <c r="D88" s="3">
        <v>35.409999999999997</v>
      </c>
    </row>
    <row r="89" spans="1:4" x14ac:dyDescent="0.35">
      <c r="A89" s="5">
        <v>42713</v>
      </c>
      <c r="B89" s="6">
        <v>2259.5300000000002</v>
      </c>
      <c r="C89" s="3">
        <v>51.72</v>
      </c>
      <c r="D89" s="3">
        <v>37.659999999999997</v>
      </c>
    </row>
    <row r="90" spans="1:4" x14ac:dyDescent="0.35">
      <c r="A90" s="5">
        <v>42720</v>
      </c>
      <c r="B90" s="6">
        <v>2258.0700000000002</v>
      </c>
      <c r="C90" s="3">
        <v>50.92</v>
      </c>
      <c r="D90" s="3">
        <v>36.369999999999997</v>
      </c>
    </row>
    <row r="91" spans="1:4" x14ac:dyDescent="0.35">
      <c r="A91" s="5">
        <v>42727</v>
      </c>
      <c r="B91" s="6">
        <v>2263.79</v>
      </c>
      <c r="C91" s="3">
        <v>51.91</v>
      </c>
      <c r="D91" s="3">
        <v>35.69</v>
      </c>
    </row>
    <row r="92" spans="1:4" x14ac:dyDescent="0.35">
      <c r="A92" s="5">
        <v>42734</v>
      </c>
      <c r="B92" s="6">
        <v>2238.83</v>
      </c>
      <c r="C92" s="3">
        <v>50.83</v>
      </c>
      <c r="D92" s="3">
        <v>34.840000000000003</v>
      </c>
    </row>
    <row r="93" spans="1:4" x14ac:dyDescent="0.35">
      <c r="A93" s="5">
        <v>42741</v>
      </c>
      <c r="B93" s="6">
        <v>2276.98</v>
      </c>
      <c r="C93" s="3">
        <v>53.91</v>
      </c>
      <c r="D93" s="3">
        <v>35.99</v>
      </c>
    </row>
    <row r="94" spans="1:4" x14ac:dyDescent="0.35">
      <c r="A94" s="5">
        <v>42748</v>
      </c>
      <c r="B94" s="6">
        <v>2274.64</v>
      </c>
      <c r="C94" s="3">
        <v>52.92</v>
      </c>
      <c r="D94" s="3">
        <v>37.340000000000003</v>
      </c>
    </row>
    <row r="95" spans="1:4" x14ac:dyDescent="0.35">
      <c r="A95" s="5">
        <v>42755</v>
      </c>
      <c r="B95" s="6">
        <v>2271.31</v>
      </c>
      <c r="C95" s="3">
        <v>53.2</v>
      </c>
      <c r="D95" s="3">
        <v>37.01</v>
      </c>
    </row>
    <row r="96" spans="1:4" x14ac:dyDescent="0.35">
      <c r="A96" s="5">
        <v>42762</v>
      </c>
      <c r="B96" s="6">
        <v>2294.69</v>
      </c>
      <c r="C96" s="3">
        <v>53.19</v>
      </c>
      <c r="D96" s="3">
        <v>37.01</v>
      </c>
    </row>
    <row r="97" spans="1:4" x14ac:dyDescent="0.35">
      <c r="A97" s="5">
        <v>42769</v>
      </c>
      <c r="B97" s="6">
        <v>2297.42</v>
      </c>
      <c r="C97" s="3">
        <v>52.36</v>
      </c>
      <c r="D97" s="3">
        <v>36.33</v>
      </c>
    </row>
    <row r="98" spans="1:4" x14ac:dyDescent="0.35">
      <c r="A98" s="5">
        <v>42776</v>
      </c>
      <c r="B98" s="6">
        <v>2316.1</v>
      </c>
      <c r="C98" s="3">
        <v>56.22</v>
      </c>
      <c r="D98" s="3">
        <v>35.17</v>
      </c>
    </row>
    <row r="99" spans="1:4" x14ac:dyDescent="0.35">
      <c r="A99" s="5">
        <v>42783</v>
      </c>
      <c r="B99" s="6">
        <v>2351.16</v>
      </c>
      <c r="C99" s="3">
        <v>56.75</v>
      </c>
      <c r="D99" s="3">
        <v>37.22</v>
      </c>
    </row>
    <row r="100" spans="1:4" x14ac:dyDescent="0.35">
      <c r="A100" s="5">
        <v>42790</v>
      </c>
      <c r="B100" s="6">
        <v>2367.34</v>
      </c>
      <c r="C100" s="3">
        <v>57.86</v>
      </c>
      <c r="D100" s="3">
        <v>36.9</v>
      </c>
    </row>
    <row r="101" spans="1:4" x14ac:dyDescent="0.35">
      <c r="A101" s="5">
        <v>42797</v>
      </c>
      <c r="B101" s="6">
        <v>2383.12</v>
      </c>
      <c r="C101" s="3">
        <v>56.7</v>
      </c>
      <c r="D101" s="3">
        <v>38.229999999999997</v>
      </c>
    </row>
    <row r="102" spans="1:4" x14ac:dyDescent="0.35">
      <c r="A102" s="5">
        <v>42804</v>
      </c>
      <c r="B102" s="6">
        <v>2372.6</v>
      </c>
      <c r="C102" s="3">
        <v>56.43</v>
      </c>
      <c r="D102" s="3">
        <v>36.83</v>
      </c>
    </row>
    <row r="103" spans="1:4" x14ac:dyDescent="0.35">
      <c r="A103" s="5">
        <v>42811</v>
      </c>
      <c r="B103" s="6">
        <v>2378.25</v>
      </c>
      <c r="C103" s="3">
        <v>57.8</v>
      </c>
      <c r="D103" s="3">
        <v>36.33</v>
      </c>
    </row>
    <row r="104" spans="1:4" x14ac:dyDescent="0.35">
      <c r="A104" s="5">
        <v>42818</v>
      </c>
      <c r="B104" s="6">
        <v>2343.98</v>
      </c>
      <c r="C104" s="3">
        <v>56.36</v>
      </c>
      <c r="D104" s="3">
        <v>34.56</v>
      </c>
    </row>
    <row r="105" spans="1:4" x14ac:dyDescent="0.35">
      <c r="A105" s="5">
        <v>42825</v>
      </c>
      <c r="B105" s="6">
        <v>2362.7199999999998</v>
      </c>
      <c r="C105" s="3">
        <v>55.73</v>
      </c>
      <c r="D105" s="3">
        <v>35.36</v>
      </c>
    </row>
    <row r="106" spans="1:4" x14ac:dyDescent="0.35">
      <c r="A106" s="5">
        <v>42832</v>
      </c>
      <c r="B106" s="6">
        <v>2355.54</v>
      </c>
      <c r="C106" s="3">
        <v>55.11</v>
      </c>
      <c r="D106" s="3">
        <v>33.71</v>
      </c>
    </row>
    <row r="107" spans="1:4" x14ac:dyDescent="0.35">
      <c r="A107" s="5">
        <v>42839</v>
      </c>
      <c r="B107" s="6">
        <v>2328.9499999999998</v>
      </c>
      <c r="C107" s="3">
        <v>55.34</v>
      </c>
      <c r="D107" s="3">
        <v>33.39</v>
      </c>
    </row>
    <row r="108" spans="1:4" x14ac:dyDescent="0.35">
      <c r="A108" s="5">
        <v>42846</v>
      </c>
      <c r="B108" s="6">
        <v>2348.69</v>
      </c>
      <c r="C108" s="3">
        <v>55.85</v>
      </c>
      <c r="D108" s="3">
        <v>33.75</v>
      </c>
    </row>
    <row r="109" spans="1:4" x14ac:dyDescent="0.35">
      <c r="A109" s="5">
        <v>42853</v>
      </c>
      <c r="B109" s="6">
        <v>2384.1999999999998</v>
      </c>
      <c r="C109" s="3">
        <v>55.41</v>
      </c>
      <c r="D109" s="3">
        <v>34.64</v>
      </c>
    </row>
    <row r="110" spans="1:4" x14ac:dyDescent="0.35">
      <c r="A110" s="5">
        <v>42860</v>
      </c>
      <c r="B110" s="6">
        <v>2399.29</v>
      </c>
      <c r="C110" s="3">
        <v>53.95</v>
      </c>
      <c r="D110" s="3">
        <v>33.770000000000003</v>
      </c>
    </row>
    <row r="111" spans="1:4" x14ac:dyDescent="0.35">
      <c r="A111" s="5">
        <v>42867</v>
      </c>
      <c r="B111" s="6">
        <v>2390.9</v>
      </c>
      <c r="C111" s="3">
        <v>54.2</v>
      </c>
      <c r="D111" s="3">
        <v>33.619999999999997</v>
      </c>
    </row>
    <row r="112" spans="1:4" x14ac:dyDescent="0.35">
      <c r="A112" s="5">
        <v>42874</v>
      </c>
      <c r="B112" s="6">
        <v>2381.73</v>
      </c>
      <c r="C112" s="3">
        <v>51.77</v>
      </c>
      <c r="D112" s="3">
        <v>32.72</v>
      </c>
    </row>
    <row r="113" spans="1:4" x14ac:dyDescent="0.35">
      <c r="A113" s="5">
        <v>42881</v>
      </c>
      <c r="B113" s="6">
        <v>2415.8200000000002</v>
      </c>
      <c r="C113" s="3">
        <v>52.59</v>
      </c>
      <c r="D113" s="3">
        <v>33.07</v>
      </c>
    </row>
    <row r="114" spans="1:4" x14ac:dyDescent="0.35">
      <c r="A114" s="5">
        <v>42888</v>
      </c>
      <c r="B114" s="6">
        <v>2439.0700000000002</v>
      </c>
      <c r="C114" s="3">
        <v>52.98</v>
      </c>
      <c r="D114" s="3">
        <v>34.450000000000003</v>
      </c>
    </row>
    <row r="115" spans="1:4" x14ac:dyDescent="0.35">
      <c r="A115" s="5">
        <v>42895</v>
      </c>
      <c r="B115" s="6">
        <v>2431.77</v>
      </c>
      <c r="C115" s="3">
        <v>53.46</v>
      </c>
      <c r="D115" s="3">
        <v>34.340000000000003</v>
      </c>
    </row>
    <row r="116" spans="1:4" x14ac:dyDescent="0.35">
      <c r="A116" s="5">
        <v>42902</v>
      </c>
      <c r="B116" s="6">
        <v>2433.15</v>
      </c>
      <c r="C116" s="3">
        <v>51.1</v>
      </c>
      <c r="D116" s="3">
        <v>34.29</v>
      </c>
    </row>
    <row r="117" spans="1:4" x14ac:dyDescent="0.35">
      <c r="A117" s="5">
        <v>42909</v>
      </c>
      <c r="B117" s="6">
        <v>2438.3000000000002</v>
      </c>
      <c r="C117" s="3">
        <v>52.85</v>
      </c>
      <c r="D117" s="3">
        <v>34.200000000000003</v>
      </c>
    </row>
    <row r="118" spans="1:4" x14ac:dyDescent="0.35">
      <c r="A118" s="5">
        <v>42916</v>
      </c>
      <c r="B118" s="6">
        <v>2423.41</v>
      </c>
      <c r="C118" s="3">
        <v>59</v>
      </c>
      <c r="D118" s="3">
        <v>34.93</v>
      </c>
    </row>
    <row r="119" spans="1:4" x14ac:dyDescent="0.35">
      <c r="A119" s="5">
        <v>42923</v>
      </c>
      <c r="B119" s="6">
        <v>2425.1799999999998</v>
      </c>
      <c r="C119" s="3">
        <v>57.98</v>
      </c>
      <c r="D119" s="3">
        <v>34.94</v>
      </c>
    </row>
    <row r="120" spans="1:4" x14ac:dyDescent="0.35">
      <c r="A120" s="5">
        <v>42930</v>
      </c>
      <c r="B120" s="6">
        <v>2459.27</v>
      </c>
      <c r="C120" s="3">
        <v>58</v>
      </c>
      <c r="D120" s="3">
        <v>36.35</v>
      </c>
    </row>
    <row r="121" spans="1:4" x14ac:dyDescent="0.35">
      <c r="A121" s="5">
        <v>42937</v>
      </c>
      <c r="B121" s="6">
        <v>2472.54</v>
      </c>
      <c r="C121" s="3">
        <v>59.95</v>
      </c>
      <c r="D121" s="3">
        <v>36.07</v>
      </c>
    </row>
    <row r="122" spans="1:4" x14ac:dyDescent="0.35">
      <c r="A122" s="5">
        <v>42944</v>
      </c>
      <c r="B122" s="6">
        <v>2472.1</v>
      </c>
      <c r="C122" s="3">
        <v>58.67</v>
      </c>
      <c r="D122" s="3">
        <v>35.770000000000003</v>
      </c>
    </row>
    <row r="123" spans="1:4" x14ac:dyDescent="0.35">
      <c r="A123" s="5">
        <v>42951</v>
      </c>
      <c r="B123" s="6">
        <v>2476.83</v>
      </c>
      <c r="C123" s="3">
        <v>59.76</v>
      </c>
      <c r="D123" s="3">
        <v>35.270000000000003</v>
      </c>
    </row>
    <row r="124" spans="1:4" x14ac:dyDescent="0.35">
      <c r="A124" s="5">
        <v>42958</v>
      </c>
      <c r="B124" s="6">
        <v>2441.3200000000002</v>
      </c>
      <c r="C124" s="3">
        <v>58.97</v>
      </c>
      <c r="D124" s="3">
        <v>34.93</v>
      </c>
    </row>
    <row r="125" spans="1:4" x14ac:dyDescent="0.35">
      <c r="A125" s="5">
        <v>42965</v>
      </c>
      <c r="B125" s="6">
        <v>2425.5500000000002</v>
      </c>
      <c r="C125" s="3">
        <v>54.95</v>
      </c>
      <c r="D125" s="3">
        <v>34.83</v>
      </c>
    </row>
    <row r="126" spans="1:4" x14ac:dyDescent="0.35">
      <c r="A126" s="5">
        <v>42972</v>
      </c>
      <c r="B126" s="6">
        <v>2443.0500000000002</v>
      </c>
      <c r="C126" s="3">
        <v>53.9</v>
      </c>
      <c r="D126" s="3">
        <v>35.6</v>
      </c>
    </row>
    <row r="127" spans="1:4" x14ac:dyDescent="0.35">
      <c r="A127" s="5">
        <v>42979</v>
      </c>
      <c r="B127" s="6">
        <v>2476.5500000000002</v>
      </c>
      <c r="C127" s="3">
        <v>53.36</v>
      </c>
      <c r="D127" s="3">
        <v>37.36</v>
      </c>
    </row>
    <row r="128" spans="1:4" x14ac:dyDescent="0.35">
      <c r="A128" s="5">
        <v>42986</v>
      </c>
      <c r="B128" s="6">
        <v>2461.4299999999998</v>
      </c>
      <c r="C128" s="3">
        <v>52.2</v>
      </c>
      <c r="D128" s="3">
        <v>37</v>
      </c>
    </row>
    <row r="129" spans="1:4" x14ac:dyDescent="0.35">
      <c r="A129" s="5">
        <v>42993</v>
      </c>
      <c r="B129" s="6">
        <v>2500.23</v>
      </c>
      <c r="C129" s="3">
        <v>53.87</v>
      </c>
      <c r="D129" s="3">
        <v>38.880000000000003</v>
      </c>
    </row>
    <row r="130" spans="1:4" x14ac:dyDescent="0.35">
      <c r="A130" s="5">
        <v>43000</v>
      </c>
      <c r="B130" s="6">
        <v>2502.2199999999998</v>
      </c>
      <c r="C130" s="3">
        <v>53.24</v>
      </c>
      <c r="D130" s="3">
        <v>39.42</v>
      </c>
    </row>
    <row r="131" spans="1:4" x14ac:dyDescent="0.35">
      <c r="A131" s="5">
        <v>43007</v>
      </c>
      <c r="B131" s="6">
        <v>2519.36</v>
      </c>
      <c r="C131" s="3">
        <v>51.85</v>
      </c>
      <c r="D131" s="3">
        <v>40.380000000000003</v>
      </c>
    </row>
    <row r="132" spans="1:4" x14ac:dyDescent="0.35">
      <c r="A132" s="5">
        <v>43014</v>
      </c>
      <c r="B132" s="6">
        <v>2549.33</v>
      </c>
      <c r="C132" s="3">
        <v>52.42</v>
      </c>
      <c r="D132" s="3">
        <v>44.93</v>
      </c>
    </row>
    <row r="133" spans="1:4" x14ac:dyDescent="0.35">
      <c r="A133" s="5">
        <v>43021</v>
      </c>
      <c r="B133" s="6">
        <v>2553.17</v>
      </c>
      <c r="C133" s="3">
        <v>50.98</v>
      </c>
      <c r="D133" s="3">
        <v>45.88</v>
      </c>
    </row>
    <row r="134" spans="1:4" x14ac:dyDescent="0.35">
      <c r="A134" s="5">
        <v>43028</v>
      </c>
      <c r="B134" s="6">
        <v>2575.21</v>
      </c>
      <c r="C134" s="3">
        <v>53.06</v>
      </c>
      <c r="D134" s="3">
        <v>45.61</v>
      </c>
    </row>
    <row r="135" spans="1:4" x14ac:dyDescent="0.35">
      <c r="A135" s="5">
        <v>43035</v>
      </c>
      <c r="B135" s="6">
        <v>2581.0700000000002</v>
      </c>
      <c r="C135" s="3">
        <v>55.96</v>
      </c>
      <c r="D135" s="3">
        <v>44.64</v>
      </c>
    </row>
    <row r="136" spans="1:4" x14ac:dyDescent="0.35">
      <c r="A136" s="5">
        <v>43042</v>
      </c>
      <c r="B136" s="6">
        <v>2587.84</v>
      </c>
      <c r="C136" s="3">
        <v>55.71</v>
      </c>
      <c r="D136" s="3">
        <v>42.34</v>
      </c>
    </row>
    <row r="137" spans="1:4" x14ac:dyDescent="0.35">
      <c r="A137" s="5">
        <v>43049</v>
      </c>
      <c r="B137" s="6">
        <v>2582.3000000000002</v>
      </c>
      <c r="C137" s="3">
        <v>56.09</v>
      </c>
      <c r="D137" s="3">
        <v>42.66</v>
      </c>
    </row>
    <row r="138" spans="1:4" x14ac:dyDescent="0.35">
      <c r="A138" s="5">
        <v>43056</v>
      </c>
      <c r="B138" s="6">
        <v>2578.85</v>
      </c>
      <c r="C138" s="3">
        <v>59.19</v>
      </c>
      <c r="D138" s="3">
        <v>43.88</v>
      </c>
    </row>
    <row r="139" spans="1:4" x14ac:dyDescent="0.35">
      <c r="A139" s="5">
        <v>43063</v>
      </c>
      <c r="B139" s="6">
        <v>2602.42</v>
      </c>
      <c r="C139" s="3">
        <v>59.32</v>
      </c>
      <c r="D139" s="3">
        <v>44.46</v>
      </c>
    </row>
    <row r="140" spans="1:4" x14ac:dyDescent="0.35">
      <c r="A140" s="5">
        <v>43070</v>
      </c>
      <c r="B140" s="6">
        <v>2642.22</v>
      </c>
      <c r="C140" s="3">
        <v>59.88</v>
      </c>
      <c r="D140" s="3">
        <v>42.79</v>
      </c>
    </row>
    <row r="141" spans="1:4" x14ac:dyDescent="0.35">
      <c r="A141" s="5">
        <v>43077</v>
      </c>
      <c r="B141" s="6">
        <v>2651.5</v>
      </c>
      <c r="C141" s="3">
        <v>61.3</v>
      </c>
      <c r="D141" s="3">
        <v>42.02</v>
      </c>
    </row>
    <row r="142" spans="1:4" x14ac:dyDescent="0.35">
      <c r="A142" s="5">
        <v>43084</v>
      </c>
      <c r="B142" s="6">
        <v>2675.81</v>
      </c>
      <c r="C142" s="3">
        <v>64.790000000000006</v>
      </c>
      <c r="D142" s="3">
        <v>40.950000000000003</v>
      </c>
    </row>
    <row r="143" spans="1:4" x14ac:dyDescent="0.35">
      <c r="A143" s="5">
        <v>43091</v>
      </c>
      <c r="B143" s="6">
        <v>2683.34</v>
      </c>
      <c r="C143" s="3">
        <v>63.29</v>
      </c>
      <c r="D143" s="3">
        <v>42.02</v>
      </c>
    </row>
    <row r="144" spans="1:4" x14ac:dyDescent="0.35">
      <c r="A144" s="5">
        <v>43098</v>
      </c>
      <c r="B144" s="6">
        <v>2673.61</v>
      </c>
      <c r="C144" s="3">
        <v>62.55</v>
      </c>
      <c r="D144" s="3">
        <v>40.99</v>
      </c>
    </row>
    <row r="145" spans="1:4" x14ac:dyDescent="0.35">
      <c r="A145" s="5">
        <v>43105</v>
      </c>
      <c r="B145" s="6">
        <v>2743.15</v>
      </c>
      <c r="C145" s="3">
        <v>63.98</v>
      </c>
      <c r="D145" s="3">
        <v>44.01</v>
      </c>
    </row>
    <row r="146" spans="1:4" x14ac:dyDescent="0.35">
      <c r="A146" s="5">
        <v>43112</v>
      </c>
      <c r="B146" s="6">
        <v>2786.24</v>
      </c>
      <c r="C146" s="3">
        <v>64.67</v>
      </c>
      <c r="D146" s="3">
        <v>44.07</v>
      </c>
    </row>
    <row r="147" spans="1:4" x14ac:dyDescent="0.35">
      <c r="A147" s="5">
        <v>43119</v>
      </c>
      <c r="B147" s="6">
        <v>2810.3</v>
      </c>
      <c r="C147" s="3">
        <v>67.209999999999994</v>
      </c>
      <c r="D147" s="3">
        <v>43.15</v>
      </c>
    </row>
    <row r="148" spans="1:4" x14ac:dyDescent="0.35">
      <c r="A148" s="5">
        <v>43126</v>
      </c>
      <c r="B148" s="6">
        <v>2872.87</v>
      </c>
      <c r="C148" s="3">
        <v>68.040000000000006</v>
      </c>
      <c r="D148" s="3">
        <v>43.49</v>
      </c>
    </row>
    <row r="149" spans="1:4" x14ac:dyDescent="0.35">
      <c r="A149" s="5">
        <v>43133</v>
      </c>
      <c r="B149" s="6">
        <v>2762.13</v>
      </c>
      <c r="C149" s="3">
        <v>67.22</v>
      </c>
      <c r="D149" s="3">
        <v>41</v>
      </c>
    </row>
    <row r="150" spans="1:4" x14ac:dyDescent="0.35">
      <c r="A150" s="5">
        <v>43140</v>
      </c>
      <c r="B150" s="6">
        <v>2619.5500000000002</v>
      </c>
      <c r="C150" s="3">
        <v>65.489999999999995</v>
      </c>
      <c r="D150" s="3">
        <v>41.46</v>
      </c>
    </row>
    <row r="151" spans="1:4" x14ac:dyDescent="0.35">
      <c r="A151" s="5">
        <v>43147</v>
      </c>
      <c r="B151" s="6">
        <v>2732.22</v>
      </c>
      <c r="C151" s="3">
        <v>68.3</v>
      </c>
      <c r="D151" s="3">
        <v>41.09</v>
      </c>
    </row>
    <row r="152" spans="1:4" x14ac:dyDescent="0.35">
      <c r="A152" s="5">
        <v>43154</v>
      </c>
      <c r="B152" s="6">
        <v>2747.3</v>
      </c>
      <c r="C152" s="3">
        <v>68.16</v>
      </c>
      <c r="D152" s="3">
        <v>40.909999999999997</v>
      </c>
    </row>
    <row r="153" spans="1:4" x14ac:dyDescent="0.35">
      <c r="A153" s="5">
        <v>43161</v>
      </c>
      <c r="B153" s="6">
        <v>2691.25</v>
      </c>
      <c r="C153" s="3">
        <v>65.89</v>
      </c>
      <c r="D153" s="3">
        <v>37.43</v>
      </c>
    </row>
    <row r="154" spans="1:4" x14ac:dyDescent="0.35">
      <c r="A154" s="5">
        <v>43168</v>
      </c>
      <c r="B154" s="6">
        <v>2786.57</v>
      </c>
      <c r="C154" s="3">
        <v>66.3</v>
      </c>
      <c r="D154" s="3">
        <v>37.840000000000003</v>
      </c>
    </row>
    <row r="155" spans="1:4" x14ac:dyDescent="0.35">
      <c r="A155" s="5">
        <v>43175</v>
      </c>
      <c r="B155" s="6">
        <v>2752.01</v>
      </c>
      <c r="C155" s="3">
        <v>65.91</v>
      </c>
      <c r="D155" s="3">
        <v>37.94</v>
      </c>
    </row>
    <row r="156" spans="1:4" x14ac:dyDescent="0.35">
      <c r="A156" s="5">
        <v>43182</v>
      </c>
      <c r="B156" s="6">
        <v>2588.2600000000002</v>
      </c>
      <c r="C156" s="3">
        <v>64.63</v>
      </c>
      <c r="D156" s="3">
        <v>35.17</v>
      </c>
    </row>
    <row r="157" spans="1:4" x14ac:dyDescent="0.35">
      <c r="A157" s="5">
        <v>43189</v>
      </c>
      <c r="B157" s="6">
        <v>2640.87</v>
      </c>
      <c r="C157" s="3">
        <v>66.44</v>
      </c>
      <c r="D157" s="3">
        <v>36.340000000000003</v>
      </c>
    </row>
    <row r="158" spans="1:4" x14ac:dyDescent="0.35">
      <c r="A158" s="5">
        <v>43196</v>
      </c>
      <c r="B158" s="6">
        <v>2604.4699999999998</v>
      </c>
      <c r="C158" s="3">
        <v>67.55</v>
      </c>
      <c r="D158" s="3">
        <v>37.68</v>
      </c>
    </row>
    <row r="159" spans="1:4" x14ac:dyDescent="0.35">
      <c r="A159" s="5">
        <v>43203</v>
      </c>
      <c r="B159" s="6">
        <v>2656.3</v>
      </c>
      <c r="C159" s="3">
        <v>67.25</v>
      </c>
      <c r="D159" s="3">
        <v>38.729999999999997</v>
      </c>
    </row>
    <row r="160" spans="1:4" x14ac:dyDescent="0.35">
      <c r="A160" s="5">
        <v>43210</v>
      </c>
      <c r="B160" s="6">
        <v>2670.14</v>
      </c>
      <c r="C160" s="3">
        <v>66.09</v>
      </c>
      <c r="D160" s="3">
        <v>37.61</v>
      </c>
    </row>
    <row r="161" spans="1:4" x14ac:dyDescent="0.35">
      <c r="A161" s="5">
        <v>43217</v>
      </c>
      <c r="B161" s="6">
        <v>2669.91</v>
      </c>
      <c r="C161" s="3">
        <v>69.56</v>
      </c>
      <c r="D161" s="3">
        <v>37.65</v>
      </c>
    </row>
    <row r="162" spans="1:4" x14ac:dyDescent="0.35">
      <c r="A162" s="5">
        <v>43224</v>
      </c>
      <c r="B162" s="6">
        <v>2663.42</v>
      </c>
      <c r="C162" s="3">
        <v>68.099999999999994</v>
      </c>
      <c r="D162" s="3">
        <v>36.71</v>
      </c>
    </row>
    <row r="163" spans="1:4" x14ac:dyDescent="0.35">
      <c r="A163" s="5">
        <v>43231</v>
      </c>
      <c r="B163" s="6">
        <v>2727.72</v>
      </c>
      <c r="C163" s="3">
        <v>68.430000000000007</v>
      </c>
      <c r="D163" s="3">
        <v>36.89</v>
      </c>
    </row>
    <row r="164" spans="1:4" x14ac:dyDescent="0.35">
      <c r="A164" s="5">
        <v>43238</v>
      </c>
      <c r="B164" s="6">
        <v>2712.97</v>
      </c>
      <c r="C164" s="3">
        <v>71.319999999999993</v>
      </c>
      <c r="D164" s="3">
        <v>37.79</v>
      </c>
    </row>
    <row r="165" spans="1:4" x14ac:dyDescent="0.35">
      <c r="A165" s="5">
        <v>43245</v>
      </c>
      <c r="B165" s="6">
        <v>2721.33</v>
      </c>
      <c r="C165" s="3">
        <v>72.25</v>
      </c>
      <c r="D165" s="3">
        <v>38.299999999999997</v>
      </c>
    </row>
    <row r="166" spans="1:4" x14ac:dyDescent="0.35">
      <c r="A166" s="5">
        <v>43252</v>
      </c>
      <c r="B166" s="6">
        <v>2734.62</v>
      </c>
      <c r="C166" s="3">
        <v>72.760000000000005</v>
      </c>
      <c r="D166" s="3">
        <v>43.2</v>
      </c>
    </row>
    <row r="167" spans="1:4" x14ac:dyDescent="0.35">
      <c r="A167" s="5">
        <v>43259</v>
      </c>
      <c r="B167" s="6">
        <v>2779.03</v>
      </c>
      <c r="C167" s="3">
        <v>74.900000000000006</v>
      </c>
      <c r="D167" s="3">
        <v>44.25</v>
      </c>
    </row>
    <row r="168" spans="1:4" x14ac:dyDescent="0.35">
      <c r="A168" s="5">
        <v>43266</v>
      </c>
      <c r="B168" s="6">
        <v>2779.66</v>
      </c>
      <c r="C168" s="3">
        <v>75.84</v>
      </c>
      <c r="D168" s="3">
        <v>43.91</v>
      </c>
    </row>
    <row r="169" spans="1:4" x14ac:dyDescent="0.35">
      <c r="A169" s="5">
        <v>43273</v>
      </c>
      <c r="B169" s="6">
        <v>2754.88</v>
      </c>
      <c r="C169" s="3">
        <v>73.430000000000007</v>
      </c>
      <c r="D169" s="3">
        <v>41.25</v>
      </c>
    </row>
    <row r="170" spans="1:4" x14ac:dyDescent="0.35">
      <c r="A170" s="5">
        <v>43280</v>
      </c>
      <c r="B170" s="6">
        <v>2718.37</v>
      </c>
      <c r="C170" s="3">
        <v>79.680000000000007</v>
      </c>
      <c r="D170" s="3">
        <v>39.4</v>
      </c>
    </row>
    <row r="171" spans="1:4" x14ac:dyDescent="0.35">
      <c r="A171" s="5">
        <v>43287</v>
      </c>
      <c r="B171" s="6">
        <v>2759.82</v>
      </c>
      <c r="C171" s="3">
        <v>76.48</v>
      </c>
      <c r="D171" s="3">
        <v>39.159999999999997</v>
      </c>
    </row>
    <row r="172" spans="1:4" x14ac:dyDescent="0.35">
      <c r="A172" s="5">
        <v>43294</v>
      </c>
      <c r="B172" s="6">
        <v>2801.31</v>
      </c>
      <c r="C172" s="3">
        <v>77.38</v>
      </c>
      <c r="D172" s="3">
        <v>39.36</v>
      </c>
    </row>
    <row r="173" spans="1:4" x14ac:dyDescent="0.35">
      <c r="A173" s="5">
        <v>43301</v>
      </c>
      <c r="B173" s="6">
        <v>2801.83</v>
      </c>
      <c r="C173" s="3">
        <v>76.959999999999994</v>
      </c>
      <c r="D173" s="3">
        <v>39.4</v>
      </c>
    </row>
    <row r="174" spans="1:4" x14ac:dyDescent="0.35">
      <c r="A174" s="5">
        <v>43308</v>
      </c>
      <c r="B174" s="6">
        <v>2818.82</v>
      </c>
      <c r="C174" s="3">
        <v>76.89</v>
      </c>
      <c r="D174" s="3">
        <v>37.53</v>
      </c>
    </row>
    <row r="175" spans="1:4" x14ac:dyDescent="0.35">
      <c r="A175" s="5">
        <v>43315</v>
      </c>
      <c r="B175" s="6">
        <v>2840.35</v>
      </c>
      <c r="C175" s="3">
        <v>78.739999999999995</v>
      </c>
      <c r="D175" s="3">
        <v>37.729999999999997</v>
      </c>
    </row>
    <row r="176" spans="1:4" x14ac:dyDescent="0.35">
      <c r="A176" s="5">
        <v>43322</v>
      </c>
      <c r="B176" s="6">
        <v>2833.28</v>
      </c>
      <c r="C176" s="3">
        <v>80.73</v>
      </c>
      <c r="D176" s="3">
        <v>36.590000000000003</v>
      </c>
    </row>
    <row r="177" spans="1:4" x14ac:dyDescent="0.35">
      <c r="A177" s="5">
        <v>43329</v>
      </c>
      <c r="B177" s="6">
        <v>2850.13</v>
      </c>
      <c r="C177" s="3">
        <v>79.75</v>
      </c>
      <c r="D177" s="3">
        <v>36.380000000000003</v>
      </c>
    </row>
    <row r="178" spans="1:4" x14ac:dyDescent="0.35">
      <c r="A178" s="5">
        <v>43336</v>
      </c>
      <c r="B178" s="6">
        <v>2874.69</v>
      </c>
      <c r="C178" s="3">
        <v>82.45</v>
      </c>
      <c r="D178" s="3">
        <v>35.950000000000003</v>
      </c>
    </row>
    <row r="179" spans="1:4" x14ac:dyDescent="0.35">
      <c r="A179" s="5">
        <v>43343</v>
      </c>
      <c r="B179" s="6">
        <v>2901.52</v>
      </c>
      <c r="C179" s="3">
        <v>82.2</v>
      </c>
      <c r="D179" s="3">
        <v>36.049999999999997</v>
      </c>
    </row>
    <row r="180" spans="1:4" x14ac:dyDescent="0.35">
      <c r="A180" s="5">
        <v>43350</v>
      </c>
      <c r="B180" s="6">
        <v>2871.68</v>
      </c>
      <c r="C180" s="3">
        <v>80.3</v>
      </c>
      <c r="D180" s="3">
        <v>33.909999999999997</v>
      </c>
    </row>
    <row r="181" spans="1:4" x14ac:dyDescent="0.35">
      <c r="A181" s="5">
        <v>43357</v>
      </c>
      <c r="B181" s="6">
        <v>2904.98</v>
      </c>
      <c r="C181" s="3">
        <v>83.49</v>
      </c>
      <c r="D181" s="3">
        <v>34.630000000000003</v>
      </c>
    </row>
    <row r="182" spans="1:4" x14ac:dyDescent="0.35">
      <c r="A182" s="5">
        <v>43364</v>
      </c>
      <c r="B182" s="6">
        <v>2929.67</v>
      </c>
      <c r="C182" s="3">
        <v>85.55</v>
      </c>
      <c r="D182" s="3">
        <v>35.32</v>
      </c>
    </row>
    <row r="183" spans="1:4" x14ac:dyDescent="0.35">
      <c r="A183" s="5">
        <v>43371</v>
      </c>
      <c r="B183" s="6">
        <v>2913.98</v>
      </c>
      <c r="C183" s="3">
        <v>84.72</v>
      </c>
      <c r="D183" s="3">
        <v>33.67</v>
      </c>
    </row>
    <row r="184" spans="1:4" x14ac:dyDescent="0.35">
      <c r="A184" s="5">
        <v>43378</v>
      </c>
      <c r="B184" s="6">
        <v>2885.57</v>
      </c>
      <c r="C184" s="3">
        <v>80.12</v>
      </c>
      <c r="D184" s="3">
        <v>34.119999999999997</v>
      </c>
    </row>
    <row r="185" spans="1:4" x14ac:dyDescent="0.35">
      <c r="A185" s="5">
        <v>43385</v>
      </c>
      <c r="B185" s="6">
        <v>2767.13</v>
      </c>
      <c r="C185" s="3">
        <v>75.91</v>
      </c>
      <c r="D185" s="3">
        <v>31.79</v>
      </c>
    </row>
    <row r="186" spans="1:4" x14ac:dyDescent="0.35">
      <c r="A186" s="5">
        <v>43392</v>
      </c>
      <c r="B186" s="6">
        <v>2767.78</v>
      </c>
      <c r="C186" s="3">
        <v>74.209999999999994</v>
      </c>
      <c r="D186" s="3">
        <v>31.2</v>
      </c>
    </row>
    <row r="187" spans="1:4" x14ac:dyDescent="0.35">
      <c r="A187" s="5">
        <v>43399</v>
      </c>
      <c r="B187" s="6">
        <v>2658.69</v>
      </c>
      <c r="C187" s="3">
        <v>72.069999999999993</v>
      </c>
      <c r="D187" s="3">
        <v>32.65</v>
      </c>
    </row>
    <row r="188" spans="1:4" x14ac:dyDescent="0.35">
      <c r="A188" s="5">
        <v>43406</v>
      </c>
      <c r="B188" s="6">
        <v>2723.06</v>
      </c>
      <c r="C188" s="3">
        <v>76.58</v>
      </c>
      <c r="D188" s="3">
        <v>36.03</v>
      </c>
    </row>
    <row r="189" spans="1:4" x14ac:dyDescent="0.35">
      <c r="A189" s="5">
        <v>43413</v>
      </c>
      <c r="B189" s="6">
        <v>2781.01</v>
      </c>
      <c r="C189" s="3">
        <v>76.36</v>
      </c>
      <c r="D189" s="3">
        <v>35.700000000000003</v>
      </c>
    </row>
    <row r="190" spans="1:4" x14ac:dyDescent="0.35">
      <c r="A190" s="5">
        <v>43420</v>
      </c>
      <c r="B190" s="6">
        <v>2736.27</v>
      </c>
      <c r="C190" s="3">
        <v>74.739999999999995</v>
      </c>
      <c r="D190" s="3">
        <v>35.75</v>
      </c>
    </row>
    <row r="191" spans="1:4" x14ac:dyDescent="0.35">
      <c r="A191" s="5">
        <v>43427</v>
      </c>
      <c r="B191" s="6">
        <v>2632.56</v>
      </c>
      <c r="C191" s="3">
        <v>71.489999999999995</v>
      </c>
      <c r="D191" s="3">
        <v>35.93</v>
      </c>
    </row>
    <row r="192" spans="1:4" x14ac:dyDescent="0.35">
      <c r="A192" s="5">
        <v>43434</v>
      </c>
      <c r="B192" s="6">
        <v>2760.17</v>
      </c>
      <c r="C192" s="3">
        <v>75.12</v>
      </c>
      <c r="D192" s="3">
        <v>37.950000000000003</v>
      </c>
    </row>
    <row r="193" spans="1:4" x14ac:dyDescent="0.35">
      <c r="A193" s="5">
        <v>43441</v>
      </c>
      <c r="B193" s="6">
        <v>2633.08</v>
      </c>
      <c r="C193" s="3">
        <v>73.34</v>
      </c>
      <c r="D193" s="3">
        <v>34.69</v>
      </c>
    </row>
    <row r="194" spans="1:4" x14ac:dyDescent="0.35">
      <c r="A194" s="5">
        <v>43448</v>
      </c>
      <c r="B194" s="6">
        <v>2599.9499999999998</v>
      </c>
      <c r="C194" s="3">
        <v>72.53</v>
      </c>
      <c r="D194" s="3">
        <v>35.1</v>
      </c>
    </row>
    <row r="195" spans="1:4" x14ac:dyDescent="0.35">
      <c r="A195" s="5">
        <v>43455</v>
      </c>
      <c r="B195" s="6">
        <v>2416.62</v>
      </c>
      <c r="C195" s="3">
        <v>72.37</v>
      </c>
      <c r="D195" s="3">
        <v>32.979999999999997</v>
      </c>
    </row>
    <row r="196" spans="1:4" x14ac:dyDescent="0.35">
      <c r="A196" s="5">
        <v>43462</v>
      </c>
      <c r="B196" s="6">
        <v>2485.7399999999998</v>
      </c>
      <c r="C196" s="3">
        <v>73.34</v>
      </c>
      <c r="D196" s="3">
        <v>33.92</v>
      </c>
    </row>
    <row r="197" spans="1:4" x14ac:dyDescent="0.35">
      <c r="A197" s="5">
        <v>43469</v>
      </c>
      <c r="B197" s="6">
        <v>2531.94</v>
      </c>
      <c r="C197" s="3">
        <v>74.650000000000006</v>
      </c>
      <c r="D197" s="3">
        <v>33.33</v>
      </c>
    </row>
    <row r="198" spans="1:4" x14ac:dyDescent="0.35">
      <c r="A198" s="5">
        <v>43476</v>
      </c>
      <c r="B198" s="6">
        <v>2596.2600000000002</v>
      </c>
      <c r="C198" s="3">
        <v>76.040000000000006</v>
      </c>
      <c r="D198" s="3">
        <v>37.18</v>
      </c>
    </row>
    <row r="199" spans="1:4" x14ac:dyDescent="0.35">
      <c r="A199" s="5">
        <v>43483</v>
      </c>
      <c r="B199" s="6">
        <v>2670.71</v>
      </c>
      <c r="C199" s="3">
        <v>80.45</v>
      </c>
      <c r="D199" s="3">
        <v>38.61</v>
      </c>
    </row>
    <row r="200" spans="1:4" x14ac:dyDescent="0.35">
      <c r="A200" s="5">
        <v>43490</v>
      </c>
      <c r="B200" s="6">
        <v>2664.76</v>
      </c>
      <c r="C200" s="3">
        <v>80.61</v>
      </c>
      <c r="D200" s="3">
        <v>38.64</v>
      </c>
    </row>
    <row r="201" spans="1:4" x14ac:dyDescent="0.35">
      <c r="A201" s="5">
        <v>43497</v>
      </c>
      <c r="B201" s="6">
        <v>2706.53</v>
      </c>
      <c r="C201" s="3">
        <v>81.510000000000005</v>
      </c>
      <c r="D201" s="3">
        <v>38.78</v>
      </c>
    </row>
    <row r="202" spans="1:4" x14ac:dyDescent="0.35">
      <c r="A202" s="5">
        <v>43504</v>
      </c>
      <c r="B202" s="6">
        <v>2707.88</v>
      </c>
      <c r="C202" s="3">
        <v>82.36</v>
      </c>
      <c r="D202" s="3">
        <v>38.700000000000003</v>
      </c>
    </row>
    <row r="203" spans="1:4" x14ac:dyDescent="0.35">
      <c r="A203" s="5">
        <v>43511</v>
      </c>
      <c r="B203" s="6">
        <v>2775.6</v>
      </c>
      <c r="C203" s="3">
        <v>85.38</v>
      </c>
      <c r="D203" s="3">
        <v>39.090000000000003</v>
      </c>
    </row>
    <row r="204" spans="1:4" x14ac:dyDescent="0.35">
      <c r="A204" s="5">
        <v>43518</v>
      </c>
      <c r="B204" s="6">
        <v>2792.67</v>
      </c>
      <c r="C204" s="3">
        <v>84.76</v>
      </c>
      <c r="D204" s="3">
        <v>39.99</v>
      </c>
    </row>
    <row r="205" spans="1:4" x14ac:dyDescent="0.35">
      <c r="A205" s="5">
        <v>43525</v>
      </c>
      <c r="B205" s="6">
        <v>2803.69</v>
      </c>
      <c r="C205" s="3">
        <v>87.16</v>
      </c>
      <c r="D205" s="3">
        <v>39.53</v>
      </c>
    </row>
    <row r="206" spans="1:4" x14ac:dyDescent="0.35">
      <c r="A206" s="5">
        <v>43532</v>
      </c>
      <c r="B206" s="6">
        <v>2743.07</v>
      </c>
      <c r="C206" s="3">
        <v>84.8</v>
      </c>
      <c r="D206" s="3">
        <v>37.99</v>
      </c>
    </row>
    <row r="207" spans="1:4" x14ac:dyDescent="0.35">
      <c r="A207" s="5">
        <v>43539</v>
      </c>
      <c r="B207" s="6">
        <v>2822.48</v>
      </c>
      <c r="C207" s="3">
        <v>86.8</v>
      </c>
      <c r="D207" s="3">
        <v>38.07</v>
      </c>
    </row>
    <row r="208" spans="1:4" x14ac:dyDescent="0.35">
      <c r="A208" s="5">
        <v>43546</v>
      </c>
      <c r="B208" s="6">
        <v>2800.71</v>
      </c>
      <c r="C208" s="3">
        <v>82.19</v>
      </c>
      <c r="D208" s="3">
        <v>36.44</v>
      </c>
    </row>
    <row r="209" spans="1:4" x14ac:dyDescent="0.35">
      <c r="A209" s="5">
        <v>43553</v>
      </c>
      <c r="B209" s="6">
        <v>2834.4</v>
      </c>
      <c r="C209" s="3">
        <v>84.21</v>
      </c>
      <c r="D209" s="3">
        <v>37.1</v>
      </c>
    </row>
    <row r="210" spans="1:4" x14ac:dyDescent="0.35">
      <c r="A210" s="5">
        <v>43560</v>
      </c>
      <c r="B210" s="6">
        <v>2892.74</v>
      </c>
      <c r="C210" s="3">
        <v>85.4</v>
      </c>
      <c r="D210" s="3">
        <v>38.94</v>
      </c>
    </row>
    <row r="211" spans="1:4" x14ac:dyDescent="0.35">
      <c r="A211" s="5">
        <v>43567</v>
      </c>
      <c r="B211" s="6">
        <v>2907.41</v>
      </c>
      <c r="C211" s="3">
        <v>86.24</v>
      </c>
      <c r="D211" s="3">
        <v>39.71</v>
      </c>
    </row>
    <row r="212" spans="1:4" x14ac:dyDescent="0.35">
      <c r="A212" s="5">
        <v>43574</v>
      </c>
      <c r="B212" s="6">
        <v>2905.03</v>
      </c>
      <c r="C212" s="3">
        <v>89.2</v>
      </c>
      <c r="D212" s="3">
        <v>40.299999999999997</v>
      </c>
    </row>
    <row r="213" spans="1:4" x14ac:dyDescent="0.35">
      <c r="A213" s="5">
        <v>43581</v>
      </c>
      <c r="B213" s="6">
        <v>2939.88</v>
      </c>
      <c r="C213" s="3">
        <v>88.31</v>
      </c>
      <c r="D213" s="3">
        <v>39.68</v>
      </c>
    </row>
    <row r="214" spans="1:4" x14ac:dyDescent="0.35">
      <c r="A214" s="5">
        <v>43588</v>
      </c>
      <c r="B214" s="6">
        <v>2945.64</v>
      </c>
      <c r="C214" s="3">
        <v>85.7</v>
      </c>
      <c r="D214" s="3">
        <v>38.799999999999997</v>
      </c>
    </row>
    <row r="215" spans="1:4" x14ac:dyDescent="0.35">
      <c r="A215" s="5">
        <v>43595</v>
      </c>
      <c r="B215" s="6">
        <v>2881.4</v>
      </c>
      <c r="C215" s="3">
        <v>83.95</v>
      </c>
      <c r="D215" s="3">
        <v>37.89</v>
      </c>
    </row>
    <row r="216" spans="1:4" x14ac:dyDescent="0.35">
      <c r="A216" s="5">
        <v>43602</v>
      </c>
      <c r="B216" s="6">
        <v>2859.53</v>
      </c>
      <c r="C216" s="3">
        <v>84.57</v>
      </c>
      <c r="D216" s="3">
        <v>37</v>
      </c>
    </row>
    <row r="217" spans="1:4" x14ac:dyDescent="0.35">
      <c r="A217" s="5">
        <v>43609</v>
      </c>
      <c r="B217" s="6">
        <v>2826.06</v>
      </c>
      <c r="C217" s="3">
        <v>82.16</v>
      </c>
      <c r="D217" s="3">
        <v>35.119999999999997</v>
      </c>
    </row>
    <row r="218" spans="1:4" x14ac:dyDescent="0.35">
      <c r="A218" s="5">
        <v>43616</v>
      </c>
      <c r="B218" s="6">
        <v>2752.06</v>
      </c>
      <c r="C218" s="3">
        <v>77.14</v>
      </c>
      <c r="D218" s="3">
        <v>33.340000000000003</v>
      </c>
    </row>
    <row r="219" spans="1:4" x14ac:dyDescent="0.35">
      <c r="A219" s="5">
        <v>43623</v>
      </c>
      <c r="B219" s="6">
        <v>2873.34</v>
      </c>
      <c r="C219" s="3">
        <v>83.41</v>
      </c>
      <c r="D219" s="3">
        <v>35.49</v>
      </c>
    </row>
    <row r="220" spans="1:4" x14ac:dyDescent="0.35">
      <c r="A220" s="5">
        <v>43630</v>
      </c>
      <c r="B220" s="6">
        <v>2886.98</v>
      </c>
      <c r="C220" s="3">
        <v>83.44</v>
      </c>
      <c r="D220" s="3">
        <v>35.659999999999997</v>
      </c>
    </row>
    <row r="221" spans="1:4" x14ac:dyDescent="0.35">
      <c r="A221" s="5">
        <v>43637</v>
      </c>
      <c r="B221" s="6">
        <v>2950.46</v>
      </c>
      <c r="C221" s="3">
        <v>85.75</v>
      </c>
      <c r="D221" s="3">
        <v>36.92</v>
      </c>
    </row>
    <row r="222" spans="1:4" x14ac:dyDescent="0.35">
      <c r="A222" s="5">
        <v>43644</v>
      </c>
      <c r="B222" s="6">
        <v>2941.76</v>
      </c>
      <c r="C222" s="3">
        <v>83.95</v>
      </c>
      <c r="D222" s="3">
        <v>38.53</v>
      </c>
    </row>
    <row r="223" spans="1:4" x14ac:dyDescent="0.35">
      <c r="A223" s="5">
        <v>43651</v>
      </c>
      <c r="B223" s="6">
        <v>2990.41</v>
      </c>
      <c r="C223" s="3">
        <v>86.82</v>
      </c>
      <c r="D223" s="3">
        <v>38.5</v>
      </c>
    </row>
    <row r="224" spans="1:4" x14ac:dyDescent="0.35">
      <c r="A224" s="5">
        <v>43658</v>
      </c>
      <c r="B224" s="6">
        <v>3013.77</v>
      </c>
      <c r="C224" s="3">
        <v>89.12</v>
      </c>
      <c r="D224" s="3">
        <v>39.21</v>
      </c>
    </row>
    <row r="225" spans="1:4" x14ac:dyDescent="0.35">
      <c r="A225" s="5">
        <v>43665</v>
      </c>
      <c r="B225" s="6">
        <v>2976.61</v>
      </c>
      <c r="C225" s="3">
        <v>86.55</v>
      </c>
      <c r="D225" s="3">
        <v>39.479999999999997</v>
      </c>
    </row>
    <row r="226" spans="1:4" x14ac:dyDescent="0.35">
      <c r="A226" s="5">
        <v>43672</v>
      </c>
      <c r="B226" s="6">
        <v>3025.86</v>
      </c>
      <c r="C226" s="3">
        <v>87.54</v>
      </c>
      <c r="D226" s="3">
        <v>40.770000000000003</v>
      </c>
    </row>
    <row r="227" spans="1:4" x14ac:dyDescent="0.35">
      <c r="A227" s="5">
        <v>43679</v>
      </c>
      <c r="B227" s="6">
        <v>2932.05</v>
      </c>
      <c r="C227" s="3">
        <v>81.14</v>
      </c>
      <c r="D227" s="3">
        <v>39.78</v>
      </c>
    </row>
    <row r="228" spans="1:4" x14ac:dyDescent="0.35">
      <c r="A228" s="5">
        <v>43686</v>
      </c>
      <c r="B228" s="6">
        <v>2918.65</v>
      </c>
      <c r="C228" s="3">
        <v>81.98</v>
      </c>
      <c r="D228" s="3">
        <v>39.61</v>
      </c>
    </row>
    <row r="229" spans="1:4" x14ac:dyDescent="0.35">
      <c r="A229" s="5">
        <v>43693</v>
      </c>
      <c r="B229" s="6">
        <v>2888.68</v>
      </c>
      <c r="C229" s="3">
        <v>80.28</v>
      </c>
      <c r="D229" s="3">
        <v>37</v>
      </c>
    </row>
    <row r="230" spans="1:4" x14ac:dyDescent="0.35">
      <c r="A230" s="5">
        <v>43700</v>
      </c>
      <c r="B230" s="6">
        <v>2847.11</v>
      </c>
      <c r="C230" s="3">
        <v>80.44</v>
      </c>
      <c r="D230" s="3">
        <v>36.06</v>
      </c>
    </row>
    <row r="231" spans="1:4" x14ac:dyDescent="0.35">
      <c r="A231" s="5">
        <v>43707</v>
      </c>
      <c r="B231" s="6">
        <v>2926.46</v>
      </c>
      <c r="C231" s="3">
        <v>84.5</v>
      </c>
      <c r="D231" s="3">
        <v>37.090000000000003</v>
      </c>
    </row>
    <row r="232" spans="1:4" x14ac:dyDescent="0.35">
      <c r="A232" s="5">
        <v>43714</v>
      </c>
      <c r="B232" s="6">
        <v>2978.71</v>
      </c>
      <c r="C232" s="3">
        <v>88.69</v>
      </c>
      <c r="D232" s="3">
        <v>38.78</v>
      </c>
    </row>
    <row r="233" spans="1:4" x14ac:dyDescent="0.35">
      <c r="A233" s="5">
        <v>43721</v>
      </c>
      <c r="B233" s="6">
        <v>3007.39</v>
      </c>
      <c r="C233" s="3">
        <v>87.32</v>
      </c>
      <c r="D233" s="3">
        <v>38.86</v>
      </c>
    </row>
    <row r="234" spans="1:4" x14ac:dyDescent="0.35">
      <c r="A234" s="5">
        <v>43728</v>
      </c>
      <c r="B234" s="6">
        <v>2992.07</v>
      </c>
      <c r="C234" s="3">
        <v>86.68</v>
      </c>
      <c r="D234" s="3">
        <v>37.369999999999997</v>
      </c>
    </row>
    <row r="235" spans="1:4" x14ac:dyDescent="0.35">
      <c r="A235" s="5">
        <v>43735</v>
      </c>
      <c r="B235" s="6">
        <v>2961.79</v>
      </c>
      <c r="C235" s="3">
        <v>92.31</v>
      </c>
      <c r="D235" s="3">
        <v>37.42</v>
      </c>
    </row>
    <row r="236" spans="1:4" x14ac:dyDescent="0.35">
      <c r="A236" s="5">
        <v>43742</v>
      </c>
      <c r="B236" s="6">
        <v>2952.01</v>
      </c>
      <c r="C236" s="3">
        <v>93.07</v>
      </c>
      <c r="D236" s="3">
        <v>34.909999999999997</v>
      </c>
    </row>
    <row r="237" spans="1:4" x14ac:dyDescent="0.35">
      <c r="A237" s="5">
        <v>43749</v>
      </c>
      <c r="B237" s="6">
        <v>2970.27</v>
      </c>
      <c r="C237" s="3">
        <v>93.88</v>
      </c>
      <c r="D237" s="3">
        <v>35.57</v>
      </c>
    </row>
    <row r="238" spans="1:4" x14ac:dyDescent="0.35">
      <c r="A238" s="5">
        <v>43756</v>
      </c>
      <c r="B238" s="6">
        <v>2986.2</v>
      </c>
      <c r="C238" s="3">
        <v>96.1</v>
      </c>
      <c r="D238" s="3">
        <v>36.17</v>
      </c>
    </row>
    <row r="239" spans="1:4" x14ac:dyDescent="0.35">
      <c r="A239" s="5">
        <v>43763</v>
      </c>
      <c r="B239" s="6">
        <v>3022.55</v>
      </c>
      <c r="C239" s="3">
        <v>90.92</v>
      </c>
      <c r="D239" s="3">
        <v>36.74</v>
      </c>
    </row>
    <row r="240" spans="1:4" x14ac:dyDescent="0.35">
      <c r="A240" s="5">
        <v>43770</v>
      </c>
      <c r="B240" s="6">
        <v>3066.91</v>
      </c>
      <c r="C240" s="3">
        <v>89.18</v>
      </c>
      <c r="D240" s="3">
        <v>37.97</v>
      </c>
    </row>
    <row r="241" spans="1:4" x14ac:dyDescent="0.35">
      <c r="A241" s="5">
        <v>43777</v>
      </c>
      <c r="B241" s="6">
        <v>3093.08</v>
      </c>
      <c r="C241" s="3">
        <v>89.81</v>
      </c>
      <c r="D241" s="3">
        <v>38.67</v>
      </c>
    </row>
    <row r="242" spans="1:4" x14ac:dyDescent="0.35">
      <c r="A242" s="5">
        <v>43784</v>
      </c>
      <c r="B242" s="6">
        <v>3120.46</v>
      </c>
      <c r="C242" s="3">
        <v>93.04</v>
      </c>
      <c r="D242" s="3">
        <v>36.89</v>
      </c>
    </row>
    <row r="243" spans="1:4" x14ac:dyDescent="0.35">
      <c r="A243" s="5">
        <v>43791</v>
      </c>
      <c r="B243" s="6">
        <v>3110.29</v>
      </c>
      <c r="C243" s="3">
        <v>93.34</v>
      </c>
      <c r="D243" s="3">
        <v>35.33</v>
      </c>
    </row>
    <row r="244" spans="1:4" x14ac:dyDescent="0.35">
      <c r="A244" s="5">
        <v>43798</v>
      </c>
      <c r="B244" s="6">
        <v>3140.98</v>
      </c>
      <c r="C244" s="3">
        <v>93.49</v>
      </c>
      <c r="D244" s="3">
        <v>36</v>
      </c>
    </row>
    <row r="245" spans="1:4" x14ac:dyDescent="0.35">
      <c r="A245" s="5">
        <v>43805</v>
      </c>
      <c r="B245" s="6">
        <v>3145.91</v>
      </c>
      <c r="C245" s="3">
        <v>97</v>
      </c>
      <c r="D245" s="3">
        <v>35.54</v>
      </c>
    </row>
    <row r="246" spans="1:4" x14ac:dyDescent="0.35">
      <c r="A246" s="5">
        <v>43812</v>
      </c>
      <c r="B246" s="6">
        <v>3168.8</v>
      </c>
      <c r="C246" s="3">
        <v>97.77</v>
      </c>
      <c r="D246" s="3">
        <v>35.65</v>
      </c>
    </row>
    <row r="247" spans="1:4" x14ac:dyDescent="0.35">
      <c r="A247" s="5">
        <v>43819</v>
      </c>
      <c r="B247" s="6">
        <v>3221.22</v>
      </c>
      <c r="C247" s="3">
        <v>99.96</v>
      </c>
      <c r="D247" s="3">
        <v>37.25</v>
      </c>
    </row>
    <row r="248" spans="1:4" x14ac:dyDescent="0.35">
      <c r="A248" s="5">
        <v>43826</v>
      </c>
      <c r="B248" s="6">
        <v>3240.02</v>
      </c>
      <c r="C248" s="3">
        <v>101.57</v>
      </c>
      <c r="D248" s="3">
        <v>36.56</v>
      </c>
    </row>
    <row r="249" spans="1:4" x14ac:dyDescent="0.35">
      <c r="A249" s="5">
        <v>43833</v>
      </c>
      <c r="B249" s="6">
        <v>3234.85</v>
      </c>
      <c r="C249" s="3">
        <v>101.92</v>
      </c>
      <c r="D249" s="3">
        <v>36.32</v>
      </c>
    </row>
    <row r="250" spans="1:4" x14ac:dyDescent="0.35">
      <c r="A250" s="5">
        <v>43840</v>
      </c>
      <c r="B250" s="6">
        <v>3265.35</v>
      </c>
      <c r="C250" s="3">
        <v>100.9</v>
      </c>
      <c r="D250" s="3">
        <v>34.65</v>
      </c>
    </row>
    <row r="251" spans="1:4" x14ac:dyDescent="0.35">
      <c r="A251" s="5">
        <v>43847</v>
      </c>
      <c r="B251" s="6">
        <v>3329.62</v>
      </c>
      <c r="C251" s="3">
        <v>104.53</v>
      </c>
      <c r="D251" s="3">
        <v>35.6</v>
      </c>
    </row>
    <row r="252" spans="1:4" x14ac:dyDescent="0.35">
      <c r="A252" s="5">
        <v>43854</v>
      </c>
      <c r="B252" s="6">
        <v>3295.47</v>
      </c>
      <c r="C252" s="3">
        <v>102.03</v>
      </c>
      <c r="D252" s="3">
        <v>34.31</v>
      </c>
    </row>
    <row r="253" spans="1:4" x14ac:dyDescent="0.35">
      <c r="A253" s="5">
        <v>43861</v>
      </c>
      <c r="B253" s="6">
        <v>3225.52</v>
      </c>
      <c r="C253" s="3">
        <v>96.3</v>
      </c>
      <c r="D253" s="3">
        <v>33.39</v>
      </c>
    </row>
    <row r="254" spans="1:4" x14ac:dyDescent="0.35">
      <c r="A254" s="5">
        <v>43868</v>
      </c>
      <c r="B254" s="6">
        <v>3327.71</v>
      </c>
      <c r="C254" s="3">
        <v>99.44</v>
      </c>
      <c r="D254" s="3">
        <v>33.630000000000003</v>
      </c>
    </row>
    <row r="255" spans="1:4" x14ac:dyDescent="0.35">
      <c r="A255" s="5">
        <v>43875</v>
      </c>
      <c r="B255" s="6">
        <v>3380.16</v>
      </c>
      <c r="C255" s="3">
        <v>103.54</v>
      </c>
      <c r="D255" s="3">
        <v>34.76</v>
      </c>
    </row>
    <row r="256" spans="1:4" x14ac:dyDescent="0.35">
      <c r="A256" s="5">
        <v>43882</v>
      </c>
      <c r="B256" s="6">
        <v>3337.75</v>
      </c>
      <c r="C256" s="3">
        <v>100.25</v>
      </c>
      <c r="D256" s="3">
        <v>34.65</v>
      </c>
    </row>
    <row r="257" spans="1:4" x14ac:dyDescent="0.35">
      <c r="A257" s="5">
        <v>43889</v>
      </c>
      <c r="B257" s="6">
        <v>2954.22</v>
      </c>
      <c r="C257" s="3">
        <v>89.38</v>
      </c>
      <c r="D257" s="3">
        <v>30.5</v>
      </c>
    </row>
    <row r="258" spans="1:4" x14ac:dyDescent="0.35">
      <c r="A258" s="5">
        <v>43896</v>
      </c>
      <c r="B258" s="6">
        <v>2972.37</v>
      </c>
      <c r="C258" s="3">
        <v>88.36</v>
      </c>
      <c r="D258" s="3">
        <v>28.69</v>
      </c>
    </row>
    <row r="259" spans="1:4" x14ac:dyDescent="0.35">
      <c r="A259" s="5">
        <v>43903</v>
      </c>
      <c r="B259" s="6">
        <v>2711.02</v>
      </c>
      <c r="C259" s="3">
        <v>75.58</v>
      </c>
      <c r="D259" s="3">
        <v>24.71</v>
      </c>
    </row>
    <row r="260" spans="1:4" x14ac:dyDescent="0.35">
      <c r="A260" s="5">
        <v>43910</v>
      </c>
      <c r="B260" s="6">
        <v>2304.92</v>
      </c>
      <c r="C260" s="3">
        <v>67.45</v>
      </c>
      <c r="D260" s="3">
        <v>18.14</v>
      </c>
    </row>
    <row r="261" spans="1:4" x14ac:dyDescent="0.35">
      <c r="A261" s="5">
        <v>43917</v>
      </c>
      <c r="B261" s="6">
        <v>2541.4699999999998</v>
      </c>
      <c r="C261" s="3">
        <v>83.23</v>
      </c>
      <c r="D261" s="3">
        <v>21.38</v>
      </c>
    </row>
    <row r="262" spans="1:4" x14ac:dyDescent="0.35">
      <c r="A262" s="5">
        <v>43924</v>
      </c>
      <c r="B262" s="6">
        <v>2488.65</v>
      </c>
      <c r="C262" s="3">
        <v>78.86</v>
      </c>
      <c r="D262" s="3">
        <v>18.04</v>
      </c>
    </row>
    <row r="263" spans="1:4" x14ac:dyDescent="0.35">
      <c r="A263" s="5">
        <v>43931</v>
      </c>
      <c r="B263" s="6">
        <v>2789.82</v>
      </c>
      <c r="C263" s="3">
        <v>86.79</v>
      </c>
      <c r="D263" s="3">
        <v>24.06</v>
      </c>
    </row>
    <row r="264" spans="1:4" x14ac:dyDescent="0.35">
      <c r="A264" s="5">
        <v>43938</v>
      </c>
      <c r="B264" s="6">
        <v>2874.56</v>
      </c>
      <c r="C264" s="3">
        <v>89.91</v>
      </c>
      <c r="D264" s="3">
        <v>22.48</v>
      </c>
    </row>
    <row r="265" spans="1:4" x14ac:dyDescent="0.35">
      <c r="A265" s="5">
        <v>43945</v>
      </c>
      <c r="B265" s="6">
        <v>2836.74</v>
      </c>
      <c r="C265" s="3">
        <v>88.37</v>
      </c>
      <c r="D265" s="3">
        <v>21.95</v>
      </c>
    </row>
    <row r="266" spans="1:4" x14ac:dyDescent="0.35">
      <c r="A266" s="5">
        <v>43952</v>
      </c>
      <c r="B266" s="6">
        <v>2830.71</v>
      </c>
      <c r="C266" s="3">
        <v>85.54</v>
      </c>
      <c r="D266" s="3">
        <v>20.9</v>
      </c>
    </row>
    <row r="267" spans="1:4" x14ac:dyDescent="0.35">
      <c r="A267" s="5">
        <v>43959</v>
      </c>
      <c r="B267" s="6">
        <v>2929.8</v>
      </c>
      <c r="C267" s="3">
        <v>90.46</v>
      </c>
      <c r="D267" s="3">
        <v>23.93</v>
      </c>
    </row>
    <row r="268" spans="1:4" x14ac:dyDescent="0.35">
      <c r="A268" s="5">
        <v>43966</v>
      </c>
      <c r="B268" s="6">
        <v>2863.7</v>
      </c>
      <c r="C268" s="3">
        <v>86.99</v>
      </c>
      <c r="D268" s="3">
        <v>22.63</v>
      </c>
    </row>
    <row r="269" spans="1:4" x14ac:dyDescent="0.35">
      <c r="A269" s="5">
        <v>43973</v>
      </c>
      <c r="B269" s="6">
        <v>2955.45</v>
      </c>
      <c r="C269" s="3">
        <v>93.75</v>
      </c>
      <c r="D269" s="3">
        <v>25.98</v>
      </c>
    </row>
    <row r="270" spans="1:4" x14ac:dyDescent="0.35">
      <c r="A270" s="5">
        <v>43980</v>
      </c>
      <c r="B270" s="6">
        <v>3044.31</v>
      </c>
      <c r="C270" s="3">
        <v>98.58</v>
      </c>
      <c r="D270" s="3">
        <v>25.88</v>
      </c>
    </row>
    <row r="271" spans="1:4" x14ac:dyDescent="0.35">
      <c r="A271" s="5">
        <v>43987</v>
      </c>
      <c r="B271" s="6">
        <v>3193.93</v>
      </c>
      <c r="C271" s="3">
        <v>102.71</v>
      </c>
      <c r="D271" s="3">
        <v>30.61</v>
      </c>
    </row>
    <row r="272" spans="1:4" x14ac:dyDescent="0.35">
      <c r="A272" s="5">
        <v>43994</v>
      </c>
      <c r="B272" s="6">
        <v>3041.31</v>
      </c>
      <c r="C272" s="3">
        <v>96.43</v>
      </c>
      <c r="D272" s="3">
        <v>27.96</v>
      </c>
    </row>
    <row r="273" spans="1:4" x14ac:dyDescent="0.35">
      <c r="A273" s="5">
        <v>44001</v>
      </c>
      <c r="B273" s="6">
        <v>3097.74</v>
      </c>
      <c r="C273" s="3">
        <v>95.78</v>
      </c>
      <c r="D273" s="3">
        <v>26.59</v>
      </c>
    </row>
    <row r="274" spans="1:4" x14ac:dyDescent="0.35">
      <c r="A274" s="5">
        <v>44008</v>
      </c>
      <c r="B274" s="6">
        <v>3009.05</v>
      </c>
      <c r="C274" s="3">
        <v>93.67</v>
      </c>
      <c r="D274" s="3">
        <v>24.46</v>
      </c>
    </row>
    <row r="275" spans="1:4" x14ac:dyDescent="0.35">
      <c r="A275" s="5">
        <v>44015</v>
      </c>
      <c r="B275" s="6">
        <v>3130.01</v>
      </c>
      <c r="C275" s="3">
        <v>98.43</v>
      </c>
      <c r="D275" s="3">
        <v>25.24</v>
      </c>
    </row>
    <row r="276" spans="1:4" x14ac:dyDescent="0.35">
      <c r="A276" s="5">
        <v>44022</v>
      </c>
      <c r="B276" s="6">
        <v>3185.04</v>
      </c>
      <c r="C276" s="3">
        <v>97.99</v>
      </c>
      <c r="D276" s="3">
        <v>24.39</v>
      </c>
    </row>
    <row r="277" spans="1:4" x14ac:dyDescent="0.35">
      <c r="A277" s="5">
        <v>44029</v>
      </c>
      <c r="B277" s="6">
        <v>3224.73</v>
      </c>
      <c r="C277" s="3">
        <v>96.28</v>
      </c>
      <c r="D277" s="3">
        <v>26.45</v>
      </c>
    </row>
    <row r="278" spans="1:4" x14ac:dyDescent="0.35">
      <c r="A278" s="5">
        <v>44036</v>
      </c>
      <c r="B278" s="6">
        <v>3215.63</v>
      </c>
      <c r="C278" s="3">
        <v>98.43</v>
      </c>
      <c r="D278" s="3">
        <v>26.25</v>
      </c>
    </row>
    <row r="279" spans="1:4" x14ac:dyDescent="0.35">
      <c r="A279" s="5">
        <v>44043</v>
      </c>
      <c r="B279" s="6">
        <v>3271.12</v>
      </c>
      <c r="C279" s="3">
        <v>97.61</v>
      </c>
      <c r="D279" s="3">
        <v>24.89</v>
      </c>
    </row>
    <row r="280" spans="1:4" x14ac:dyDescent="0.35">
      <c r="A280" s="5">
        <v>44050</v>
      </c>
      <c r="B280" s="6">
        <v>3351.28</v>
      </c>
      <c r="C280" s="3">
        <v>101.86</v>
      </c>
      <c r="D280" s="3">
        <v>26.72</v>
      </c>
    </row>
    <row r="281" spans="1:4" x14ac:dyDescent="0.35">
      <c r="A281" s="5">
        <v>44057</v>
      </c>
      <c r="B281" s="6">
        <v>3372.85</v>
      </c>
      <c r="C281" s="3">
        <v>106.43</v>
      </c>
      <c r="D281" s="3">
        <v>27.86</v>
      </c>
    </row>
    <row r="282" spans="1:4" x14ac:dyDescent="0.35">
      <c r="A282" s="5">
        <v>44064</v>
      </c>
      <c r="B282" s="6">
        <v>3397.16</v>
      </c>
      <c r="C282" s="3">
        <v>109.75</v>
      </c>
      <c r="D282" s="3">
        <v>28.56</v>
      </c>
    </row>
    <row r="283" spans="1:4" x14ac:dyDescent="0.35">
      <c r="A283" s="5">
        <v>44071</v>
      </c>
      <c r="B283" s="6">
        <v>3508.01</v>
      </c>
      <c r="C283" s="3">
        <v>112.29</v>
      </c>
      <c r="D283" s="3">
        <v>30.02</v>
      </c>
    </row>
    <row r="284" spans="1:4" x14ac:dyDescent="0.35">
      <c r="A284" s="5">
        <v>44078</v>
      </c>
      <c r="B284" s="6">
        <v>3426.96</v>
      </c>
      <c r="C284" s="3">
        <v>112.4</v>
      </c>
      <c r="D284" s="3">
        <v>30</v>
      </c>
    </row>
    <row r="285" spans="1:4" x14ac:dyDescent="0.35">
      <c r="A285" s="5">
        <v>44085</v>
      </c>
      <c r="B285" s="6">
        <v>3340.97</v>
      </c>
      <c r="C285" s="3">
        <v>118</v>
      </c>
      <c r="D285" s="3">
        <v>30.46</v>
      </c>
    </row>
    <row r="286" spans="1:4" x14ac:dyDescent="0.35">
      <c r="A286" s="5">
        <v>44092</v>
      </c>
      <c r="B286" s="6">
        <v>3319.47</v>
      </c>
      <c r="C286" s="3">
        <v>114.66</v>
      </c>
      <c r="D286" s="3">
        <v>31.5</v>
      </c>
    </row>
    <row r="287" spans="1:4" x14ac:dyDescent="0.35">
      <c r="A287" s="5">
        <v>44099</v>
      </c>
      <c r="B287" s="6">
        <v>3298.46</v>
      </c>
      <c r="C287" s="3">
        <v>124.23</v>
      </c>
      <c r="D287" s="3">
        <v>29</v>
      </c>
    </row>
    <row r="288" spans="1:4" x14ac:dyDescent="0.35">
      <c r="A288" s="5">
        <v>44106</v>
      </c>
      <c r="B288" s="6">
        <v>3348.44</v>
      </c>
      <c r="C288" s="3">
        <v>126.64</v>
      </c>
      <c r="D288" s="3">
        <v>30.46</v>
      </c>
    </row>
    <row r="289" spans="1:4" x14ac:dyDescent="0.35">
      <c r="A289" s="5">
        <v>44113</v>
      </c>
      <c r="B289" s="6">
        <v>3477.13</v>
      </c>
      <c r="C289" s="3">
        <v>130.97999999999999</v>
      </c>
      <c r="D289" s="3">
        <v>32.159999999999997</v>
      </c>
    </row>
    <row r="290" spans="1:4" x14ac:dyDescent="0.35">
      <c r="A290" s="5">
        <v>44120</v>
      </c>
      <c r="B290" s="6">
        <v>3483.81</v>
      </c>
      <c r="C290" s="3">
        <v>128</v>
      </c>
      <c r="D290" s="3">
        <v>33.450000000000003</v>
      </c>
    </row>
    <row r="291" spans="1:4" x14ac:dyDescent="0.35">
      <c r="A291" s="5">
        <v>44127</v>
      </c>
      <c r="B291" s="6">
        <v>3465.39</v>
      </c>
      <c r="C291" s="3">
        <v>129.99</v>
      </c>
      <c r="D291" s="3">
        <v>36.83</v>
      </c>
    </row>
    <row r="292" spans="1:4" x14ac:dyDescent="0.35">
      <c r="A292" s="5">
        <v>44134</v>
      </c>
      <c r="B292" s="6">
        <v>3269.96</v>
      </c>
      <c r="C292" s="3">
        <v>120.08</v>
      </c>
      <c r="D292" s="3">
        <v>34.53</v>
      </c>
    </row>
    <row r="293" spans="1:4" x14ac:dyDescent="0.35">
      <c r="A293" s="5">
        <v>44141</v>
      </c>
      <c r="B293" s="6">
        <v>3509.44</v>
      </c>
      <c r="C293" s="3">
        <v>128.9</v>
      </c>
      <c r="D293" s="3">
        <v>37.47</v>
      </c>
    </row>
    <row r="294" spans="1:4" x14ac:dyDescent="0.35">
      <c r="A294" s="5">
        <v>44148</v>
      </c>
      <c r="B294" s="6">
        <v>3585.15</v>
      </c>
      <c r="C294" s="3">
        <v>128.28</v>
      </c>
      <c r="D294" s="3">
        <v>41.19</v>
      </c>
    </row>
    <row r="295" spans="1:4" x14ac:dyDescent="0.35">
      <c r="A295" s="5">
        <v>44155</v>
      </c>
      <c r="B295" s="6">
        <v>3557.54</v>
      </c>
      <c r="C295" s="3">
        <v>132.97999999999999</v>
      </c>
      <c r="D295" s="3">
        <v>43.04</v>
      </c>
    </row>
    <row r="296" spans="1:4" x14ac:dyDescent="0.35">
      <c r="A296" s="5">
        <v>44162</v>
      </c>
      <c r="B296" s="6">
        <v>3638.35</v>
      </c>
      <c r="C296" s="3">
        <v>134.25</v>
      </c>
      <c r="D296" s="3">
        <v>45.06</v>
      </c>
    </row>
    <row r="297" spans="1:4" x14ac:dyDescent="0.35">
      <c r="A297" s="5">
        <v>44169</v>
      </c>
      <c r="B297" s="6">
        <v>3699.12</v>
      </c>
      <c r="C297" s="3">
        <v>137.19</v>
      </c>
      <c r="D297" s="3">
        <v>44.4</v>
      </c>
    </row>
    <row r="298" spans="1:4" x14ac:dyDescent="0.35">
      <c r="A298" s="5">
        <v>44176</v>
      </c>
      <c r="B298" s="6">
        <v>3663.46</v>
      </c>
      <c r="C298" s="3">
        <v>137.41</v>
      </c>
      <c r="D298" s="3">
        <v>41.92</v>
      </c>
    </row>
    <row r="299" spans="1:4" x14ac:dyDescent="0.35">
      <c r="A299" s="5">
        <v>44183</v>
      </c>
      <c r="B299" s="6">
        <v>3709.41</v>
      </c>
      <c r="C299" s="3">
        <v>137.28</v>
      </c>
      <c r="D299" s="3">
        <v>41.01</v>
      </c>
    </row>
    <row r="300" spans="1:4" x14ac:dyDescent="0.35">
      <c r="A300" s="5">
        <v>44190</v>
      </c>
      <c r="B300" s="6">
        <v>3703.06</v>
      </c>
      <c r="C300" s="3">
        <v>141.6</v>
      </c>
      <c r="D300" s="3">
        <v>41.58</v>
      </c>
    </row>
    <row r="301" spans="1:4" x14ac:dyDescent="0.35">
      <c r="A301" s="5">
        <v>44197</v>
      </c>
      <c r="B301" s="6">
        <v>3756.07</v>
      </c>
      <c r="C301" s="3">
        <v>141.47</v>
      </c>
      <c r="D301" s="3">
        <v>41.64</v>
      </c>
    </row>
    <row r="302" spans="1:4" x14ac:dyDescent="0.35">
      <c r="A302" s="5">
        <v>44204</v>
      </c>
      <c r="B302" s="6">
        <v>3824.68</v>
      </c>
      <c r="C302" s="3">
        <v>146.35</v>
      </c>
      <c r="D302" s="3">
        <v>43.06</v>
      </c>
    </row>
    <row r="303" spans="1:4" x14ac:dyDescent="0.35">
      <c r="A303" s="5">
        <v>44211</v>
      </c>
      <c r="B303" s="6">
        <v>3768.25</v>
      </c>
      <c r="C303" s="3">
        <v>140.72</v>
      </c>
      <c r="D303" s="3">
        <v>49.97</v>
      </c>
    </row>
    <row r="304" spans="1:4" x14ac:dyDescent="0.35">
      <c r="A304" s="5">
        <v>44218</v>
      </c>
      <c r="B304" s="6">
        <v>3841.47</v>
      </c>
      <c r="C304" s="3">
        <v>139.35</v>
      </c>
      <c r="D304" s="3">
        <v>55.4</v>
      </c>
    </row>
    <row r="305" spans="1:4" x14ac:dyDescent="0.35">
      <c r="A305" s="5">
        <v>44225</v>
      </c>
      <c r="B305" s="6">
        <v>3714.24</v>
      </c>
      <c r="C305" s="3">
        <v>133.59</v>
      </c>
      <c r="D305" s="3">
        <v>50.68</v>
      </c>
    </row>
    <row r="306" spans="1:4" x14ac:dyDescent="0.35">
      <c r="A306" s="5">
        <v>44232</v>
      </c>
      <c r="B306" s="6">
        <v>3886.83</v>
      </c>
      <c r="C306" s="3">
        <v>145.11000000000001</v>
      </c>
      <c r="D306" s="3">
        <v>54.41</v>
      </c>
    </row>
    <row r="307" spans="1:4" x14ac:dyDescent="0.35">
      <c r="A307" s="5">
        <v>44239</v>
      </c>
      <c r="B307" s="6">
        <v>3934.83</v>
      </c>
      <c r="C307" s="3">
        <v>142.12</v>
      </c>
      <c r="D307" s="3">
        <v>53.6</v>
      </c>
    </row>
    <row r="308" spans="1:4" x14ac:dyDescent="0.35">
      <c r="A308" s="5">
        <v>44246</v>
      </c>
      <c r="B308" s="6">
        <v>3906.71</v>
      </c>
      <c r="C308" s="3">
        <v>142.02000000000001</v>
      </c>
      <c r="D308" s="3">
        <v>52.57</v>
      </c>
    </row>
    <row r="309" spans="1:4" x14ac:dyDescent="0.35">
      <c r="A309" s="5">
        <v>44253</v>
      </c>
      <c r="B309" s="6">
        <v>3811.15</v>
      </c>
      <c r="C309" s="3">
        <v>134.78</v>
      </c>
      <c r="D309" s="3">
        <v>51.33</v>
      </c>
    </row>
    <row r="310" spans="1:4" x14ac:dyDescent="0.35">
      <c r="A310" s="5">
        <v>44260</v>
      </c>
      <c r="B310" s="6">
        <v>3841.94</v>
      </c>
      <c r="C310" s="3">
        <v>133.35</v>
      </c>
      <c r="D310" s="3">
        <v>53.75</v>
      </c>
    </row>
    <row r="311" spans="1:4" x14ac:dyDescent="0.35">
      <c r="A311" s="5">
        <v>44267</v>
      </c>
      <c r="B311" s="6">
        <v>3943.34</v>
      </c>
      <c r="C311" s="3">
        <v>140.44999999999999</v>
      </c>
      <c r="D311" s="3">
        <v>59.26</v>
      </c>
    </row>
    <row r="312" spans="1:4" x14ac:dyDescent="0.35">
      <c r="A312" s="5">
        <v>44274</v>
      </c>
      <c r="B312" s="6">
        <v>3913.1</v>
      </c>
      <c r="C312" s="3">
        <v>137.49</v>
      </c>
      <c r="D312" s="3">
        <v>59.82</v>
      </c>
    </row>
    <row r="313" spans="1:4" x14ac:dyDescent="0.35">
      <c r="A313" s="5">
        <v>44281</v>
      </c>
      <c r="B313" s="6">
        <v>3974.54</v>
      </c>
      <c r="C313" s="3">
        <v>132.99</v>
      </c>
      <c r="D313" s="3">
        <v>56.52</v>
      </c>
    </row>
    <row r="314" spans="1:4" x14ac:dyDescent="0.35">
      <c r="A314" s="5">
        <v>44288</v>
      </c>
      <c r="B314" s="6">
        <v>4019.87</v>
      </c>
      <c r="C314" s="3">
        <v>132.53</v>
      </c>
      <c r="D314" s="3">
        <v>57.8</v>
      </c>
    </row>
    <row r="315" spans="1:4" x14ac:dyDescent="0.35">
      <c r="A315" s="5">
        <v>44295</v>
      </c>
      <c r="B315" s="6">
        <v>4128.8</v>
      </c>
      <c r="C315" s="3">
        <v>135.44999999999999</v>
      </c>
      <c r="D315" s="3">
        <v>60.16</v>
      </c>
    </row>
    <row r="316" spans="1:4" x14ac:dyDescent="0.35">
      <c r="A316" s="5">
        <v>44302</v>
      </c>
      <c r="B316" s="6">
        <v>4185.47</v>
      </c>
      <c r="C316" s="3">
        <v>134.31</v>
      </c>
      <c r="D316" s="3">
        <v>58.71</v>
      </c>
    </row>
    <row r="317" spans="1:4" x14ac:dyDescent="0.35">
      <c r="A317" s="5">
        <v>44309</v>
      </c>
      <c r="B317" s="6">
        <v>4180.17</v>
      </c>
      <c r="C317" s="3">
        <v>130.19</v>
      </c>
      <c r="D317" s="3">
        <v>57.53</v>
      </c>
    </row>
    <row r="318" spans="1:4" x14ac:dyDescent="0.35">
      <c r="A318" s="5">
        <v>44316</v>
      </c>
      <c r="B318" s="6">
        <v>4181.17</v>
      </c>
      <c r="C318" s="3">
        <v>132.62</v>
      </c>
      <c r="D318" s="3">
        <v>57.22</v>
      </c>
    </row>
    <row r="319" spans="1:4" x14ac:dyDescent="0.35">
      <c r="A319" s="5">
        <v>44323</v>
      </c>
      <c r="B319" s="6">
        <v>4232.6000000000004</v>
      </c>
      <c r="C319" s="3">
        <v>137.81</v>
      </c>
      <c r="D319" s="3">
        <v>58.99</v>
      </c>
    </row>
    <row r="320" spans="1:4" x14ac:dyDescent="0.35">
      <c r="A320" s="5">
        <v>44330</v>
      </c>
      <c r="B320" s="6">
        <v>4173.8500000000004</v>
      </c>
      <c r="C320" s="3">
        <v>135.93</v>
      </c>
      <c r="D320" s="3">
        <v>56</v>
      </c>
    </row>
    <row r="321" spans="1:4" x14ac:dyDescent="0.35">
      <c r="A321" s="5">
        <v>44337</v>
      </c>
      <c r="B321" s="6">
        <v>4155.8599999999997</v>
      </c>
      <c r="C321" s="3">
        <v>132.66</v>
      </c>
      <c r="D321" s="3">
        <v>56.72</v>
      </c>
    </row>
    <row r="322" spans="1:4" x14ac:dyDescent="0.35">
      <c r="A322" s="5">
        <v>44344</v>
      </c>
      <c r="B322" s="6">
        <v>4204.1099999999997</v>
      </c>
      <c r="C322" s="3">
        <v>136.46</v>
      </c>
      <c r="D322" s="3">
        <v>59.31</v>
      </c>
    </row>
    <row r="323" spans="1:4" x14ac:dyDescent="0.35">
      <c r="A323" s="5">
        <v>44351</v>
      </c>
      <c r="B323" s="6">
        <v>4229.8900000000003</v>
      </c>
      <c r="C323" s="3">
        <v>133.74</v>
      </c>
      <c r="D323" s="3">
        <v>63.37</v>
      </c>
    </row>
    <row r="324" spans="1:4" x14ac:dyDescent="0.35">
      <c r="A324" s="5">
        <v>44358</v>
      </c>
      <c r="B324" s="6">
        <v>4247.4399999999996</v>
      </c>
      <c r="C324" s="3">
        <v>131.94</v>
      </c>
      <c r="D324" s="3">
        <v>61.49</v>
      </c>
    </row>
    <row r="325" spans="1:4" x14ac:dyDescent="0.35">
      <c r="A325" s="5">
        <v>44365</v>
      </c>
      <c r="B325" s="6">
        <v>4166.45</v>
      </c>
      <c r="C325" s="3">
        <v>128.41</v>
      </c>
      <c r="D325" s="3">
        <v>58.76</v>
      </c>
    </row>
    <row r="326" spans="1:4" x14ac:dyDescent="0.35">
      <c r="A326" s="5">
        <v>44372</v>
      </c>
      <c r="B326" s="6">
        <v>4280.7</v>
      </c>
      <c r="C326" s="3">
        <v>154.35</v>
      </c>
      <c r="D326" s="3">
        <v>60.3</v>
      </c>
    </row>
    <row r="327" spans="1:4" x14ac:dyDescent="0.35">
      <c r="A327" s="5">
        <v>44379</v>
      </c>
      <c r="B327" s="6">
        <v>4352.34</v>
      </c>
      <c r="C327" s="3">
        <v>159.74</v>
      </c>
      <c r="D327" s="3">
        <v>58.96</v>
      </c>
    </row>
    <row r="328" spans="1:4" x14ac:dyDescent="0.35">
      <c r="A328" s="5">
        <v>44386</v>
      </c>
      <c r="B328" s="6">
        <v>4369.55</v>
      </c>
      <c r="C328" s="3">
        <v>161</v>
      </c>
      <c r="D328" s="3">
        <v>58.76</v>
      </c>
    </row>
    <row r="329" spans="1:4" x14ac:dyDescent="0.35">
      <c r="A329" s="5">
        <v>44393</v>
      </c>
      <c r="B329" s="6">
        <v>4327.16</v>
      </c>
      <c r="C329" s="3">
        <v>159.85</v>
      </c>
      <c r="D329" s="3">
        <v>55.46</v>
      </c>
    </row>
    <row r="330" spans="1:4" x14ac:dyDescent="0.35">
      <c r="A330" s="5">
        <v>44400</v>
      </c>
      <c r="B330" s="6">
        <v>4411.79</v>
      </c>
      <c r="C330" s="3">
        <v>166.36</v>
      </c>
      <c r="D330" s="3">
        <v>54.94</v>
      </c>
    </row>
    <row r="331" spans="1:4" x14ac:dyDescent="0.35">
      <c r="A331" s="5">
        <v>44407</v>
      </c>
      <c r="B331" s="6">
        <v>4395.26</v>
      </c>
      <c r="C331" s="3">
        <v>167.51</v>
      </c>
      <c r="D331" s="3">
        <v>56.84</v>
      </c>
    </row>
    <row r="332" spans="1:4" x14ac:dyDescent="0.35">
      <c r="A332" s="5">
        <v>44414</v>
      </c>
      <c r="B332" s="6">
        <v>4436.5200000000004</v>
      </c>
      <c r="C332" s="3">
        <v>172.8</v>
      </c>
      <c r="D332" s="3">
        <v>55.05</v>
      </c>
    </row>
    <row r="333" spans="1:4" x14ac:dyDescent="0.35">
      <c r="A333" s="5">
        <v>44421</v>
      </c>
      <c r="B333" s="6">
        <v>4468</v>
      </c>
      <c r="C333" s="3">
        <v>171.69</v>
      </c>
      <c r="D333" s="3">
        <v>53.65</v>
      </c>
    </row>
    <row r="334" spans="1:4" x14ac:dyDescent="0.35">
      <c r="A334" s="5">
        <v>44428</v>
      </c>
      <c r="B334" s="6">
        <v>4441.67</v>
      </c>
      <c r="C334" s="3">
        <v>167.79</v>
      </c>
      <c r="D334" s="3">
        <v>48.8</v>
      </c>
    </row>
    <row r="335" spans="1:4" x14ac:dyDescent="0.35">
      <c r="A335" s="5">
        <v>44435</v>
      </c>
      <c r="B335" s="6">
        <v>4509.37</v>
      </c>
      <c r="C335" s="3">
        <v>167.58</v>
      </c>
      <c r="D335" s="3">
        <v>49.8</v>
      </c>
    </row>
    <row r="336" spans="1:4" x14ac:dyDescent="0.35">
      <c r="A336" s="5">
        <v>44442</v>
      </c>
      <c r="B336" s="6">
        <v>4535.43</v>
      </c>
      <c r="C336" s="3">
        <v>163.29</v>
      </c>
      <c r="D336" s="3">
        <v>48.82</v>
      </c>
    </row>
    <row r="337" spans="1:4" x14ac:dyDescent="0.35">
      <c r="A337" s="5">
        <v>44449</v>
      </c>
      <c r="B337" s="6">
        <v>4458.58</v>
      </c>
      <c r="C337" s="3">
        <v>163.59</v>
      </c>
      <c r="D337" s="3">
        <v>49.49</v>
      </c>
    </row>
    <row r="338" spans="1:4" x14ac:dyDescent="0.35">
      <c r="A338" s="5">
        <v>44456</v>
      </c>
      <c r="B338" s="6">
        <v>4432.99</v>
      </c>
      <c r="C338" s="3">
        <v>156.41999999999999</v>
      </c>
      <c r="D338" s="3">
        <v>51.33</v>
      </c>
    </row>
    <row r="339" spans="1:4" x14ac:dyDescent="0.35">
      <c r="A339" s="5">
        <v>44463</v>
      </c>
      <c r="B339" s="6">
        <v>4455.4799999999996</v>
      </c>
      <c r="C339" s="3">
        <v>149.59</v>
      </c>
      <c r="D339" s="3">
        <v>52.23</v>
      </c>
    </row>
    <row r="340" spans="1:4" x14ac:dyDescent="0.35">
      <c r="A340" s="5">
        <v>44470</v>
      </c>
      <c r="B340" s="6">
        <v>4357.04</v>
      </c>
      <c r="C340" s="3">
        <v>147.06</v>
      </c>
      <c r="D340" s="3">
        <v>53.13</v>
      </c>
    </row>
    <row r="341" spans="1:4" x14ac:dyDescent="0.35">
      <c r="A341" s="5">
        <v>44477</v>
      </c>
      <c r="B341" s="6">
        <v>4391.34</v>
      </c>
      <c r="C341" s="3">
        <v>152.47999999999999</v>
      </c>
      <c r="D341" s="3">
        <v>58.57</v>
      </c>
    </row>
    <row r="342" spans="1:4" x14ac:dyDescent="0.35">
      <c r="A342" s="5">
        <v>44484</v>
      </c>
      <c r="B342" s="6">
        <v>4471.37</v>
      </c>
      <c r="C342" s="3">
        <v>158.01</v>
      </c>
      <c r="D342" s="3">
        <v>58</v>
      </c>
    </row>
    <row r="343" spans="1:4" x14ac:dyDescent="0.35">
      <c r="A343" s="5">
        <v>44491</v>
      </c>
      <c r="B343" s="6">
        <v>4544.8999999999996</v>
      </c>
      <c r="C343" s="3">
        <v>163.47999999999999</v>
      </c>
      <c r="D343" s="3">
        <v>57.77</v>
      </c>
    </row>
    <row r="344" spans="1:4" x14ac:dyDescent="0.35">
      <c r="A344" s="5">
        <v>44498</v>
      </c>
      <c r="B344" s="6">
        <v>4605.38</v>
      </c>
      <c r="C344" s="3">
        <v>167.29</v>
      </c>
      <c r="D344" s="3">
        <v>54.43</v>
      </c>
    </row>
    <row r="345" spans="1:4" x14ac:dyDescent="0.35">
      <c r="A345" s="5">
        <v>44505</v>
      </c>
      <c r="B345" s="6">
        <v>4697.53</v>
      </c>
      <c r="C345" s="3">
        <v>177.51</v>
      </c>
      <c r="D345" s="3">
        <v>58.52</v>
      </c>
    </row>
    <row r="346" spans="1:4" x14ac:dyDescent="0.35">
      <c r="A346" s="5">
        <v>44512</v>
      </c>
      <c r="B346" s="6">
        <v>4682.8500000000004</v>
      </c>
      <c r="C346" s="3">
        <v>169.09</v>
      </c>
      <c r="D346" s="3">
        <v>63.4</v>
      </c>
    </row>
    <row r="347" spans="1:4" x14ac:dyDescent="0.35">
      <c r="A347" s="5">
        <v>44519</v>
      </c>
      <c r="B347" s="6">
        <v>4697.96</v>
      </c>
      <c r="C347" s="3">
        <v>174.88</v>
      </c>
      <c r="D347" s="3">
        <v>61.8</v>
      </c>
    </row>
    <row r="348" spans="1:4" x14ac:dyDescent="0.35">
      <c r="A348" s="5">
        <v>44526</v>
      </c>
      <c r="B348" s="6">
        <v>4594.62</v>
      </c>
      <c r="C348" s="3">
        <v>168.02</v>
      </c>
      <c r="D348" s="3">
        <v>60.17</v>
      </c>
    </row>
    <row r="349" spans="1:4" x14ac:dyDescent="0.35">
      <c r="A349" s="5">
        <v>44533</v>
      </c>
      <c r="B349" s="6">
        <v>4538.43</v>
      </c>
      <c r="C349" s="3">
        <v>170.24</v>
      </c>
      <c r="D349" s="3">
        <v>59.71</v>
      </c>
    </row>
    <row r="350" spans="1:4" x14ac:dyDescent="0.35">
      <c r="A350" s="5">
        <v>44540</v>
      </c>
      <c r="B350" s="6">
        <v>4712.0200000000004</v>
      </c>
      <c r="C350" s="3">
        <v>169.06</v>
      </c>
      <c r="D350" s="3">
        <v>63.21</v>
      </c>
    </row>
    <row r="351" spans="1:4" x14ac:dyDescent="0.35">
      <c r="A351" s="5">
        <v>44547</v>
      </c>
      <c r="B351" s="6">
        <v>4620.6400000000003</v>
      </c>
      <c r="C351" s="3">
        <v>161.36000000000001</v>
      </c>
      <c r="D351" s="3">
        <v>55.16</v>
      </c>
    </row>
    <row r="352" spans="1:4" x14ac:dyDescent="0.35">
      <c r="A352" s="5">
        <v>44554</v>
      </c>
      <c r="B352" s="6">
        <v>4725.79</v>
      </c>
      <c r="C352" s="3">
        <v>165.67</v>
      </c>
      <c r="D352" s="3">
        <v>56.91</v>
      </c>
    </row>
    <row r="353" spans="1:4" x14ac:dyDescent="0.35">
      <c r="A353" s="5">
        <v>44561</v>
      </c>
      <c r="B353" s="6">
        <v>4766.18</v>
      </c>
      <c r="C353" s="3">
        <v>166.67</v>
      </c>
      <c r="D353" s="3">
        <v>58.63</v>
      </c>
    </row>
    <row r="354" spans="1:4" x14ac:dyDescent="0.35">
      <c r="A354" s="5">
        <v>44568</v>
      </c>
      <c r="B354" s="6">
        <v>4677.03</v>
      </c>
      <c r="C354" s="3">
        <v>156.97</v>
      </c>
      <c r="D354" s="3">
        <v>62.27</v>
      </c>
    </row>
    <row r="355" spans="1:4" x14ac:dyDescent="0.35">
      <c r="A355" s="5">
        <v>44575</v>
      </c>
      <c r="B355" s="6">
        <v>4662.8500000000004</v>
      </c>
      <c r="C355" s="3">
        <v>148.18</v>
      </c>
      <c r="D355" s="3">
        <v>61.1</v>
      </c>
    </row>
    <row r="356" spans="1:4" x14ac:dyDescent="0.35">
      <c r="A356" s="5">
        <v>44582</v>
      </c>
      <c r="B356" s="6">
        <v>4397.9399999999996</v>
      </c>
      <c r="C356" s="3">
        <v>142.94999999999999</v>
      </c>
      <c r="D356" s="3">
        <v>53.28</v>
      </c>
    </row>
    <row r="357" spans="1:4" x14ac:dyDescent="0.35">
      <c r="A357" s="5">
        <v>44589</v>
      </c>
      <c r="B357" s="6">
        <v>4431.8500000000004</v>
      </c>
      <c r="C357" s="3">
        <v>145.91</v>
      </c>
      <c r="D357" s="3">
        <v>50.24</v>
      </c>
    </row>
    <row r="358" spans="1:4" x14ac:dyDescent="0.35">
      <c r="A358" s="5">
        <v>44596</v>
      </c>
      <c r="B358" s="6">
        <v>4500.53</v>
      </c>
      <c r="C358" s="3">
        <v>145.38999999999999</v>
      </c>
      <c r="D358" s="3">
        <v>51.29</v>
      </c>
    </row>
    <row r="359" spans="1:4" x14ac:dyDescent="0.35">
      <c r="A359" s="5">
        <v>44603</v>
      </c>
      <c r="B359" s="6">
        <v>4418.6400000000003</v>
      </c>
      <c r="C359" s="3">
        <v>140.18</v>
      </c>
      <c r="D359" s="3">
        <v>48.83</v>
      </c>
    </row>
    <row r="360" spans="1:4" x14ac:dyDescent="0.35">
      <c r="A360" s="5">
        <v>44610</v>
      </c>
      <c r="B360" s="6">
        <v>4348.87</v>
      </c>
      <c r="C360" s="3">
        <v>142.94999999999999</v>
      </c>
      <c r="D360" s="3">
        <v>48.6</v>
      </c>
    </row>
    <row r="361" spans="1:4" x14ac:dyDescent="0.35">
      <c r="A361" s="5">
        <v>44617</v>
      </c>
      <c r="B361" s="6">
        <v>4384.6499999999996</v>
      </c>
      <c r="C361" s="3">
        <v>138.80000000000001</v>
      </c>
      <c r="D361" s="3">
        <v>47.43</v>
      </c>
    </row>
    <row r="362" spans="1:4" x14ac:dyDescent="0.35">
      <c r="A362" s="5">
        <v>44624</v>
      </c>
      <c r="B362" s="6">
        <v>4328.87</v>
      </c>
      <c r="C362" s="3">
        <v>131.18</v>
      </c>
      <c r="D362" s="3">
        <v>42.4</v>
      </c>
    </row>
    <row r="363" spans="1:4" x14ac:dyDescent="0.35">
      <c r="A363" s="5">
        <v>44631</v>
      </c>
      <c r="B363" s="6">
        <v>4204.3100000000004</v>
      </c>
      <c r="C363" s="3">
        <v>122.63</v>
      </c>
      <c r="D363" s="3">
        <v>41.51</v>
      </c>
    </row>
    <row r="364" spans="1:4" x14ac:dyDescent="0.35">
      <c r="A364" s="5">
        <v>44638</v>
      </c>
      <c r="B364" s="6">
        <v>4463.12</v>
      </c>
      <c r="C364" s="3">
        <v>131.24</v>
      </c>
      <c r="D364" s="3">
        <v>44.82</v>
      </c>
    </row>
    <row r="365" spans="1:4" x14ac:dyDescent="0.35">
      <c r="A365" s="5">
        <v>44645</v>
      </c>
      <c r="B365" s="6">
        <v>4543.0600000000004</v>
      </c>
      <c r="C365" s="3">
        <v>133.69999999999999</v>
      </c>
      <c r="D365" s="3">
        <v>43.65</v>
      </c>
    </row>
    <row r="366" spans="1:4" x14ac:dyDescent="0.35">
      <c r="A366" s="5">
        <v>44652</v>
      </c>
      <c r="B366" s="6">
        <v>4545.8599999999997</v>
      </c>
      <c r="C366" s="3">
        <v>133.52000000000001</v>
      </c>
      <c r="D366" s="3">
        <v>42.96</v>
      </c>
    </row>
    <row r="367" spans="1:4" x14ac:dyDescent="0.35">
      <c r="A367" s="5">
        <v>44659</v>
      </c>
      <c r="B367" s="6">
        <v>4488.28</v>
      </c>
      <c r="C367" s="3">
        <v>128.15</v>
      </c>
      <c r="D367" s="3">
        <v>39.35</v>
      </c>
    </row>
    <row r="368" spans="1:4" x14ac:dyDescent="0.35">
      <c r="A368" s="5">
        <v>44666</v>
      </c>
      <c r="B368" s="6">
        <v>4392.59</v>
      </c>
      <c r="C368" s="3">
        <v>133.46</v>
      </c>
      <c r="D368" s="3">
        <v>40.130000000000003</v>
      </c>
    </row>
    <row r="369" spans="1:4" x14ac:dyDescent="0.35">
      <c r="A369" s="5">
        <v>44673</v>
      </c>
      <c r="B369" s="6">
        <v>4271.78</v>
      </c>
      <c r="C369" s="3">
        <v>129.07</v>
      </c>
      <c r="D369" s="3">
        <v>39.840000000000003</v>
      </c>
    </row>
    <row r="370" spans="1:4" x14ac:dyDescent="0.35">
      <c r="A370" s="5">
        <v>44680</v>
      </c>
      <c r="B370" s="6">
        <v>4131.93</v>
      </c>
      <c r="C370" s="3">
        <v>124.7</v>
      </c>
      <c r="D370" s="3">
        <v>37.909999999999997</v>
      </c>
    </row>
    <row r="371" spans="1:4" x14ac:dyDescent="0.35">
      <c r="A371" s="5">
        <v>44687</v>
      </c>
      <c r="B371" s="6">
        <v>4123.34</v>
      </c>
      <c r="C371" s="3">
        <v>114.49</v>
      </c>
      <c r="D371" s="3">
        <v>39.58</v>
      </c>
    </row>
    <row r="372" spans="1:4" x14ac:dyDescent="0.35">
      <c r="A372" s="5">
        <v>44694</v>
      </c>
      <c r="B372" s="6">
        <v>4023.89</v>
      </c>
      <c r="C372" s="3">
        <v>113.01</v>
      </c>
      <c r="D372" s="3">
        <v>38.21</v>
      </c>
    </row>
    <row r="373" spans="1:4" x14ac:dyDescent="0.35">
      <c r="A373" s="5">
        <v>44701</v>
      </c>
      <c r="B373" s="6">
        <v>3901.36</v>
      </c>
      <c r="C373" s="3">
        <v>108</v>
      </c>
      <c r="D373" s="3">
        <v>35.4</v>
      </c>
    </row>
    <row r="374" spans="1:4" x14ac:dyDescent="0.35">
      <c r="A374" s="5">
        <v>44708</v>
      </c>
      <c r="B374" s="6">
        <v>4158.24</v>
      </c>
      <c r="C374" s="3">
        <v>115.99</v>
      </c>
      <c r="D374" s="3">
        <v>38.57</v>
      </c>
    </row>
    <row r="375" spans="1:4" x14ac:dyDescent="0.35">
      <c r="A375" s="5">
        <v>44715</v>
      </c>
      <c r="B375" s="6">
        <v>4108.54</v>
      </c>
      <c r="C375" s="3">
        <v>120.95</v>
      </c>
      <c r="D375" s="3">
        <v>37.61</v>
      </c>
    </row>
    <row r="376" spans="1:4" x14ac:dyDescent="0.35">
      <c r="A376" s="5">
        <v>44722</v>
      </c>
      <c r="B376" s="6">
        <v>3900.86</v>
      </c>
      <c r="C376" s="3">
        <v>114.73</v>
      </c>
      <c r="D376" s="3">
        <v>35.01</v>
      </c>
    </row>
    <row r="377" spans="1:4" x14ac:dyDescent="0.35">
      <c r="A377" s="5">
        <v>44729</v>
      </c>
      <c r="B377" s="6">
        <v>3674.84</v>
      </c>
      <c r="C377" s="3">
        <v>107.34</v>
      </c>
      <c r="D377" s="3">
        <v>31.88</v>
      </c>
    </row>
    <row r="378" spans="1:4" x14ac:dyDescent="0.35">
      <c r="A378" s="5">
        <v>44736</v>
      </c>
      <c r="B378" s="6">
        <v>3911.74</v>
      </c>
      <c r="C378" s="3">
        <v>112.91</v>
      </c>
      <c r="D378" s="3">
        <v>34.82</v>
      </c>
    </row>
    <row r="379" spans="1:4" x14ac:dyDescent="0.35">
      <c r="A379" s="5">
        <v>44743</v>
      </c>
      <c r="B379" s="6">
        <v>3825.33</v>
      </c>
      <c r="C379" s="3">
        <v>101.18</v>
      </c>
      <c r="D379" s="3">
        <v>32.19</v>
      </c>
    </row>
    <row r="380" spans="1:4" x14ac:dyDescent="0.35">
      <c r="A380" s="5">
        <v>44750</v>
      </c>
      <c r="B380" s="6">
        <v>3899.38</v>
      </c>
      <c r="C380" s="3">
        <v>107.93</v>
      </c>
      <c r="D380" s="3">
        <v>32.31</v>
      </c>
    </row>
    <row r="381" spans="1:4" x14ac:dyDescent="0.35">
      <c r="A381" s="5">
        <v>44757</v>
      </c>
      <c r="B381" s="6">
        <v>3863.16</v>
      </c>
      <c r="C381" s="3">
        <v>104.7</v>
      </c>
      <c r="D381" s="3">
        <v>32.869999999999997</v>
      </c>
    </row>
    <row r="382" spans="1:4" x14ac:dyDescent="0.35">
      <c r="A382" s="5">
        <v>44764</v>
      </c>
      <c r="B382" s="6">
        <v>3961.63</v>
      </c>
      <c r="C382" s="3">
        <v>109.12</v>
      </c>
      <c r="D382" s="3">
        <v>34.67</v>
      </c>
    </row>
    <row r="383" spans="1:4" x14ac:dyDescent="0.35">
      <c r="A383" s="5">
        <v>44771</v>
      </c>
      <c r="B383" s="6">
        <v>4130.29</v>
      </c>
      <c r="C383" s="3">
        <v>114.92</v>
      </c>
      <c r="D383" s="3">
        <v>36.26</v>
      </c>
    </row>
    <row r="384" spans="1:4" x14ac:dyDescent="0.35">
      <c r="A384" s="5">
        <v>44778</v>
      </c>
      <c r="B384" s="6">
        <v>4145.1899999999996</v>
      </c>
      <c r="C384" s="3">
        <v>113.87</v>
      </c>
      <c r="D384" s="3">
        <v>36.06</v>
      </c>
    </row>
    <row r="385" spans="1:4" x14ac:dyDescent="0.35">
      <c r="A385" s="5">
        <v>44785</v>
      </c>
      <c r="B385" s="6">
        <v>4280.1499999999996</v>
      </c>
      <c r="C385" s="3">
        <v>116.07</v>
      </c>
      <c r="D385" s="3">
        <v>39.479999999999997</v>
      </c>
    </row>
    <row r="386" spans="1:4" x14ac:dyDescent="0.35">
      <c r="A386" s="5">
        <v>44792</v>
      </c>
      <c r="B386" s="6">
        <v>4228.4799999999996</v>
      </c>
      <c r="C386" s="3">
        <v>113.16</v>
      </c>
      <c r="D386" s="3">
        <v>39.700000000000003</v>
      </c>
    </row>
    <row r="387" spans="1:4" x14ac:dyDescent="0.35">
      <c r="A387" s="5">
        <v>44799</v>
      </c>
      <c r="B387" s="6">
        <v>4057.66</v>
      </c>
      <c r="C387" s="3">
        <v>108.28</v>
      </c>
      <c r="D387" s="3">
        <v>39.229999999999997</v>
      </c>
    </row>
    <row r="388" spans="1:4" x14ac:dyDescent="0.35">
      <c r="A388" s="5">
        <v>44806</v>
      </c>
      <c r="B388" s="6">
        <v>3924.26</v>
      </c>
      <c r="C388" s="3">
        <v>105.74</v>
      </c>
      <c r="D388" s="3">
        <v>38.47</v>
      </c>
    </row>
    <row r="389" spans="1:4" x14ac:dyDescent="0.35">
      <c r="A389" s="5">
        <v>44813</v>
      </c>
      <c r="B389" s="6">
        <v>4067.36</v>
      </c>
      <c r="C389" s="3">
        <v>110.97</v>
      </c>
      <c r="D389" s="3">
        <v>41.29</v>
      </c>
    </row>
    <row r="390" spans="1:4" x14ac:dyDescent="0.35">
      <c r="A390" s="5">
        <v>44820</v>
      </c>
      <c r="B390" s="6">
        <v>3873.33</v>
      </c>
      <c r="C390" s="3">
        <v>104.12</v>
      </c>
      <c r="D390" s="3">
        <v>39.97</v>
      </c>
    </row>
    <row r="391" spans="1:4" x14ac:dyDescent="0.35">
      <c r="A391" s="5">
        <v>44827</v>
      </c>
      <c r="B391" s="6">
        <v>3693.23</v>
      </c>
      <c r="C391" s="3">
        <v>97.02</v>
      </c>
      <c r="D391" s="3">
        <v>35.479999999999997</v>
      </c>
    </row>
    <row r="392" spans="1:4" x14ac:dyDescent="0.35">
      <c r="A392" s="5">
        <v>44834</v>
      </c>
      <c r="B392" s="6">
        <v>3585.62</v>
      </c>
      <c r="C392" s="3">
        <v>83.12</v>
      </c>
      <c r="D392" s="3">
        <v>32.090000000000003</v>
      </c>
    </row>
    <row r="393" spans="1:4" x14ac:dyDescent="0.35">
      <c r="A393" s="5">
        <v>44841</v>
      </c>
      <c r="B393" s="6">
        <v>3639.66</v>
      </c>
      <c r="C393" s="3">
        <v>87.16</v>
      </c>
      <c r="D393" s="3">
        <v>33.619999999999997</v>
      </c>
    </row>
    <row r="394" spans="1:4" x14ac:dyDescent="0.35">
      <c r="A394" s="5">
        <v>44848</v>
      </c>
      <c r="B394" s="6">
        <v>3583.07</v>
      </c>
      <c r="C394" s="3">
        <v>87.55</v>
      </c>
      <c r="D394" s="3">
        <v>32.89</v>
      </c>
    </row>
    <row r="395" spans="1:4" x14ac:dyDescent="0.35">
      <c r="A395" s="5">
        <v>44855</v>
      </c>
      <c r="B395" s="6">
        <v>3752.75</v>
      </c>
      <c r="C395" s="3">
        <v>88.5</v>
      </c>
      <c r="D395" s="3">
        <v>35</v>
      </c>
    </row>
    <row r="396" spans="1:4" x14ac:dyDescent="0.35">
      <c r="A396" s="5">
        <v>44862</v>
      </c>
      <c r="B396" s="6">
        <v>3901.06</v>
      </c>
      <c r="C396" s="3">
        <v>93.83</v>
      </c>
      <c r="D396" s="3">
        <v>38.85</v>
      </c>
    </row>
    <row r="397" spans="1:4" x14ac:dyDescent="0.35">
      <c r="A397" s="5">
        <v>44869</v>
      </c>
      <c r="B397" s="6">
        <v>3770.55</v>
      </c>
      <c r="C397" s="3">
        <v>95.79</v>
      </c>
      <c r="D397" s="3">
        <v>39</v>
      </c>
    </row>
    <row r="398" spans="1:4" x14ac:dyDescent="0.35">
      <c r="A398" s="5">
        <v>44876</v>
      </c>
      <c r="B398" s="6">
        <v>3992.93</v>
      </c>
      <c r="C398" s="3">
        <v>106.09</v>
      </c>
      <c r="D398" s="3">
        <v>41.12</v>
      </c>
    </row>
    <row r="399" spans="1:4" x14ac:dyDescent="0.35">
      <c r="A399" s="5">
        <v>44883</v>
      </c>
      <c r="B399" s="6">
        <v>3965.34</v>
      </c>
      <c r="C399" s="3">
        <v>105.42</v>
      </c>
      <c r="D399" s="3">
        <v>39.770000000000003</v>
      </c>
    </row>
    <row r="400" spans="1:4" x14ac:dyDescent="0.35">
      <c r="A400" s="5">
        <v>44890</v>
      </c>
      <c r="B400" s="6">
        <v>4026.12</v>
      </c>
      <c r="C400" s="3">
        <v>105.96</v>
      </c>
      <c r="D400" s="3">
        <v>40.46</v>
      </c>
    </row>
    <row r="401" spans="1:4" x14ac:dyDescent="0.35">
      <c r="A401" s="5">
        <v>44897</v>
      </c>
      <c r="B401" s="6">
        <v>4071.7</v>
      </c>
      <c r="C401" s="3">
        <v>112.2</v>
      </c>
      <c r="D401" s="3">
        <v>39.9</v>
      </c>
    </row>
    <row r="402" spans="1:4" x14ac:dyDescent="0.35">
      <c r="A402" s="5">
        <v>44904</v>
      </c>
      <c r="B402" s="6">
        <v>3934.38</v>
      </c>
      <c r="C402" s="3">
        <v>109.42</v>
      </c>
      <c r="D402" s="3">
        <v>38.28</v>
      </c>
    </row>
    <row r="403" spans="1:4" x14ac:dyDescent="0.35">
      <c r="A403" s="5">
        <v>44911</v>
      </c>
      <c r="B403" s="6">
        <v>3852.36</v>
      </c>
      <c r="C403" s="3">
        <v>105.95</v>
      </c>
      <c r="D403" s="3">
        <v>36.15</v>
      </c>
    </row>
    <row r="404" spans="1:4" x14ac:dyDescent="0.35">
      <c r="A404" s="5">
        <v>44918</v>
      </c>
      <c r="B404" s="6">
        <v>3844.82</v>
      </c>
      <c r="C404" s="3">
        <v>116.25</v>
      </c>
      <c r="D404" s="3">
        <v>33.83</v>
      </c>
    </row>
    <row r="405" spans="1:4" x14ac:dyDescent="0.35">
      <c r="A405" s="5">
        <v>44925</v>
      </c>
      <c r="B405" s="6">
        <v>3839.5</v>
      </c>
      <c r="C405" s="3">
        <v>117.01</v>
      </c>
      <c r="D405" s="3">
        <v>33.64</v>
      </c>
    </row>
    <row r="406" spans="1:4" x14ac:dyDescent="0.35">
      <c r="A406" s="5">
        <v>44932</v>
      </c>
      <c r="B406" s="6">
        <v>3895.08</v>
      </c>
      <c r="C406" s="3">
        <v>124.53</v>
      </c>
      <c r="D406" s="3">
        <v>35.909999999999997</v>
      </c>
    </row>
    <row r="407" spans="1:4" x14ac:dyDescent="0.35">
      <c r="A407" s="5">
        <v>44939</v>
      </c>
      <c r="B407" s="6">
        <v>3999.09</v>
      </c>
      <c r="C407" s="3">
        <v>128.85</v>
      </c>
      <c r="D407" s="3">
        <v>36.51</v>
      </c>
    </row>
    <row r="408" spans="1:4" x14ac:dyDescent="0.35">
      <c r="A408" s="5">
        <v>44946</v>
      </c>
      <c r="B408" s="6">
        <v>3972.61</v>
      </c>
      <c r="C408" s="3">
        <v>126.62</v>
      </c>
      <c r="D408" s="3">
        <v>35.35</v>
      </c>
    </row>
    <row r="409" spans="1:4" x14ac:dyDescent="0.35">
      <c r="A409" s="5">
        <v>44953</v>
      </c>
      <c r="B409" s="6">
        <v>4070.56</v>
      </c>
      <c r="C409" s="3">
        <v>127.53</v>
      </c>
      <c r="D409" s="3">
        <v>37.950000000000003</v>
      </c>
    </row>
    <row r="410" spans="1:4" x14ac:dyDescent="0.35">
      <c r="A410" s="5">
        <v>44960</v>
      </c>
      <c r="B410" s="6">
        <v>4136.4799999999996</v>
      </c>
      <c r="C410" s="3">
        <v>127.61</v>
      </c>
      <c r="D410" s="3">
        <v>41.13</v>
      </c>
    </row>
    <row r="411" spans="1:4" x14ac:dyDescent="0.35">
      <c r="A411" s="5">
        <v>44967</v>
      </c>
      <c r="B411" s="6">
        <v>4090.46</v>
      </c>
      <c r="C411" s="3">
        <v>122.23</v>
      </c>
      <c r="D411" s="3">
        <v>41.35</v>
      </c>
    </row>
    <row r="412" spans="1:4" x14ac:dyDescent="0.35">
      <c r="A412" s="5">
        <v>44974</v>
      </c>
      <c r="B412" s="6">
        <v>4079.09</v>
      </c>
      <c r="C412" s="3">
        <v>124.84</v>
      </c>
      <c r="D412" s="3">
        <v>43.17</v>
      </c>
    </row>
    <row r="413" spans="1:4" x14ac:dyDescent="0.35">
      <c r="A413" s="5">
        <v>44981</v>
      </c>
      <c r="B413" s="6">
        <v>3970.04</v>
      </c>
      <c r="C413" s="3">
        <v>118.04</v>
      </c>
      <c r="D413" s="3">
        <v>39.18</v>
      </c>
    </row>
    <row r="414" spans="1:4" x14ac:dyDescent="0.35">
      <c r="A414" s="5">
        <v>44988</v>
      </c>
      <c r="B414" s="6">
        <v>4045.64</v>
      </c>
      <c r="C414" s="3">
        <v>120.94</v>
      </c>
      <c r="D414" s="3">
        <v>41.01</v>
      </c>
    </row>
    <row r="415" spans="1:4" x14ac:dyDescent="0.35">
      <c r="A415" s="5">
        <v>44995</v>
      </c>
      <c r="B415" s="6">
        <v>3861.59</v>
      </c>
      <c r="C415" s="3">
        <v>117.49</v>
      </c>
      <c r="D415" s="3">
        <v>36.520000000000003</v>
      </c>
    </row>
    <row r="416" spans="1:4" x14ac:dyDescent="0.35">
      <c r="A416" s="5">
        <v>45002</v>
      </c>
      <c r="B416" s="6">
        <v>3916.64</v>
      </c>
      <c r="C416" s="3">
        <v>120.39</v>
      </c>
      <c r="D416" s="3">
        <v>33.380000000000003</v>
      </c>
    </row>
    <row r="417" spans="1:4" x14ac:dyDescent="0.35">
      <c r="A417" s="5">
        <v>45009</v>
      </c>
      <c r="B417" s="6">
        <v>3970.99</v>
      </c>
      <c r="C417" s="3">
        <v>120.71</v>
      </c>
      <c r="D417" s="3">
        <v>33.71</v>
      </c>
    </row>
    <row r="418" spans="1:4" x14ac:dyDescent="0.35">
      <c r="A418" s="5">
        <v>45016</v>
      </c>
      <c r="B418" s="6">
        <v>4109.3100000000004</v>
      </c>
      <c r="C418" s="3">
        <v>122.64</v>
      </c>
      <c r="D418" s="3">
        <v>36.68</v>
      </c>
    </row>
    <row r="419" spans="1:4" x14ac:dyDescent="0.35">
      <c r="A419" s="5">
        <v>45023</v>
      </c>
      <c r="B419" s="6">
        <v>4105.0200000000004</v>
      </c>
      <c r="C419" s="3">
        <v>120.22</v>
      </c>
      <c r="D419" s="3">
        <v>34.590000000000003</v>
      </c>
    </row>
    <row r="420" spans="1:4" x14ac:dyDescent="0.35">
      <c r="A420" s="5">
        <v>45030</v>
      </c>
      <c r="B420" s="6">
        <v>4137.6400000000003</v>
      </c>
      <c r="C420" s="3">
        <v>125.95</v>
      </c>
      <c r="D420" s="3">
        <v>34.49</v>
      </c>
    </row>
    <row r="421" spans="1:4" x14ac:dyDescent="0.35">
      <c r="A421" s="5">
        <v>45037</v>
      </c>
      <c r="B421" s="6">
        <v>4133.5200000000004</v>
      </c>
      <c r="C421" s="3">
        <v>125.53</v>
      </c>
      <c r="D421" s="3">
        <v>33.549999999999997</v>
      </c>
    </row>
    <row r="422" spans="1:4" x14ac:dyDescent="0.35">
      <c r="A422" s="5">
        <v>45044</v>
      </c>
      <c r="B422" s="6">
        <v>4169.4799999999996</v>
      </c>
      <c r="C422" s="3">
        <v>126.72</v>
      </c>
      <c r="D422" s="3">
        <v>33.04</v>
      </c>
    </row>
    <row r="423" spans="1:4" x14ac:dyDescent="0.35">
      <c r="A423" s="5">
        <v>45051</v>
      </c>
      <c r="B423" s="6">
        <v>4136.25</v>
      </c>
      <c r="C423" s="3">
        <v>126.59</v>
      </c>
      <c r="D423" s="3">
        <v>33.26</v>
      </c>
    </row>
    <row r="424" spans="1:4" x14ac:dyDescent="0.35">
      <c r="A424" s="5">
        <v>45058</v>
      </c>
      <c r="B424" s="6">
        <v>4124.08</v>
      </c>
      <c r="C424" s="3">
        <v>120.21</v>
      </c>
      <c r="D424" s="3">
        <v>32.4</v>
      </c>
    </row>
    <row r="425" spans="1:4" x14ac:dyDescent="0.35">
      <c r="A425" s="5">
        <v>45065</v>
      </c>
      <c r="B425" s="6">
        <v>4191.9799999999996</v>
      </c>
      <c r="C425" s="3">
        <v>114.76</v>
      </c>
      <c r="D425" s="3">
        <v>32.659999999999997</v>
      </c>
    </row>
    <row r="426" spans="1:4" x14ac:dyDescent="0.35">
      <c r="A426" s="5">
        <v>45072</v>
      </c>
      <c r="B426" s="6">
        <v>4205.45</v>
      </c>
      <c r="C426" s="3">
        <v>107.51</v>
      </c>
      <c r="D426" s="3">
        <v>33.29</v>
      </c>
    </row>
    <row r="427" spans="1:4" x14ac:dyDescent="0.35">
      <c r="A427" s="5">
        <v>45079</v>
      </c>
      <c r="B427" s="6">
        <v>4282.37</v>
      </c>
      <c r="C427" s="3">
        <v>107.78</v>
      </c>
      <c r="D427" s="3">
        <v>34.28</v>
      </c>
    </row>
    <row r="428" spans="1:4" x14ac:dyDescent="0.35">
      <c r="A428" s="5">
        <v>45086</v>
      </c>
      <c r="B428" s="6">
        <v>4298.8599999999997</v>
      </c>
      <c r="C428" s="3">
        <v>105.86</v>
      </c>
      <c r="D428" s="3">
        <v>36.229999999999997</v>
      </c>
    </row>
    <row r="429" spans="1:4" x14ac:dyDescent="0.35">
      <c r="A429" s="5">
        <v>45093</v>
      </c>
      <c r="B429" s="6">
        <v>4409.59</v>
      </c>
      <c r="C429" s="3">
        <v>113.59</v>
      </c>
      <c r="D429" s="3">
        <v>37.96</v>
      </c>
    </row>
    <row r="430" spans="1:4" x14ac:dyDescent="0.35">
      <c r="A430" s="5">
        <v>45100</v>
      </c>
      <c r="B430" s="6">
        <v>4348.33</v>
      </c>
      <c r="C430" s="3">
        <v>109.52</v>
      </c>
      <c r="D430" s="3">
        <v>36.18</v>
      </c>
    </row>
    <row r="431" spans="1:4" x14ac:dyDescent="0.35">
      <c r="A431" s="5">
        <v>45107</v>
      </c>
      <c r="B431" s="6">
        <v>4450.38</v>
      </c>
      <c r="C431" s="3">
        <v>110.37</v>
      </c>
      <c r="D431" s="3">
        <v>38.56</v>
      </c>
    </row>
    <row r="432" spans="1:4" x14ac:dyDescent="0.35">
      <c r="A432" s="5">
        <v>45114</v>
      </c>
      <c r="B432" s="6">
        <v>4398.95</v>
      </c>
      <c r="C432" s="3">
        <v>104.46</v>
      </c>
      <c r="D432" s="3">
        <v>39.61</v>
      </c>
    </row>
    <row r="433" spans="1:4" x14ac:dyDescent="0.35">
      <c r="A433" s="5">
        <v>45121</v>
      </c>
      <c r="B433" s="6">
        <v>4505.42</v>
      </c>
      <c r="C433" s="3">
        <v>107.95</v>
      </c>
      <c r="D433" s="3">
        <v>40</v>
      </c>
    </row>
    <row r="434" spans="1:4" x14ac:dyDescent="0.35">
      <c r="A434" s="5">
        <v>45128</v>
      </c>
      <c r="B434" s="6">
        <v>4536.34</v>
      </c>
      <c r="C434" s="3">
        <v>109.06</v>
      </c>
      <c r="D434" s="3">
        <v>38.549999999999997</v>
      </c>
    </row>
    <row r="435" spans="1:4" x14ac:dyDescent="0.35">
      <c r="A435" s="5">
        <v>45135</v>
      </c>
      <c r="B435" s="6">
        <v>4582.2299999999996</v>
      </c>
      <c r="C435" s="3">
        <v>108.62</v>
      </c>
      <c r="D435" s="3">
        <v>38.049999999999997</v>
      </c>
    </row>
    <row r="436" spans="1:4" x14ac:dyDescent="0.35">
      <c r="A436" s="5">
        <v>45142</v>
      </c>
      <c r="B436" s="6">
        <v>4478.03</v>
      </c>
      <c r="C436" s="3">
        <v>108.81</v>
      </c>
      <c r="D436" s="3">
        <v>36.57</v>
      </c>
    </row>
    <row r="437" spans="1:4" x14ac:dyDescent="0.35">
      <c r="A437" s="5">
        <v>45149</v>
      </c>
      <c r="B437" s="6">
        <v>4464.05</v>
      </c>
      <c r="C437" s="3">
        <v>108.09</v>
      </c>
      <c r="D437" s="3">
        <v>33.89</v>
      </c>
    </row>
    <row r="438" spans="1:4" x14ac:dyDescent="0.35">
      <c r="A438" s="5">
        <v>45156</v>
      </c>
      <c r="B438" s="6">
        <v>4369.71</v>
      </c>
      <c r="C438" s="3">
        <v>104.81</v>
      </c>
      <c r="D438" s="3">
        <v>33.119999999999997</v>
      </c>
    </row>
    <row r="439" spans="1:4" x14ac:dyDescent="0.35">
      <c r="A439" s="5">
        <v>45163</v>
      </c>
      <c r="B439" s="6">
        <v>4405.71</v>
      </c>
      <c r="C439" s="3">
        <v>98.84</v>
      </c>
      <c r="D439" s="3">
        <v>32.950000000000003</v>
      </c>
    </row>
    <row r="440" spans="1:4" x14ac:dyDescent="0.35">
      <c r="A440" s="5">
        <v>45170</v>
      </c>
      <c r="B440" s="6">
        <v>4515.7700000000004</v>
      </c>
      <c r="C440" s="3">
        <v>102.36</v>
      </c>
      <c r="D440" s="3">
        <v>33.54</v>
      </c>
    </row>
    <row r="441" spans="1:4" x14ac:dyDescent="0.35">
      <c r="A441" s="5">
        <v>45177</v>
      </c>
      <c r="B441" s="6">
        <v>4457.49</v>
      </c>
      <c r="C441" s="3">
        <v>97.67</v>
      </c>
      <c r="D441" s="3">
        <v>32.950000000000003</v>
      </c>
    </row>
    <row r="442" spans="1:4" x14ac:dyDescent="0.35">
      <c r="A442" s="5">
        <v>45184</v>
      </c>
      <c r="B442" s="6">
        <v>4450.32</v>
      </c>
      <c r="C442" s="3">
        <v>96.26</v>
      </c>
      <c r="D442" s="3">
        <v>33.950000000000003</v>
      </c>
    </row>
    <row r="443" spans="1:4" x14ac:dyDescent="0.35">
      <c r="A443" s="5">
        <v>45191</v>
      </c>
      <c r="B443" s="6">
        <v>4320.0600000000004</v>
      </c>
      <c r="C443" s="3">
        <v>90.85</v>
      </c>
      <c r="D443" s="3">
        <v>32.58</v>
      </c>
    </row>
    <row r="444" spans="1:4" x14ac:dyDescent="0.35">
      <c r="A444" s="5">
        <v>45198</v>
      </c>
      <c r="B444" s="6">
        <v>4288.05</v>
      </c>
      <c r="C444" s="3">
        <v>95.62</v>
      </c>
      <c r="D444" s="3">
        <v>32.97</v>
      </c>
    </row>
    <row r="445" spans="1:4" x14ac:dyDescent="0.35">
      <c r="A445" s="5">
        <v>45205</v>
      </c>
      <c r="B445" s="6">
        <v>4308.5</v>
      </c>
      <c r="C445" s="3">
        <v>97.11</v>
      </c>
      <c r="D445" s="3">
        <v>30.9</v>
      </c>
    </row>
    <row r="446" spans="1:4" x14ac:dyDescent="0.35">
      <c r="A446" s="5">
        <v>45212</v>
      </c>
      <c r="B446" s="6">
        <v>4327.78</v>
      </c>
      <c r="C446" s="3">
        <v>99.91</v>
      </c>
      <c r="D446" s="3">
        <v>29.66</v>
      </c>
    </row>
    <row r="447" spans="1:4" x14ac:dyDescent="0.35">
      <c r="A447" s="5">
        <v>45219</v>
      </c>
      <c r="B447" s="6">
        <v>4224.16</v>
      </c>
      <c r="C447" s="3">
        <v>102.67</v>
      </c>
      <c r="D447" s="3">
        <v>29.66</v>
      </c>
    </row>
    <row r="448" spans="1:4" x14ac:dyDescent="0.35">
      <c r="A448" s="5">
        <v>45226</v>
      </c>
      <c r="B448" s="6">
        <v>4117.37</v>
      </c>
      <c r="C448" s="3">
        <v>97.98</v>
      </c>
      <c r="D448" s="3">
        <v>27.22</v>
      </c>
    </row>
    <row r="449" spans="1:4" x14ac:dyDescent="0.35">
      <c r="A449" s="5">
        <v>45233</v>
      </c>
      <c r="B449" s="6">
        <v>4358.34</v>
      </c>
      <c r="C449" s="3">
        <v>107.06</v>
      </c>
      <c r="D449" s="3">
        <v>29.77</v>
      </c>
    </row>
    <row r="450" spans="1:4" x14ac:dyDescent="0.35">
      <c r="A450" s="5">
        <v>45240</v>
      </c>
      <c r="B450" s="6">
        <v>4415.24</v>
      </c>
      <c r="C450" s="3">
        <v>106.11</v>
      </c>
      <c r="D450" s="3">
        <v>26.85</v>
      </c>
    </row>
    <row r="451" spans="1:4" x14ac:dyDescent="0.35">
      <c r="A451" s="5">
        <v>45247</v>
      </c>
      <c r="B451" s="6">
        <v>4514.0200000000004</v>
      </c>
      <c r="C451" s="3">
        <v>105.96</v>
      </c>
      <c r="D451" s="3">
        <v>28.03</v>
      </c>
    </row>
    <row r="452" spans="1:4" x14ac:dyDescent="0.35">
      <c r="A452" s="5">
        <v>45254</v>
      </c>
      <c r="B452" s="6">
        <v>4559.34</v>
      </c>
      <c r="C452" s="3">
        <v>107.64</v>
      </c>
      <c r="D452" s="3">
        <v>28.18</v>
      </c>
    </row>
    <row r="453" spans="1:4" x14ac:dyDescent="0.35">
      <c r="A453" s="5">
        <v>45261</v>
      </c>
      <c r="B453" s="6">
        <v>4594.63</v>
      </c>
      <c r="C453" s="3">
        <v>113.48</v>
      </c>
      <c r="D453" s="3">
        <v>32.36</v>
      </c>
    </row>
    <row r="454" spans="1:4" x14ac:dyDescent="0.35">
      <c r="A454" s="5">
        <v>45268</v>
      </c>
      <c r="B454" s="6">
        <v>4604.37</v>
      </c>
      <c r="C454" s="3">
        <v>115.91</v>
      </c>
      <c r="D454" s="3">
        <v>33.75</v>
      </c>
    </row>
    <row r="455" spans="1:4" x14ac:dyDescent="0.35">
      <c r="A455" s="5">
        <v>45275</v>
      </c>
      <c r="B455" s="6">
        <v>4719.1899999999996</v>
      </c>
      <c r="C455" s="3">
        <v>121.55</v>
      </c>
      <c r="D455" s="3">
        <v>35.729999999999997</v>
      </c>
    </row>
    <row r="456" spans="1:4" x14ac:dyDescent="0.35">
      <c r="A456" s="5">
        <v>45282</v>
      </c>
      <c r="B456" s="6">
        <v>4754.63</v>
      </c>
      <c r="C456" s="3">
        <v>108.04</v>
      </c>
      <c r="D456" s="3">
        <v>36.020000000000003</v>
      </c>
    </row>
    <row r="457" spans="1:4" x14ac:dyDescent="0.35">
      <c r="A457" s="5">
        <v>45289</v>
      </c>
      <c r="B457" s="6">
        <v>4769.83</v>
      </c>
      <c r="C457" s="3">
        <v>108.57</v>
      </c>
      <c r="D457" s="3">
        <v>35.92</v>
      </c>
    </row>
    <row r="458" spans="1:4" x14ac:dyDescent="0.35">
      <c r="A458" s="5">
        <v>45296</v>
      </c>
      <c r="B458" s="6">
        <v>4697.24</v>
      </c>
      <c r="C458" s="3">
        <v>102.08</v>
      </c>
      <c r="D458" s="3">
        <v>35.99</v>
      </c>
    </row>
    <row r="459" spans="1:4" x14ac:dyDescent="0.35">
      <c r="A459" s="5">
        <v>45303</v>
      </c>
      <c r="B459" s="6">
        <v>4783.83</v>
      </c>
      <c r="C459" s="3">
        <v>105.06</v>
      </c>
      <c r="D459" s="3">
        <v>35.26</v>
      </c>
    </row>
    <row r="460" spans="1:4" x14ac:dyDescent="0.35">
      <c r="A460" s="5">
        <v>45310</v>
      </c>
      <c r="B460" s="6">
        <v>4839.8100000000004</v>
      </c>
      <c r="C460" s="3">
        <v>101.78</v>
      </c>
      <c r="D460" s="3">
        <v>35.51</v>
      </c>
    </row>
    <row r="461" spans="1:4" x14ac:dyDescent="0.35">
      <c r="A461" s="5">
        <v>45317</v>
      </c>
      <c r="B461" s="6">
        <v>4890.97</v>
      </c>
      <c r="C461" s="3">
        <v>102.75</v>
      </c>
      <c r="D461" s="3">
        <v>35.18</v>
      </c>
    </row>
    <row r="462" spans="1:4" x14ac:dyDescent="0.35">
      <c r="A462" s="5">
        <v>45324</v>
      </c>
      <c r="B462" s="6">
        <v>4958.6099999999997</v>
      </c>
      <c r="C462" s="3">
        <v>100.71</v>
      </c>
      <c r="D462" s="3">
        <v>38.909999999999997</v>
      </c>
    </row>
    <row r="463" spans="1:4" x14ac:dyDescent="0.35">
      <c r="A463" s="5">
        <v>45331</v>
      </c>
      <c r="B463" s="6">
        <v>5026.6099999999997</v>
      </c>
      <c r="C463" s="3">
        <v>104.5</v>
      </c>
      <c r="D463" s="3">
        <v>38.56</v>
      </c>
    </row>
    <row r="464" spans="1:4" x14ac:dyDescent="0.35">
      <c r="A464" s="5">
        <v>45338</v>
      </c>
      <c r="B464" s="6">
        <v>5005.57</v>
      </c>
      <c r="C464" s="3">
        <v>103.51</v>
      </c>
      <c r="D464" s="3">
        <v>38.700000000000003</v>
      </c>
    </row>
    <row r="465" spans="1:4" x14ac:dyDescent="0.35">
      <c r="A465" s="5">
        <v>45345</v>
      </c>
      <c r="B465" s="6">
        <v>5088.8</v>
      </c>
      <c r="C465" s="3">
        <v>105.63</v>
      </c>
      <c r="D465" s="3">
        <v>39.630000000000003</v>
      </c>
    </row>
    <row r="466" spans="1:4" x14ac:dyDescent="0.35">
      <c r="A466" s="5">
        <v>45352</v>
      </c>
      <c r="B466" s="6">
        <v>5137.08</v>
      </c>
      <c r="C466" s="3">
        <v>101.88</v>
      </c>
      <c r="D466" s="3">
        <v>40.99</v>
      </c>
    </row>
    <row r="467" spans="1:4" x14ac:dyDescent="0.35">
      <c r="A467" s="5">
        <v>45359</v>
      </c>
      <c r="B467" s="6">
        <v>5123.6899999999996</v>
      </c>
      <c r="C467" s="3">
        <v>99.16</v>
      </c>
      <c r="D467" s="3">
        <v>39.5</v>
      </c>
    </row>
    <row r="468" spans="1:4" x14ac:dyDescent="0.35">
      <c r="A468" s="5">
        <v>45366</v>
      </c>
      <c r="B468" s="6">
        <v>5117.09</v>
      </c>
      <c r="C468" s="3">
        <v>99.64</v>
      </c>
      <c r="D468" s="3">
        <v>40.69</v>
      </c>
    </row>
    <row r="469" spans="1:4" x14ac:dyDescent="0.35">
      <c r="A469" s="5">
        <v>45373</v>
      </c>
      <c r="B469" s="6">
        <v>5234.18</v>
      </c>
      <c r="C469" s="3">
        <v>93.86</v>
      </c>
      <c r="D469" s="3">
        <v>43.06</v>
      </c>
    </row>
    <row r="470" spans="1:4" x14ac:dyDescent="0.35">
      <c r="A470" s="5">
        <v>45380</v>
      </c>
      <c r="B470" s="6">
        <v>5254.35</v>
      </c>
      <c r="C470" s="3">
        <v>93.98</v>
      </c>
      <c r="D470" s="3">
        <v>45.35</v>
      </c>
    </row>
    <row r="471" spans="1:4" x14ac:dyDescent="0.35">
      <c r="A471" s="5">
        <v>45387</v>
      </c>
      <c r="B471" s="6">
        <v>5204.34</v>
      </c>
      <c r="C471" s="3">
        <v>88.84</v>
      </c>
      <c r="D471" s="3">
        <v>44.23</v>
      </c>
    </row>
    <row r="472" spans="1:4" x14ac:dyDescent="0.35">
      <c r="A472" s="5">
        <v>45394</v>
      </c>
      <c r="B472" s="6">
        <v>5123.41</v>
      </c>
      <c r="C472" s="3">
        <v>92</v>
      </c>
      <c r="D472" s="3">
        <v>43.08</v>
      </c>
    </row>
    <row r="473" spans="1:4" x14ac:dyDescent="0.35">
      <c r="A473" s="5">
        <v>45401</v>
      </c>
      <c r="B473" s="6">
        <v>4967.2299999999996</v>
      </c>
      <c r="C473" s="3">
        <v>94.53</v>
      </c>
      <c r="D473" s="3">
        <v>42.37</v>
      </c>
    </row>
    <row r="474" spans="1:4" x14ac:dyDescent="0.35">
      <c r="A474" s="5">
        <v>45408</v>
      </c>
      <c r="B474" s="6">
        <v>5099.96</v>
      </c>
      <c r="C474" s="3">
        <v>94.12</v>
      </c>
      <c r="D474" s="3">
        <v>45.84</v>
      </c>
    </row>
    <row r="475" spans="1:4" x14ac:dyDescent="0.35">
      <c r="A475" s="5">
        <v>45415</v>
      </c>
      <c r="B475" s="6">
        <v>5127.79</v>
      </c>
      <c r="C475" s="3">
        <v>92.15</v>
      </c>
      <c r="D475" s="3">
        <v>44.86</v>
      </c>
    </row>
    <row r="476" spans="1:4" x14ac:dyDescent="0.35">
      <c r="A476" s="5">
        <v>45422</v>
      </c>
      <c r="B476" s="6">
        <v>5222.68</v>
      </c>
      <c r="C476" s="3">
        <v>90.94</v>
      </c>
      <c r="D476" s="3">
        <v>45.21</v>
      </c>
    </row>
    <row r="477" spans="1:4" x14ac:dyDescent="0.35">
      <c r="A477" s="5">
        <v>45429</v>
      </c>
      <c r="B477" s="6">
        <v>5303.27</v>
      </c>
      <c r="C477" s="3">
        <v>92.18</v>
      </c>
      <c r="D477" s="3">
        <v>45.76</v>
      </c>
    </row>
    <row r="478" spans="1:4" x14ac:dyDescent="0.35">
      <c r="A478" s="5">
        <v>45436</v>
      </c>
      <c r="B478" s="6">
        <v>5304.72</v>
      </c>
      <c r="C478" s="3">
        <v>91.75</v>
      </c>
      <c r="D478" s="3">
        <v>44.11</v>
      </c>
    </row>
    <row r="479" spans="1:4" x14ac:dyDescent="0.35">
      <c r="A479" s="5">
        <v>45443</v>
      </c>
      <c r="B479" s="6">
        <v>5277.51</v>
      </c>
      <c r="C479" s="3">
        <v>95.05</v>
      </c>
      <c r="D479" s="3">
        <v>44.99</v>
      </c>
    </row>
    <row r="480" spans="1:4" x14ac:dyDescent="0.35">
      <c r="A480" s="5">
        <v>45450</v>
      </c>
      <c r="B480" s="6">
        <v>5346.99</v>
      </c>
      <c r="C480" s="3">
        <v>96.55</v>
      </c>
      <c r="D480" s="3">
        <v>45.72</v>
      </c>
    </row>
    <row r="481" spans="1:4" x14ac:dyDescent="0.35">
      <c r="A481" s="5">
        <v>45457</v>
      </c>
      <c r="B481" s="6">
        <v>5431.6</v>
      </c>
      <c r="C481" s="3">
        <v>93.39</v>
      </c>
      <c r="D481" s="3">
        <v>46.77</v>
      </c>
    </row>
    <row r="482" spans="1:4" x14ac:dyDescent="0.35">
      <c r="A482" s="5">
        <v>45464</v>
      </c>
      <c r="B482" s="6">
        <v>5464.62</v>
      </c>
      <c r="C482" s="3">
        <v>97.18</v>
      </c>
      <c r="D482" s="3">
        <v>47.72</v>
      </c>
    </row>
    <row r="483" spans="1:4" x14ac:dyDescent="0.35">
      <c r="A483" s="5">
        <v>45471</v>
      </c>
      <c r="B483" s="6">
        <v>5460.48</v>
      </c>
      <c r="C483" s="3">
        <v>75.37</v>
      </c>
      <c r="D483" s="3">
        <v>46.46</v>
      </c>
    </row>
    <row r="484" spans="1:4" x14ac:dyDescent="0.35">
      <c r="A484" s="5">
        <v>45478</v>
      </c>
      <c r="B484" s="6">
        <v>5567.19</v>
      </c>
      <c r="C484" s="3">
        <v>75.430000000000007</v>
      </c>
      <c r="D484" s="3">
        <v>46.52</v>
      </c>
    </row>
    <row r="485" spans="1:4" x14ac:dyDescent="0.35">
      <c r="A485" s="5">
        <v>45485</v>
      </c>
      <c r="B485" s="6">
        <v>5615.35</v>
      </c>
      <c r="C485" s="3">
        <v>73.42</v>
      </c>
      <c r="D485" s="3">
        <v>49.01</v>
      </c>
    </row>
    <row r="486" spans="1:4" x14ac:dyDescent="0.35">
      <c r="A486" s="5">
        <v>45492</v>
      </c>
      <c r="B486" s="6">
        <v>5505</v>
      </c>
      <c r="C486" s="3">
        <v>72.7</v>
      </c>
      <c r="D486" s="3">
        <v>48.3</v>
      </c>
    </row>
    <row r="487" spans="1:4" x14ac:dyDescent="0.35">
      <c r="A487" s="5">
        <v>45499</v>
      </c>
      <c r="B487" s="6">
        <v>5459.1</v>
      </c>
      <c r="C487" s="3">
        <v>72.56</v>
      </c>
      <c r="D487" s="3">
        <v>44.12</v>
      </c>
    </row>
    <row r="488" spans="1:4" x14ac:dyDescent="0.35">
      <c r="A488" s="5">
        <v>45506</v>
      </c>
      <c r="B488" s="6">
        <v>5346.56</v>
      </c>
      <c r="C488" s="3">
        <v>74.010000000000005</v>
      </c>
      <c r="D488" s="3">
        <v>41.17</v>
      </c>
    </row>
    <row r="489" spans="1:4" x14ac:dyDescent="0.35">
      <c r="A489" s="5">
        <v>45513</v>
      </c>
      <c r="B489" s="6">
        <v>5344.16</v>
      </c>
      <c r="C489" s="3">
        <v>74.34</v>
      </c>
      <c r="D489" s="3">
        <v>43.48</v>
      </c>
    </row>
    <row r="490" spans="1:4" x14ac:dyDescent="0.35">
      <c r="A490" s="5">
        <v>45520</v>
      </c>
      <c r="B490" s="6">
        <v>5554.25</v>
      </c>
      <c r="C490" s="3">
        <v>83.23</v>
      </c>
      <c r="D490" s="3">
        <v>45.32</v>
      </c>
    </row>
    <row r="491" spans="1:4" x14ac:dyDescent="0.35">
      <c r="A491" s="5">
        <v>45527</v>
      </c>
      <c r="B491" s="6">
        <v>5634.61</v>
      </c>
      <c r="C491" s="3">
        <v>84.05</v>
      </c>
      <c r="D491" s="3">
        <v>48.57</v>
      </c>
    </row>
    <row r="492" spans="1:4" x14ac:dyDescent="0.35">
      <c r="A492" s="5">
        <v>45534</v>
      </c>
      <c r="B492" s="6">
        <v>5648.4</v>
      </c>
      <c r="C492" s="3">
        <v>83.32</v>
      </c>
      <c r="D492" s="3">
        <v>49.78</v>
      </c>
    </row>
    <row r="493" spans="1:4" x14ac:dyDescent="0.35">
      <c r="A493" s="5">
        <v>45541</v>
      </c>
      <c r="B493" s="6">
        <v>5408.42</v>
      </c>
      <c r="C493" s="3">
        <v>80.63</v>
      </c>
      <c r="D493" s="3">
        <v>47.14</v>
      </c>
    </row>
    <row r="494" spans="1:4" x14ac:dyDescent="0.35">
      <c r="A494" s="5">
        <v>45548</v>
      </c>
      <c r="B494" s="6">
        <v>5626.02</v>
      </c>
      <c r="C494" s="3">
        <v>79.010000000000005</v>
      </c>
      <c r="D494" s="3">
        <v>46.3</v>
      </c>
    </row>
    <row r="495" spans="1:4" x14ac:dyDescent="0.35">
      <c r="A495" s="5">
        <v>45555</v>
      </c>
      <c r="B495" s="6">
        <v>5702.55</v>
      </c>
      <c r="C495" s="3">
        <v>86.52</v>
      </c>
      <c r="D495" s="3">
        <v>48.88</v>
      </c>
    </row>
    <row r="496" spans="1:4" x14ac:dyDescent="0.35">
      <c r="A496" s="5">
        <v>45562</v>
      </c>
      <c r="B496" s="6">
        <v>5738.17</v>
      </c>
      <c r="C496" s="3">
        <v>89.44</v>
      </c>
      <c r="D496" s="3">
        <v>46.48</v>
      </c>
    </row>
    <row r="497" spans="1:4" x14ac:dyDescent="0.35">
      <c r="A497" s="5">
        <v>45569</v>
      </c>
      <c r="B497" s="6">
        <v>5751.07</v>
      </c>
      <c r="C497" s="3">
        <v>82.25</v>
      </c>
      <c r="D497" s="3">
        <v>45.68</v>
      </c>
    </row>
    <row r="498" spans="1:4" x14ac:dyDescent="0.35">
      <c r="A498" s="5">
        <v>45576</v>
      </c>
      <c r="B498" s="6">
        <v>5815.03</v>
      </c>
      <c r="C498" s="3">
        <v>82.15</v>
      </c>
      <c r="D498" s="3">
        <v>47.87</v>
      </c>
    </row>
    <row r="499" spans="1:4" x14ac:dyDescent="0.35">
      <c r="A499" s="5">
        <v>45583</v>
      </c>
      <c r="B499" s="6">
        <v>5864.67</v>
      </c>
      <c r="C499" s="3">
        <v>82.92</v>
      </c>
      <c r="D499" s="3">
        <v>49.18</v>
      </c>
    </row>
    <row r="500" spans="1:4" x14ac:dyDescent="0.35">
      <c r="A500" s="5">
        <v>45590</v>
      </c>
      <c r="B500" s="6">
        <v>5808.12</v>
      </c>
      <c r="C500" s="3">
        <v>78.849999999999994</v>
      </c>
      <c r="D500" s="3">
        <v>52.07</v>
      </c>
    </row>
    <row r="501" spans="1:4" x14ac:dyDescent="0.35">
      <c r="A501" s="5">
        <v>45597</v>
      </c>
      <c r="B501" s="6">
        <v>5728.8</v>
      </c>
      <c r="C501" s="3">
        <v>78.06</v>
      </c>
      <c r="D501" s="3">
        <v>50.96</v>
      </c>
    </row>
    <row r="502" spans="1:4" x14ac:dyDescent="0.35">
      <c r="A502" s="5">
        <v>45604</v>
      </c>
      <c r="B502" s="6">
        <v>5995.54</v>
      </c>
      <c r="C502" s="3">
        <v>75.88</v>
      </c>
      <c r="D502" s="3">
        <v>55.58</v>
      </c>
    </row>
    <row r="503" spans="1:4" x14ac:dyDescent="0.35">
      <c r="A503" s="5">
        <v>45611</v>
      </c>
      <c r="B503" s="6">
        <v>5870.62</v>
      </c>
      <c r="C503" s="3">
        <v>76.66</v>
      </c>
      <c r="D503" s="3">
        <v>57.04</v>
      </c>
    </row>
    <row r="504" spans="1:4" x14ac:dyDescent="0.35">
      <c r="A504" s="5">
        <v>45618</v>
      </c>
      <c r="B504" s="6">
        <v>5969.34</v>
      </c>
      <c r="C504" s="3">
        <v>77.400000000000006</v>
      </c>
      <c r="D504" s="3">
        <v>58.53</v>
      </c>
    </row>
    <row r="505" spans="1:4" x14ac:dyDescent="0.35">
      <c r="A505" s="5">
        <v>45625</v>
      </c>
      <c r="B505" s="6">
        <v>6032.38</v>
      </c>
      <c r="C505" s="3">
        <v>78.77</v>
      </c>
      <c r="D505" s="3">
        <v>55.59</v>
      </c>
    </row>
    <row r="506" spans="1:4" x14ac:dyDescent="0.35">
      <c r="A506" s="5">
        <v>45632</v>
      </c>
      <c r="B506" s="6">
        <v>6090.27</v>
      </c>
      <c r="C506" s="3">
        <v>78.89</v>
      </c>
      <c r="D506" s="3">
        <v>53.41</v>
      </c>
    </row>
    <row r="507" spans="1:4" x14ac:dyDescent="0.35">
      <c r="A507" s="5">
        <v>45639</v>
      </c>
      <c r="B507" s="6">
        <v>6051.09</v>
      </c>
      <c r="C507" s="3">
        <v>77.25</v>
      </c>
      <c r="D507" s="3">
        <v>52.53</v>
      </c>
    </row>
    <row r="508" spans="1:4" x14ac:dyDescent="0.35">
      <c r="A508" s="5">
        <v>45646</v>
      </c>
      <c r="B508" s="6">
        <v>5930.85</v>
      </c>
      <c r="C508" s="3">
        <v>76.94</v>
      </c>
      <c r="D508" s="3">
        <v>51.81</v>
      </c>
    </row>
    <row r="509" spans="1:4" x14ac:dyDescent="0.35">
      <c r="A509" s="5">
        <v>45653</v>
      </c>
      <c r="B509" s="6">
        <v>5970.84</v>
      </c>
      <c r="C509" s="3">
        <v>76.42</v>
      </c>
      <c r="D509" s="3">
        <v>54.28</v>
      </c>
    </row>
    <row r="510" spans="1:4" x14ac:dyDescent="0.35">
      <c r="A510" s="5">
        <v>45660</v>
      </c>
      <c r="B510" s="6">
        <v>5942.47</v>
      </c>
      <c r="C510" s="3">
        <v>73.31</v>
      </c>
      <c r="D510" s="3">
        <v>51.77</v>
      </c>
    </row>
    <row r="511" spans="1:4" x14ac:dyDescent="0.35">
      <c r="A511" s="5">
        <v>45667</v>
      </c>
      <c r="B511" s="6">
        <v>5827.04</v>
      </c>
      <c r="C511" s="3">
        <v>71.2</v>
      </c>
      <c r="D511" s="3">
        <v>49.85</v>
      </c>
    </row>
    <row r="512" spans="1:4" x14ac:dyDescent="0.35">
      <c r="A512" s="5">
        <v>45674</v>
      </c>
      <c r="B512" s="6">
        <v>5996.66</v>
      </c>
      <c r="C512" s="3">
        <v>70.84</v>
      </c>
      <c r="D512" s="3">
        <v>50.97</v>
      </c>
    </row>
    <row r="513" spans="1:4" x14ac:dyDescent="0.35">
      <c r="A513" s="5">
        <v>45681</v>
      </c>
      <c r="B513" s="6">
        <v>6101.24</v>
      </c>
      <c r="C513" s="3">
        <v>73.569999999999993</v>
      </c>
      <c r="D513" s="3">
        <v>53.91</v>
      </c>
    </row>
    <row r="514" spans="1:4" x14ac:dyDescent="0.35">
      <c r="A514" s="5">
        <v>45688</v>
      </c>
      <c r="B514" s="6">
        <v>6040.53</v>
      </c>
      <c r="C514" s="3">
        <v>76.900000000000006</v>
      </c>
      <c r="D514" s="3">
        <v>49.46</v>
      </c>
    </row>
    <row r="515" spans="1:4" x14ac:dyDescent="0.35">
      <c r="A515" s="5">
        <v>45695</v>
      </c>
      <c r="B515" s="6">
        <v>6025.99</v>
      </c>
      <c r="C515" s="3">
        <v>68.680000000000007</v>
      </c>
      <c r="D515" s="3">
        <v>47.39</v>
      </c>
    </row>
    <row r="516" spans="1:4" x14ac:dyDescent="0.35">
      <c r="A516" s="5">
        <v>45702</v>
      </c>
      <c r="B516" s="6">
        <v>6114.63</v>
      </c>
      <c r="C516" s="3">
        <v>73.040000000000006</v>
      </c>
      <c r="D516" s="3">
        <v>48.37</v>
      </c>
    </row>
    <row r="517" spans="1:4" x14ac:dyDescent="0.35">
      <c r="A517" s="5">
        <v>45709</v>
      </c>
      <c r="B517" s="6">
        <v>6013.13</v>
      </c>
      <c r="C517" s="3">
        <v>76.5</v>
      </c>
      <c r="D517" s="3">
        <v>46.29</v>
      </c>
    </row>
    <row r="518" spans="1:4" x14ac:dyDescent="0.35">
      <c r="A518" s="5">
        <v>45716</v>
      </c>
      <c r="B518" s="6">
        <v>5954.5</v>
      </c>
      <c r="C518" s="3">
        <v>79.430000000000007</v>
      </c>
      <c r="D518" s="3">
        <v>49.13</v>
      </c>
    </row>
    <row r="519" spans="1:4" x14ac:dyDescent="0.35">
      <c r="A519" s="5">
        <v>45723</v>
      </c>
      <c r="B519" s="6">
        <v>5770.2</v>
      </c>
      <c r="C519" s="3">
        <v>78.59</v>
      </c>
      <c r="D519" s="3">
        <v>47.44</v>
      </c>
    </row>
    <row r="520" spans="1:4" x14ac:dyDescent="0.35">
      <c r="A520" s="5">
        <v>45730</v>
      </c>
      <c r="B520" s="6">
        <v>5638.94</v>
      </c>
      <c r="C520" s="3">
        <v>71.66</v>
      </c>
      <c r="D520" s="3">
        <v>48.34</v>
      </c>
    </row>
    <row r="521" spans="1:4" x14ac:dyDescent="0.35">
      <c r="A521" s="5">
        <v>45737</v>
      </c>
      <c r="B521" s="6">
        <v>5667.56</v>
      </c>
      <c r="C521" s="3">
        <v>67.94</v>
      </c>
      <c r="D521" s="3">
        <v>49.8</v>
      </c>
    </row>
    <row r="522" spans="1:4" x14ac:dyDescent="0.35">
      <c r="A522" s="5">
        <v>45744</v>
      </c>
      <c r="B522" s="6">
        <v>5580.94</v>
      </c>
      <c r="C522" s="3">
        <v>63.29</v>
      </c>
      <c r="D522" s="3">
        <v>46.68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7B61-CDC6-4FDE-9B27-1B94004BE4CF}">
  <dimension ref="A1:D122"/>
  <sheetViews>
    <sheetView zoomScale="145" zoomScaleNormal="145" workbookViewId="0">
      <selection activeCell="G8" sqref="G8"/>
    </sheetView>
  </sheetViews>
  <sheetFormatPr defaultRowHeight="14.5" x14ac:dyDescent="0.35"/>
  <cols>
    <col min="1" max="1" width="12.1796875" style="7" customWidth="1"/>
    <col min="2" max="3" width="9.1796875" style="7"/>
  </cols>
  <sheetData>
    <row r="1" spans="1:4" x14ac:dyDescent="0.35">
      <c r="A1" s="4" t="s">
        <v>0</v>
      </c>
      <c r="B1" s="4" t="s">
        <v>1</v>
      </c>
      <c r="C1" s="4" t="s">
        <v>2</v>
      </c>
      <c r="D1" s="1" t="s">
        <v>3</v>
      </c>
    </row>
    <row r="2" spans="1:4" x14ac:dyDescent="0.35">
      <c r="A2" s="5">
        <v>42124</v>
      </c>
      <c r="B2" s="6">
        <v>2085.5100000000002</v>
      </c>
      <c r="C2" s="6">
        <v>49.42</v>
      </c>
      <c r="D2" s="3">
        <v>35.06</v>
      </c>
    </row>
    <row r="3" spans="1:4" x14ac:dyDescent="0.35">
      <c r="A3" s="5">
        <v>42155</v>
      </c>
      <c r="B3" s="6">
        <v>2107.39</v>
      </c>
      <c r="C3" s="6">
        <v>50.835000000000001</v>
      </c>
      <c r="D3" s="3">
        <v>35.97</v>
      </c>
    </row>
    <row r="4" spans="1:4" x14ac:dyDescent="0.35">
      <c r="A4" s="5">
        <v>42185</v>
      </c>
      <c r="B4" s="6">
        <v>2063.11</v>
      </c>
      <c r="C4" s="6">
        <v>54.01</v>
      </c>
      <c r="D4" s="3">
        <v>33.33</v>
      </c>
    </row>
    <row r="5" spans="1:4" x14ac:dyDescent="0.35">
      <c r="A5" s="5">
        <v>42216</v>
      </c>
      <c r="B5" s="6">
        <v>2103.84</v>
      </c>
      <c r="C5" s="6">
        <v>57.61</v>
      </c>
      <c r="D5" s="3">
        <v>31.51</v>
      </c>
    </row>
    <row r="6" spans="1:4" x14ac:dyDescent="0.35">
      <c r="A6" s="5">
        <v>42247</v>
      </c>
      <c r="B6" s="6">
        <v>1972.18</v>
      </c>
      <c r="C6" s="6">
        <v>55.875</v>
      </c>
      <c r="D6" s="3">
        <v>29.44</v>
      </c>
    </row>
    <row r="7" spans="1:4" x14ac:dyDescent="0.35">
      <c r="A7" s="5">
        <v>42277</v>
      </c>
      <c r="B7" s="6">
        <v>1920.03</v>
      </c>
      <c r="C7" s="6">
        <v>61.484999999999999</v>
      </c>
      <c r="D7" s="3">
        <v>30.02</v>
      </c>
    </row>
    <row r="8" spans="1:4" x14ac:dyDescent="0.35">
      <c r="A8" s="5">
        <v>42308</v>
      </c>
      <c r="B8" s="6">
        <v>2079.36</v>
      </c>
      <c r="C8" s="6">
        <v>65.515000000000001</v>
      </c>
      <c r="D8" s="3">
        <v>34.909999999999997</v>
      </c>
    </row>
    <row r="9" spans="1:4" x14ac:dyDescent="0.35">
      <c r="A9" s="5">
        <v>42338</v>
      </c>
      <c r="B9" s="6">
        <v>2080.41</v>
      </c>
      <c r="C9" s="6">
        <v>66.14</v>
      </c>
      <c r="D9" s="3">
        <v>36.200000000000003</v>
      </c>
    </row>
    <row r="10" spans="1:4" x14ac:dyDescent="0.35">
      <c r="A10" s="5">
        <v>42369</v>
      </c>
      <c r="B10" s="6">
        <v>2043.94</v>
      </c>
      <c r="C10" s="6">
        <v>62.5</v>
      </c>
      <c r="D10" s="3">
        <v>34.01</v>
      </c>
    </row>
    <row r="11" spans="1:4" x14ac:dyDescent="0.35">
      <c r="A11" s="5">
        <v>42400</v>
      </c>
      <c r="B11" s="6">
        <v>1940.24</v>
      </c>
      <c r="C11" s="6">
        <v>62.01</v>
      </c>
      <c r="D11" s="3">
        <v>29.64</v>
      </c>
    </row>
    <row r="12" spans="1:4" x14ac:dyDescent="0.35">
      <c r="A12" s="5">
        <v>42429</v>
      </c>
      <c r="B12" s="6">
        <v>1932.23</v>
      </c>
      <c r="C12" s="6">
        <v>61.59</v>
      </c>
      <c r="D12" s="3">
        <v>29.44</v>
      </c>
    </row>
    <row r="13" spans="1:4" x14ac:dyDescent="0.35">
      <c r="A13" s="5">
        <v>42460</v>
      </c>
      <c r="B13" s="6">
        <v>2059.7399999999998</v>
      </c>
      <c r="C13" s="6">
        <v>61.47</v>
      </c>
      <c r="D13" s="3">
        <v>31.43</v>
      </c>
    </row>
    <row r="14" spans="1:4" x14ac:dyDescent="0.35">
      <c r="A14" s="5">
        <v>42490</v>
      </c>
      <c r="B14" s="6">
        <v>2065.3000000000002</v>
      </c>
      <c r="C14" s="6">
        <v>58.94</v>
      </c>
      <c r="D14" s="3">
        <v>31.8</v>
      </c>
    </row>
    <row r="15" spans="1:4" x14ac:dyDescent="0.35">
      <c r="A15" s="5">
        <v>42521</v>
      </c>
      <c r="B15" s="6">
        <v>2096.96</v>
      </c>
      <c r="C15" s="6">
        <v>55.22</v>
      </c>
      <c r="D15" s="3">
        <v>31.28</v>
      </c>
    </row>
    <row r="16" spans="1:4" x14ac:dyDescent="0.35">
      <c r="A16" s="5">
        <v>42551</v>
      </c>
      <c r="B16" s="6">
        <v>2098.86</v>
      </c>
      <c r="C16" s="6">
        <v>55.2</v>
      </c>
      <c r="D16" s="3">
        <v>28.3</v>
      </c>
    </row>
    <row r="17" spans="1:4" x14ac:dyDescent="0.35">
      <c r="A17" s="5">
        <v>42582</v>
      </c>
      <c r="B17" s="6">
        <v>2173.6</v>
      </c>
      <c r="C17" s="6">
        <v>55.5</v>
      </c>
      <c r="D17" s="3">
        <v>31.54</v>
      </c>
    </row>
    <row r="18" spans="1:4" x14ac:dyDescent="0.35">
      <c r="A18" s="5">
        <v>42613</v>
      </c>
      <c r="B18" s="6">
        <v>2170.9499999999998</v>
      </c>
      <c r="C18" s="6">
        <v>57.64</v>
      </c>
      <c r="D18" s="3">
        <v>31.92</v>
      </c>
    </row>
    <row r="19" spans="1:4" x14ac:dyDescent="0.35">
      <c r="A19" s="5">
        <v>42643</v>
      </c>
      <c r="B19" s="6">
        <v>2168.27</v>
      </c>
      <c r="C19" s="6">
        <v>52.65</v>
      </c>
      <c r="D19" s="3">
        <v>31.77</v>
      </c>
    </row>
    <row r="20" spans="1:4" x14ac:dyDescent="0.35">
      <c r="A20" s="5">
        <v>42674</v>
      </c>
      <c r="B20" s="6">
        <v>2126.15</v>
      </c>
      <c r="C20" s="6">
        <v>50.18</v>
      </c>
      <c r="D20" s="3">
        <v>31.6</v>
      </c>
    </row>
    <row r="21" spans="1:4" x14ac:dyDescent="0.35">
      <c r="A21" s="5">
        <v>42704</v>
      </c>
      <c r="B21" s="6">
        <v>2198.81</v>
      </c>
      <c r="C21" s="6">
        <v>50.07</v>
      </c>
      <c r="D21" s="3">
        <v>34.53</v>
      </c>
    </row>
    <row r="22" spans="1:4" x14ac:dyDescent="0.35">
      <c r="A22" s="5">
        <v>42735</v>
      </c>
      <c r="B22" s="6">
        <v>2238.83</v>
      </c>
      <c r="C22" s="6">
        <v>50.83</v>
      </c>
      <c r="D22" s="3">
        <v>34.840000000000003</v>
      </c>
    </row>
    <row r="23" spans="1:4" x14ac:dyDescent="0.35">
      <c r="A23" s="5">
        <v>42766</v>
      </c>
      <c r="B23" s="6">
        <v>2278.87</v>
      </c>
      <c r="C23" s="6">
        <v>52.9</v>
      </c>
      <c r="D23" s="3">
        <v>36.61</v>
      </c>
    </row>
    <row r="24" spans="1:4" x14ac:dyDescent="0.35">
      <c r="A24" s="5">
        <v>42794</v>
      </c>
      <c r="B24" s="6">
        <v>2363.64</v>
      </c>
      <c r="C24" s="6">
        <v>57.16</v>
      </c>
      <c r="D24" s="3">
        <v>36.840000000000003</v>
      </c>
    </row>
    <row r="25" spans="1:4" x14ac:dyDescent="0.35">
      <c r="A25" s="5">
        <v>42825</v>
      </c>
      <c r="B25" s="6">
        <v>2362.7199999999998</v>
      </c>
      <c r="C25" s="6">
        <v>55.73</v>
      </c>
      <c r="D25" s="3">
        <v>35.36</v>
      </c>
    </row>
    <row r="26" spans="1:4" x14ac:dyDescent="0.35">
      <c r="A26" s="5">
        <v>42855</v>
      </c>
      <c r="B26" s="6">
        <v>2384.1999999999998</v>
      </c>
      <c r="C26" s="6">
        <v>55.41</v>
      </c>
      <c r="D26" s="3">
        <v>34.64</v>
      </c>
    </row>
    <row r="27" spans="1:4" x14ac:dyDescent="0.35">
      <c r="A27" s="5">
        <v>42886</v>
      </c>
      <c r="B27" s="6">
        <v>2411.8000000000002</v>
      </c>
      <c r="C27" s="6">
        <v>52.99</v>
      </c>
      <c r="D27" s="3">
        <v>33.93</v>
      </c>
    </row>
    <row r="28" spans="1:4" x14ac:dyDescent="0.35">
      <c r="A28" s="5">
        <v>42916</v>
      </c>
      <c r="B28" s="6">
        <v>2423.41</v>
      </c>
      <c r="C28" s="6">
        <v>59</v>
      </c>
      <c r="D28" s="3">
        <v>34.93</v>
      </c>
    </row>
    <row r="29" spans="1:4" x14ac:dyDescent="0.35">
      <c r="A29" s="5">
        <v>42947</v>
      </c>
      <c r="B29" s="6">
        <v>2470.3000000000002</v>
      </c>
      <c r="C29" s="6">
        <v>59.05</v>
      </c>
      <c r="D29" s="3">
        <v>35.979999999999997</v>
      </c>
    </row>
    <row r="30" spans="1:4" x14ac:dyDescent="0.35">
      <c r="A30" s="5">
        <v>42978</v>
      </c>
      <c r="B30" s="6">
        <v>2471.65</v>
      </c>
      <c r="C30" s="6">
        <v>52.81</v>
      </c>
      <c r="D30" s="3">
        <v>36.54</v>
      </c>
    </row>
    <row r="31" spans="1:4" x14ac:dyDescent="0.35">
      <c r="A31" s="5">
        <v>43008</v>
      </c>
      <c r="B31" s="6">
        <v>2519.36</v>
      </c>
      <c r="C31" s="6">
        <v>51.85</v>
      </c>
      <c r="D31" s="3">
        <v>40.380000000000003</v>
      </c>
    </row>
    <row r="32" spans="1:4" x14ac:dyDescent="0.35">
      <c r="A32" s="5">
        <v>43039</v>
      </c>
      <c r="B32" s="6">
        <v>2575.2600000000002</v>
      </c>
      <c r="C32" s="6">
        <v>54.99</v>
      </c>
      <c r="D32" s="3">
        <v>42.98</v>
      </c>
    </row>
    <row r="33" spans="1:4" x14ac:dyDescent="0.35">
      <c r="A33" s="5">
        <v>43069</v>
      </c>
      <c r="B33" s="6">
        <v>2647.58</v>
      </c>
      <c r="C33" s="6">
        <v>60.42</v>
      </c>
      <c r="D33" s="3">
        <v>43.09</v>
      </c>
    </row>
    <row r="34" spans="1:4" x14ac:dyDescent="0.35">
      <c r="A34" s="5">
        <v>43100</v>
      </c>
      <c r="B34" s="6">
        <v>2673.61</v>
      </c>
      <c r="C34" s="6">
        <v>62.55</v>
      </c>
      <c r="D34" s="3">
        <v>40.99</v>
      </c>
    </row>
    <row r="35" spans="1:4" x14ac:dyDescent="0.35">
      <c r="A35" s="5">
        <v>43131</v>
      </c>
      <c r="B35" s="6">
        <v>2823.81</v>
      </c>
      <c r="C35" s="6">
        <v>68.22</v>
      </c>
      <c r="D35" s="3">
        <v>42.41</v>
      </c>
    </row>
    <row r="36" spans="1:4" x14ac:dyDescent="0.35">
      <c r="A36" s="5">
        <v>43159</v>
      </c>
      <c r="B36" s="6">
        <v>2713.83</v>
      </c>
      <c r="C36" s="6">
        <v>67.03</v>
      </c>
      <c r="D36" s="3">
        <v>39.35</v>
      </c>
    </row>
    <row r="37" spans="1:4" x14ac:dyDescent="0.35">
      <c r="A37" s="5">
        <v>43190</v>
      </c>
      <c r="B37" s="6">
        <v>2640.87</v>
      </c>
      <c r="C37" s="6">
        <v>66.44</v>
      </c>
      <c r="D37" s="3">
        <v>36.340000000000003</v>
      </c>
    </row>
    <row r="38" spans="1:4" x14ac:dyDescent="0.35">
      <c r="A38" s="5">
        <v>43220</v>
      </c>
      <c r="B38" s="6">
        <v>2648.05</v>
      </c>
      <c r="C38" s="6">
        <v>68.39</v>
      </c>
      <c r="D38" s="3">
        <v>36.74</v>
      </c>
    </row>
    <row r="39" spans="1:4" x14ac:dyDescent="0.35">
      <c r="A39" s="5">
        <v>43251</v>
      </c>
      <c r="B39" s="6">
        <v>2705.27</v>
      </c>
      <c r="C39" s="6">
        <v>71.8</v>
      </c>
      <c r="D39" s="3">
        <v>42.7</v>
      </c>
    </row>
    <row r="40" spans="1:4" x14ac:dyDescent="0.35">
      <c r="A40" s="5">
        <v>43281</v>
      </c>
      <c r="B40" s="6">
        <v>2718.37</v>
      </c>
      <c r="C40" s="6">
        <v>79.680000000000007</v>
      </c>
      <c r="D40" s="3">
        <v>39.4</v>
      </c>
    </row>
    <row r="41" spans="1:4" x14ac:dyDescent="0.35">
      <c r="A41" s="5">
        <v>43312</v>
      </c>
      <c r="B41" s="6">
        <v>2816.29</v>
      </c>
      <c r="C41" s="6">
        <v>76.91</v>
      </c>
      <c r="D41" s="3">
        <v>37.909999999999997</v>
      </c>
    </row>
    <row r="42" spans="1:4" x14ac:dyDescent="0.35">
      <c r="A42" s="5">
        <v>43343</v>
      </c>
      <c r="B42" s="6">
        <v>2901.52</v>
      </c>
      <c r="C42" s="6">
        <v>82.2</v>
      </c>
      <c r="D42" s="3">
        <v>36.049999999999997</v>
      </c>
    </row>
    <row r="43" spans="1:4" x14ac:dyDescent="0.35">
      <c r="A43" s="5">
        <v>43373</v>
      </c>
      <c r="B43" s="6">
        <v>2913.98</v>
      </c>
      <c r="C43" s="6">
        <v>84.72</v>
      </c>
      <c r="D43" s="3">
        <v>33.67</v>
      </c>
    </row>
    <row r="44" spans="1:4" x14ac:dyDescent="0.35">
      <c r="A44" s="5">
        <v>43404</v>
      </c>
      <c r="B44" s="6">
        <v>2711.74</v>
      </c>
      <c r="C44" s="6">
        <v>75.040000000000006</v>
      </c>
      <c r="D44" s="3">
        <v>36.590000000000003</v>
      </c>
    </row>
    <row r="45" spans="1:4" x14ac:dyDescent="0.35">
      <c r="A45" s="5">
        <v>43434</v>
      </c>
      <c r="B45" s="6">
        <v>2760.17</v>
      </c>
      <c r="C45" s="6">
        <v>75.12</v>
      </c>
      <c r="D45" s="3">
        <v>37.950000000000003</v>
      </c>
    </row>
    <row r="46" spans="1:4" x14ac:dyDescent="0.35">
      <c r="A46" s="5">
        <v>43465</v>
      </c>
      <c r="B46" s="6">
        <v>2506.85</v>
      </c>
      <c r="C46" s="6">
        <v>74.14</v>
      </c>
      <c r="D46" s="3">
        <v>33.450000000000003</v>
      </c>
    </row>
    <row r="47" spans="1:4" x14ac:dyDescent="0.35">
      <c r="A47" s="5">
        <v>43496</v>
      </c>
      <c r="B47" s="6">
        <v>2704.1</v>
      </c>
      <c r="C47" s="6">
        <v>81.88</v>
      </c>
      <c r="D47" s="3">
        <v>39.020000000000003</v>
      </c>
    </row>
    <row r="48" spans="1:4" x14ac:dyDescent="0.35">
      <c r="A48" s="5">
        <v>43524</v>
      </c>
      <c r="B48" s="6">
        <v>2784.49</v>
      </c>
      <c r="C48" s="6">
        <v>85.73</v>
      </c>
      <c r="D48" s="3">
        <v>39.479999999999997</v>
      </c>
    </row>
    <row r="49" spans="1:4" x14ac:dyDescent="0.35">
      <c r="A49" s="5">
        <v>43555</v>
      </c>
      <c r="B49" s="6">
        <v>2834.4</v>
      </c>
      <c r="C49" s="6">
        <v>84.21</v>
      </c>
      <c r="D49" s="3">
        <v>37.1</v>
      </c>
    </row>
    <row r="50" spans="1:4" x14ac:dyDescent="0.35">
      <c r="A50" s="5">
        <v>43585</v>
      </c>
      <c r="B50" s="6">
        <v>2945.83</v>
      </c>
      <c r="C50" s="6">
        <v>87.83</v>
      </c>
      <c r="D50" s="3">
        <v>38.950000000000003</v>
      </c>
    </row>
    <row r="51" spans="1:4" x14ac:dyDescent="0.35">
      <c r="A51" s="5">
        <v>43616</v>
      </c>
      <c r="B51" s="6">
        <v>2752.06</v>
      </c>
      <c r="C51" s="6">
        <v>77.14</v>
      </c>
      <c r="D51" s="3">
        <v>33.340000000000003</v>
      </c>
    </row>
    <row r="52" spans="1:4" x14ac:dyDescent="0.35">
      <c r="A52" s="5">
        <v>43646</v>
      </c>
      <c r="B52" s="6">
        <v>2941.76</v>
      </c>
      <c r="C52" s="6">
        <v>83.95</v>
      </c>
      <c r="D52" s="3">
        <v>38.53</v>
      </c>
    </row>
    <row r="53" spans="1:4" x14ac:dyDescent="0.35">
      <c r="A53" s="5">
        <v>43677</v>
      </c>
      <c r="B53" s="6">
        <v>2980.38</v>
      </c>
      <c r="C53" s="6">
        <v>86.03</v>
      </c>
      <c r="D53" s="3">
        <v>40.340000000000003</v>
      </c>
    </row>
    <row r="54" spans="1:4" x14ac:dyDescent="0.35">
      <c r="A54" s="5">
        <v>43708</v>
      </c>
      <c r="B54" s="6">
        <v>2926.46</v>
      </c>
      <c r="C54" s="6">
        <v>84.5</v>
      </c>
      <c r="D54" s="3">
        <v>37.090000000000003</v>
      </c>
    </row>
    <row r="55" spans="1:4" x14ac:dyDescent="0.35">
      <c r="A55" s="5">
        <v>43738</v>
      </c>
      <c r="B55" s="6">
        <v>2976.74</v>
      </c>
      <c r="C55" s="6">
        <v>93.92</v>
      </c>
      <c r="D55" s="3">
        <v>37.479999999999997</v>
      </c>
    </row>
    <row r="56" spans="1:4" x14ac:dyDescent="0.35">
      <c r="A56" s="5">
        <v>43769</v>
      </c>
      <c r="B56" s="6">
        <v>3037.56</v>
      </c>
      <c r="C56" s="6">
        <v>89.55</v>
      </c>
      <c r="D56" s="3">
        <v>37.159999999999997</v>
      </c>
    </row>
    <row r="57" spans="1:4" x14ac:dyDescent="0.35">
      <c r="A57" s="5">
        <v>43799</v>
      </c>
      <c r="B57" s="6">
        <v>3140.98</v>
      </c>
      <c r="C57" s="6">
        <v>93.49</v>
      </c>
      <c r="D57" s="3">
        <v>36</v>
      </c>
    </row>
    <row r="58" spans="1:4" x14ac:dyDescent="0.35">
      <c r="A58" s="5">
        <v>43830</v>
      </c>
      <c r="B58" s="6">
        <v>3230.78</v>
      </c>
      <c r="C58" s="6">
        <v>101.31</v>
      </c>
      <c r="D58" s="3">
        <v>36.6</v>
      </c>
    </row>
    <row r="59" spans="1:4" x14ac:dyDescent="0.35">
      <c r="A59" s="5">
        <v>43861</v>
      </c>
      <c r="B59" s="6">
        <v>3225.52</v>
      </c>
      <c r="C59" s="6">
        <v>96.3</v>
      </c>
      <c r="D59" s="3">
        <v>33.39</v>
      </c>
    </row>
    <row r="60" spans="1:4" x14ac:dyDescent="0.35">
      <c r="A60" s="5">
        <v>43890</v>
      </c>
      <c r="B60" s="6">
        <v>2954.22</v>
      </c>
      <c r="C60" s="6">
        <v>89.38</v>
      </c>
      <c r="D60" s="3">
        <v>30.5</v>
      </c>
    </row>
    <row r="61" spans="1:4" x14ac:dyDescent="0.35">
      <c r="A61" s="5">
        <v>43921</v>
      </c>
      <c r="B61" s="6">
        <v>2584.59</v>
      </c>
      <c r="C61" s="6">
        <v>82.74</v>
      </c>
      <c r="D61" s="3">
        <v>20.78</v>
      </c>
    </row>
    <row r="62" spans="1:4" x14ac:dyDescent="0.35">
      <c r="A62" s="5">
        <v>43951</v>
      </c>
      <c r="B62" s="6">
        <v>2912.43</v>
      </c>
      <c r="C62" s="6">
        <v>87.18</v>
      </c>
      <c r="D62" s="3">
        <v>22.29</v>
      </c>
    </row>
    <row r="63" spans="1:4" x14ac:dyDescent="0.35">
      <c r="A63" s="5">
        <v>43982</v>
      </c>
      <c r="B63" s="6">
        <v>3044.31</v>
      </c>
      <c r="C63" s="6">
        <v>98.58</v>
      </c>
      <c r="D63" s="3">
        <v>25.88</v>
      </c>
    </row>
    <row r="64" spans="1:4" x14ac:dyDescent="0.35">
      <c r="A64" s="5">
        <v>44012</v>
      </c>
      <c r="B64" s="6">
        <v>3100.29</v>
      </c>
      <c r="C64" s="6">
        <v>98.05</v>
      </c>
      <c r="D64" s="3">
        <v>25.3</v>
      </c>
    </row>
    <row r="65" spans="1:4" x14ac:dyDescent="0.35">
      <c r="A65" s="5">
        <v>44043</v>
      </c>
      <c r="B65" s="6">
        <v>3271.12</v>
      </c>
      <c r="C65" s="6">
        <v>97.61</v>
      </c>
      <c r="D65" s="3">
        <v>24.89</v>
      </c>
    </row>
    <row r="66" spans="1:4" x14ac:dyDescent="0.35">
      <c r="A66" s="5">
        <v>44074</v>
      </c>
      <c r="B66" s="6">
        <v>3500.31</v>
      </c>
      <c r="C66" s="6">
        <v>111.89</v>
      </c>
      <c r="D66" s="3">
        <v>29.63</v>
      </c>
    </row>
    <row r="67" spans="1:4" x14ac:dyDescent="0.35">
      <c r="A67" s="5">
        <v>44104</v>
      </c>
      <c r="B67" s="6">
        <v>3363</v>
      </c>
      <c r="C67" s="6">
        <v>125.54</v>
      </c>
      <c r="D67" s="3">
        <v>29.59</v>
      </c>
    </row>
    <row r="68" spans="1:4" x14ac:dyDescent="0.35">
      <c r="A68" s="5">
        <v>44135</v>
      </c>
      <c r="B68" s="6">
        <v>3269.96</v>
      </c>
      <c r="C68" s="6">
        <v>120.08</v>
      </c>
      <c r="D68" s="3">
        <v>34.53</v>
      </c>
    </row>
    <row r="69" spans="1:4" x14ac:dyDescent="0.35">
      <c r="A69" s="5">
        <v>44165</v>
      </c>
      <c r="B69" s="6">
        <v>3621.63</v>
      </c>
      <c r="C69" s="6">
        <v>134.69999999999999</v>
      </c>
      <c r="D69" s="3">
        <v>43.84</v>
      </c>
    </row>
    <row r="70" spans="1:4" x14ac:dyDescent="0.35">
      <c r="A70" s="5">
        <v>44196</v>
      </c>
      <c r="B70" s="6">
        <v>3756.07</v>
      </c>
      <c r="C70" s="6">
        <v>141.47</v>
      </c>
      <c r="D70" s="3">
        <v>41.64</v>
      </c>
    </row>
    <row r="71" spans="1:4" x14ac:dyDescent="0.35">
      <c r="A71" s="5">
        <v>44227</v>
      </c>
      <c r="B71" s="6">
        <v>3714.24</v>
      </c>
      <c r="C71" s="6">
        <v>133.59</v>
      </c>
      <c r="D71" s="3">
        <v>50.68</v>
      </c>
    </row>
    <row r="72" spans="1:4" x14ac:dyDescent="0.35">
      <c r="A72" s="5">
        <v>44255</v>
      </c>
      <c r="B72" s="6">
        <v>3811.15</v>
      </c>
      <c r="C72" s="6">
        <v>134.78</v>
      </c>
      <c r="D72" s="3">
        <v>51.33</v>
      </c>
    </row>
    <row r="73" spans="1:4" x14ac:dyDescent="0.35">
      <c r="A73" s="5">
        <v>44286</v>
      </c>
      <c r="B73" s="6">
        <v>3972.89</v>
      </c>
      <c r="C73" s="6">
        <v>132.88999999999999</v>
      </c>
      <c r="D73" s="3">
        <v>57.46</v>
      </c>
    </row>
    <row r="74" spans="1:4" x14ac:dyDescent="0.35">
      <c r="A74" s="5">
        <v>44316</v>
      </c>
      <c r="B74" s="6">
        <v>4181.17</v>
      </c>
      <c r="C74" s="6">
        <v>132.62</v>
      </c>
      <c r="D74" s="3">
        <v>57.22</v>
      </c>
    </row>
    <row r="75" spans="1:4" x14ac:dyDescent="0.35">
      <c r="A75" s="5">
        <v>44347</v>
      </c>
      <c r="B75" s="6">
        <v>4204.1099999999997</v>
      </c>
      <c r="C75" s="6">
        <v>136.46</v>
      </c>
      <c r="D75" s="3">
        <v>59.31</v>
      </c>
    </row>
    <row r="76" spans="1:4" x14ac:dyDescent="0.35">
      <c r="A76" s="5">
        <v>44377</v>
      </c>
      <c r="B76" s="6">
        <v>4297.5</v>
      </c>
      <c r="C76" s="6">
        <v>154.49</v>
      </c>
      <c r="D76" s="3">
        <v>59.17</v>
      </c>
    </row>
    <row r="77" spans="1:4" x14ac:dyDescent="0.35">
      <c r="A77" s="5">
        <v>44408</v>
      </c>
      <c r="B77" s="6">
        <v>4395.26</v>
      </c>
      <c r="C77" s="6">
        <v>167.51</v>
      </c>
      <c r="D77" s="3">
        <v>56.84</v>
      </c>
    </row>
    <row r="78" spans="1:4" x14ac:dyDescent="0.35">
      <c r="A78" s="5">
        <v>44439</v>
      </c>
      <c r="B78" s="6">
        <v>4522.68</v>
      </c>
      <c r="C78" s="6">
        <v>164.74</v>
      </c>
      <c r="D78" s="3">
        <v>49.01</v>
      </c>
    </row>
    <row r="79" spans="1:4" x14ac:dyDescent="0.35">
      <c r="A79" s="5">
        <v>44469</v>
      </c>
      <c r="B79" s="6">
        <v>4307.54</v>
      </c>
      <c r="C79" s="6">
        <v>145.22999999999999</v>
      </c>
      <c r="D79" s="3">
        <v>52.71</v>
      </c>
    </row>
    <row r="80" spans="1:4" x14ac:dyDescent="0.35">
      <c r="A80" s="5">
        <v>44500</v>
      </c>
      <c r="B80" s="6">
        <v>4605.38</v>
      </c>
      <c r="C80" s="6">
        <v>167.29</v>
      </c>
      <c r="D80" s="3">
        <v>54.43</v>
      </c>
    </row>
    <row r="81" spans="1:4" x14ac:dyDescent="0.35">
      <c r="A81" s="5">
        <v>44530</v>
      </c>
      <c r="B81" s="6">
        <v>4567</v>
      </c>
      <c r="C81" s="6">
        <v>169.24</v>
      </c>
      <c r="D81" s="3">
        <v>57.87</v>
      </c>
    </row>
    <row r="82" spans="1:4" x14ac:dyDescent="0.35">
      <c r="A82" s="5">
        <v>44561</v>
      </c>
      <c r="B82" s="6">
        <v>4766.18</v>
      </c>
      <c r="C82" s="6">
        <v>166.67</v>
      </c>
      <c r="D82" s="3">
        <v>58.63</v>
      </c>
    </row>
    <row r="83" spans="1:4" x14ac:dyDescent="0.35">
      <c r="A83" s="5">
        <v>44592</v>
      </c>
      <c r="B83" s="6">
        <v>4515.55</v>
      </c>
      <c r="C83" s="6">
        <v>148.07</v>
      </c>
      <c r="D83" s="3">
        <v>52.73</v>
      </c>
    </row>
    <row r="84" spans="1:4" x14ac:dyDescent="0.35">
      <c r="A84" s="5">
        <v>44620</v>
      </c>
      <c r="B84" s="6">
        <v>4373.9399999999996</v>
      </c>
      <c r="C84" s="6">
        <v>136.55000000000001</v>
      </c>
      <c r="D84" s="3">
        <v>46.72</v>
      </c>
    </row>
    <row r="85" spans="1:4" x14ac:dyDescent="0.35">
      <c r="A85" s="5">
        <v>44651</v>
      </c>
      <c r="B85" s="6">
        <v>4530.41</v>
      </c>
      <c r="C85" s="6">
        <v>134.56</v>
      </c>
      <c r="D85" s="3">
        <v>43.74</v>
      </c>
    </row>
    <row r="86" spans="1:4" x14ac:dyDescent="0.35">
      <c r="A86" s="5">
        <v>44681</v>
      </c>
      <c r="B86" s="6">
        <v>4131.93</v>
      </c>
      <c r="C86" s="6">
        <v>124.7</v>
      </c>
      <c r="D86" s="3">
        <v>37.909999999999997</v>
      </c>
    </row>
    <row r="87" spans="1:4" x14ac:dyDescent="0.35">
      <c r="A87" s="5">
        <v>44712</v>
      </c>
      <c r="B87" s="6">
        <v>4132.1499999999996</v>
      </c>
      <c r="C87" s="6">
        <v>118.85</v>
      </c>
      <c r="D87" s="3">
        <v>38.68</v>
      </c>
    </row>
    <row r="88" spans="1:4" x14ac:dyDescent="0.35">
      <c r="A88" s="5">
        <v>44742</v>
      </c>
      <c r="B88" s="6">
        <v>3785.38</v>
      </c>
      <c r="C88" s="6">
        <v>102.2</v>
      </c>
      <c r="D88" s="3">
        <v>31.76</v>
      </c>
    </row>
    <row r="89" spans="1:4" x14ac:dyDescent="0.35">
      <c r="A89" s="5">
        <v>44773</v>
      </c>
      <c r="B89" s="6">
        <v>4130.29</v>
      </c>
      <c r="C89" s="6">
        <v>114.92</v>
      </c>
      <c r="D89" s="3">
        <v>36.26</v>
      </c>
    </row>
    <row r="90" spans="1:4" x14ac:dyDescent="0.35">
      <c r="A90" s="5">
        <v>44804</v>
      </c>
      <c r="B90" s="6">
        <v>3955</v>
      </c>
      <c r="C90" s="6">
        <v>106.45</v>
      </c>
      <c r="D90" s="3">
        <v>38.21</v>
      </c>
    </row>
    <row r="91" spans="1:4" x14ac:dyDescent="0.35">
      <c r="A91" s="5">
        <v>44834</v>
      </c>
      <c r="B91" s="6">
        <v>3585.62</v>
      </c>
      <c r="C91" s="6">
        <v>83.12</v>
      </c>
      <c r="D91" s="3">
        <v>32.090000000000003</v>
      </c>
    </row>
    <row r="92" spans="1:4" x14ac:dyDescent="0.35">
      <c r="A92" s="5">
        <v>44865</v>
      </c>
      <c r="B92" s="6">
        <v>3871.98</v>
      </c>
      <c r="C92" s="6">
        <v>92.68</v>
      </c>
      <c r="D92" s="3">
        <v>39.25</v>
      </c>
    </row>
    <row r="93" spans="1:4" x14ac:dyDescent="0.35">
      <c r="A93" s="5">
        <v>44895</v>
      </c>
      <c r="B93" s="6">
        <v>4080.11</v>
      </c>
      <c r="C93" s="6">
        <v>109.69</v>
      </c>
      <c r="D93" s="3">
        <v>40.56</v>
      </c>
    </row>
    <row r="94" spans="1:4" x14ac:dyDescent="0.35">
      <c r="A94" s="5">
        <v>44926</v>
      </c>
      <c r="B94" s="6">
        <v>3839.5</v>
      </c>
      <c r="C94" s="6">
        <v>117.01</v>
      </c>
      <c r="D94" s="3">
        <v>33.64</v>
      </c>
    </row>
    <row r="95" spans="1:4" x14ac:dyDescent="0.35">
      <c r="A95" s="5">
        <v>44957</v>
      </c>
      <c r="B95" s="6">
        <v>4076.6</v>
      </c>
      <c r="C95" s="6">
        <v>127.33</v>
      </c>
      <c r="D95" s="3">
        <v>39.32</v>
      </c>
    </row>
    <row r="96" spans="1:4" x14ac:dyDescent="0.35">
      <c r="A96" s="5">
        <v>44985</v>
      </c>
      <c r="B96" s="6">
        <v>3970.15</v>
      </c>
      <c r="C96" s="6">
        <v>118.79</v>
      </c>
      <c r="D96" s="3">
        <v>38.74</v>
      </c>
    </row>
    <row r="97" spans="1:4" x14ac:dyDescent="0.35">
      <c r="A97" s="5">
        <v>45016</v>
      </c>
      <c r="B97" s="6">
        <v>4109.3100000000004</v>
      </c>
      <c r="C97" s="6">
        <v>122.64</v>
      </c>
      <c r="D97" s="3">
        <v>36.68</v>
      </c>
    </row>
    <row r="98" spans="1:4" x14ac:dyDescent="0.35">
      <c r="A98" s="5">
        <v>45046</v>
      </c>
      <c r="B98" s="6">
        <v>4169.4799999999996</v>
      </c>
      <c r="C98" s="6">
        <v>126.72</v>
      </c>
      <c r="D98" s="3">
        <v>33.04</v>
      </c>
    </row>
    <row r="99" spans="1:4" x14ac:dyDescent="0.35">
      <c r="A99" s="5">
        <v>45077</v>
      </c>
      <c r="B99" s="6">
        <v>4179.83</v>
      </c>
      <c r="C99" s="6">
        <v>105.26</v>
      </c>
      <c r="D99" s="3">
        <v>32.409999999999997</v>
      </c>
    </row>
    <row r="100" spans="1:4" x14ac:dyDescent="0.35">
      <c r="A100" s="5">
        <v>45107</v>
      </c>
      <c r="B100" s="6">
        <v>4450.38</v>
      </c>
      <c r="C100" s="6">
        <v>110.37</v>
      </c>
      <c r="D100" s="3">
        <v>38.56</v>
      </c>
    </row>
    <row r="101" spans="1:4" x14ac:dyDescent="0.35">
      <c r="A101" s="5">
        <v>45138</v>
      </c>
      <c r="B101" s="6">
        <v>4588.96</v>
      </c>
      <c r="C101" s="6">
        <v>110.39</v>
      </c>
      <c r="D101" s="3">
        <v>38.369999999999997</v>
      </c>
    </row>
    <row r="102" spans="1:4" x14ac:dyDescent="0.35">
      <c r="A102" s="5">
        <v>45169</v>
      </c>
      <c r="B102" s="6">
        <v>4507.66</v>
      </c>
      <c r="C102" s="6">
        <v>101.71</v>
      </c>
      <c r="D102" s="3">
        <v>33.51</v>
      </c>
    </row>
    <row r="103" spans="1:4" x14ac:dyDescent="0.35">
      <c r="A103" s="5">
        <v>45199</v>
      </c>
      <c r="B103" s="6">
        <v>4288.05</v>
      </c>
      <c r="C103" s="6">
        <v>95.62</v>
      </c>
      <c r="D103" s="3">
        <v>32.97</v>
      </c>
    </row>
    <row r="104" spans="1:4" x14ac:dyDescent="0.35">
      <c r="A104" s="5">
        <v>45230</v>
      </c>
      <c r="B104" s="6">
        <v>4193.8</v>
      </c>
      <c r="C104" s="6">
        <v>102.77</v>
      </c>
      <c r="D104" s="3">
        <v>28.2</v>
      </c>
    </row>
    <row r="105" spans="1:4" x14ac:dyDescent="0.35">
      <c r="A105" s="5">
        <v>45260</v>
      </c>
      <c r="B105" s="6">
        <v>4567.8</v>
      </c>
      <c r="C105" s="6">
        <v>110.27</v>
      </c>
      <c r="D105" s="3">
        <v>31.6</v>
      </c>
    </row>
    <row r="106" spans="1:4" x14ac:dyDescent="0.35">
      <c r="A106" s="5">
        <v>45291</v>
      </c>
      <c r="B106" s="6">
        <v>4769.83</v>
      </c>
      <c r="C106" s="6">
        <v>108.57</v>
      </c>
      <c r="D106" s="3">
        <v>35.92</v>
      </c>
    </row>
    <row r="107" spans="1:4" x14ac:dyDescent="0.35">
      <c r="A107" s="5">
        <v>45322</v>
      </c>
      <c r="B107" s="6">
        <v>4845.6499999999996</v>
      </c>
      <c r="C107" s="6">
        <v>101.53</v>
      </c>
      <c r="D107" s="3">
        <v>38.799999999999997</v>
      </c>
    </row>
    <row r="108" spans="1:4" x14ac:dyDescent="0.35">
      <c r="A108" s="5">
        <v>45351</v>
      </c>
      <c r="B108" s="6">
        <v>5096.2700000000004</v>
      </c>
      <c r="C108" s="6">
        <v>103.93</v>
      </c>
      <c r="D108" s="3">
        <v>40.98</v>
      </c>
    </row>
    <row r="109" spans="1:4" x14ac:dyDescent="0.35">
      <c r="A109" s="5">
        <v>45382</v>
      </c>
      <c r="B109" s="6">
        <v>5254.35</v>
      </c>
      <c r="C109" s="6">
        <v>93.98</v>
      </c>
      <c r="D109" s="3">
        <v>45.35</v>
      </c>
    </row>
    <row r="110" spans="1:4" x14ac:dyDescent="0.35">
      <c r="A110" s="5">
        <v>45412</v>
      </c>
      <c r="B110" s="6">
        <v>5035.6899999999996</v>
      </c>
      <c r="C110" s="6">
        <v>92.26</v>
      </c>
      <c r="D110" s="3">
        <v>44.53</v>
      </c>
    </row>
    <row r="111" spans="1:4" x14ac:dyDescent="0.35">
      <c r="A111" s="5">
        <v>45443</v>
      </c>
      <c r="B111" s="6">
        <v>5277.51</v>
      </c>
      <c r="C111" s="6">
        <v>95.05</v>
      </c>
      <c r="D111" s="3">
        <v>44.99</v>
      </c>
    </row>
    <row r="112" spans="1:4" x14ac:dyDescent="0.35">
      <c r="A112" s="5">
        <v>45473</v>
      </c>
      <c r="B112" s="6">
        <v>5460.48</v>
      </c>
      <c r="C112" s="6">
        <v>75.37</v>
      </c>
      <c r="D112" s="3">
        <v>46.46</v>
      </c>
    </row>
    <row r="113" spans="1:4" x14ac:dyDescent="0.35">
      <c r="A113" s="5">
        <v>45504</v>
      </c>
      <c r="B113" s="6">
        <v>5522.3</v>
      </c>
      <c r="C113" s="6">
        <v>74.86</v>
      </c>
      <c r="D113" s="3">
        <v>44.32</v>
      </c>
    </row>
    <row r="114" spans="1:4" x14ac:dyDescent="0.35">
      <c r="A114" s="5">
        <v>45535</v>
      </c>
      <c r="B114" s="6">
        <v>5648.4</v>
      </c>
      <c r="C114" s="6">
        <v>83.32</v>
      </c>
      <c r="D114" s="3">
        <v>49.78</v>
      </c>
    </row>
    <row r="115" spans="1:4" x14ac:dyDescent="0.35">
      <c r="A115" s="5">
        <v>45565</v>
      </c>
      <c r="B115" s="6">
        <v>5762.48</v>
      </c>
      <c r="C115" s="6">
        <v>88.4</v>
      </c>
      <c r="D115" s="3">
        <v>44.84</v>
      </c>
    </row>
    <row r="116" spans="1:4" x14ac:dyDescent="0.35">
      <c r="A116" s="5">
        <v>45596</v>
      </c>
      <c r="B116" s="6">
        <v>5705.45</v>
      </c>
      <c r="C116" s="6">
        <v>77.13</v>
      </c>
      <c r="D116" s="3">
        <v>50.76</v>
      </c>
    </row>
    <row r="117" spans="1:4" x14ac:dyDescent="0.35">
      <c r="A117" s="5">
        <v>45626</v>
      </c>
      <c r="B117" s="6">
        <v>6032.38</v>
      </c>
      <c r="C117" s="6">
        <v>78.77</v>
      </c>
      <c r="D117" s="3">
        <v>55.59</v>
      </c>
    </row>
    <row r="118" spans="1:4" x14ac:dyDescent="0.35">
      <c r="A118" s="5">
        <v>45657</v>
      </c>
      <c r="B118" s="6">
        <v>5881.63</v>
      </c>
      <c r="C118" s="6">
        <v>75.67</v>
      </c>
      <c r="D118" s="3">
        <v>53.27</v>
      </c>
    </row>
    <row r="119" spans="1:4" x14ac:dyDescent="0.35">
      <c r="A119" s="5">
        <v>45688</v>
      </c>
      <c r="B119" s="6">
        <v>6040.53</v>
      </c>
      <c r="C119" s="6">
        <v>76.900000000000006</v>
      </c>
      <c r="D119" s="3">
        <v>49.46</v>
      </c>
    </row>
    <row r="120" spans="1:4" x14ac:dyDescent="0.35">
      <c r="A120" s="5">
        <v>45716</v>
      </c>
      <c r="B120" s="6">
        <v>5954.5</v>
      </c>
      <c r="C120" s="6">
        <v>79.430000000000007</v>
      </c>
      <c r="D120" s="3">
        <v>49.13</v>
      </c>
    </row>
    <row r="121" spans="1:4" x14ac:dyDescent="0.35">
      <c r="A121" s="5">
        <v>45747</v>
      </c>
      <c r="B121" s="6">
        <v>5611.85</v>
      </c>
      <c r="C121" s="6">
        <v>63.48</v>
      </c>
      <c r="D121" s="3">
        <v>47.03</v>
      </c>
    </row>
    <row r="122" spans="1:4" x14ac:dyDescent="0.35">
      <c r="A122" s="5">
        <v>45777</v>
      </c>
      <c r="B122" s="6">
        <v>5180</v>
      </c>
      <c r="C122" s="6">
        <v>57.93</v>
      </c>
      <c r="D122" s="3">
        <v>44.18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daily</vt:lpstr>
      <vt:lpstr>Sheet4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Jesús Cuauhtémoc Téllez Gaytán</cp:lastModifiedBy>
  <dcterms:created xsi:type="dcterms:W3CDTF">2025-04-05T01:16:17Z</dcterms:created>
  <dcterms:modified xsi:type="dcterms:W3CDTF">2025-04-05T20:10:42Z</dcterms:modified>
</cp:coreProperties>
</file>