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garcia\Desktop\AXM_Courses\Finance\1 Matematicas Financieras\"/>
    </mc:Choice>
  </mc:AlternateContent>
  <xr:revisionPtr revIDLastSave="0" documentId="13_ncr:1_{A977FACC-569A-4BE6-934A-8A62585B69DC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22-Amortizacion Gradual Frances" sheetId="1" r:id="rId1"/>
    <sheet name="23Amortizacion Constante Alem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6" i="2"/>
  <c r="C15" i="2"/>
  <c r="C14" i="2"/>
  <c r="F14" i="2"/>
  <c r="E15" i="2"/>
  <c r="E14" i="2"/>
  <c r="D16" i="2"/>
  <c r="D15" i="2"/>
  <c r="D14" i="2"/>
  <c r="C9" i="2"/>
  <c r="C5" i="2"/>
  <c r="C10" i="2"/>
  <c r="E31" i="2" s="1"/>
  <c r="F13" i="2"/>
  <c r="C8" i="2"/>
  <c r="F13" i="1"/>
  <c r="D14" i="1" s="1"/>
  <c r="C5" i="1"/>
  <c r="C8" i="1" s="1"/>
  <c r="C9" i="1" s="1"/>
  <c r="C10" i="1" s="1"/>
  <c r="C16" i="1" s="1"/>
  <c r="E30" i="2" l="1"/>
  <c r="E33" i="2"/>
  <c r="E28" i="2"/>
  <c r="E27" i="2"/>
  <c r="E16" i="2"/>
  <c r="E23" i="2"/>
  <c r="E19" i="2"/>
  <c r="E17" i="2"/>
  <c r="E35" i="2"/>
  <c r="E18" i="2"/>
  <c r="E29" i="2"/>
  <c r="E26" i="2"/>
  <c r="E37" i="2"/>
  <c r="E25" i="2"/>
  <c r="E36" i="2"/>
  <c r="E24" i="2"/>
  <c r="E34" i="2"/>
  <c r="E22" i="2"/>
  <c r="E21" i="2"/>
  <c r="E32" i="2"/>
  <c r="E20" i="2"/>
  <c r="C15" i="1"/>
  <c r="C17" i="1"/>
  <c r="C18" i="1"/>
  <c r="C19" i="1"/>
  <c r="C20" i="1"/>
  <c r="C21" i="1"/>
  <c r="C14" i="1"/>
  <c r="E14" i="1" l="1"/>
  <c r="C23" i="1"/>
  <c r="E39" i="2"/>
  <c r="F14" i="1" l="1"/>
  <c r="D15" i="1" s="1"/>
  <c r="F15" i="2"/>
  <c r="F16" i="2"/>
  <c r="D17" i="2" s="1"/>
  <c r="H17" i="2" l="1"/>
  <c r="E15" i="1"/>
  <c r="H16" i="2"/>
  <c r="F17" i="2"/>
  <c r="D18" i="2" s="1"/>
  <c r="C18" i="2" s="1"/>
  <c r="H18" i="2" l="1"/>
  <c r="F15" i="1"/>
  <c r="D16" i="1" s="1"/>
  <c r="H15" i="2"/>
  <c r="F18" i="2"/>
  <c r="D19" i="2" s="1"/>
  <c r="C19" i="2" s="1"/>
  <c r="H19" i="2" l="1"/>
  <c r="E16" i="1"/>
  <c r="F19" i="2"/>
  <c r="D20" i="2" s="1"/>
  <c r="C20" i="2" s="1"/>
  <c r="H20" i="2" l="1"/>
  <c r="F16" i="1"/>
  <c r="F20" i="2"/>
  <c r="D21" i="2" s="1"/>
  <c r="C21" i="2" s="1"/>
  <c r="H21" i="2" l="1"/>
  <c r="D17" i="1"/>
  <c r="F21" i="2"/>
  <c r="E17" i="1" l="1"/>
  <c r="D22" i="2"/>
  <c r="C22" i="2" s="1"/>
  <c r="F22" i="2"/>
  <c r="H22" i="2" l="1"/>
  <c r="F17" i="1"/>
  <c r="D18" i="1" s="1"/>
  <c r="E18" i="1" s="1"/>
  <c r="F18" i="1" s="1"/>
  <c r="D19" i="1" s="1"/>
  <c r="E19" i="1" s="1"/>
  <c r="F19" i="1" s="1"/>
  <c r="D20" i="1" s="1"/>
  <c r="E20" i="1" s="1"/>
  <c r="F20" i="1" s="1"/>
  <c r="D21" i="1" s="1"/>
  <c r="F23" i="2"/>
  <c r="D23" i="2"/>
  <c r="C23" i="2" s="1"/>
  <c r="H23" i="2" l="1"/>
  <c r="E21" i="1"/>
  <c r="F21" i="1" s="1"/>
  <c r="D23" i="1"/>
  <c r="E23" i="1"/>
  <c r="F24" i="2"/>
  <c r="D24" i="2"/>
  <c r="C24" i="2" s="1"/>
  <c r="H24" i="2" l="1"/>
  <c r="E27" i="1"/>
  <c r="F25" i="2"/>
  <c r="D25" i="2"/>
  <c r="C25" i="2" s="1"/>
  <c r="H25" i="2" l="1"/>
  <c r="D26" i="2"/>
  <c r="C26" i="2" s="1"/>
  <c r="F26" i="2"/>
  <c r="H26" i="2" l="1"/>
  <c r="F27" i="2"/>
  <c r="D27" i="2"/>
  <c r="C27" i="2" s="1"/>
  <c r="H27" i="2" l="1"/>
  <c r="F28" i="2"/>
  <c r="D28" i="2"/>
  <c r="C28" i="2" s="1"/>
  <c r="H28" i="2" l="1"/>
  <c r="F29" i="2"/>
  <c r="D29" i="2"/>
  <c r="C29" i="2" s="1"/>
  <c r="H29" i="2" l="1"/>
  <c r="F30" i="2"/>
  <c r="D30" i="2"/>
  <c r="C30" i="2" s="1"/>
  <c r="H30" i="2" l="1"/>
  <c r="F31" i="2"/>
  <c r="D31" i="2"/>
  <c r="C31" i="2" s="1"/>
  <c r="H31" i="2" l="1"/>
  <c r="F32" i="2"/>
  <c r="D32" i="2"/>
  <c r="C32" i="2" s="1"/>
  <c r="H32" i="2" l="1"/>
  <c r="D33" i="2"/>
  <c r="C33" i="2" s="1"/>
  <c r="F33" i="2"/>
  <c r="H33" i="2" l="1"/>
  <c r="F34" i="2"/>
  <c r="D34" i="2"/>
  <c r="C34" i="2" s="1"/>
  <c r="H34" i="2" l="1"/>
  <c r="F35" i="2"/>
  <c r="D35" i="2"/>
  <c r="C35" i="2" s="1"/>
  <c r="H35" i="2" l="1"/>
  <c r="D36" i="2"/>
  <c r="C36" i="2" s="1"/>
  <c r="F36" i="2"/>
  <c r="H36" i="2" l="1"/>
  <c r="F37" i="2"/>
  <c r="D37" i="2"/>
  <c r="C37" i="2" l="1"/>
  <c r="H37" i="2" s="1"/>
  <c r="D39" i="2"/>
  <c r="E43" i="2" s="1"/>
  <c r="C3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Enrique Garcia</author>
  </authors>
  <commentList>
    <comment ref="C37" authorId="0" shapeId="0" xr:uid="{B11BDF21-49B4-449B-9059-7ED92974F829}">
      <text>
        <r>
          <rPr>
            <b/>
            <sz val="9"/>
            <color indexed="81"/>
            <rFont val="Tahoma"/>
            <family val="2"/>
          </rPr>
          <t>Enrique Garcia:</t>
        </r>
        <r>
          <rPr>
            <sz val="9"/>
            <color indexed="81"/>
            <rFont val="Tahoma"/>
            <family val="2"/>
          </rPr>
          <t xml:space="preserve">
Calculado a mano en el ejercicio</t>
        </r>
      </text>
    </comment>
  </commentList>
</comments>
</file>

<file path=xl/sharedStrings.xml><?xml version="1.0" encoding="utf-8"?>
<sst xmlns="http://schemas.openxmlformats.org/spreadsheetml/2006/main" count="51" uniqueCount="33">
  <si>
    <t>tasa de interes annual</t>
  </si>
  <si>
    <t>frecuencia de capitalizacion</t>
  </si>
  <si>
    <t>(mensual)</t>
  </si>
  <si>
    <t>tasa efectiva</t>
  </si>
  <si>
    <t>periodos (n de pagos)</t>
  </si>
  <si>
    <t>credito</t>
  </si>
  <si>
    <t>rentas</t>
  </si>
  <si>
    <t>periodo</t>
  </si>
  <si>
    <t>Amortizacion</t>
  </si>
  <si>
    <t>anualidades vencidas</t>
  </si>
  <si>
    <t>Amortizacion Constante</t>
  </si>
  <si>
    <t>rentas fijas</t>
  </si>
  <si>
    <t>El total de lo</t>
  </si>
  <si>
    <t>pagado al banco</t>
  </si>
  <si>
    <t>Los intereses pagados</t>
  </si>
  <si>
    <t>El capital pagado</t>
  </si>
  <si>
    <t>incluye capital</t>
  </si>
  <si>
    <t>e intereses</t>
  </si>
  <si>
    <t>factor de descuento (V)</t>
  </si>
  <si>
    <t>anualidad (a_8)</t>
  </si>
  <si>
    <t>capital + intereses</t>
  </si>
  <si>
    <t>Renta
(pagos iguales)</t>
  </si>
  <si>
    <t>Interes
(van bajando)</t>
  </si>
  <si>
    <t>Amortizacion
(va aumentando)</t>
  </si>
  <si>
    <t>Saldo Insoluto
(va bajando)</t>
  </si>
  <si>
    <t>Renta
(va bajando)</t>
  </si>
  <si>
    <t>Amortizacion
(es igual)</t>
  </si>
  <si>
    <r>
      <rPr>
        <b/>
        <sz val="16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la diferencia entre dos rentas en la formula</t>
    </r>
  </si>
  <si>
    <t>[Ejercicio 23]</t>
  </si>
  <si>
    <t>[Ejercicio 22]</t>
  </si>
  <si>
    <r>
      <t xml:space="preserve">SISTEMA DE AMORTIZACION </t>
    </r>
    <r>
      <rPr>
        <b/>
        <sz val="11"/>
        <color rgb="FF00B050"/>
        <rFont val="Calibri"/>
        <family val="2"/>
        <scheme val="minor"/>
      </rPr>
      <t>GRADUAL</t>
    </r>
    <r>
      <rPr>
        <sz val="11"/>
        <color theme="1"/>
        <rFont val="Calibri"/>
        <family val="2"/>
        <scheme val="minor"/>
      </rPr>
      <t xml:space="preserve"> o "frances"</t>
    </r>
  </si>
  <si>
    <r>
      <t xml:space="preserve">SISTEMA DE AMORTIZACION </t>
    </r>
    <r>
      <rPr>
        <b/>
        <sz val="11"/>
        <color rgb="FF00B0F0"/>
        <rFont val="Calibri"/>
        <family val="2"/>
        <scheme val="minor"/>
      </rPr>
      <t>CONSTANTE</t>
    </r>
    <r>
      <rPr>
        <sz val="11"/>
        <color theme="1"/>
        <rFont val="Calibri"/>
        <family val="2"/>
        <scheme val="minor"/>
      </rPr>
      <t xml:space="preserve"> o "aleman"</t>
    </r>
  </si>
  <si>
    <t>anualidad (a_24)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</si>
</sst>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0"/>
    <numFmt numFmtId="167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1" xfId="0" applyFill="1" applyBorder="1"/>
    <xf numFmtId="10" fontId="0" fillId="2" borderId="1" xfId="0" applyNumberFormat="1" applyFill="1" applyBorder="1"/>
    <xf numFmtId="10" fontId="0" fillId="2" borderId="1" xfId="2" applyNumberFormat="1" applyFont="1" applyFill="1" applyBorder="1"/>
    <xf numFmtId="44" fontId="0" fillId="2" borderId="1" xfId="1" applyFont="1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4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44" fontId="0" fillId="3" borderId="1" xfId="1" applyFont="1" applyFill="1" applyBorder="1" applyAlignment="1">
      <alignment horizontal="center" vertical="center"/>
    </xf>
    <xf numFmtId="0" fontId="6" fillId="2" borderId="0" xfId="0" applyFont="1" applyFill="1"/>
    <xf numFmtId="0" fontId="7" fillId="2" borderId="0" xfId="0" applyFont="1" applyFill="1"/>
    <xf numFmtId="0" fontId="0" fillId="2" borderId="1" xfId="0" applyFill="1" applyBorder="1" applyAlignment="1">
      <alignment wrapText="1"/>
    </xf>
    <xf numFmtId="167" fontId="0" fillId="2" borderId="1" xfId="0" applyNumberForma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428863</xdr:colOff>
      <xdr:row>0</xdr:row>
      <xdr:rowOff>134456</xdr:rowOff>
    </xdr:from>
    <xdr:to>
      <xdr:col>9</xdr:col>
      <xdr:colOff>115958</xdr:colOff>
      <xdr:row>10</xdr:row>
      <xdr:rowOff>84134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2A3984-94FB-0935-64B5-E385005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0537" y="134456"/>
          <a:ext cx="3621334" cy="177185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303283</xdr:colOff>
      <xdr:row>11</xdr:row>
      <xdr:rowOff>27199</xdr:rowOff>
    </xdr:from>
    <xdr:to>
      <xdr:col>9</xdr:col>
      <xdr:colOff>364436</xdr:colOff>
      <xdr:row>11</xdr:row>
      <xdr:rowOff>218645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C28A54-459A-0F3D-B99D-1E67B980E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0457" y="2213808"/>
          <a:ext cx="1899892" cy="191446"/>
        </a:xfrm>
        <a:prstGeom prst="rect">
          <a:avLst/>
        </a:prstGeom>
      </xdr:spPr>
    </xdr:pic>
    <xdr:clientData/>
  </xdr:twoCellAnchor>
  <xdr:twoCellAnchor editAs="oneCell">
    <xdr:from>
      <xdr:col>6</xdr:col>
      <xdr:colOff>351046</xdr:colOff>
      <xdr:row>11</xdr:row>
      <xdr:rowOff>266876</xdr:rowOff>
    </xdr:from>
    <xdr:to>
      <xdr:col>9</xdr:col>
      <xdr:colOff>331305</xdr:colOff>
      <xdr:row>11</xdr:row>
      <xdr:rowOff>362105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57777C-B3EC-53A4-C4F0-82E9CA417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88220" y="2453485"/>
          <a:ext cx="1818998" cy="952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397053</xdr:colOff>
      <xdr:row>12</xdr:row>
      <xdr:rowOff>47998</xdr:rowOff>
    </xdr:from>
    <xdr:to>
      <xdr:col>16</xdr:col>
      <xdr:colOff>78287</xdr:colOff>
      <xdr:row>35</xdr:row>
      <xdr:rowOff>17555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DFC3A-B8D4-ACBA-53CB-5D2C6C7BD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465" y="2423645"/>
          <a:ext cx="4522175" cy="409332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9"/>
  <sheetViews>
    <sheetView zoomScale="85" zoomScaleNormal="85" workbookViewId="0">
      <selection activeCell="I19" sqref="I19"/>
    </sheetView>
  </sheetViews>
  <sheetFormatPr defaultRowHeight="14.5" x14ac:dyDescent="0.35"/>
  <cols>
    <col min="1" max="1" width="8.7265625" style="1"/>
    <col min="2" max="2" width="34" style="1" bestFit="1" customWidth="1"/>
    <col min="3" max="3" width="15.90625" style="1" customWidth="1"/>
    <col min="4" max="4" width="19.26953125" style="1" bestFit="1" customWidth="1"/>
    <col min="5" max="5" width="17.08984375" style="1" customWidth="1"/>
    <col min="6" max="6" width="12.90625" style="1" bestFit="1" customWidth="1"/>
    <col min="7" max="16384" width="8.7265625" style="1"/>
  </cols>
  <sheetData>
    <row r="1" spans="2:6" x14ac:dyDescent="0.35">
      <c r="B1" s="1" t="s">
        <v>30</v>
      </c>
    </row>
    <row r="2" spans="2:6" x14ac:dyDescent="0.35">
      <c r="B2" s="23" t="s">
        <v>29</v>
      </c>
    </row>
    <row r="3" spans="2:6" x14ac:dyDescent="0.35">
      <c r="B3" s="2" t="s">
        <v>0</v>
      </c>
      <c r="C3" s="3">
        <v>0.126</v>
      </c>
    </row>
    <row r="4" spans="2:6" x14ac:dyDescent="0.35">
      <c r="B4" s="2" t="s">
        <v>1</v>
      </c>
      <c r="C4" s="2">
        <v>12</v>
      </c>
      <c r="D4" s="1" t="s">
        <v>2</v>
      </c>
    </row>
    <row r="5" spans="2:6" x14ac:dyDescent="0.35">
      <c r="B5" s="2" t="s">
        <v>3</v>
      </c>
      <c r="C5" s="4">
        <f>C3/C4</f>
        <v>1.0500000000000001E-2</v>
      </c>
    </row>
    <row r="6" spans="2:6" x14ac:dyDescent="0.35">
      <c r="B6" s="2" t="s">
        <v>4</v>
      </c>
      <c r="C6" s="2">
        <v>8</v>
      </c>
    </row>
    <row r="7" spans="2:6" x14ac:dyDescent="0.35">
      <c r="B7" s="2" t="s">
        <v>5</v>
      </c>
      <c r="C7" s="5">
        <v>35000</v>
      </c>
    </row>
    <row r="8" spans="2:6" x14ac:dyDescent="0.35">
      <c r="B8" s="2" t="s">
        <v>18</v>
      </c>
      <c r="C8" s="6">
        <f>1/(1+C5)</f>
        <v>0.9896091044037606</v>
      </c>
    </row>
    <row r="9" spans="2:6" x14ac:dyDescent="0.35">
      <c r="B9" s="2" t="s">
        <v>19</v>
      </c>
      <c r="C9" s="7">
        <f>(1-C8^C6)/C5</f>
        <v>7.6348573960598358</v>
      </c>
      <c r="D9" s="1" t="s">
        <v>9</v>
      </c>
    </row>
    <row r="10" spans="2:6" x14ac:dyDescent="0.35">
      <c r="B10" s="2" t="s">
        <v>6</v>
      </c>
      <c r="C10" s="5">
        <f>C7/C9</f>
        <v>4584.2375547266474</v>
      </c>
      <c r="D10" s="1" t="s">
        <v>11</v>
      </c>
    </row>
    <row r="12" spans="2:6" ht="43.5" x14ac:dyDescent="0.35">
      <c r="B12" s="8" t="s">
        <v>7</v>
      </c>
      <c r="C12" s="9" t="s">
        <v>21</v>
      </c>
      <c r="D12" s="9" t="s">
        <v>22</v>
      </c>
      <c r="E12" s="9" t="s">
        <v>23</v>
      </c>
      <c r="F12" s="9" t="s">
        <v>24</v>
      </c>
    </row>
    <row r="13" spans="2:6" x14ac:dyDescent="0.35">
      <c r="B13" s="10">
        <v>0</v>
      </c>
      <c r="C13" s="11">
        <v>0</v>
      </c>
      <c r="D13" s="11">
        <v>0</v>
      </c>
      <c r="E13" s="11">
        <v>0</v>
      </c>
      <c r="F13" s="11">
        <f>C7</f>
        <v>35000</v>
      </c>
    </row>
    <row r="14" spans="2:6" x14ac:dyDescent="0.35">
      <c r="B14" s="10">
        <v>1</v>
      </c>
      <c r="C14" s="11">
        <f>$C$10</f>
        <v>4584.2375547266474</v>
      </c>
      <c r="D14" s="11">
        <f t="shared" ref="D14:D21" si="0">F13*$C$5</f>
        <v>367.5</v>
      </c>
      <c r="E14" s="11">
        <f t="shared" ref="E14:E21" si="1">C14-D14</f>
        <v>4216.7375547266474</v>
      </c>
      <c r="F14" s="11">
        <f t="shared" ref="F14:F21" si="2">F13-E14</f>
        <v>30783.262445273351</v>
      </c>
    </row>
    <row r="15" spans="2:6" x14ac:dyDescent="0.35">
      <c r="B15" s="10">
        <v>2</v>
      </c>
      <c r="C15" s="11">
        <f t="shared" ref="C15:C21" si="3">$C$10</f>
        <v>4584.2375547266474</v>
      </c>
      <c r="D15" s="11">
        <f t="shared" si="0"/>
        <v>323.22425567537022</v>
      </c>
      <c r="E15" s="11">
        <f t="shared" si="1"/>
        <v>4261.0132990512775</v>
      </c>
      <c r="F15" s="11">
        <f t="shared" si="2"/>
        <v>26522.249146222071</v>
      </c>
    </row>
    <row r="16" spans="2:6" x14ac:dyDescent="0.35">
      <c r="B16" s="10">
        <v>3</v>
      </c>
      <c r="C16" s="11">
        <f t="shared" si="3"/>
        <v>4584.2375547266474</v>
      </c>
      <c r="D16" s="11">
        <f t="shared" si="0"/>
        <v>278.48361603533175</v>
      </c>
      <c r="E16" s="11">
        <f t="shared" si="1"/>
        <v>4305.7539386913159</v>
      </c>
      <c r="F16" s="11">
        <f t="shared" si="2"/>
        <v>22216.495207530756</v>
      </c>
    </row>
    <row r="17" spans="2:6" x14ac:dyDescent="0.35">
      <c r="B17" s="10">
        <v>4</v>
      </c>
      <c r="C17" s="11">
        <f t="shared" si="3"/>
        <v>4584.2375547266474</v>
      </c>
      <c r="D17" s="11">
        <f t="shared" si="0"/>
        <v>233.27319967907295</v>
      </c>
      <c r="E17" s="11">
        <f t="shared" si="1"/>
        <v>4350.9643550475748</v>
      </c>
      <c r="F17" s="11">
        <f t="shared" si="2"/>
        <v>17865.530852483182</v>
      </c>
    </row>
    <row r="18" spans="2:6" x14ac:dyDescent="0.35">
      <c r="B18" s="10">
        <v>5</v>
      </c>
      <c r="C18" s="11">
        <f t="shared" si="3"/>
        <v>4584.2375547266474</v>
      </c>
      <c r="D18" s="11">
        <f t="shared" si="0"/>
        <v>187.58807395107343</v>
      </c>
      <c r="E18" s="11">
        <f t="shared" si="1"/>
        <v>4396.6494807755744</v>
      </c>
      <c r="F18" s="11">
        <f t="shared" si="2"/>
        <v>13468.881371707608</v>
      </c>
    </row>
    <row r="19" spans="2:6" x14ac:dyDescent="0.35">
      <c r="B19" s="10">
        <v>6</v>
      </c>
      <c r="C19" s="11">
        <f t="shared" si="3"/>
        <v>4584.2375547266474</v>
      </c>
      <c r="D19" s="11">
        <f t="shared" si="0"/>
        <v>141.4232544029299</v>
      </c>
      <c r="E19" s="11">
        <f t="shared" si="1"/>
        <v>4442.8143003237174</v>
      </c>
      <c r="F19" s="11">
        <f t="shared" si="2"/>
        <v>9026.0670713838917</v>
      </c>
    </row>
    <row r="20" spans="2:6" x14ac:dyDescent="0.35">
      <c r="B20" s="10">
        <v>7</v>
      </c>
      <c r="C20" s="11">
        <f t="shared" si="3"/>
        <v>4584.2375547266474</v>
      </c>
      <c r="D20" s="11">
        <f t="shared" si="0"/>
        <v>94.773704249530866</v>
      </c>
      <c r="E20" s="11">
        <f t="shared" si="1"/>
        <v>4489.4638504771165</v>
      </c>
      <c r="F20" s="11">
        <f t="shared" si="2"/>
        <v>4536.6032209067753</v>
      </c>
    </row>
    <row r="21" spans="2:6" x14ac:dyDescent="0.35">
      <c r="B21" s="10">
        <v>8</v>
      </c>
      <c r="C21" s="11">
        <f t="shared" si="3"/>
        <v>4584.2375547266474</v>
      </c>
      <c r="D21" s="11">
        <f t="shared" si="0"/>
        <v>47.634333819521146</v>
      </c>
      <c r="E21" s="11">
        <f t="shared" si="1"/>
        <v>4536.6032209071263</v>
      </c>
      <c r="F21" s="11">
        <f t="shared" si="2"/>
        <v>-3.510649548843503E-10</v>
      </c>
    </row>
    <row r="23" spans="2:6" x14ac:dyDescent="0.35">
      <c r="C23" s="12">
        <f>SUM(C13:C21)</f>
        <v>36673.900437813187</v>
      </c>
      <c r="D23" s="13">
        <f t="shared" ref="D23:E23" si="4">SUM(D13:D21)</f>
        <v>1673.9004378128304</v>
      </c>
      <c r="E23" s="13">
        <f t="shared" si="4"/>
        <v>35000.000000000349</v>
      </c>
      <c r="F23" s="14"/>
    </row>
    <row r="24" spans="2:6" x14ac:dyDescent="0.35">
      <c r="C24" s="15" t="s">
        <v>12</v>
      </c>
      <c r="D24" s="16" t="s">
        <v>14</v>
      </c>
      <c r="E24" s="16" t="s">
        <v>15</v>
      </c>
      <c r="F24" s="14"/>
    </row>
    <row r="25" spans="2:6" x14ac:dyDescent="0.35">
      <c r="C25" s="17" t="s">
        <v>13</v>
      </c>
      <c r="D25" s="14"/>
      <c r="E25" s="14"/>
      <c r="F25" s="14"/>
    </row>
    <row r="26" spans="2:6" x14ac:dyDescent="0.35">
      <c r="C26" s="17" t="s">
        <v>16</v>
      </c>
      <c r="D26" s="14"/>
      <c r="E26" s="14"/>
      <c r="F26" s="14"/>
    </row>
    <row r="27" spans="2:6" x14ac:dyDescent="0.35">
      <c r="C27" s="18" t="s">
        <v>17</v>
      </c>
      <c r="D27" s="14"/>
      <c r="E27" s="19">
        <f>E23+D23</f>
        <v>36673.900437813179</v>
      </c>
      <c r="F27" s="20" t="s">
        <v>20</v>
      </c>
    </row>
    <row r="28" spans="2:6" x14ac:dyDescent="0.35">
      <c r="C28" s="14"/>
      <c r="D28" s="14"/>
      <c r="E28" s="14"/>
      <c r="F28" s="14"/>
    </row>
    <row r="29" spans="2:6" x14ac:dyDescent="0.35">
      <c r="C29" s="14"/>
      <c r="D29" s="14"/>
      <c r="E29" s="14"/>
      <c r="F29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3347-F5C7-4823-8E48-6923668F8699}">
  <dimension ref="B1:H46"/>
  <sheetViews>
    <sheetView tabSelected="1" zoomScale="85" zoomScaleNormal="85" workbookViewId="0">
      <selection activeCell="E8" sqref="E8"/>
    </sheetView>
  </sheetViews>
  <sheetFormatPr defaultRowHeight="14.5" x14ac:dyDescent="0.35"/>
  <cols>
    <col min="1" max="1" width="8.7265625" style="1"/>
    <col min="2" max="2" width="34" style="1" bestFit="1" customWidth="1"/>
    <col min="3" max="3" width="15.6328125" style="1" customWidth="1"/>
    <col min="4" max="4" width="22.7265625" style="1" customWidth="1"/>
    <col min="5" max="5" width="17.54296875" style="1" customWidth="1"/>
    <col min="6" max="6" width="14.453125" style="1" customWidth="1"/>
    <col min="7" max="7" width="8.7265625" style="1"/>
    <col min="8" max="8" width="20.1796875" style="1" customWidth="1"/>
    <col min="9" max="16384" width="8.7265625" style="1"/>
  </cols>
  <sheetData>
    <row r="1" spans="2:8" x14ac:dyDescent="0.35">
      <c r="B1" s="1" t="s">
        <v>31</v>
      </c>
    </row>
    <row r="2" spans="2:8" x14ac:dyDescent="0.35">
      <c r="B2" s="22" t="s">
        <v>28</v>
      </c>
    </row>
    <row r="3" spans="2:8" x14ac:dyDescent="0.35">
      <c r="B3" s="2" t="s">
        <v>0</v>
      </c>
      <c r="C3" s="3">
        <v>0.13200000000000001</v>
      </c>
    </row>
    <row r="4" spans="2:8" x14ac:dyDescent="0.35">
      <c r="B4" s="2" t="s">
        <v>1</v>
      </c>
      <c r="C4" s="2">
        <v>12</v>
      </c>
      <c r="D4" s="1" t="s">
        <v>2</v>
      </c>
    </row>
    <row r="5" spans="2:8" x14ac:dyDescent="0.35">
      <c r="B5" s="2" t="s">
        <v>3</v>
      </c>
      <c r="C5" s="4">
        <f>C3/C4</f>
        <v>1.1000000000000001E-2</v>
      </c>
    </row>
    <row r="6" spans="2:8" x14ac:dyDescent="0.35">
      <c r="B6" s="2" t="s">
        <v>4</v>
      </c>
      <c r="C6" s="2">
        <v>24</v>
      </c>
    </row>
    <row r="7" spans="2:8" x14ac:dyDescent="0.35">
      <c r="B7" s="2" t="s">
        <v>5</v>
      </c>
      <c r="C7" s="5">
        <v>96000</v>
      </c>
    </row>
    <row r="8" spans="2:8" x14ac:dyDescent="0.35">
      <c r="B8" s="2" t="s">
        <v>18</v>
      </c>
      <c r="C8" s="6">
        <f>1/(1+C5)</f>
        <v>0.98911968348170143</v>
      </c>
    </row>
    <row r="9" spans="2:8" x14ac:dyDescent="0.35">
      <c r="B9" s="2" t="s">
        <v>32</v>
      </c>
      <c r="C9" s="7">
        <f>(1-C8^C6)/C5</f>
        <v>20.992606823650085</v>
      </c>
      <c r="D9" s="1" t="s">
        <v>9</v>
      </c>
    </row>
    <row r="10" spans="2:8" x14ac:dyDescent="0.35">
      <c r="B10" s="2" t="s">
        <v>8</v>
      </c>
      <c r="C10" s="5">
        <f>C7/C6</f>
        <v>4000</v>
      </c>
      <c r="D10" s="1" t="s">
        <v>10</v>
      </c>
    </row>
    <row r="12" spans="2:8" ht="31.5" customHeight="1" x14ac:dyDescent="0.35">
      <c r="B12" s="8" t="s">
        <v>7</v>
      </c>
      <c r="C12" s="9" t="s">
        <v>25</v>
      </c>
      <c r="D12" s="9" t="s">
        <v>22</v>
      </c>
      <c r="E12" s="9" t="s">
        <v>26</v>
      </c>
      <c r="F12" s="9" t="s">
        <v>24</v>
      </c>
      <c r="H12" s="24" t="s">
        <v>27</v>
      </c>
    </row>
    <row r="13" spans="2:8" x14ac:dyDescent="0.35">
      <c r="B13" s="10">
        <v>0</v>
      </c>
      <c r="C13" s="11">
        <v>0</v>
      </c>
      <c r="D13" s="11">
        <v>0</v>
      </c>
      <c r="E13" s="11">
        <v>0</v>
      </c>
      <c r="F13" s="11">
        <f>C7</f>
        <v>96000</v>
      </c>
      <c r="H13" s="25"/>
    </row>
    <row r="14" spans="2:8" x14ac:dyDescent="0.35">
      <c r="B14" s="10">
        <v>1</v>
      </c>
      <c r="C14" s="11">
        <f>D14+E14</f>
        <v>5056</v>
      </c>
      <c r="D14" s="11">
        <f>F13*$C$5</f>
        <v>1056</v>
      </c>
      <c r="E14" s="11">
        <f>$C$10</f>
        <v>4000</v>
      </c>
      <c r="F14" s="11">
        <f>F13-E14</f>
        <v>92000</v>
      </c>
      <c r="H14" s="25"/>
    </row>
    <row r="15" spans="2:8" x14ac:dyDescent="0.35">
      <c r="B15" s="10">
        <v>2</v>
      </c>
      <c r="C15" s="11">
        <f>D15+E15</f>
        <v>5012</v>
      </c>
      <c r="D15" s="11">
        <f>F14*$C$5</f>
        <v>1012.0000000000001</v>
      </c>
      <c r="E15" s="11">
        <f>$C$10</f>
        <v>4000</v>
      </c>
      <c r="F15" s="11">
        <f t="shared" ref="F15:F37" si="0">F14-E15</f>
        <v>88000</v>
      </c>
      <c r="H15" s="25">
        <f>C14-C15</f>
        <v>44</v>
      </c>
    </row>
    <row r="16" spans="2:8" x14ac:dyDescent="0.35">
      <c r="B16" s="10">
        <v>3</v>
      </c>
      <c r="C16" s="11">
        <f>D16+E16</f>
        <v>4968</v>
      </c>
      <c r="D16" s="11">
        <f>F15*$C$5</f>
        <v>968.00000000000011</v>
      </c>
      <c r="E16" s="11">
        <f t="shared" ref="E15:E37" si="1">$C$10</f>
        <v>4000</v>
      </c>
      <c r="F16" s="11">
        <f t="shared" si="0"/>
        <v>84000</v>
      </c>
      <c r="H16" s="25">
        <f t="shared" ref="H16:H37" si="2">C15-C16</f>
        <v>44</v>
      </c>
    </row>
    <row r="17" spans="2:8" x14ac:dyDescent="0.35">
      <c r="B17" s="10">
        <v>4</v>
      </c>
      <c r="C17" s="11">
        <f>D17+E17</f>
        <v>4924</v>
      </c>
      <c r="D17" s="11">
        <f t="shared" ref="D15:D37" si="3">F16*$C$5</f>
        <v>924.00000000000011</v>
      </c>
      <c r="E17" s="11">
        <f t="shared" si="1"/>
        <v>4000</v>
      </c>
      <c r="F17" s="11">
        <f t="shared" si="0"/>
        <v>80000</v>
      </c>
      <c r="H17" s="25">
        <f t="shared" si="2"/>
        <v>44</v>
      </c>
    </row>
    <row r="18" spans="2:8" x14ac:dyDescent="0.35">
      <c r="B18" s="10">
        <v>5</v>
      </c>
      <c r="C18" s="11">
        <f t="shared" ref="C15:C37" si="4">D18+E18</f>
        <v>4880</v>
      </c>
      <c r="D18" s="11">
        <f t="shared" si="3"/>
        <v>880.00000000000011</v>
      </c>
      <c r="E18" s="11">
        <f t="shared" si="1"/>
        <v>4000</v>
      </c>
      <c r="F18" s="11">
        <f t="shared" si="0"/>
        <v>76000</v>
      </c>
      <c r="H18" s="25">
        <f t="shared" si="2"/>
        <v>44</v>
      </c>
    </row>
    <row r="19" spans="2:8" x14ac:dyDescent="0.35">
      <c r="B19" s="10">
        <v>6</v>
      </c>
      <c r="C19" s="11">
        <f t="shared" si="4"/>
        <v>4836</v>
      </c>
      <c r="D19" s="11">
        <f t="shared" si="3"/>
        <v>836.00000000000011</v>
      </c>
      <c r="E19" s="11">
        <f t="shared" si="1"/>
        <v>4000</v>
      </c>
      <c r="F19" s="11">
        <f t="shared" si="0"/>
        <v>72000</v>
      </c>
      <c r="H19" s="25">
        <f t="shared" si="2"/>
        <v>44</v>
      </c>
    </row>
    <row r="20" spans="2:8" x14ac:dyDescent="0.35">
      <c r="B20" s="10">
        <v>7</v>
      </c>
      <c r="C20" s="11">
        <f t="shared" si="4"/>
        <v>4792</v>
      </c>
      <c r="D20" s="11">
        <f t="shared" si="3"/>
        <v>792.00000000000011</v>
      </c>
      <c r="E20" s="11">
        <f t="shared" si="1"/>
        <v>4000</v>
      </c>
      <c r="F20" s="11">
        <f t="shared" si="0"/>
        <v>68000</v>
      </c>
      <c r="H20" s="25">
        <f t="shared" si="2"/>
        <v>44</v>
      </c>
    </row>
    <row r="21" spans="2:8" x14ac:dyDescent="0.35">
      <c r="B21" s="10">
        <v>8</v>
      </c>
      <c r="C21" s="11">
        <f t="shared" si="4"/>
        <v>4748</v>
      </c>
      <c r="D21" s="11">
        <f t="shared" si="3"/>
        <v>748.00000000000011</v>
      </c>
      <c r="E21" s="11">
        <f t="shared" si="1"/>
        <v>4000</v>
      </c>
      <c r="F21" s="11">
        <f t="shared" si="0"/>
        <v>64000</v>
      </c>
      <c r="H21" s="25">
        <f t="shared" si="2"/>
        <v>44</v>
      </c>
    </row>
    <row r="22" spans="2:8" x14ac:dyDescent="0.35">
      <c r="B22" s="10">
        <v>9</v>
      </c>
      <c r="C22" s="11">
        <f t="shared" si="4"/>
        <v>4704</v>
      </c>
      <c r="D22" s="11">
        <f t="shared" si="3"/>
        <v>704.00000000000011</v>
      </c>
      <c r="E22" s="11">
        <f t="shared" si="1"/>
        <v>4000</v>
      </c>
      <c r="F22" s="11">
        <f t="shared" si="0"/>
        <v>60000</v>
      </c>
      <c r="H22" s="25">
        <f t="shared" si="2"/>
        <v>44</v>
      </c>
    </row>
    <row r="23" spans="2:8" x14ac:dyDescent="0.35">
      <c r="B23" s="10">
        <v>10</v>
      </c>
      <c r="C23" s="11">
        <f t="shared" si="4"/>
        <v>4660</v>
      </c>
      <c r="D23" s="11">
        <f t="shared" si="3"/>
        <v>660.00000000000011</v>
      </c>
      <c r="E23" s="11">
        <f t="shared" si="1"/>
        <v>4000</v>
      </c>
      <c r="F23" s="11">
        <f t="shared" si="0"/>
        <v>56000</v>
      </c>
      <c r="H23" s="25">
        <f t="shared" si="2"/>
        <v>44</v>
      </c>
    </row>
    <row r="24" spans="2:8" x14ac:dyDescent="0.35">
      <c r="B24" s="10">
        <v>11</v>
      </c>
      <c r="C24" s="11">
        <f t="shared" si="4"/>
        <v>4616</v>
      </c>
      <c r="D24" s="11">
        <f t="shared" si="3"/>
        <v>616.00000000000011</v>
      </c>
      <c r="E24" s="11">
        <f t="shared" si="1"/>
        <v>4000</v>
      </c>
      <c r="F24" s="11">
        <f t="shared" si="0"/>
        <v>52000</v>
      </c>
      <c r="H24" s="25">
        <f t="shared" si="2"/>
        <v>44</v>
      </c>
    </row>
    <row r="25" spans="2:8" x14ac:dyDescent="0.35">
      <c r="B25" s="10">
        <v>12</v>
      </c>
      <c r="C25" s="11">
        <f t="shared" si="4"/>
        <v>4572</v>
      </c>
      <c r="D25" s="11">
        <f t="shared" si="3"/>
        <v>572.00000000000011</v>
      </c>
      <c r="E25" s="11">
        <f t="shared" si="1"/>
        <v>4000</v>
      </c>
      <c r="F25" s="11">
        <f t="shared" si="0"/>
        <v>48000</v>
      </c>
      <c r="H25" s="25">
        <f t="shared" si="2"/>
        <v>44</v>
      </c>
    </row>
    <row r="26" spans="2:8" x14ac:dyDescent="0.35">
      <c r="B26" s="10">
        <v>13</v>
      </c>
      <c r="C26" s="11">
        <f t="shared" si="4"/>
        <v>4528</v>
      </c>
      <c r="D26" s="11">
        <f t="shared" si="3"/>
        <v>528</v>
      </c>
      <c r="E26" s="11">
        <f t="shared" si="1"/>
        <v>4000</v>
      </c>
      <c r="F26" s="11">
        <f t="shared" si="0"/>
        <v>44000</v>
      </c>
      <c r="H26" s="25">
        <f t="shared" si="2"/>
        <v>44</v>
      </c>
    </row>
    <row r="27" spans="2:8" x14ac:dyDescent="0.35">
      <c r="B27" s="10">
        <v>14</v>
      </c>
      <c r="C27" s="11">
        <f t="shared" si="4"/>
        <v>4484</v>
      </c>
      <c r="D27" s="11">
        <f t="shared" si="3"/>
        <v>484.00000000000006</v>
      </c>
      <c r="E27" s="11">
        <f t="shared" si="1"/>
        <v>4000</v>
      </c>
      <c r="F27" s="11">
        <f t="shared" si="0"/>
        <v>40000</v>
      </c>
      <c r="H27" s="25">
        <f t="shared" si="2"/>
        <v>44</v>
      </c>
    </row>
    <row r="28" spans="2:8" x14ac:dyDescent="0.35">
      <c r="B28" s="10">
        <v>15</v>
      </c>
      <c r="C28" s="11">
        <f t="shared" si="4"/>
        <v>4440</v>
      </c>
      <c r="D28" s="11">
        <f t="shared" si="3"/>
        <v>440.00000000000006</v>
      </c>
      <c r="E28" s="11">
        <f t="shared" si="1"/>
        <v>4000</v>
      </c>
      <c r="F28" s="11">
        <f t="shared" si="0"/>
        <v>36000</v>
      </c>
      <c r="H28" s="25">
        <f t="shared" si="2"/>
        <v>44</v>
      </c>
    </row>
    <row r="29" spans="2:8" x14ac:dyDescent="0.35">
      <c r="B29" s="10">
        <v>16</v>
      </c>
      <c r="C29" s="11">
        <f t="shared" si="4"/>
        <v>4396</v>
      </c>
      <c r="D29" s="11">
        <f t="shared" si="3"/>
        <v>396.00000000000006</v>
      </c>
      <c r="E29" s="11">
        <f t="shared" si="1"/>
        <v>4000</v>
      </c>
      <c r="F29" s="11">
        <f t="shared" si="0"/>
        <v>32000</v>
      </c>
      <c r="H29" s="25">
        <f t="shared" si="2"/>
        <v>44</v>
      </c>
    </row>
    <row r="30" spans="2:8" x14ac:dyDescent="0.35">
      <c r="B30" s="10">
        <v>17</v>
      </c>
      <c r="C30" s="11">
        <f t="shared" si="4"/>
        <v>4352</v>
      </c>
      <c r="D30" s="11">
        <f t="shared" si="3"/>
        <v>352.00000000000006</v>
      </c>
      <c r="E30" s="11">
        <f t="shared" si="1"/>
        <v>4000</v>
      </c>
      <c r="F30" s="11">
        <f t="shared" si="0"/>
        <v>28000</v>
      </c>
      <c r="H30" s="25">
        <f t="shared" si="2"/>
        <v>44</v>
      </c>
    </row>
    <row r="31" spans="2:8" x14ac:dyDescent="0.35">
      <c r="B31" s="10">
        <v>18</v>
      </c>
      <c r="C31" s="11">
        <f t="shared" si="4"/>
        <v>4308</v>
      </c>
      <c r="D31" s="11">
        <f t="shared" si="3"/>
        <v>308.00000000000006</v>
      </c>
      <c r="E31" s="11">
        <f t="shared" si="1"/>
        <v>4000</v>
      </c>
      <c r="F31" s="11">
        <f t="shared" si="0"/>
        <v>24000</v>
      </c>
      <c r="H31" s="25">
        <f t="shared" si="2"/>
        <v>44</v>
      </c>
    </row>
    <row r="32" spans="2:8" x14ac:dyDescent="0.35">
      <c r="B32" s="10">
        <v>19</v>
      </c>
      <c r="C32" s="11">
        <f t="shared" si="4"/>
        <v>4264</v>
      </c>
      <c r="D32" s="11">
        <f t="shared" si="3"/>
        <v>264</v>
      </c>
      <c r="E32" s="11">
        <f t="shared" si="1"/>
        <v>4000</v>
      </c>
      <c r="F32" s="11">
        <f t="shared" si="0"/>
        <v>20000</v>
      </c>
      <c r="H32" s="25">
        <f t="shared" si="2"/>
        <v>44</v>
      </c>
    </row>
    <row r="33" spans="2:8" x14ac:dyDescent="0.35">
      <c r="B33" s="10">
        <v>20</v>
      </c>
      <c r="C33" s="11">
        <f t="shared" si="4"/>
        <v>4220</v>
      </c>
      <c r="D33" s="11">
        <f t="shared" si="3"/>
        <v>220.00000000000003</v>
      </c>
      <c r="E33" s="11">
        <f t="shared" si="1"/>
        <v>4000</v>
      </c>
      <c r="F33" s="11">
        <f t="shared" si="0"/>
        <v>16000</v>
      </c>
      <c r="H33" s="25">
        <f t="shared" si="2"/>
        <v>44</v>
      </c>
    </row>
    <row r="34" spans="2:8" x14ac:dyDescent="0.35">
      <c r="B34" s="10">
        <v>21</v>
      </c>
      <c r="C34" s="11">
        <f t="shared" si="4"/>
        <v>4176</v>
      </c>
      <c r="D34" s="11">
        <f t="shared" si="3"/>
        <v>176.00000000000003</v>
      </c>
      <c r="E34" s="11">
        <f t="shared" si="1"/>
        <v>4000</v>
      </c>
      <c r="F34" s="11">
        <f t="shared" si="0"/>
        <v>12000</v>
      </c>
      <c r="H34" s="25">
        <f t="shared" si="2"/>
        <v>44</v>
      </c>
    </row>
    <row r="35" spans="2:8" x14ac:dyDescent="0.35">
      <c r="B35" s="10">
        <v>22</v>
      </c>
      <c r="C35" s="11">
        <f t="shared" si="4"/>
        <v>4132</v>
      </c>
      <c r="D35" s="11">
        <f t="shared" si="3"/>
        <v>132</v>
      </c>
      <c r="E35" s="11">
        <f t="shared" si="1"/>
        <v>4000</v>
      </c>
      <c r="F35" s="11">
        <f t="shared" si="0"/>
        <v>8000</v>
      </c>
      <c r="H35" s="25">
        <f t="shared" si="2"/>
        <v>44</v>
      </c>
    </row>
    <row r="36" spans="2:8" x14ac:dyDescent="0.35">
      <c r="B36" s="10">
        <v>23</v>
      </c>
      <c r="C36" s="11">
        <f t="shared" si="4"/>
        <v>4088</v>
      </c>
      <c r="D36" s="11">
        <f t="shared" si="3"/>
        <v>88.000000000000014</v>
      </c>
      <c r="E36" s="11">
        <f t="shared" si="1"/>
        <v>4000</v>
      </c>
      <c r="F36" s="11">
        <f t="shared" si="0"/>
        <v>4000</v>
      </c>
      <c r="H36" s="25">
        <f t="shared" si="2"/>
        <v>44</v>
      </c>
    </row>
    <row r="37" spans="2:8" x14ac:dyDescent="0.35">
      <c r="B37" s="10">
        <v>24</v>
      </c>
      <c r="C37" s="21">
        <f t="shared" si="4"/>
        <v>4044</v>
      </c>
      <c r="D37" s="11">
        <f t="shared" si="3"/>
        <v>44.000000000000007</v>
      </c>
      <c r="E37" s="11">
        <f t="shared" si="1"/>
        <v>4000</v>
      </c>
      <c r="F37" s="11">
        <f t="shared" si="0"/>
        <v>0</v>
      </c>
      <c r="H37" s="25">
        <f t="shared" si="2"/>
        <v>44</v>
      </c>
    </row>
    <row r="39" spans="2:8" x14ac:dyDescent="0.35">
      <c r="C39" s="12">
        <f>SUM(C13:C37)</f>
        <v>109200</v>
      </c>
      <c r="D39" s="13">
        <f>SUM(D13:D37)</f>
        <v>13200</v>
      </c>
      <c r="E39" s="13">
        <f>SUM(E13:E37)</f>
        <v>96000</v>
      </c>
      <c r="F39" s="14"/>
    </row>
    <row r="40" spans="2:8" x14ac:dyDescent="0.35">
      <c r="C40" s="15" t="s">
        <v>12</v>
      </c>
      <c r="D40" s="16" t="s">
        <v>14</v>
      </c>
      <c r="E40" s="16" t="s">
        <v>15</v>
      </c>
      <c r="F40" s="14"/>
    </row>
    <row r="41" spans="2:8" x14ac:dyDescent="0.35">
      <c r="C41" s="17" t="s">
        <v>13</v>
      </c>
      <c r="D41" s="14"/>
      <c r="E41" s="14"/>
      <c r="F41" s="14"/>
    </row>
    <row r="42" spans="2:8" x14ac:dyDescent="0.35">
      <c r="C42" s="17" t="s">
        <v>16</v>
      </c>
      <c r="D42" s="14"/>
      <c r="E42" s="14"/>
      <c r="F42" s="14"/>
    </row>
    <row r="43" spans="2:8" x14ac:dyDescent="0.35">
      <c r="C43" s="18" t="s">
        <v>17</v>
      </c>
      <c r="D43" s="14"/>
      <c r="E43" s="19">
        <f>E39+D39</f>
        <v>109200</v>
      </c>
      <c r="F43" s="20" t="s">
        <v>20</v>
      </c>
    </row>
    <row r="44" spans="2:8" x14ac:dyDescent="0.35">
      <c r="C44" s="14"/>
      <c r="D44" s="14"/>
      <c r="E44" s="14"/>
      <c r="F44" s="14"/>
    </row>
    <row r="45" spans="2:8" x14ac:dyDescent="0.35">
      <c r="C45" s="14"/>
      <c r="D45" s="14"/>
      <c r="E45" s="14"/>
      <c r="F45" s="14"/>
    </row>
    <row r="46" spans="2:8" x14ac:dyDescent="0.35">
      <c r="C46" s="14"/>
      <c r="D46" s="14"/>
      <c r="E46" s="14"/>
      <c r="F46" s="14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22-Amortizacion Gradual Frances</vt:lpstr>
      <vt:lpstr>23Amortizacion Constante Aleman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Garcia</dc:creator>
  <cp:lastModifiedBy>Enrique Garcia</cp:lastModifiedBy>
  <dcterms:created xsi:type="dcterms:W3CDTF">2015-06-05T18:17:20Z</dcterms:created>
  <dcterms:modified xsi:type="dcterms:W3CDTF">2025-06-28T07:56:40Z</dcterms:modified>
</cp:coreProperties>
</file>